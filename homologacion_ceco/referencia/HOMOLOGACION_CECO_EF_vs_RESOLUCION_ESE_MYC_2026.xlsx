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LANTILLAS HERRAMIENTAS COSTOS\"/>
    </mc:Choice>
  </mc:AlternateContent>
  <xr:revisionPtr revIDLastSave="0" documentId="8_{1E34896A-F348-4592-BA5A-E3C4706B22A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SUMEN HOMOLOGACIÓN" sheetId="1" r:id="rId1"/>
    <sheet name="C COSTOS ESTADO FINANCIERO" sheetId="2" r:id="rId2"/>
    <sheet name="CENTROS DE COSTOS UTILIZADOS" sheetId="3" r:id="rId3"/>
    <sheet name="CENTROS DE COSTOS RESOLUCION" sheetId="4" r:id="rId4"/>
    <sheet name="TABLA HERRAMIENTA" sheetId="5" r:id="rId5"/>
  </sheets>
  <definedNames>
    <definedName name="_xlnm._FilterDatabase" localSheetId="1" hidden="1">'C COSTOS ESTADO FINANCIERO'!$A$1:$M$550</definedName>
    <definedName name="_xlnm._FilterDatabase" localSheetId="4" hidden="1">'TABLA HERRAMIENTA'!$A$1:$G$550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G550" i="5"/>
  <c r="F550" i="5"/>
  <c r="E550" i="5"/>
  <c r="C550" i="5"/>
  <c r="B550" i="5"/>
  <c r="A550" i="5"/>
  <c r="G549" i="5"/>
  <c r="F549" i="5"/>
  <c r="E549" i="5"/>
  <c r="C549" i="5"/>
  <c r="B549" i="5"/>
  <c r="A549" i="5"/>
  <c r="G548" i="5"/>
  <c r="F548" i="5"/>
  <c r="E548" i="5"/>
  <c r="C548" i="5"/>
  <c r="B548" i="5"/>
  <c r="A548" i="5"/>
  <c r="G547" i="5"/>
  <c r="F547" i="5"/>
  <c r="E547" i="5"/>
  <c r="C547" i="5"/>
  <c r="B547" i="5"/>
  <c r="A547" i="5"/>
  <c r="G546" i="5"/>
  <c r="F546" i="5"/>
  <c r="E546" i="5"/>
  <c r="C546" i="5"/>
  <c r="B546" i="5"/>
  <c r="A546" i="5"/>
  <c r="G545" i="5"/>
  <c r="F545" i="5"/>
  <c r="E545" i="5"/>
  <c r="C545" i="5"/>
  <c r="B545" i="5"/>
  <c r="A545" i="5"/>
  <c r="G544" i="5"/>
  <c r="F544" i="5"/>
  <c r="E544" i="5"/>
  <c r="C544" i="5"/>
  <c r="B544" i="5"/>
  <c r="A544" i="5"/>
  <c r="G543" i="5"/>
  <c r="F543" i="5"/>
  <c r="E543" i="5"/>
  <c r="C543" i="5"/>
  <c r="B543" i="5"/>
  <c r="A543" i="5"/>
  <c r="G542" i="5"/>
  <c r="F542" i="5"/>
  <c r="E542" i="5"/>
  <c r="C542" i="5"/>
  <c r="B542" i="5"/>
  <c r="A542" i="5"/>
  <c r="G541" i="5"/>
  <c r="F541" i="5"/>
  <c r="E541" i="5"/>
  <c r="C541" i="5"/>
  <c r="B541" i="5"/>
  <c r="A541" i="5"/>
  <c r="G540" i="5"/>
  <c r="F540" i="5"/>
  <c r="E540" i="5"/>
  <c r="C540" i="5"/>
  <c r="B540" i="5"/>
  <c r="A540" i="5"/>
  <c r="G539" i="5"/>
  <c r="F539" i="5"/>
  <c r="E539" i="5"/>
  <c r="C539" i="5"/>
  <c r="B539" i="5"/>
  <c r="A539" i="5"/>
  <c r="G538" i="5"/>
  <c r="F538" i="5"/>
  <c r="E538" i="5"/>
  <c r="C538" i="5"/>
  <c r="B538" i="5"/>
  <c r="A538" i="5"/>
  <c r="G537" i="5"/>
  <c r="F537" i="5"/>
  <c r="E537" i="5"/>
  <c r="C537" i="5"/>
  <c r="B537" i="5"/>
  <c r="A537" i="5"/>
  <c r="G536" i="5"/>
  <c r="F536" i="5"/>
  <c r="E536" i="5"/>
  <c r="C536" i="5"/>
  <c r="B536" i="5"/>
  <c r="A536" i="5"/>
  <c r="G535" i="5"/>
  <c r="F535" i="5"/>
  <c r="E535" i="5"/>
  <c r="C535" i="5"/>
  <c r="B535" i="5"/>
  <c r="A535" i="5"/>
  <c r="G534" i="5"/>
  <c r="F534" i="5"/>
  <c r="E534" i="5"/>
  <c r="C534" i="5"/>
  <c r="B534" i="5"/>
  <c r="A534" i="5"/>
  <c r="G533" i="5"/>
  <c r="F533" i="5"/>
  <c r="E533" i="5"/>
  <c r="C533" i="5"/>
  <c r="B533" i="5"/>
  <c r="A533" i="5"/>
  <c r="G532" i="5"/>
  <c r="F532" i="5"/>
  <c r="E532" i="5"/>
  <c r="C532" i="5"/>
  <c r="B532" i="5"/>
  <c r="A532" i="5"/>
  <c r="G531" i="5"/>
  <c r="F531" i="5"/>
  <c r="E531" i="5"/>
  <c r="C531" i="5"/>
  <c r="B531" i="5"/>
  <c r="A531" i="5"/>
  <c r="G530" i="5"/>
  <c r="F530" i="5"/>
  <c r="E530" i="5"/>
  <c r="C530" i="5"/>
  <c r="B530" i="5"/>
  <c r="A530" i="5"/>
  <c r="G529" i="5"/>
  <c r="F529" i="5"/>
  <c r="E529" i="5"/>
  <c r="C529" i="5"/>
  <c r="B529" i="5"/>
  <c r="A529" i="5"/>
  <c r="G528" i="5"/>
  <c r="F528" i="5"/>
  <c r="E528" i="5"/>
  <c r="C528" i="5"/>
  <c r="B528" i="5"/>
  <c r="A528" i="5"/>
  <c r="G527" i="5"/>
  <c r="F527" i="5"/>
  <c r="E527" i="5"/>
  <c r="C527" i="5"/>
  <c r="B527" i="5"/>
  <c r="A527" i="5"/>
  <c r="G526" i="5"/>
  <c r="F526" i="5"/>
  <c r="E526" i="5"/>
  <c r="C526" i="5"/>
  <c r="B526" i="5"/>
  <c r="A526" i="5"/>
  <c r="G525" i="5"/>
  <c r="F525" i="5"/>
  <c r="E525" i="5"/>
  <c r="C525" i="5"/>
  <c r="B525" i="5"/>
  <c r="A525" i="5"/>
  <c r="G524" i="5"/>
  <c r="F524" i="5"/>
  <c r="E524" i="5"/>
  <c r="C524" i="5"/>
  <c r="B524" i="5"/>
  <c r="A524" i="5"/>
  <c r="G523" i="5"/>
  <c r="F523" i="5"/>
  <c r="E523" i="5"/>
  <c r="C523" i="5"/>
  <c r="B523" i="5"/>
  <c r="A523" i="5"/>
  <c r="G522" i="5"/>
  <c r="F522" i="5"/>
  <c r="E522" i="5"/>
  <c r="C522" i="5"/>
  <c r="B522" i="5"/>
  <c r="A522" i="5"/>
  <c r="G521" i="5"/>
  <c r="F521" i="5"/>
  <c r="E521" i="5"/>
  <c r="C521" i="5"/>
  <c r="B521" i="5"/>
  <c r="A521" i="5"/>
  <c r="G520" i="5"/>
  <c r="F520" i="5"/>
  <c r="E520" i="5"/>
  <c r="C520" i="5"/>
  <c r="B520" i="5"/>
  <c r="A520" i="5"/>
  <c r="G519" i="5"/>
  <c r="F519" i="5"/>
  <c r="E519" i="5"/>
  <c r="C519" i="5"/>
  <c r="B519" i="5"/>
  <c r="A519" i="5"/>
  <c r="G518" i="5"/>
  <c r="F518" i="5"/>
  <c r="E518" i="5"/>
  <c r="C518" i="5"/>
  <c r="B518" i="5"/>
  <c r="A518" i="5"/>
  <c r="G517" i="5"/>
  <c r="F517" i="5"/>
  <c r="E517" i="5"/>
  <c r="C517" i="5"/>
  <c r="B517" i="5"/>
  <c r="A517" i="5"/>
  <c r="G516" i="5"/>
  <c r="F516" i="5"/>
  <c r="E516" i="5"/>
  <c r="C516" i="5"/>
  <c r="B516" i="5"/>
  <c r="A516" i="5"/>
  <c r="G515" i="5"/>
  <c r="F515" i="5"/>
  <c r="E515" i="5"/>
  <c r="C515" i="5"/>
  <c r="B515" i="5"/>
  <c r="A515" i="5"/>
  <c r="G514" i="5"/>
  <c r="F514" i="5"/>
  <c r="E514" i="5"/>
  <c r="C514" i="5"/>
  <c r="B514" i="5"/>
  <c r="A514" i="5"/>
  <c r="G513" i="5"/>
  <c r="F513" i="5"/>
  <c r="E513" i="5"/>
  <c r="C513" i="5"/>
  <c r="B513" i="5"/>
  <c r="A513" i="5"/>
  <c r="G512" i="5"/>
  <c r="F512" i="5"/>
  <c r="E512" i="5"/>
  <c r="C512" i="5"/>
  <c r="B512" i="5"/>
  <c r="A512" i="5"/>
  <c r="G511" i="5"/>
  <c r="F511" i="5"/>
  <c r="E511" i="5"/>
  <c r="C511" i="5"/>
  <c r="B511" i="5"/>
  <c r="A511" i="5"/>
  <c r="G510" i="5"/>
  <c r="F510" i="5"/>
  <c r="E510" i="5"/>
  <c r="C510" i="5"/>
  <c r="B510" i="5"/>
  <c r="A510" i="5"/>
  <c r="G509" i="5"/>
  <c r="F509" i="5"/>
  <c r="E509" i="5"/>
  <c r="C509" i="5"/>
  <c r="B509" i="5"/>
  <c r="A509" i="5"/>
  <c r="G508" i="5"/>
  <c r="F508" i="5"/>
  <c r="E508" i="5"/>
  <c r="C508" i="5"/>
  <c r="B508" i="5"/>
  <c r="A508" i="5"/>
  <c r="G507" i="5"/>
  <c r="F507" i="5"/>
  <c r="E507" i="5"/>
  <c r="C507" i="5"/>
  <c r="B507" i="5"/>
  <c r="A507" i="5"/>
  <c r="G506" i="5"/>
  <c r="F506" i="5"/>
  <c r="E506" i="5"/>
  <c r="C506" i="5"/>
  <c r="B506" i="5"/>
  <c r="A506" i="5"/>
  <c r="G505" i="5"/>
  <c r="F505" i="5"/>
  <c r="E505" i="5"/>
  <c r="C505" i="5"/>
  <c r="B505" i="5"/>
  <c r="A505" i="5"/>
  <c r="G504" i="5"/>
  <c r="F504" i="5"/>
  <c r="E504" i="5"/>
  <c r="C504" i="5"/>
  <c r="B504" i="5"/>
  <c r="A504" i="5"/>
  <c r="G503" i="5"/>
  <c r="F503" i="5"/>
  <c r="E503" i="5"/>
  <c r="C503" i="5"/>
  <c r="B503" i="5"/>
  <c r="A503" i="5"/>
  <c r="G502" i="5"/>
  <c r="F502" i="5"/>
  <c r="E502" i="5"/>
  <c r="C502" i="5"/>
  <c r="B502" i="5"/>
  <c r="A502" i="5"/>
  <c r="G501" i="5"/>
  <c r="F501" i="5"/>
  <c r="E501" i="5"/>
  <c r="C501" i="5"/>
  <c r="B501" i="5"/>
  <c r="A501" i="5"/>
  <c r="G500" i="5"/>
  <c r="F500" i="5"/>
  <c r="E500" i="5"/>
  <c r="C500" i="5"/>
  <c r="B500" i="5"/>
  <c r="A500" i="5"/>
  <c r="G499" i="5"/>
  <c r="F499" i="5"/>
  <c r="E499" i="5"/>
  <c r="C499" i="5"/>
  <c r="B499" i="5"/>
  <c r="A499" i="5"/>
  <c r="G498" i="5"/>
  <c r="F498" i="5"/>
  <c r="E498" i="5"/>
  <c r="C498" i="5"/>
  <c r="B498" i="5"/>
  <c r="A498" i="5"/>
  <c r="G497" i="5"/>
  <c r="F497" i="5"/>
  <c r="E497" i="5"/>
  <c r="C497" i="5"/>
  <c r="B497" i="5"/>
  <c r="A497" i="5"/>
  <c r="G496" i="5"/>
  <c r="F496" i="5"/>
  <c r="E496" i="5"/>
  <c r="C496" i="5"/>
  <c r="B496" i="5"/>
  <c r="A496" i="5"/>
  <c r="G495" i="5"/>
  <c r="F495" i="5"/>
  <c r="E495" i="5"/>
  <c r="C495" i="5"/>
  <c r="B495" i="5"/>
  <c r="A495" i="5"/>
  <c r="G494" i="5"/>
  <c r="F494" i="5"/>
  <c r="E494" i="5"/>
  <c r="C494" i="5"/>
  <c r="B494" i="5"/>
  <c r="A494" i="5"/>
  <c r="G493" i="5"/>
  <c r="F493" i="5"/>
  <c r="E493" i="5"/>
  <c r="C493" i="5"/>
  <c r="B493" i="5"/>
  <c r="A493" i="5"/>
  <c r="G492" i="5"/>
  <c r="F492" i="5"/>
  <c r="E492" i="5"/>
  <c r="C492" i="5"/>
  <c r="B492" i="5"/>
  <c r="A492" i="5"/>
  <c r="G491" i="5"/>
  <c r="F491" i="5"/>
  <c r="E491" i="5"/>
  <c r="C491" i="5"/>
  <c r="B491" i="5"/>
  <c r="A491" i="5"/>
  <c r="G490" i="5"/>
  <c r="F490" i="5"/>
  <c r="E490" i="5"/>
  <c r="C490" i="5"/>
  <c r="B490" i="5"/>
  <c r="A490" i="5"/>
  <c r="G489" i="5"/>
  <c r="F489" i="5"/>
  <c r="E489" i="5"/>
  <c r="C489" i="5"/>
  <c r="B489" i="5"/>
  <c r="A489" i="5"/>
  <c r="G488" i="5"/>
  <c r="F488" i="5"/>
  <c r="E488" i="5"/>
  <c r="C488" i="5"/>
  <c r="B488" i="5"/>
  <c r="A488" i="5"/>
  <c r="G487" i="5"/>
  <c r="F487" i="5"/>
  <c r="E487" i="5"/>
  <c r="C487" i="5"/>
  <c r="B487" i="5"/>
  <c r="A487" i="5"/>
  <c r="G486" i="5"/>
  <c r="F486" i="5"/>
  <c r="E486" i="5"/>
  <c r="C486" i="5"/>
  <c r="B486" i="5"/>
  <c r="A486" i="5"/>
  <c r="G485" i="5"/>
  <c r="F485" i="5"/>
  <c r="E485" i="5"/>
  <c r="C485" i="5"/>
  <c r="B485" i="5"/>
  <c r="A485" i="5"/>
  <c r="G484" i="5"/>
  <c r="F484" i="5"/>
  <c r="E484" i="5"/>
  <c r="C484" i="5"/>
  <c r="B484" i="5"/>
  <c r="A484" i="5"/>
  <c r="G483" i="5"/>
  <c r="F483" i="5"/>
  <c r="E483" i="5"/>
  <c r="C483" i="5"/>
  <c r="B483" i="5"/>
  <c r="A483" i="5"/>
  <c r="G482" i="5"/>
  <c r="F482" i="5"/>
  <c r="E482" i="5"/>
  <c r="C482" i="5"/>
  <c r="B482" i="5"/>
  <c r="A482" i="5"/>
  <c r="G481" i="5"/>
  <c r="F481" i="5"/>
  <c r="E481" i="5"/>
  <c r="C481" i="5"/>
  <c r="B481" i="5"/>
  <c r="A481" i="5"/>
  <c r="G480" i="5"/>
  <c r="F480" i="5"/>
  <c r="E480" i="5"/>
  <c r="C480" i="5"/>
  <c r="B480" i="5"/>
  <c r="A480" i="5"/>
  <c r="G479" i="5"/>
  <c r="F479" i="5"/>
  <c r="E479" i="5"/>
  <c r="C479" i="5"/>
  <c r="B479" i="5"/>
  <c r="A479" i="5"/>
  <c r="G478" i="5"/>
  <c r="F478" i="5"/>
  <c r="E478" i="5"/>
  <c r="C478" i="5"/>
  <c r="B478" i="5"/>
  <c r="A478" i="5"/>
  <c r="G477" i="5"/>
  <c r="F477" i="5"/>
  <c r="E477" i="5"/>
  <c r="C477" i="5"/>
  <c r="B477" i="5"/>
  <c r="A477" i="5"/>
  <c r="G476" i="5"/>
  <c r="F476" i="5"/>
  <c r="E476" i="5"/>
  <c r="C476" i="5"/>
  <c r="B476" i="5"/>
  <c r="A476" i="5"/>
  <c r="G475" i="5"/>
  <c r="F475" i="5"/>
  <c r="E475" i="5"/>
  <c r="C475" i="5"/>
  <c r="B475" i="5"/>
  <c r="A475" i="5"/>
  <c r="G474" i="5"/>
  <c r="F474" i="5"/>
  <c r="E474" i="5"/>
  <c r="C474" i="5"/>
  <c r="B474" i="5"/>
  <c r="A474" i="5"/>
  <c r="G473" i="5"/>
  <c r="F473" i="5"/>
  <c r="E473" i="5"/>
  <c r="C473" i="5"/>
  <c r="B473" i="5"/>
  <c r="A473" i="5"/>
  <c r="G472" i="5"/>
  <c r="F472" i="5"/>
  <c r="E472" i="5"/>
  <c r="C472" i="5"/>
  <c r="B472" i="5"/>
  <c r="A472" i="5"/>
  <c r="G471" i="5"/>
  <c r="F471" i="5"/>
  <c r="E471" i="5"/>
  <c r="C471" i="5"/>
  <c r="B471" i="5"/>
  <c r="A471" i="5"/>
  <c r="G470" i="5"/>
  <c r="F470" i="5"/>
  <c r="E470" i="5"/>
  <c r="C470" i="5"/>
  <c r="B470" i="5"/>
  <c r="A470" i="5"/>
  <c r="G469" i="5"/>
  <c r="F469" i="5"/>
  <c r="E469" i="5"/>
  <c r="C469" i="5"/>
  <c r="B469" i="5"/>
  <c r="A469" i="5"/>
  <c r="G468" i="5"/>
  <c r="F468" i="5"/>
  <c r="E468" i="5"/>
  <c r="C468" i="5"/>
  <c r="B468" i="5"/>
  <c r="A468" i="5"/>
  <c r="G467" i="5"/>
  <c r="F467" i="5"/>
  <c r="E467" i="5"/>
  <c r="C467" i="5"/>
  <c r="B467" i="5"/>
  <c r="A467" i="5"/>
  <c r="G466" i="5"/>
  <c r="F466" i="5"/>
  <c r="E466" i="5"/>
  <c r="C466" i="5"/>
  <c r="B466" i="5"/>
  <c r="A466" i="5"/>
  <c r="G465" i="5"/>
  <c r="F465" i="5"/>
  <c r="E465" i="5"/>
  <c r="C465" i="5"/>
  <c r="B465" i="5"/>
  <c r="A465" i="5"/>
  <c r="G464" i="5"/>
  <c r="F464" i="5"/>
  <c r="E464" i="5"/>
  <c r="C464" i="5"/>
  <c r="B464" i="5"/>
  <c r="A464" i="5"/>
  <c r="G463" i="5"/>
  <c r="F463" i="5"/>
  <c r="E463" i="5"/>
  <c r="C463" i="5"/>
  <c r="B463" i="5"/>
  <c r="A463" i="5"/>
  <c r="G462" i="5"/>
  <c r="F462" i="5"/>
  <c r="E462" i="5"/>
  <c r="C462" i="5"/>
  <c r="B462" i="5"/>
  <c r="A462" i="5"/>
  <c r="G461" i="5"/>
  <c r="F461" i="5"/>
  <c r="E461" i="5"/>
  <c r="C461" i="5"/>
  <c r="B461" i="5"/>
  <c r="A461" i="5"/>
  <c r="G460" i="5"/>
  <c r="F460" i="5"/>
  <c r="E460" i="5"/>
  <c r="C460" i="5"/>
  <c r="B460" i="5"/>
  <c r="A460" i="5"/>
  <c r="G459" i="5"/>
  <c r="F459" i="5"/>
  <c r="E459" i="5"/>
  <c r="C459" i="5"/>
  <c r="B459" i="5"/>
  <c r="A459" i="5"/>
  <c r="G458" i="5"/>
  <c r="F458" i="5"/>
  <c r="E458" i="5"/>
  <c r="C458" i="5"/>
  <c r="B458" i="5"/>
  <c r="A458" i="5"/>
  <c r="G457" i="5"/>
  <c r="F457" i="5"/>
  <c r="E457" i="5"/>
  <c r="C457" i="5"/>
  <c r="B457" i="5"/>
  <c r="A457" i="5"/>
  <c r="G456" i="5"/>
  <c r="F456" i="5"/>
  <c r="E456" i="5"/>
  <c r="C456" i="5"/>
  <c r="B456" i="5"/>
  <c r="A456" i="5"/>
  <c r="G455" i="5"/>
  <c r="F455" i="5"/>
  <c r="E455" i="5"/>
  <c r="C455" i="5"/>
  <c r="B455" i="5"/>
  <c r="A455" i="5"/>
  <c r="G454" i="5"/>
  <c r="F454" i="5"/>
  <c r="E454" i="5"/>
  <c r="C454" i="5"/>
  <c r="B454" i="5"/>
  <c r="A454" i="5"/>
  <c r="G453" i="5"/>
  <c r="F453" i="5"/>
  <c r="E453" i="5"/>
  <c r="C453" i="5"/>
  <c r="B453" i="5"/>
  <c r="A453" i="5"/>
  <c r="G452" i="5"/>
  <c r="F452" i="5"/>
  <c r="E452" i="5"/>
  <c r="C452" i="5"/>
  <c r="B452" i="5"/>
  <c r="A452" i="5"/>
  <c r="G451" i="5"/>
  <c r="F451" i="5"/>
  <c r="E451" i="5"/>
  <c r="C451" i="5"/>
  <c r="B451" i="5"/>
  <c r="A451" i="5"/>
  <c r="G450" i="5"/>
  <c r="F450" i="5"/>
  <c r="E450" i="5"/>
  <c r="C450" i="5"/>
  <c r="B450" i="5"/>
  <c r="A450" i="5"/>
  <c r="G449" i="5"/>
  <c r="F449" i="5"/>
  <c r="E449" i="5"/>
  <c r="C449" i="5"/>
  <c r="B449" i="5"/>
  <c r="A449" i="5"/>
  <c r="G448" i="5"/>
  <c r="F448" i="5"/>
  <c r="E448" i="5"/>
  <c r="C448" i="5"/>
  <c r="B448" i="5"/>
  <c r="A448" i="5"/>
  <c r="G447" i="5"/>
  <c r="F447" i="5"/>
  <c r="E447" i="5"/>
  <c r="C447" i="5"/>
  <c r="B447" i="5"/>
  <c r="A447" i="5"/>
  <c r="G446" i="5"/>
  <c r="F446" i="5"/>
  <c r="E446" i="5"/>
  <c r="C446" i="5"/>
  <c r="B446" i="5"/>
  <c r="A446" i="5"/>
  <c r="G445" i="5"/>
  <c r="F445" i="5"/>
  <c r="E445" i="5"/>
  <c r="C445" i="5"/>
  <c r="B445" i="5"/>
  <c r="A445" i="5"/>
  <c r="G444" i="5"/>
  <c r="F444" i="5"/>
  <c r="E444" i="5"/>
  <c r="C444" i="5"/>
  <c r="B444" i="5"/>
  <c r="A444" i="5"/>
  <c r="G443" i="5"/>
  <c r="F443" i="5"/>
  <c r="E443" i="5"/>
  <c r="C443" i="5"/>
  <c r="B443" i="5"/>
  <c r="A443" i="5"/>
  <c r="G442" i="5"/>
  <c r="F442" i="5"/>
  <c r="E442" i="5"/>
  <c r="C442" i="5"/>
  <c r="B442" i="5"/>
  <c r="A442" i="5"/>
  <c r="G441" i="5"/>
  <c r="F441" i="5"/>
  <c r="E441" i="5"/>
  <c r="C441" i="5"/>
  <c r="B441" i="5"/>
  <c r="A441" i="5"/>
  <c r="G440" i="5"/>
  <c r="F440" i="5"/>
  <c r="E440" i="5"/>
  <c r="C440" i="5"/>
  <c r="B440" i="5"/>
  <c r="A440" i="5"/>
  <c r="G439" i="5"/>
  <c r="F439" i="5"/>
  <c r="E439" i="5"/>
  <c r="C439" i="5"/>
  <c r="B439" i="5"/>
  <c r="A439" i="5"/>
  <c r="G438" i="5"/>
  <c r="F438" i="5"/>
  <c r="E438" i="5"/>
  <c r="C438" i="5"/>
  <c r="B438" i="5"/>
  <c r="A438" i="5"/>
  <c r="G437" i="5"/>
  <c r="F437" i="5"/>
  <c r="E437" i="5"/>
  <c r="C437" i="5"/>
  <c r="B437" i="5"/>
  <c r="A437" i="5"/>
  <c r="G436" i="5"/>
  <c r="F436" i="5"/>
  <c r="E436" i="5"/>
  <c r="C436" i="5"/>
  <c r="B436" i="5"/>
  <c r="A436" i="5"/>
  <c r="G435" i="5"/>
  <c r="F435" i="5"/>
  <c r="E435" i="5"/>
  <c r="C435" i="5"/>
  <c r="B435" i="5"/>
  <c r="A435" i="5"/>
  <c r="G434" i="5"/>
  <c r="F434" i="5"/>
  <c r="E434" i="5"/>
  <c r="C434" i="5"/>
  <c r="B434" i="5"/>
  <c r="A434" i="5"/>
  <c r="G433" i="5"/>
  <c r="F433" i="5"/>
  <c r="E433" i="5"/>
  <c r="C433" i="5"/>
  <c r="B433" i="5"/>
  <c r="A433" i="5"/>
  <c r="G432" i="5"/>
  <c r="F432" i="5"/>
  <c r="E432" i="5"/>
  <c r="C432" i="5"/>
  <c r="B432" i="5"/>
  <c r="A432" i="5"/>
  <c r="G431" i="5"/>
  <c r="F431" i="5"/>
  <c r="E431" i="5"/>
  <c r="C431" i="5"/>
  <c r="B431" i="5"/>
  <c r="A431" i="5"/>
  <c r="G430" i="5"/>
  <c r="F430" i="5"/>
  <c r="E430" i="5"/>
  <c r="C430" i="5"/>
  <c r="B430" i="5"/>
  <c r="A430" i="5"/>
  <c r="G429" i="5"/>
  <c r="F429" i="5"/>
  <c r="E429" i="5"/>
  <c r="C429" i="5"/>
  <c r="B429" i="5"/>
  <c r="A429" i="5"/>
  <c r="G428" i="5"/>
  <c r="F428" i="5"/>
  <c r="E428" i="5"/>
  <c r="C428" i="5"/>
  <c r="B428" i="5"/>
  <c r="A428" i="5"/>
  <c r="G427" i="5"/>
  <c r="F427" i="5"/>
  <c r="E427" i="5"/>
  <c r="C427" i="5"/>
  <c r="B427" i="5"/>
  <c r="A427" i="5"/>
  <c r="G426" i="5"/>
  <c r="F426" i="5"/>
  <c r="E426" i="5"/>
  <c r="C426" i="5"/>
  <c r="B426" i="5"/>
  <c r="A426" i="5"/>
  <c r="G425" i="5"/>
  <c r="F425" i="5"/>
  <c r="E425" i="5"/>
  <c r="C425" i="5"/>
  <c r="B425" i="5"/>
  <c r="A425" i="5"/>
  <c r="G424" i="5"/>
  <c r="F424" i="5"/>
  <c r="E424" i="5"/>
  <c r="C424" i="5"/>
  <c r="B424" i="5"/>
  <c r="A424" i="5"/>
  <c r="G423" i="5"/>
  <c r="F423" i="5"/>
  <c r="E423" i="5"/>
  <c r="C423" i="5"/>
  <c r="B423" i="5"/>
  <c r="A423" i="5"/>
  <c r="G422" i="5"/>
  <c r="F422" i="5"/>
  <c r="E422" i="5"/>
  <c r="C422" i="5"/>
  <c r="B422" i="5"/>
  <c r="A422" i="5"/>
  <c r="G421" i="5"/>
  <c r="F421" i="5"/>
  <c r="E421" i="5"/>
  <c r="C421" i="5"/>
  <c r="B421" i="5"/>
  <c r="A421" i="5"/>
  <c r="G420" i="5"/>
  <c r="F420" i="5"/>
  <c r="E420" i="5"/>
  <c r="C420" i="5"/>
  <c r="B420" i="5"/>
  <c r="A420" i="5"/>
  <c r="G419" i="5"/>
  <c r="F419" i="5"/>
  <c r="E419" i="5"/>
  <c r="C419" i="5"/>
  <c r="B419" i="5"/>
  <c r="A419" i="5"/>
  <c r="G418" i="5"/>
  <c r="F418" i="5"/>
  <c r="E418" i="5"/>
  <c r="C418" i="5"/>
  <c r="B418" i="5"/>
  <c r="A418" i="5"/>
  <c r="G417" i="5"/>
  <c r="F417" i="5"/>
  <c r="E417" i="5"/>
  <c r="C417" i="5"/>
  <c r="B417" i="5"/>
  <c r="A417" i="5"/>
  <c r="G416" i="5"/>
  <c r="F416" i="5"/>
  <c r="E416" i="5"/>
  <c r="C416" i="5"/>
  <c r="B416" i="5"/>
  <c r="A416" i="5"/>
  <c r="G415" i="5"/>
  <c r="F415" i="5"/>
  <c r="E415" i="5"/>
  <c r="C415" i="5"/>
  <c r="B415" i="5"/>
  <c r="A415" i="5"/>
  <c r="G414" i="5"/>
  <c r="F414" i="5"/>
  <c r="E414" i="5"/>
  <c r="C414" i="5"/>
  <c r="B414" i="5"/>
  <c r="A414" i="5"/>
  <c r="G413" i="5"/>
  <c r="F413" i="5"/>
  <c r="E413" i="5"/>
  <c r="C413" i="5"/>
  <c r="B413" i="5"/>
  <c r="A413" i="5"/>
  <c r="G412" i="5"/>
  <c r="F412" i="5"/>
  <c r="E412" i="5"/>
  <c r="C412" i="5"/>
  <c r="B412" i="5"/>
  <c r="A412" i="5"/>
  <c r="G411" i="5"/>
  <c r="F411" i="5"/>
  <c r="E411" i="5"/>
  <c r="C411" i="5"/>
  <c r="B411" i="5"/>
  <c r="A411" i="5"/>
  <c r="G410" i="5"/>
  <c r="F410" i="5"/>
  <c r="E410" i="5"/>
  <c r="C410" i="5"/>
  <c r="B410" i="5"/>
  <c r="A410" i="5"/>
  <c r="G409" i="5"/>
  <c r="F409" i="5"/>
  <c r="E409" i="5"/>
  <c r="C409" i="5"/>
  <c r="B409" i="5"/>
  <c r="A409" i="5"/>
  <c r="G408" i="5"/>
  <c r="F408" i="5"/>
  <c r="E408" i="5"/>
  <c r="C408" i="5"/>
  <c r="B408" i="5"/>
  <c r="A408" i="5"/>
  <c r="G407" i="5"/>
  <c r="F407" i="5"/>
  <c r="E407" i="5"/>
  <c r="C407" i="5"/>
  <c r="B407" i="5"/>
  <c r="A407" i="5"/>
  <c r="G406" i="5"/>
  <c r="F406" i="5"/>
  <c r="E406" i="5"/>
  <c r="C406" i="5"/>
  <c r="B406" i="5"/>
  <c r="A406" i="5"/>
  <c r="G405" i="5"/>
  <c r="F405" i="5"/>
  <c r="E405" i="5"/>
  <c r="C405" i="5"/>
  <c r="B405" i="5"/>
  <c r="A405" i="5"/>
  <c r="G404" i="5"/>
  <c r="F404" i="5"/>
  <c r="E404" i="5"/>
  <c r="C404" i="5"/>
  <c r="B404" i="5"/>
  <c r="A404" i="5"/>
  <c r="G403" i="5"/>
  <c r="F403" i="5"/>
  <c r="E403" i="5"/>
  <c r="C403" i="5"/>
  <c r="B403" i="5"/>
  <c r="A403" i="5"/>
  <c r="G402" i="5"/>
  <c r="F402" i="5"/>
  <c r="E402" i="5"/>
  <c r="C402" i="5"/>
  <c r="B402" i="5"/>
  <c r="A402" i="5"/>
  <c r="G401" i="5"/>
  <c r="F401" i="5"/>
  <c r="E401" i="5"/>
  <c r="C401" i="5"/>
  <c r="B401" i="5"/>
  <c r="A401" i="5"/>
  <c r="G400" i="5"/>
  <c r="F400" i="5"/>
  <c r="E400" i="5"/>
  <c r="C400" i="5"/>
  <c r="B400" i="5"/>
  <c r="A400" i="5"/>
  <c r="G399" i="5"/>
  <c r="F399" i="5"/>
  <c r="E399" i="5"/>
  <c r="C399" i="5"/>
  <c r="B399" i="5"/>
  <c r="A399" i="5"/>
  <c r="G398" i="5"/>
  <c r="F398" i="5"/>
  <c r="E398" i="5"/>
  <c r="C398" i="5"/>
  <c r="B398" i="5"/>
  <c r="A398" i="5"/>
  <c r="G397" i="5"/>
  <c r="F397" i="5"/>
  <c r="E397" i="5"/>
  <c r="C397" i="5"/>
  <c r="B397" i="5"/>
  <c r="A397" i="5"/>
  <c r="G396" i="5"/>
  <c r="F396" i="5"/>
  <c r="E396" i="5"/>
  <c r="C396" i="5"/>
  <c r="B396" i="5"/>
  <c r="A396" i="5"/>
  <c r="G395" i="5"/>
  <c r="F395" i="5"/>
  <c r="E395" i="5"/>
  <c r="C395" i="5"/>
  <c r="B395" i="5"/>
  <c r="A395" i="5"/>
  <c r="G394" i="5"/>
  <c r="F394" i="5"/>
  <c r="E394" i="5"/>
  <c r="C394" i="5"/>
  <c r="B394" i="5"/>
  <c r="A394" i="5"/>
  <c r="G393" i="5"/>
  <c r="F393" i="5"/>
  <c r="E393" i="5"/>
  <c r="C393" i="5"/>
  <c r="B393" i="5"/>
  <c r="A393" i="5"/>
  <c r="G392" i="5"/>
  <c r="F392" i="5"/>
  <c r="E392" i="5"/>
  <c r="C392" i="5"/>
  <c r="B392" i="5"/>
  <c r="A392" i="5"/>
  <c r="G391" i="5"/>
  <c r="F391" i="5"/>
  <c r="E391" i="5"/>
  <c r="C391" i="5"/>
  <c r="B391" i="5"/>
  <c r="A391" i="5"/>
  <c r="G390" i="5"/>
  <c r="F390" i="5"/>
  <c r="E390" i="5"/>
  <c r="C390" i="5"/>
  <c r="B390" i="5"/>
  <c r="A390" i="5"/>
  <c r="G389" i="5"/>
  <c r="F389" i="5"/>
  <c r="E389" i="5"/>
  <c r="C389" i="5"/>
  <c r="B389" i="5"/>
  <c r="A389" i="5"/>
  <c r="G388" i="5"/>
  <c r="F388" i="5"/>
  <c r="E388" i="5"/>
  <c r="C388" i="5"/>
  <c r="B388" i="5"/>
  <c r="A388" i="5"/>
  <c r="G387" i="5"/>
  <c r="F387" i="5"/>
  <c r="E387" i="5"/>
  <c r="C387" i="5"/>
  <c r="B387" i="5"/>
  <c r="A387" i="5"/>
  <c r="G386" i="5"/>
  <c r="F386" i="5"/>
  <c r="E386" i="5"/>
  <c r="C386" i="5"/>
  <c r="B386" i="5"/>
  <c r="A386" i="5"/>
  <c r="G385" i="5"/>
  <c r="F385" i="5"/>
  <c r="E385" i="5"/>
  <c r="C385" i="5"/>
  <c r="B385" i="5"/>
  <c r="A385" i="5"/>
  <c r="G384" i="5"/>
  <c r="F384" i="5"/>
  <c r="E384" i="5"/>
  <c r="C384" i="5"/>
  <c r="B384" i="5"/>
  <c r="A384" i="5"/>
  <c r="G383" i="5"/>
  <c r="F383" i="5"/>
  <c r="E383" i="5"/>
  <c r="C383" i="5"/>
  <c r="B383" i="5"/>
  <c r="A383" i="5"/>
  <c r="G382" i="5"/>
  <c r="F382" i="5"/>
  <c r="E382" i="5"/>
  <c r="C382" i="5"/>
  <c r="B382" i="5"/>
  <c r="A382" i="5"/>
  <c r="G381" i="5"/>
  <c r="F381" i="5"/>
  <c r="E381" i="5"/>
  <c r="C381" i="5"/>
  <c r="B381" i="5"/>
  <c r="A381" i="5"/>
  <c r="G380" i="5"/>
  <c r="F380" i="5"/>
  <c r="E380" i="5"/>
  <c r="C380" i="5"/>
  <c r="B380" i="5"/>
  <c r="A380" i="5"/>
  <c r="G379" i="5"/>
  <c r="F379" i="5"/>
  <c r="E379" i="5"/>
  <c r="C379" i="5"/>
  <c r="B379" i="5"/>
  <c r="A379" i="5"/>
  <c r="G378" i="5"/>
  <c r="F378" i="5"/>
  <c r="E378" i="5"/>
  <c r="C378" i="5"/>
  <c r="B378" i="5"/>
  <c r="A378" i="5"/>
  <c r="G377" i="5"/>
  <c r="F377" i="5"/>
  <c r="E377" i="5"/>
  <c r="C377" i="5"/>
  <c r="B377" i="5"/>
  <c r="A377" i="5"/>
  <c r="G376" i="5"/>
  <c r="F376" i="5"/>
  <c r="E376" i="5"/>
  <c r="C376" i="5"/>
  <c r="B376" i="5"/>
  <c r="A376" i="5"/>
  <c r="G375" i="5"/>
  <c r="F375" i="5"/>
  <c r="E375" i="5"/>
  <c r="C375" i="5"/>
  <c r="B375" i="5"/>
  <c r="A375" i="5"/>
  <c r="G374" i="5"/>
  <c r="F374" i="5"/>
  <c r="E374" i="5"/>
  <c r="C374" i="5"/>
  <c r="B374" i="5"/>
  <c r="A374" i="5"/>
  <c r="G373" i="5"/>
  <c r="F373" i="5"/>
  <c r="E373" i="5"/>
  <c r="C373" i="5"/>
  <c r="B373" i="5"/>
  <c r="A373" i="5"/>
  <c r="G372" i="5"/>
  <c r="F372" i="5"/>
  <c r="E372" i="5"/>
  <c r="C372" i="5"/>
  <c r="B372" i="5"/>
  <c r="A372" i="5"/>
  <c r="G371" i="5"/>
  <c r="F371" i="5"/>
  <c r="E371" i="5"/>
  <c r="C371" i="5"/>
  <c r="B371" i="5"/>
  <c r="A371" i="5"/>
  <c r="G370" i="5"/>
  <c r="F370" i="5"/>
  <c r="E370" i="5"/>
  <c r="C370" i="5"/>
  <c r="B370" i="5"/>
  <c r="A370" i="5"/>
  <c r="G369" i="5"/>
  <c r="F369" i="5"/>
  <c r="E369" i="5"/>
  <c r="C369" i="5"/>
  <c r="B369" i="5"/>
  <c r="A369" i="5"/>
  <c r="G368" i="5"/>
  <c r="F368" i="5"/>
  <c r="E368" i="5"/>
  <c r="C368" i="5"/>
  <c r="B368" i="5"/>
  <c r="A368" i="5"/>
  <c r="G367" i="5"/>
  <c r="F367" i="5"/>
  <c r="E367" i="5"/>
  <c r="C367" i="5"/>
  <c r="B367" i="5"/>
  <c r="A367" i="5"/>
  <c r="G366" i="5"/>
  <c r="F366" i="5"/>
  <c r="E366" i="5"/>
  <c r="C366" i="5"/>
  <c r="B366" i="5"/>
  <c r="A366" i="5"/>
  <c r="G365" i="5"/>
  <c r="F365" i="5"/>
  <c r="E365" i="5"/>
  <c r="C365" i="5"/>
  <c r="B365" i="5"/>
  <c r="A365" i="5"/>
  <c r="G364" i="5"/>
  <c r="F364" i="5"/>
  <c r="E364" i="5"/>
  <c r="C364" i="5"/>
  <c r="B364" i="5"/>
  <c r="A364" i="5"/>
  <c r="G363" i="5"/>
  <c r="F363" i="5"/>
  <c r="E363" i="5"/>
  <c r="C363" i="5"/>
  <c r="B363" i="5"/>
  <c r="A363" i="5"/>
  <c r="G362" i="5"/>
  <c r="F362" i="5"/>
  <c r="E362" i="5"/>
  <c r="C362" i="5"/>
  <c r="B362" i="5"/>
  <c r="A362" i="5"/>
  <c r="G361" i="5"/>
  <c r="F361" i="5"/>
  <c r="E361" i="5"/>
  <c r="C361" i="5"/>
  <c r="B361" i="5"/>
  <c r="A361" i="5"/>
  <c r="G360" i="5"/>
  <c r="F360" i="5"/>
  <c r="E360" i="5"/>
  <c r="C360" i="5"/>
  <c r="B360" i="5"/>
  <c r="A360" i="5"/>
  <c r="G359" i="5"/>
  <c r="F359" i="5"/>
  <c r="E359" i="5"/>
  <c r="C359" i="5"/>
  <c r="B359" i="5"/>
  <c r="A359" i="5"/>
  <c r="G358" i="5"/>
  <c r="F358" i="5"/>
  <c r="E358" i="5"/>
  <c r="C358" i="5"/>
  <c r="B358" i="5"/>
  <c r="A358" i="5"/>
  <c r="G357" i="5"/>
  <c r="F357" i="5"/>
  <c r="E357" i="5"/>
  <c r="C357" i="5"/>
  <c r="B357" i="5"/>
  <c r="A357" i="5"/>
  <c r="G356" i="5"/>
  <c r="F356" i="5"/>
  <c r="E356" i="5"/>
  <c r="C356" i="5"/>
  <c r="B356" i="5"/>
  <c r="A356" i="5"/>
  <c r="G355" i="5"/>
  <c r="F355" i="5"/>
  <c r="E355" i="5"/>
  <c r="C355" i="5"/>
  <c r="B355" i="5"/>
  <c r="A355" i="5"/>
  <c r="G354" i="5"/>
  <c r="F354" i="5"/>
  <c r="E354" i="5"/>
  <c r="C354" i="5"/>
  <c r="B354" i="5"/>
  <c r="A354" i="5"/>
  <c r="G353" i="5"/>
  <c r="F353" i="5"/>
  <c r="E353" i="5"/>
  <c r="C353" i="5"/>
  <c r="B353" i="5"/>
  <c r="A353" i="5"/>
  <c r="G352" i="5"/>
  <c r="F352" i="5"/>
  <c r="E352" i="5"/>
  <c r="C352" i="5"/>
  <c r="B352" i="5"/>
  <c r="A352" i="5"/>
  <c r="G351" i="5"/>
  <c r="F351" i="5"/>
  <c r="E351" i="5"/>
  <c r="C351" i="5"/>
  <c r="B351" i="5"/>
  <c r="A351" i="5"/>
  <c r="G350" i="5"/>
  <c r="F350" i="5"/>
  <c r="E350" i="5"/>
  <c r="C350" i="5"/>
  <c r="B350" i="5"/>
  <c r="A350" i="5"/>
  <c r="G349" i="5"/>
  <c r="F349" i="5"/>
  <c r="E349" i="5"/>
  <c r="C349" i="5"/>
  <c r="B349" i="5"/>
  <c r="A349" i="5"/>
  <c r="G348" i="5"/>
  <c r="F348" i="5"/>
  <c r="E348" i="5"/>
  <c r="C348" i="5"/>
  <c r="B348" i="5"/>
  <c r="A348" i="5"/>
  <c r="G347" i="5"/>
  <c r="F347" i="5"/>
  <c r="E347" i="5"/>
  <c r="C347" i="5"/>
  <c r="B347" i="5"/>
  <c r="A347" i="5"/>
  <c r="G346" i="5"/>
  <c r="F346" i="5"/>
  <c r="E346" i="5"/>
  <c r="C346" i="5"/>
  <c r="B346" i="5"/>
  <c r="A346" i="5"/>
  <c r="G345" i="5"/>
  <c r="F345" i="5"/>
  <c r="E345" i="5"/>
  <c r="C345" i="5"/>
  <c r="B345" i="5"/>
  <c r="A345" i="5"/>
  <c r="G344" i="5"/>
  <c r="F344" i="5"/>
  <c r="E344" i="5"/>
  <c r="C344" i="5"/>
  <c r="B344" i="5"/>
  <c r="A344" i="5"/>
  <c r="G343" i="5"/>
  <c r="F343" i="5"/>
  <c r="E343" i="5"/>
  <c r="C343" i="5"/>
  <c r="B343" i="5"/>
  <c r="A343" i="5"/>
  <c r="G342" i="5"/>
  <c r="F342" i="5"/>
  <c r="E342" i="5"/>
  <c r="C342" i="5"/>
  <c r="B342" i="5"/>
  <c r="A342" i="5"/>
  <c r="G341" i="5"/>
  <c r="F341" i="5"/>
  <c r="E341" i="5"/>
  <c r="C341" i="5"/>
  <c r="B341" i="5"/>
  <c r="A341" i="5"/>
  <c r="G340" i="5"/>
  <c r="F340" i="5"/>
  <c r="E340" i="5"/>
  <c r="C340" i="5"/>
  <c r="B340" i="5"/>
  <c r="A340" i="5"/>
  <c r="G339" i="5"/>
  <c r="F339" i="5"/>
  <c r="E339" i="5"/>
  <c r="C339" i="5"/>
  <c r="B339" i="5"/>
  <c r="A339" i="5"/>
  <c r="G338" i="5"/>
  <c r="F338" i="5"/>
  <c r="E338" i="5"/>
  <c r="C338" i="5"/>
  <c r="B338" i="5"/>
  <c r="A338" i="5"/>
  <c r="G337" i="5"/>
  <c r="F337" i="5"/>
  <c r="E337" i="5"/>
  <c r="C337" i="5"/>
  <c r="B337" i="5"/>
  <c r="A337" i="5"/>
  <c r="G336" i="5"/>
  <c r="F336" i="5"/>
  <c r="E336" i="5"/>
  <c r="C336" i="5"/>
  <c r="B336" i="5"/>
  <c r="A336" i="5"/>
  <c r="G335" i="5"/>
  <c r="F335" i="5"/>
  <c r="E335" i="5"/>
  <c r="C335" i="5"/>
  <c r="B335" i="5"/>
  <c r="A335" i="5"/>
  <c r="G334" i="5"/>
  <c r="F334" i="5"/>
  <c r="E334" i="5"/>
  <c r="C334" i="5"/>
  <c r="B334" i="5"/>
  <c r="A334" i="5"/>
  <c r="G333" i="5"/>
  <c r="F333" i="5"/>
  <c r="E333" i="5"/>
  <c r="C333" i="5"/>
  <c r="B333" i="5"/>
  <c r="A333" i="5"/>
  <c r="G332" i="5"/>
  <c r="F332" i="5"/>
  <c r="E332" i="5"/>
  <c r="C332" i="5"/>
  <c r="B332" i="5"/>
  <c r="A332" i="5"/>
  <c r="G331" i="5"/>
  <c r="F331" i="5"/>
  <c r="E331" i="5"/>
  <c r="C331" i="5"/>
  <c r="B331" i="5"/>
  <c r="A331" i="5"/>
  <c r="G330" i="5"/>
  <c r="F330" i="5"/>
  <c r="E330" i="5"/>
  <c r="C330" i="5"/>
  <c r="B330" i="5"/>
  <c r="A330" i="5"/>
  <c r="G329" i="5"/>
  <c r="F329" i="5"/>
  <c r="E329" i="5"/>
  <c r="C329" i="5"/>
  <c r="B329" i="5"/>
  <c r="A329" i="5"/>
  <c r="G328" i="5"/>
  <c r="F328" i="5"/>
  <c r="E328" i="5"/>
  <c r="C328" i="5"/>
  <c r="B328" i="5"/>
  <c r="A328" i="5"/>
  <c r="G327" i="5"/>
  <c r="F327" i="5"/>
  <c r="E327" i="5"/>
  <c r="C327" i="5"/>
  <c r="B327" i="5"/>
  <c r="A327" i="5"/>
  <c r="G326" i="5"/>
  <c r="F326" i="5"/>
  <c r="E326" i="5"/>
  <c r="C326" i="5"/>
  <c r="B326" i="5"/>
  <c r="A326" i="5"/>
  <c r="G325" i="5"/>
  <c r="F325" i="5"/>
  <c r="E325" i="5"/>
  <c r="C325" i="5"/>
  <c r="B325" i="5"/>
  <c r="A325" i="5"/>
  <c r="G324" i="5"/>
  <c r="F324" i="5"/>
  <c r="E324" i="5"/>
  <c r="C324" i="5"/>
  <c r="B324" i="5"/>
  <c r="A324" i="5"/>
  <c r="G323" i="5"/>
  <c r="F323" i="5"/>
  <c r="E323" i="5"/>
  <c r="C323" i="5"/>
  <c r="B323" i="5"/>
  <c r="A323" i="5"/>
  <c r="G322" i="5"/>
  <c r="F322" i="5"/>
  <c r="E322" i="5"/>
  <c r="C322" i="5"/>
  <c r="B322" i="5"/>
  <c r="A322" i="5"/>
  <c r="G321" i="5"/>
  <c r="F321" i="5"/>
  <c r="E321" i="5"/>
  <c r="C321" i="5"/>
  <c r="B321" i="5"/>
  <c r="A321" i="5"/>
  <c r="G320" i="5"/>
  <c r="F320" i="5"/>
  <c r="E320" i="5"/>
  <c r="C320" i="5"/>
  <c r="B320" i="5"/>
  <c r="A320" i="5"/>
  <c r="G319" i="5"/>
  <c r="F319" i="5"/>
  <c r="E319" i="5"/>
  <c r="C319" i="5"/>
  <c r="B319" i="5"/>
  <c r="A319" i="5"/>
  <c r="G318" i="5"/>
  <c r="F318" i="5"/>
  <c r="E318" i="5"/>
  <c r="C318" i="5"/>
  <c r="B318" i="5"/>
  <c r="A318" i="5"/>
  <c r="G317" i="5"/>
  <c r="F317" i="5"/>
  <c r="E317" i="5"/>
  <c r="C317" i="5"/>
  <c r="B317" i="5"/>
  <c r="A317" i="5"/>
  <c r="G316" i="5"/>
  <c r="F316" i="5"/>
  <c r="E316" i="5"/>
  <c r="C316" i="5"/>
  <c r="B316" i="5"/>
  <c r="A316" i="5"/>
  <c r="G315" i="5"/>
  <c r="F315" i="5"/>
  <c r="E315" i="5"/>
  <c r="C315" i="5"/>
  <c r="B315" i="5"/>
  <c r="A315" i="5"/>
  <c r="G314" i="5"/>
  <c r="F314" i="5"/>
  <c r="E314" i="5"/>
  <c r="C314" i="5"/>
  <c r="B314" i="5"/>
  <c r="A314" i="5"/>
  <c r="G313" i="5"/>
  <c r="F313" i="5"/>
  <c r="E313" i="5"/>
  <c r="C313" i="5"/>
  <c r="B313" i="5"/>
  <c r="A313" i="5"/>
  <c r="G312" i="5"/>
  <c r="F312" i="5"/>
  <c r="E312" i="5"/>
  <c r="C312" i="5"/>
  <c r="B312" i="5"/>
  <c r="A312" i="5"/>
  <c r="G311" i="5"/>
  <c r="F311" i="5"/>
  <c r="E311" i="5"/>
  <c r="C311" i="5"/>
  <c r="B311" i="5"/>
  <c r="A311" i="5"/>
  <c r="G310" i="5"/>
  <c r="F310" i="5"/>
  <c r="E310" i="5"/>
  <c r="C310" i="5"/>
  <c r="B310" i="5"/>
  <c r="A310" i="5"/>
  <c r="G309" i="5"/>
  <c r="F309" i="5"/>
  <c r="E309" i="5"/>
  <c r="C309" i="5"/>
  <c r="B309" i="5"/>
  <c r="A309" i="5"/>
  <c r="G308" i="5"/>
  <c r="F308" i="5"/>
  <c r="E308" i="5"/>
  <c r="C308" i="5"/>
  <c r="B308" i="5"/>
  <c r="A308" i="5"/>
  <c r="G307" i="5"/>
  <c r="F307" i="5"/>
  <c r="E307" i="5"/>
  <c r="C307" i="5"/>
  <c r="B307" i="5"/>
  <c r="A307" i="5"/>
  <c r="G306" i="5"/>
  <c r="F306" i="5"/>
  <c r="E306" i="5"/>
  <c r="C306" i="5"/>
  <c r="B306" i="5"/>
  <c r="A306" i="5"/>
  <c r="G305" i="5"/>
  <c r="F305" i="5"/>
  <c r="E305" i="5"/>
  <c r="C305" i="5"/>
  <c r="B305" i="5"/>
  <c r="A305" i="5"/>
  <c r="G304" i="5"/>
  <c r="F304" i="5"/>
  <c r="E304" i="5"/>
  <c r="C304" i="5"/>
  <c r="B304" i="5"/>
  <c r="A304" i="5"/>
  <c r="G303" i="5"/>
  <c r="F303" i="5"/>
  <c r="E303" i="5"/>
  <c r="C303" i="5"/>
  <c r="B303" i="5"/>
  <c r="A303" i="5"/>
  <c r="G302" i="5"/>
  <c r="F302" i="5"/>
  <c r="E302" i="5"/>
  <c r="C302" i="5"/>
  <c r="B302" i="5"/>
  <c r="A302" i="5"/>
  <c r="G301" i="5"/>
  <c r="F301" i="5"/>
  <c r="E301" i="5"/>
  <c r="C301" i="5"/>
  <c r="B301" i="5"/>
  <c r="A301" i="5"/>
  <c r="G300" i="5"/>
  <c r="F300" i="5"/>
  <c r="E300" i="5"/>
  <c r="C300" i="5"/>
  <c r="B300" i="5"/>
  <c r="A300" i="5"/>
  <c r="G299" i="5"/>
  <c r="F299" i="5"/>
  <c r="E299" i="5"/>
  <c r="C299" i="5"/>
  <c r="B299" i="5"/>
  <c r="A299" i="5"/>
  <c r="G298" i="5"/>
  <c r="F298" i="5"/>
  <c r="E298" i="5"/>
  <c r="C298" i="5"/>
  <c r="B298" i="5"/>
  <c r="A298" i="5"/>
  <c r="G297" i="5"/>
  <c r="F297" i="5"/>
  <c r="E297" i="5"/>
  <c r="C297" i="5"/>
  <c r="B297" i="5"/>
  <c r="A297" i="5"/>
  <c r="G296" i="5"/>
  <c r="F296" i="5"/>
  <c r="E296" i="5"/>
  <c r="C296" i="5"/>
  <c r="B296" i="5"/>
  <c r="A296" i="5"/>
  <c r="G295" i="5"/>
  <c r="F295" i="5"/>
  <c r="E295" i="5"/>
  <c r="C295" i="5"/>
  <c r="B295" i="5"/>
  <c r="A295" i="5"/>
  <c r="G294" i="5"/>
  <c r="F294" i="5"/>
  <c r="E294" i="5"/>
  <c r="C294" i="5"/>
  <c r="B294" i="5"/>
  <c r="A294" i="5"/>
  <c r="G293" i="5"/>
  <c r="F293" i="5"/>
  <c r="E293" i="5"/>
  <c r="C293" i="5"/>
  <c r="B293" i="5"/>
  <c r="A293" i="5"/>
  <c r="G292" i="5"/>
  <c r="F292" i="5"/>
  <c r="E292" i="5"/>
  <c r="C292" i="5"/>
  <c r="B292" i="5"/>
  <c r="A292" i="5"/>
  <c r="G291" i="5"/>
  <c r="F291" i="5"/>
  <c r="E291" i="5"/>
  <c r="C291" i="5"/>
  <c r="B291" i="5"/>
  <c r="A291" i="5"/>
  <c r="G290" i="5"/>
  <c r="F290" i="5"/>
  <c r="E290" i="5"/>
  <c r="C290" i="5"/>
  <c r="B290" i="5"/>
  <c r="A290" i="5"/>
  <c r="G289" i="5"/>
  <c r="F289" i="5"/>
  <c r="E289" i="5"/>
  <c r="C289" i="5"/>
  <c r="B289" i="5"/>
  <c r="A289" i="5"/>
  <c r="G288" i="5"/>
  <c r="F288" i="5"/>
  <c r="E288" i="5"/>
  <c r="C288" i="5"/>
  <c r="B288" i="5"/>
  <c r="A288" i="5"/>
  <c r="G287" i="5"/>
  <c r="F287" i="5"/>
  <c r="E287" i="5"/>
  <c r="C287" i="5"/>
  <c r="B287" i="5"/>
  <c r="A287" i="5"/>
  <c r="G286" i="5"/>
  <c r="F286" i="5"/>
  <c r="E286" i="5"/>
  <c r="C286" i="5"/>
  <c r="B286" i="5"/>
  <c r="A286" i="5"/>
  <c r="G285" i="5"/>
  <c r="F285" i="5"/>
  <c r="E285" i="5"/>
  <c r="C285" i="5"/>
  <c r="B285" i="5"/>
  <c r="A285" i="5"/>
  <c r="G284" i="5"/>
  <c r="F284" i="5"/>
  <c r="E284" i="5"/>
  <c r="C284" i="5"/>
  <c r="B284" i="5"/>
  <c r="A284" i="5"/>
  <c r="G283" i="5"/>
  <c r="F283" i="5"/>
  <c r="E283" i="5"/>
  <c r="C283" i="5"/>
  <c r="B283" i="5"/>
  <c r="A283" i="5"/>
  <c r="G282" i="5"/>
  <c r="F282" i="5"/>
  <c r="E282" i="5"/>
  <c r="C282" i="5"/>
  <c r="B282" i="5"/>
  <c r="A282" i="5"/>
  <c r="G281" i="5"/>
  <c r="F281" i="5"/>
  <c r="E281" i="5"/>
  <c r="C281" i="5"/>
  <c r="B281" i="5"/>
  <c r="A281" i="5"/>
  <c r="G280" i="5"/>
  <c r="F280" i="5"/>
  <c r="E280" i="5"/>
  <c r="C280" i="5"/>
  <c r="B280" i="5"/>
  <c r="A280" i="5"/>
  <c r="G279" i="5"/>
  <c r="F279" i="5"/>
  <c r="E279" i="5"/>
  <c r="C279" i="5"/>
  <c r="B279" i="5"/>
  <c r="A279" i="5"/>
  <c r="G278" i="5"/>
  <c r="F278" i="5"/>
  <c r="E278" i="5"/>
  <c r="C278" i="5"/>
  <c r="B278" i="5"/>
  <c r="A278" i="5"/>
  <c r="G277" i="5"/>
  <c r="F277" i="5"/>
  <c r="E277" i="5"/>
  <c r="C277" i="5"/>
  <c r="B277" i="5"/>
  <c r="A277" i="5"/>
  <c r="G276" i="5"/>
  <c r="F276" i="5"/>
  <c r="E276" i="5"/>
  <c r="C276" i="5"/>
  <c r="B276" i="5"/>
  <c r="A276" i="5"/>
  <c r="G275" i="5"/>
  <c r="F275" i="5"/>
  <c r="E275" i="5"/>
  <c r="C275" i="5"/>
  <c r="B275" i="5"/>
  <c r="A275" i="5"/>
  <c r="G274" i="5"/>
  <c r="F274" i="5"/>
  <c r="E274" i="5"/>
  <c r="C274" i="5"/>
  <c r="B274" i="5"/>
  <c r="A274" i="5"/>
  <c r="G273" i="5"/>
  <c r="F273" i="5"/>
  <c r="E273" i="5"/>
  <c r="C273" i="5"/>
  <c r="B273" i="5"/>
  <c r="A273" i="5"/>
  <c r="G272" i="5"/>
  <c r="F272" i="5"/>
  <c r="E272" i="5"/>
  <c r="C272" i="5"/>
  <c r="B272" i="5"/>
  <c r="A272" i="5"/>
  <c r="G271" i="5"/>
  <c r="F271" i="5"/>
  <c r="E271" i="5"/>
  <c r="C271" i="5"/>
  <c r="B271" i="5"/>
  <c r="A271" i="5"/>
  <c r="G270" i="5"/>
  <c r="F270" i="5"/>
  <c r="E270" i="5"/>
  <c r="C270" i="5"/>
  <c r="B270" i="5"/>
  <c r="A270" i="5"/>
  <c r="G269" i="5"/>
  <c r="F269" i="5"/>
  <c r="E269" i="5"/>
  <c r="C269" i="5"/>
  <c r="B269" i="5"/>
  <c r="A269" i="5"/>
  <c r="G268" i="5"/>
  <c r="F268" i="5"/>
  <c r="E268" i="5"/>
  <c r="C268" i="5"/>
  <c r="B268" i="5"/>
  <c r="A268" i="5"/>
  <c r="G267" i="5"/>
  <c r="F267" i="5"/>
  <c r="E267" i="5"/>
  <c r="C267" i="5"/>
  <c r="B267" i="5"/>
  <c r="A267" i="5"/>
  <c r="G266" i="5"/>
  <c r="F266" i="5"/>
  <c r="E266" i="5"/>
  <c r="C266" i="5"/>
  <c r="B266" i="5"/>
  <c r="A266" i="5"/>
  <c r="G265" i="5"/>
  <c r="F265" i="5"/>
  <c r="E265" i="5"/>
  <c r="C265" i="5"/>
  <c r="B265" i="5"/>
  <c r="A265" i="5"/>
  <c r="G264" i="5"/>
  <c r="F264" i="5"/>
  <c r="E264" i="5"/>
  <c r="C264" i="5"/>
  <c r="B264" i="5"/>
  <c r="A264" i="5"/>
  <c r="G263" i="5"/>
  <c r="F263" i="5"/>
  <c r="E263" i="5"/>
  <c r="C263" i="5"/>
  <c r="B263" i="5"/>
  <c r="A263" i="5"/>
  <c r="G262" i="5"/>
  <c r="F262" i="5"/>
  <c r="E262" i="5"/>
  <c r="C262" i="5"/>
  <c r="B262" i="5"/>
  <c r="A262" i="5"/>
  <c r="G261" i="5"/>
  <c r="F261" i="5"/>
  <c r="E261" i="5"/>
  <c r="C261" i="5"/>
  <c r="B261" i="5"/>
  <c r="A261" i="5"/>
  <c r="G260" i="5"/>
  <c r="F260" i="5"/>
  <c r="E260" i="5"/>
  <c r="C260" i="5"/>
  <c r="B260" i="5"/>
  <c r="A260" i="5"/>
  <c r="G259" i="5"/>
  <c r="F259" i="5"/>
  <c r="E259" i="5"/>
  <c r="C259" i="5"/>
  <c r="B259" i="5"/>
  <c r="A259" i="5"/>
  <c r="G258" i="5"/>
  <c r="F258" i="5"/>
  <c r="E258" i="5"/>
  <c r="C258" i="5"/>
  <c r="B258" i="5"/>
  <c r="A258" i="5"/>
  <c r="G257" i="5"/>
  <c r="F257" i="5"/>
  <c r="E257" i="5"/>
  <c r="C257" i="5"/>
  <c r="B257" i="5"/>
  <c r="A257" i="5"/>
  <c r="G256" i="5"/>
  <c r="F256" i="5"/>
  <c r="E256" i="5"/>
  <c r="C256" i="5"/>
  <c r="B256" i="5"/>
  <c r="A256" i="5"/>
  <c r="G255" i="5"/>
  <c r="F255" i="5"/>
  <c r="E255" i="5"/>
  <c r="C255" i="5"/>
  <c r="B255" i="5"/>
  <c r="A255" i="5"/>
  <c r="G254" i="5"/>
  <c r="F254" i="5"/>
  <c r="E254" i="5"/>
  <c r="C254" i="5"/>
  <c r="B254" i="5"/>
  <c r="A254" i="5"/>
  <c r="G253" i="5"/>
  <c r="F253" i="5"/>
  <c r="E253" i="5"/>
  <c r="C253" i="5"/>
  <c r="B253" i="5"/>
  <c r="A253" i="5"/>
  <c r="G252" i="5"/>
  <c r="F252" i="5"/>
  <c r="E252" i="5"/>
  <c r="C252" i="5"/>
  <c r="B252" i="5"/>
  <c r="A252" i="5"/>
  <c r="G251" i="5"/>
  <c r="F251" i="5"/>
  <c r="E251" i="5"/>
  <c r="C251" i="5"/>
  <c r="B251" i="5"/>
  <c r="A251" i="5"/>
  <c r="G250" i="5"/>
  <c r="F250" i="5"/>
  <c r="E250" i="5"/>
  <c r="C250" i="5"/>
  <c r="B250" i="5"/>
  <c r="A250" i="5"/>
  <c r="G249" i="5"/>
  <c r="F249" i="5"/>
  <c r="E249" i="5"/>
  <c r="C249" i="5"/>
  <c r="B249" i="5"/>
  <c r="A249" i="5"/>
  <c r="G248" i="5"/>
  <c r="F248" i="5"/>
  <c r="E248" i="5"/>
  <c r="C248" i="5"/>
  <c r="B248" i="5"/>
  <c r="A248" i="5"/>
  <c r="G247" i="5"/>
  <c r="F247" i="5"/>
  <c r="E247" i="5"/>
  <c r="C247" i="5"/>
  <c r="B247" i="5"/>
  <c r="A247" i="5"/>
  <c r="G246" i="5"/>
  <c r="F246" i="5"/>
  <c r="E246" i="5"/>
  <c r="C246" i="5"/>
  <c r="B246" i="5"/>
  <c r="A246" i="5"/>
  <c r="G245" i="5"/>
  <c r="F245" i="5"/>
  <c r="E245" i="5"/>
  <c r="C245" i="5"/>
  <c r="B245" i="5"/>
  <c r="A245" i="5"/>
  <c r="G244" i="5"/>
  <c r="F244" i="5"/>
  <c r="E244" i="5"/>
  <c r="C244" i="5"/>
  <c r="B244" i="5"/>
  <c r="A244" i="5"/>
  <c r="G243" i="5"/>
  <c r="F243" i="5"/>
  <c r="E243" i="5"/>
  <c r="C243" i="5"/>
  <c r="B243" i="5"/>
  <c r="A243" i="5"/>
  <c r="G242" i="5"/>
  <c r="F242" i="5"/>
  <c r="E242" i="5"/>
  <c r="C242" i="5"/>
  <c r="B242" i="5"/>
  <c r="A242" i="5"/>
  <c r="G241" i="5"/>
  <c r="F241" i="5"/>
  <c r="E241" i="5"/>
  <c r="C241" i="5"/>
  <c r="B241" i="5"/>
  <c r="A241" i="5"/>
  <c r="G240" i="5"/>
  <c r="F240" i="5"/>
  <c r="E240" i="5"/>
  <c r="C240" i="5"/>
  <c r="B240" i="5"/>
  <c r="A240" i="5"/>
  <c r="G239" i="5"/>
  <c r="F239" i="5"/>
  <c r="E239" i="5"/>
  <c r="C239" i="5"/>
  <c r="B239" i="5"/>
  <c r="A239" i="5"/>
  <c r="G238" i="5"/>
  <c r="F238" i="5"/>
  <c r="E238" i="5"/>
  <c r="C238" i="5"/>
  <c r="B238" i="5"/>
  <c r="A238" i="5"/>
  <c r="G237" i="5"/>
  <c r="F237" i="5"/>
  <c r="E237" i="5"/>
  <c r="C237" i="5"/>
  <c r="B237" i="5"/>
  <c r="A237" i="5"/>
  <c r="G236" i="5"/>
  <c r="F236" i="5"/>
  <c r="E236" i="5"/>
  <c r="C236" i="5"/>
  <c r="B236" i="5"/>
  <c r="A236" i="5"/>
  <c r="G235" i="5"/>
  <c r="F235" i="5"/>
  <c r="E235" i="5"/>
  <c r="C235" i="5"/>
  <c r="B235" i="5"/>
  <c r="A235" i="5"/>
  <c r="G234" i="5"/>
  <c r="F234" i="5"/>
  <c r="E234" i="5"/>
  <c r="C234" i="5"/>
  <c r="B234" i="5"/>
  <c r="A234" i="5"/>
  <c r="G233" i="5"/>
  <c r="F233" i="5"/>
  <c r="E233" i="5"/>
  <c r="C233" i="5"/>
  <c r="B233" i="5"/>
  <c r="A233" i="5"/>
  <c r="G232" i="5"/>
  <c r="F232" i="5"/>
  <c r="E232" i="5"/>
  <c r="C232" i="5"/>
  <c r="B232" i="5"/>
  <c r="A232" i="5"/>
  <c r="G231" i="5"/>
  <c r="F231" i="5"/>
  <c r="E231" i="5"/>
  <c r="C231" i="5"/>
  <c r="B231" i="5"/>
  <c r="A231" i="5"/>
  <c r="G230" i="5"/>
  <c r="F230" i="5"/>
  <c r="E230" i="5"/>
  <c r="C230" i="5"/>
  <c r="B230" i="5"/>
  <c r="A230" i="5"/>
  <c r="G229" i="5"/>
  <c r="F229" i="5"/>
  <c r="E229" i="5"/>
  <c r="C229" i="5"/>
  <c r="B229" i="5"/>
  <c r="A229" i="5"/>
  <c r="G228" i="5"/>
  <c r="F228" i="5"/>
  <c r="E228" i="5"/>
  <c r="C228" i="5"/>
  <c r="B228" i="5"/>
  <c r="A228" i="5"/>
  <c r="G227" i="5"/>
  <c r="F227" i="5"/>
  <c r="E227" i="5"/>
  <c r="C227" i="5"/>
  <c r="B227" i="5"/>
  <c r="A227" i="5"/>
  <c r="G226" i="5"/>
  <c r="F226" i="5"/>
  <c r="E226" i="5"/>
  <c r="C226" i="5"/>
  <c r="B226" i="5"/>
  <c r="A226" i="5"/>
  <c r="G225" i="5"/>
  <c r="F225" i="5"/>
  <c r="E225" i="5"/>
  <c r="C225" i="5"/>
  <c r="B225" i="5"/>
  <c r="A225" i="5"/>
  <c r="G224" i="5"/>
  <c r="F224" i="5"/>
  <c r="E224" i="5"/>
  <c r="C224" i="5"/>
  <c r="B224" i="5"/>
  <c r="A224" i="5"/>
  <c r="G223" i="5"/>
  <c r="F223" i="5"/>
  <c r="E223" i="5"/>
  <c r="C223" i="5"/>
  <c r="B223" i="5"/>
  <c r="A223" i="5"/>
  <c r="G222" i="5"/>
  <c r="F222" i="5"/>
  <c r="E222" i="5"/>
  <c r="C222" i="5"/>
  <c r="B222" i="5"/>
  <c r="A222" i="5"/>
  <c r="G221" i="5"/>
  <c r="F221" i="5"/>
  <c r="E221" i="5"/>
  <c r="C221" i="5"/>
  <c r="B221" i="5"/>
  <c r="A221" i="5"/>
  <c r="G220" i="5"/>
  <c r="F220" i="5"/>
  <c r="E220" i="5"/>
  <c r="C220" i="5"/>
  <c r="B220" i="5"/>
  <c r="A220" i="5"/>
  <c r="G219" i="5"/>
  <c r="F219" i="5"/>
  <c r="E219" i="5"/>
  <c r="C219" i="5"/>
  <c r="B219" i="5"/>
  <c r="A219" i="5"/>
  <c r="G218" i="5"/>
  <c r="F218" i="5"/>
  <c r="E218" i="5"/>
  <c r="C218" i="5"/>
  <c r="B218" i="5"/>
  <c r="A218" i="5"/>
  <c r="G217" i="5"/>
  <c r="F217" i="5"/>
  <c r="E217" i="5"/>
  <c r="C217" i="5"/>
  <c r="B217" i="5"/>
  <c r="A217" i="5"/>
  <c r="G216" i="5"/>
  <c r="F216" i="5"/>
  <c r="E216" i="5"/>
  <c r="C216" i="5"/>
  <c r="B216" i="5"/>
  <c r="A216" i="5"/>
  <c r="G215" i="5"/>
  <c r="F215" i="5"/>
  <c r="E215" i="5"/>
  <c r="C215" i="5"/>
  <c r="B215" i="5"/>
  <c r="A215" i="5"/>
  <c r="G214" i="5"/>
  <c r="F214" i="5"/>
  <c r="E214" i="5"/>
  <c r="C214" i="5"/>
  <c r="B214" i="5"/>
  <c r="A214" i="5"/>
  <c r="G213" i="5"/>
  <c r="F213" i="5"/>
  <c r="E213" i="5"/>
  <c r="C213" i="5"/>
  <c r="B213" i="5"/>
  <c r="A213" i="5"/>
  <c r="G212" i="5"/>
  <c r="F212" i="5"/>
  <c r="E212" i="5"/>
  <c r="C212" i="5"/>
  <c r="B212" i="5"/>
  <c r="A212" i="5"/>
  <c r="G211" i="5"/>
  <c r="F211" i="5"/>
  <c r="E211" i="5"/>
  <c r="C211" i="5"/>
  <c r="B211" i="5"/>
  <c r="A211" i="5"/>
  <c r="G210" i="5"/>
  <c r="F210" i="5"/>
  <c r="E210" i="5"/>
  <c r="C210" i="5"/>
  <c r="B210" i="5"/>
  <c r="A210" i="5"/>
  <c r="G209" i="5"/>
  <c r="F209" i="5"/>
  <c r="E209" i="5"/>
  <c r="C209" i="5"/>
  <c r="B209" i="5"/>
  <c r="A209" i="5"/>
  <c r="G208" i="5"/>
  <c r="F208" i="5"/>
  <c r="E208" i="5"/>
  <c r="C208" i="5"/>
  <c r="B208" i="5"/>
  <c r="A208" i="5"/>
  <c r="G207" i="5"/>
  <c r="F207" i="5"/>
  <c r="E207" i="5"/>
  <c r="C207" i="5"/>
  <c r="B207" i="5"/>
  <c r="A207" i="5"/>
  <c r="G206" i="5"/>
  <c r="F206" i="5"/>
  <c r="E206" i="5"/>
  <c r="C206" i="5"/>
  <c r="B206" i="5"/>
  <c r="A206" i="5"/>
  <c r="G205" i="5"/>
  <c r="F205" i="5"/>
  <c r="E205" i="5"/>
  <c r="C205" i="5"/>
  <c r="B205" i="5"/>
  <c r="A205" i="5"/>
  <c r="G204" i="5"/>
  <c r="F204" i="5"/>
  <c r="E204" i="5"/>
  <c r="C204" i="5"/>
  <c r="B204" i="5"/>
  <c r="A204" i="5"/>
  <c r="G203" i="5"/>
  <c r="F203" i="5"/>
  <c r="E203" i="5"/>
  <c r="C203" i="5"/>
  <c r="B203" i="5"/>
  <c r="A203" i="5"/>
  <c r="G202" i="5"/>
  <c r="F202" i="5"/>
  <c r="E202" i="5"/>
  <c r="C202" i="5"/>
  <c r="B202" i="5"/>
  <c r="A202" i="5"/>
  <c r="G201" i="5"/>
  <c r="F201" i="5"/>
  <c r="E201" i="5"/>
  <c r="C201" i="5"/>
  <c r="B201" i="5"/>
  <c r="A201" i="5"/>
  <c r="G200" i="5"/>
  <c r="F200" i="5"/>
  <c r="E200" i="5"/>
  <c r="C200" i="5"/>
  <c r="B200" i="5"/>
  <c r="A200" i="5"/>
  <c r="G199" i="5"/>
  <c r="F199" i="5"/>
  <c r="E199" i="5"/>
  <c r="C199" i="5"/>
  <c r="B199" i="5"/>
  <c r="A199" i="5"/>
  <c r="G198" i="5"/>
  <c r="F198" i="5"/>
  <c r="E198" i="5"/>
  <c r="C198" i="5"/>
  <c r="B198" i="5"/>
  <c r="A198" i="5"/>
  <c r="G197" i="5"/>
  <c r="F197" i="5"/>
  <c r="E197" i="5"/>
  <c r="C197" i="5"/>
  <c r="B197" i="5"/>
  <c r="A197" i="5"/>
  <c r="G196" i="5"/>
  <c r="F196" i="5"/>
  <c r="E196" i="5"/>
  <c r="C196" i="5"/>
  <c r="B196" i="5"/>
  <c r="A196" i="5"/>
  <c r="G195" i="5"/>
  <c r="F195" i="5"/>
  <c r="E195" i="5"/>
  <c r="C195" i="5"/>
  <c r="B195" i="5"/>
  <c r="A195" i="5"/>
  <c r="G194" i="5"/>
  <c r="F194" i="5"/>
  <c r="E194" i="5"/>
  <c r="C194" i="5"/>
  <c r="B194" i="5"/>
  <c r="A194" i="5"/>
  <c r="G193" i="5"/>
  <c r="F193" i="5"/>
  <c r="E193" i="5"/>
  <c r="C193" i="5"/>
  <c r="B193" i="5"/>
  <c r="A193" i="5"/>
  <c r="G192" i="5"/>
  <c r="F192" i="5"/>
  <c r="E192" i="5"/>
  <c r="C192" i="5"/>
  <c r="B192" i="5"/>
  <c r="A192" i="5"/>
  <c r="G191" i="5"/>
  <c r="F191" i="5"/>
  <c r="E191" i="5"/>
  <c r="C191" i="5"/>
  <c r="B191" i="5"/>
  <c r="A191" i="5"/>
  <c r="G190" i="5"/>
  <c r="F190" i="5"/>
  <c r="E190" i="5"/>
  <c r="C190" i="5"/>
  <c r="B190" i="5"/>
  <c r="A190" i="5"/>
  <c r="G189" i="5"/>
  <c r="F189" i="5"/>
  <c r="E189" i="5"/>
  <c r="C189" i="5"/>
  <c r="B189" i="5"/>
  <c r="A189" i="5"/>
  <c r="G188" i="5"/>
  <c r="F188" i="5"/>
  <c r="E188" i="5"/>
  <c r="C188" i="5"/>
  <c r="B188" i="5"/>
  <c r="A188" i="5"/>
  <c r="G187" i="5"/>
  <c r="F187" i="5"/>
  <c r="E187" i="5"/>
  <c r="C187" i="5"/>
  <c r="B187" i="5"/>
  <c r="A187" i="5"/>
  <c r="G186" i="5"/>
  <c r="F186" i="5"/>
  <c r="E186" i="5"/>
  <c r="C186" i="5"/>
  <c r="B186" i="5"/>
  <c r="A186" i="5"/>
  <c r="G185" i="5"/>
  <c r="F185" i="5"/>
  <c r="E185" i="5"/>
  <c r="C185" i="5"/>
  <c r="B185" i="5"/>
  <c r="A185" i="5"/>
  <c r="G184" i="5"/>
  <c r="F184" i="5"/>
  <c r="E184" i="5"/>
  <c r="C184" i="5"/>
  <c r="B184" i="5"/>
  <c r="A184" i="5"/>
  <c r="G183" i="5"/>
  <c r="F183" i="5"/>
  <c r="E183" i="5"/>
  <c r="C183" i="5"/>
  <c r="B183" i="5"/>
  <c r="A183" i="5"/>
  <c r="G182" i="5"/>
  <c r="F182" i="5"/>
  <c r="E182" i="5"/>
  <c r="C182" i="5"/>
  <c r="B182" i="5"/>
  <c r="A182" i="5"/>
  <c r="G181" i="5"/>
  <c r="F181" i="5"/>
  <c r="E181" i="5"/>
  <c r="C181" i="5"/>
  <c r="B181" i="5"/>
  <c r="A181" i="5"/>
  <c r="G180" i="5"/>
  <c r="F180" i="5"/>
  <c r="E180" i="5"/>
  <c r="C180" i="5"/>
  <c r="B180" i="5"/>
  <c r="A180" i="5"/>
  <c r="G179" i="5"/>
  <c r="F179" i="5"/>
  <c r="E179" i="5"/>
  <c r="C179" i="5"/>
  <c r="B179" i="5"/>
  <c r="A179" i="5"/>
  <c r="G178" i="5"/>
  <c r="F178" i="5"/>
  <c r="E178" i="5"/>
  <c r="C178" i="5"/>
  <c r="B178" i="5"/>
  <c r="A178" i="5"/>
  <c r="G177" i="5"/>
  <c r="F177" i="5"/>
  <c r="E177" i="5"/>
  <c r="C177" i="5"/>
  <c r="B177" i="5"/>
  <c r="A177" i="5"/>
  <c r="G176" i="5"/>
  <c r="F176" i="5"/>
  <c r="E176" i="5"/>
  <c r="C176" i="5"/>
  <c r="B176" i="5"/>
  <c r="A176" i="5"/>
  <c r="G175" i="5"/>
  <c r="F175" i="5"/>
  <c r="E175" i="5"/>
  <c r="C175" i="5"/>
  <c r="B175" i="5"/>
  <c r="A175" i="5"/>
  <c r="G174" i="5"/>
  <c r="F174" i="5"/>
  <c r="E174" i="5"/>
  <c r="C174" i="5"/>
  <c r="B174" i="5"/>
  <c r="A174" i="5"/>
  <c r="G173" i="5"/>
  <c r="F173" i="5"/>
  <c r="E173" i="5"/>
  <c r="C173" i="5"/>
  <c r="B173" i="5"/>
  <c r="A173" i="5"/>
  <c r="G172" i="5"/>
  <c r="F172" i="5"/>
  <c r="E172" i="5"/>
  <c r="C172" i="5"/>
  <c r="B172" i="5"/>
  <c r="A172" i="5"/>
  <c r="G171" i="5"/>
  <c r="F171" i="5"/>
  <c r="E171" i="5"/>
  <c r="C171" i="5"/>
  <c r="B171" i="5"/>
  <c r="A171" i="5"/>
  <c r="G170" i="5"/>
  <c r="F170" i="5"/>
  <c r="E170" i="5"/>
  <c r="C170" i="5"/>
  <c r="B170" i="5"/>
  <c r="A170" i="5"/>
  <c r="G169" i="5"/>
  <c r="F169" i="5"/>
  <c r="E169" i="5"/>
  <c r="C169" i="5"/>
  <c r="B169" i="5"/>
  <c r="A169" i="5"/>
  <c r="G168" i="5"/>
  <c r="F168" i="5"/>
  <c r="E168" i="5"/>
  <c r="C168" i="5"/>
  <c r="B168" i="5"/>
  <c r="A168" i="5"/>
  <c r="G167" i="5"/>
  <c r="F167" i="5"/>
  <c r="E167" i="5"/>
  <c r="C167" i="5"/>
  <c r="B167" i="5"/>
  <c r="A167" i="5"/>
  <c r="G166" i="5"/>
  <c r="F166" i="5"/>
  <c r="E166" i="5"/>
  <c r="C166" i="5"/>
  <c r="B166" i="5"/>
  <c r="A166" i="5"/>
  <c r="G165" i="5"/>
  <c r="F165" i="5"/>
  <c r="E165" i="5"/>
  <c r="C165" i="5"/>
  <c r="B165" i="5"/>
  <c r="A165" i="5"/>
  <c r="G164" i="5"/>
  <c r="F164" i="5"/>
  <c r="E164" i="5"/>
  <c r="C164" i="5"/>
  <c r="B164" i="5"/>
  <c r="A164" i="5"/>
  <c r="G163" i="5"/>
  <c r="F163" i="5"/>
  <c r="E163" i="5"/>
  <c r="C163" i="5"/>
  <c r="B163" i="5"/>
  <c r="A163" i="5"/>
  <c r="G162" i="5"/>
  <c r="F162" i="5"/>
  <c r="E162" i="5"/>
  <c r="C162" i="5"/>
  <c r="B162" i="5"/>
  <c r="A162" i="5"/>
  <c r="G161" i="5"/>
  <c r="F161" i="5"/>
  <c r="E161" i="5"/>
  <c r="C161" i="5"/>
  <c r="B161" i="5"/>
  <c r="A161" i="5"/>
  <c r="G160" i="5"/>
  <c r="F160" i="5"/>
  <c r="E160" i="5"/>
  <c r="C160" i="5"/>
  <c r="B160" i="5"/>
  <c r="A160" i="5"/>
  <c r="G159" i="5"/>
  <c r="F159" i="5"/>
  <c r="E159" i="5"/>
  <c r="C159" i="5"/>
  <c r="B159" i="5"/>
  <c r="A159" i="5"/>
  <c r="G158" i="5"/>
  <c r="F158" i="5"/>
  <c r="E158" i="5"/>
  <c r="C158" i="5"/>
  <c r="B158" i="5"/>
  <c r="A158" i="5"/>
  <c r="G157" i="5"/>
  <c r="F157" i="5"/>
  <c r="E157" i="5"/>
  <c r="C157" i="5"/>
  <c r="B157" i="5"/>
  <c r="A157" i="5"/>
  <c r="G156" i="5"/>
  <c r="F156" i="5"/>
  <c r="E156" i="5"/>
  <c r="C156" i="5"/>
  <c r="B156" i="5"/>
  <c r="A156" i="5"/>
  <c r="G155" i="5"/>
  <c r="F155" i="5"/>
  <c r="E155" i="5"/>
  <c r="C155" i="5"/>
  <c r="B155" i="5"/>
  <c r="A155" i="5"/>
  <c r="G154" i="5"/>
  <c r="F154" i="5"/>
  <c r="E154" i="5"/>
  <c r="C154" i="5"/>
  <c r="B154" i="5"/>
  <c r="A154" i="5"/>
  <c r="G153" i="5"/>
  <c r="F153" i="5"/>
  <c r="E153" i="5"/>
  <c r="C153" i="5"/>
  <c r="B153" i="5"/>
  <c r="A153" i="5"/>
  <c r="G152" i="5"/>
  <c r="F152" i="5"/>
  <c r="E152" i="5"/>
  <c r="C152" i="5"/>
  <c r="B152" i="5"/>
  <c r="A152" i="5"/>
  <c r="G151" i="5"/>
  <c r="F151" i="5"/>
  <c r="E151" i="5"/>
  <c r="C151" i="5"/>
  <c r="B151" i="5"/>
  <c r="A151" i="5"/>
  <c r="G150" i="5"/>
  <c r="F150" i="5"/>
  <c r="E150" i="5"/>
  <c r="C150" i="5"/>
  <c r="B150" i="5"/>
  <c r="A150" i="5"/>
  <c r="G149" i="5"/>
  <c r="F149" i="5"/>
  <c r="E149" i="5"/>
  <c r="C149" i="5"/>
  <c r="B149" i="5"/>
  <c r="A149" i="5"/>
  <c r="G148" i="5"/>
  <c r="F148" i="5"/>
  <c r="E148" i="5"/>
  <c r="C148" i="5"/>
  <c r="B148" i="5"/>
  <c r="A148" i="5"/>
  <c r="G147" i="5"/>
  <c r="F147" i="5"/>
  <c r="E147" i="5"/>
  <c r="C147" i="5"/>
  <c r="B147" i="5"/>
  <c r="A147" i="5"/>
  <c r="G146" i="5"/>
  <c r="F146" i="5"/>
  <c r="E146" i="5"/>
  <c r="C146" i="5"/>
  <c r="B146" i="5"/>
  <c r="A146" i="5"/>
  <c r="G145" i="5"/>
  <c r="F145" i="5"/>
  <c r="E145" i="5"/>
  <c r="C145" i="5"/>
  <c r="B145" i="5"/>
  <c r="A145" i="5"/>
  <c r="G144" i="5"/>
  <c r="F144" i="5"/>
  <c r="E144" i="5"/>
  <c r="C144" i="5"/>
  <c r="B144" i="5"/>
  <c r="A144" i="5"/>
  <c r="G143" i="5"/>
  <c r="F143" i="5"/>
  <c r="E143" i="5"/>
  <c r="C143" i="5"/>
  <c r="B143" i="5"/>
  <c r="A143" i="5"/>
  <c r="G142" i="5"/>
  <c r="F142" i="5"/>
  <c r="E142" i="5"/>
  <c r="C142" i="5"/>
  <c r="B142" i="5"/>
  <c r="A142" i="5"/>
  <c r="G141" i="5"/>
  <c r="F141" i="5"/>
  <c r="E141" i="5"/>
  <c r="C141" i="5"/>
  <c r="B141" i="5"/>
  <c r="A141" i="5"/>
  <c r="G140" i="5"/>
  <c r="F140" i="5"/>
  <c r="E140" i="5"/>
  <c r="C140" i="5"/>
  <c r="B140" i="5"/>
  <c r="A140" i="5"/>
  <c r="G139" i="5"/>
  <c r="F139" i="5"/>
  <c r="E139" i="5"/>
  <c r="C139" i="5"/>
  <c r="B139" i="5"/>
  <c r="A139" i="5"/>
  <c r="G138" i="5"/>
  <c r="F138" i="5"/>
  <c r="E138" i="5"/>
  <c r="C138" i="5"/>
  <c r="B138" i="5"/>
  <c r="A138" i="5"/>
  <c r="G137" i="5"/>
  <c r="F137" i="5"/>
  <c r="E137" i="5"/>
  <c r="C137" i="5"/>
  <c r="B137" i="5"/>
  <c r="A137" i="5"/>
  <c r="G136" i="5"/>
  <c r="F136" i="5"/>
  <c r="E136" i="5"/>
  <c r="C136" i="5"/>
  <c r="B136" i="5"/>
  <c r="A136" i="5"/>
  <c r="G135" i="5"/>
  <c r="F135" i="5"/>
  <c r="E135" i="5"/>
  <c r="C135" i="5"/>
  <c r="B135" i="5"/>
  <c r="A135" i="5"/>
  <c r="G134" i="5"/>
  <c r="F134" i="5"/>
  <c r="E134" i="5"/>
  <c r="C134" i="5"/>
  <c r="B134" i="5"/>
  <c r="A134" i="5"/>
  <c r="G133" i="5"/>
  <c r="F133" i="5"/>
  <c r="E133" i="5"/>
  <c r="C133" i="5"/>
  <c r="B133" i="5"/>
  <c r="A133" i="5"/>
  <c r="G132" i="5"/>
  <c r="F132" i="5"/>
  <c r="E132" i="5"/>
  <c r="C132" i="5"/>
  <c r="B132" i="5"/>
  <c r="A132" i="5"/>
  <c r="G131" i="5"/>
  <c r="F131" i="5"/>
  <c r="E131" i="5"/>
  <c r="C131" i="5"/>
  <c r="B131" i="5"/>
  <c r="A131" i="5"/>
  <c r="G130" i="5"/>
  <c r="F130" i="5"/>
  <c r="E130" i="5"/>
  <c r="C130" i="5"/>
  <c r="B130" i="5"/>
  <c r="A130" i="5"/>
  <c r="G129" i="5"/>
  <c r="F129" i="5"/>
  <c r="E129" i="5"/>
  <c r="C129" i="5"/>
  <c r="B129" i="5"/>
  <c r="A129" i="5"/>
  <c r="G128" i="5"/>
  <c r="F128" i="5"/>
  <c r="E128" i="5"/>
  <c r="C128" i="5"/>
  <c r="B128" i="5"/>
  <c r="A128" i="5"/>
  <c r="G127" i="5"/>
  <c r="F127" i="5"/>
  <c r="E127" i="5"/>
  <c r="C127" i="5"/>
  <c r="B127" i="5"/>
  <c r="A127" i="5"/>
  <c r="G126" i="5"/>
  <c r="F126" i="5"/>
  <c r="E126" i="5"/>
  <c r="C126" i="5"/>
  <c r="B126" i="5"/>
  <c r="A126" i="5"/>
  <c r="G125" i="5"/>
  <c r="F125" i="5"/>
  <c r="E125" i="5"/>
  <c r="C125" i="5"/>
  <c r="B125" i="5"/>
  <c r="A125" i="5"/>
  <c r="G124" i="5"/>
  <c r="F124" i="5"/>
  <c r="E124" i="5"/>
  <c r="C124" i="5"/>
  <c r="B124" i="5"/>
  <c r="A124" i="5"/>
  <c r="G123" i="5"/>
  <c r="F123" i="5"/>
  <c r="E123" i="5"/>
  <c r="C123" i="5"/>
  <c r="B123" i="5"/>
  <c r="A123" i="5"/>
  <c r="G122" i="5"/>
  <c r="F122" i="5"/>
  <c r="E122" i="5"/>
  <c r="C122" i="5"/>
  <c r="B122" i="5"/>
  <c r="A122" i="5"/>
  <c r="G121" i="5"/>
  <c r="F121" i="5"/>
  <c r="E121" i="5"/>
  <c r="C121" i="5"/>
  <c r="B121" i="5"/>
  <c r="A121" i="5"/>
  <c r="G120" i="5"/>
  <c r="F120" i="5"/>
  <c r="E120" i="5"/>
  <c r="C120" i="5"/>
  <c r="B120" i="5"/>
  <c r="A120" i="5"/>
  <c r="G119" i="5"/>
  <c r="F119" i="5"/>
  <c r="E119" i="5"/>
  <c r="C119" i="5"/>
  <c r="B119" i="5"/>
  <c r="A119" i="5"/>
  <c r="G118" i="5"/>
  <c r="F118" i="5"/>
  <c r="E118" i="5"/>
  <c r="C118" i="5"/>
  <c r="B118" i="5"/>
  <c r="A118" i="5"/>
  <c r="G117" i="5"/>
  <c r="F117" i="5"/>
  <c r="E117" i="5"/>
  <c r="C117" i="5"/>
  <c r="B117" i="5"/>
  <c r="A117" i="5"/>
  <c r="G116" i="5"/>
  <c r="F116" i="5"/>
  <c r="E116" i="5"/>
  <c r="C116" i="5"/>
  <c r="B116" i="5"/>
  <c r="A116" i="5"/>
  <c r="G115" i="5"/>
  <c r="F115" i="5"/>
  <c r="E115" i="5"/>
  <c r="C115" i="5"/>
  <c r="B115" i="5"/>
  <c r="A115" i="5"/>
  <c r="G114" i="5"/>
  <c r="F114" i="5"/>
  <c r="E114" i="5"/>
  <c r="C114" i="5"/>
  <c r="B114" i="5"/>
  <c r="A114" i="5"/>
  <c r="G113" i="5"/>
  <c r="F113" i="5"/>
  <c r="E113" i="5"/>
  <c r="C113" i="5"/>
  <c r="B113" i="5"/>
  <c r="A113" i="5"/>
  <c r="G112" i="5"/>
  <c r="F112" i="5"/>
  <c r="E112" i="5"/>
  <c r="C112" i="5"/>
  <c r="B112" i="5"/>
  <c r="A112" i="5"/>
  <c r="G111" i="5"/>
  <c r="F111" i="5"/>
  <c r="E111" i="5"/>
  <c r="C111" i="5"/>
  <c r="B111" i="5"/>
  <c r="A111" i="5"/>
  <c r="G110" i="5"/>
  <c r="F110" i="5"/>
  <c r="E110" i="5"/>
  <c r="C110" i="5"/>
  <c r="B110" i="5"/>
  <c r="A110" i="5"/>
  <c r="G109" i="5"/>
  <c r="F109" i="5"/>
  <c r="E109" i="5"/>
  <c r="C109" i="5"/>
  <c r="B109" i="5"/>
  <c r="A109" i="5"/>
  <c r="G108" i="5"/>
  <c r="F108" i="5"/>
  <c r="E108" i="5"/>
  <c r="C108" i="5"/>
  <c r="B108" i="5"/>
  <c r="A108" i="5"/>
  <c r="G107" i="5"/>
  <c r="F107" i="5"/>
  <c r="E107" i="5"/>
  <c r="C107" i="5"/>
  <c r="B107" i="5"/>
  <c r="A107" i="5"/>
  <c r="G106" i="5"/>
  <c r="F106" i="5"/>
  <c r="E106" i="5"/>
  <c r="C106" i="5"/>
  <c r="B106" i="5"/>
  <c r="A106" i="5"/>
  <c r="G105" i="5"/>
  <c r="F105" i="5"/>
  <c r="E105" i="5"/>
  <c r="C105" i="5"/>
  <c r="B105" i="5"/>
  <c r="A105" i="5"/>
  <c r="G104" i="5"/>
  <c r="F104" i="5"/>
  <c r="E104" i="5"/>
  <c r="C104" i="5"/>
  <c r="B104" i="5"/>
  <c r="A104" i="5"/>
  <c r="G103" i="5"/>
  <c r="F103" i="5"/>
  <c r="E103" i="5"/>
  <c r="C103" i="5"/>
  <c r="B103" i="5"/>
  <c r="A103" i="5"/>
  <c r="G102" i="5"/>
  <c r="F102" i="5"/>
  <c r="E102" i="5"/>
  <c r="C102" i="5"/>
  <c r="B102" i="5"/>
  <c r="A102" i="5"/>
  <c r="G101" i="5"/>
  <c r="F101" i="5"/>
  <c r="E101" i="5"/>
  <c r="C101" i="5"/>
  <c r="B101" i="5"/>
  <c r="A101" i="5"/>
  <c r="G100" i="5"/>
  <c r="F100" i="5"/>
  <c r="E100" i="5"/>
  <c r="C100" i="5"/>
  <c r="B100" i="5"/>
  <c r="A100" i="5"/>
  <c r="G99" i="5"/>
  <c r="F99" i="5"/>
  <c r="E99" i="5"/>
  <c r="C99" i="5"/>
  <c r="B99" i="5"/>
  <c r="A99" i="5"/>
  <c r="G98" i="5"/>
  <c r="F98" i="5"/>
  <c r="E98" i="5"/>
  <c r="C98" i="5"/>
  <c r="B98" i="5"/>
  <c r="A98" i="5"/>
  <c r="G97" i="5"/>
  <c r="F97" i="5"/>
  <c r="E97" i="5"/>
  <c r="C97" i="5"/>
  <c r="B97" i="5"/>
  <c r="A97" i="5"/>
  <c r="G96" i="5"/>
  <c r="F96" i="5"/>
  <c r="E96" i="5"/>
  <c r="C96" i="5"/>
  <c r="B96" i="5"/>
  <c r="A96" i="5"/>
  <c r="G95" i="5"/>
  <c r="F95" i="5"/>
  <c r="E95" i="5"/>
  <c r="C95" i="5"/>
  <c r="B95" i="5"/>
  <c r="A95" i="5"/>
  <c r="G94" i="5"/>
  <c r="F94" i="5"/>
  <c r="E94" i="5"/>
  <c r="C94" i="5"/>
  <c r="B94" i="5"/>
  <c r="A94" i="5"/>
  <c r="G93" i="5"/>
  <c r="F93" i="5"/>
  <c r="E93" i="5"/>
  <c r="C93" i="5"/>
  <c r="B93" i="5"/>
  <c r="A93" i="5"/>
  <c r="G92" i="5"/>
  <c r="F92" i="5"/>
  <c r="E92" i="5"/>
  <c r="C92" i="5"/>
  <c r="B92" i="5"/>
  <c r="A92" i="5"/>
  <c r="G91" i="5"/>
  <c r="F91" i="5"/>
  <c r="E91" i="5"/>
  <c r="C91" i="5"/>
  <c r="B91" i="5"/>
  <c r="A91" i="5"/>
  <c r="G90" i="5"/>
  <c r="F90" i="5"/>
  <c r="E90" i="5"/>
  <c r="C90" i="5"/>
  <c r="B90" i="5"/>
  <c r="A90" i="5"/>
  <c r="G89" i="5"/>
  <c r="F89" i="5"/>
  <c r="E89" i="5"/>
  <c r="C89" i="5"/>
  <c r="B89" i="5"/>
  <c r="A89" i="5"/>
  <c r="G88" i="5"/>
  <c r="F88" i="5"/>
  <c r="E88" i="5"/>
  <c r="C88" i="5"/>
  <c r="B88" i="5"/>
  <c r="A88" i="5"/>
  <c r="G87" i="5"/>
  <c r="F87" i="5"/>
  <c r="E87" i="5"/>
  <c r="C87" i="5"/>
  <c r="B87" i="5"/>
  <c r="A87" i="5"/>
  <c r="G86" i="5"/>
  <c r="F86" i="5"/>
  <c r="E86" i="5"/>
  <c r="C86" i="5"/>
  <c r="B86" i="5"/>
  <c r="A86" i="5"/>
  <c r="G85" i="5"/>
  <c r="F85" i="5"/>
  <c r="E85" i="5"/>
  <c r="C85" i="5"/>
  <c r="B85" i="5"/>
  <c r="A85" i="5"/>
  <c r="G84" i="5"/>
  <c r="F84" i="5"/>
  <c r="E84" i="5"/>
  <c r="C84" i="5"/>
  <c r="B84" i="5"/>
  <c r="A84" i="5"/>
  <c r="G83" i="5"/>
  <c r="F83" i="5"/>
  <c r="E83" i="5"/>
  <c r="C83" i="5"/>
  <c r="B83" i="5"/>
  <c r="A83" i="5"/>
  <c r="G82" i="5"/>
  <c r="F82" i="5"/>
  <c r="E82" i="5"/>
  <c r="C82" i="5"/>
  <c r="B82" i="5"/>
  <c r="A82" i="5"/>
  <c r="G81" i="5"/>
  <c r="F81" i="5"/>
  <c r="E81" i="5"/>
  <c r="C81" i="5"/>
  <c r="B81" i="5"/>
  <c r="A81" i="5"/>
  <c r="G80" i="5"/>
  <c r="F80" i="5"/>
  <c r="E80" i="5"/>
  <c r="C80" i="5"/>
  <c r="B80" i="5"/>
  <c r="A80" i="5"/>
  <c r="G79" i="5"/>
  <c r="F79" i="5"/>
  <c r="E79" i="5"/>
  <c r="C79" i="5"/>
  <c r="B79" i="5"/>
  <c r="A79" i="5"/>
  <c r="G78" i="5"/>
  <c r="F78" i="5"/>
  <c r="E78" i="5"/>
  <c r="C78" i="5"/>
  <c r="B78" i="5"/>
  <c r="A78" i="5"/>
  <c r="G77" i="5"/>
  <c r="F77" i="5"/>
  <c r="E77" i="5"/>
  <c r="C77" i="5"/>
  <c r="B77" i="5"/>
  <c r="A77" i="5"/>
  <c r="G76" i="5"/>
  <c r="F76" i="5"/>
  <c r="E76" i="5"/>
  <c r="C76" i="5"/>
  <c r="B76" i="5"/>
  <c r="A76" i="5"/>
  <c r="G75" i="5"/>
  <c r="F75" i="5"/>
  <c r="E75" i="5"/>
  <c r="C75" i="5"/>
  <c r="B75" i="5"/>
  <c r="A75" i="5"/>
  <c r="G74" i="5"/>
  <c r="F74" i="5"/>
  <c r="E74" i="5"/>
  <c r="C74" i="5"/>
  <c r="B74" i="5"/>
  <c r="A74" i="5"/>
  <c r="G73" i="5"/>
  <c r="F73" i="5"/>
  <c r="E73" i="5"/>
  <c r="C73" i="5"/>
  <c r="B73" i="5"/>
  <c r="A73" i="5"/>
  <c r="G72" i="5"/>
  <c r="F72" i="5"/>
  <c r="E72" i="5"/>
  <c r="C72" i="5"/>
  <c r="B72" i="5"/>
  <c r="A72" i="5"/>
  <c r="G71" i="5"/>
  <c r="F71" i="5"/>
  <c r="E71" i="5"/>
  <c r="C71" i="5"/>
  <c r="B71" i="5"/>
  <c r="A71" i="5"/>
  <c r="G70" i="5"/>
  <c r="F70" i="5"/>
  <c r="E70" i="5"/>
  <c r="C70" i="5"/>
  <c r="B70" i="5"/>
  <c r="A70" i="5"/>
  <c r="G69" i="5"/>
  <c r="F69" i="5"/>
  <c r="E69" i="5"/>
  <c r="C69" i="5"/>
  <c r="B69" i="5"/>
  <c r="A69" i="5"/>
  <c r="G68" i="5"/>
  <c r="F68" i="5"/>
  <c r="E68" i="5"/>
  <c r="C68" i="5"/>
  <c r="B68" i="5"/>
  <c r="A68" i="5"/>
  <c r="G67" i="5"/>
  <c r="F67" i="5"/>
  <c r="E67" i="5"/>
  <c r="C67" i="5"/>
  <c r="B67" i="5"/>
  <c r="A67" i="5"/>
  <c r="G66" i="5"/>
  <c r="F66" i="5"/>
  <c r="E66" i="5"/>
  <c r="C66" i="5"/>
  <c r="B66" i="5"/>
  <c r="A66" i="5"/>
  <c r="G65" i="5"/>
  <c r="F65" i="5"/>
  <c r="E65" i="5"/>
  <c r="C65" i="5"/>
  <c r="B65" i="5"/>
  <c r="A65" i="5"/>
  <c r="G64" i="5"/>
  <c r="F64" i="5"/>
  <c r="E64" i="5"/>
  <c r="C64" i="5"/>
  <c r="B64" i="5"/>
  <c r="A64" i="5"/>
  <c r="G63" i="5"/>
  <c r="F63" i="5"/>
  <c r="E63" i="5"/>
  <c r="C63" i="5"/>
  <c r="B63" i="5"/>
  <c r="A63" i="5"/>
  <c r="G62" i="5"/>
  <c r="F62" i="5"/>
  <c r="E62" i="5"/>
  <c r="C62" i="5"/>
  <c r="B62" i="5"/>
  <c r="A62" i="5"/>
  <c r="G61" i="5"/>
  <c r="F61" i="5"/>
  <c r="E61" i="5"/>
  <c r="C61" i="5"/>
  <c r="B61" i="5"/>
  <c r="A61" i="5"/>
  <c r="G60" i="5"/>
  <c r="F60" i="5"/>
  <c r="E60" i="5"/>
  <c r="C60" i="5"/>
  <c r="B60" i="5"/>
  <c r="A60" i="5"/>
  <c r="G59" i="5"/>
  <c r="F59" i="5"/>
  <c r="E59" i="5"/>
  <c r="C59" i="5"/>
  <c r="B59" i="5"/>
  <c r="A59" i="5"/>
  <c r="G58" i="5"/>
  <c r="F58" i="5"/>
  <c r="E58" i="5"/>
  <c r="C58" i="5"/>
  <c r="B58" i="5"/>
  <c r="A58" i="5"/>
  <c r="G57" i="5"/>
  <c r="F57" i="5"/>
  <c r="E57" i="5"/>
  <c r="C57" i="5"/>
  <c r="B57" i="5"/>
  <c r="A57" i="5"/>
  <c r="G56" i="5"/>
  <c r="F56" i="5"/>
  <c r="E56" i="5"/>
  <c r="C56" i="5"/>
  <c r="B56" i="5"/>
  <c r="A56" i="5"/>
  <c r="G55" i="5"/>
  <c r="F55" i="5"/>
  <c r="E55" i="5"/>
  <c r="C55" i="5"/>
  <c r="B55" i="5"/>
  <c r="A55" i="5"/>
  <c r="G54" i="5"/>
  <c r="F54" i="5"/>
  <c r="E54" i="5"/>
  <c r="C54" i="5"/>
  <c r="B54" i="5"/>
  <c r="A54" i="5"/>
  <c r="G53" i="5"/>
  <c r="F53" i="5"/>
  <c r="E53" i="5"/>
  <c r="C53" i="5"/>
  <c r="B53" i="5"/>
  <c r="A53" i="5"/>
  <c r="G52" i="5"/>
  <c r="F52" i="5"/>
  <c r="E52" i="5"/>
  <c r="C52" i="5"/>
  <c r="B52" i="5"/>
  <c r="A52" i="5"/>
  <c r="G51" i="5"/>
  <c r="F51" i="5"/>
  <c r="E51" i="5"/>
  <c r="C51" i="5"/>
  <c r="B51" i="5"/>
  <c r="A51" i="5"/>
  <c r="G50" i="5"/>
  <c r="F50" i="5"/>
  <c r="E50" i="5"/>
  <c r="C50" i="5"/>
  <c r="B50" i="5"/>
  <c r="A50" i="5"/>
  <c r="G49" i="5"/>
  <c r="F49" i="5"/>
  <c r="E49" i="5"/>
  <c r="C49" i="5"/>
  <c r="B49" i="5"/>
  <c r="A49" i="5"/>
  <c r="G48" i="5"/>
  <c r="F48" i="5"/>
  <c r="E48" i="5"/>
  <c r="C48" i="5"/>
  <c r="B48" i="5"/>
  <c r="A48" i="5"/>
  <c r="G47" i="5"/>
  <c r="F47" i="5"/>
  <c r="E47" i="5"/>
  <c r="C47" i="5"/>
  <c r="B47" i="5"/>
  <c r="A47" i="5"/>
  <c r="G46" i="5"/>
  <c r="F46" i="5"/>
  <c r="E46" i="5"/>
  <c r="C46" i="5"/>
  <c r="B46" i="5"/>
  <c r="A46" i="5"/>
  <c r="G45" i="5"/>
  <c r="F45" i="5"/>
  <c r="E45" i="5"/>
  <c r="C45" i="5"/>
  <c r="B45" i="5"/>
  <c r="A45" i="5"/>
  <c r="G44" i="5"/>
  <c r="F44" i="5"/>
  <c r="E44" i="5"/>
  <c r="C44" i="5"/>
  <c r="B44" i="5"/>
  <c r="A44" i="5"/>
  <c r="G43" i="5"/>
  <c r="F43" i="5"/>
  <c r="E43" i="5"/>
  <c r="C43" i="5"/>
  <c r="B43" i="5"/>
  <c r="A43" i="5"/>
  <c r="G42" i="5"/>
  <c r="F42" i="5"/>
  <c r="E42" i="5"/>
  <c r="C42" i="5"/>
  <c r="B42" i="5"/>
  <c r="A42" i="5"/>
  <c r="G41" i="5"/>
  <c r="F41" i="5"/>
  <c r="E41" i="5"/>
  <c r="C41" i="5"/>
  <c r="B41" i="5"/>
  <c r="A41" i="5"/>
  <c r="G40" i="5"/>
  <c r="F40" i="5"/>
  <c r="E40" i="5"/>
  <c r="C40" i="5"/>
  <c r="B40" i="5"/>
  <c r="A40" i="5"/>
  <c r="G39" i="5"/>
  <c r="F39" i="5"/>
  <c r="E39" i="5"/>
  <c r="C39" i="5"/>
  <c r="B39" i="5"/>
  <c r="A39" i="5"/>
  <c r="G38" i="5"/>
  <c r="F38" i="5"/>
  <c r="E38" i="5"/>
  <c r="C38" i="5"/>
  <c r="B38" i="5"/>
  <c r="A38" i="5"/>
  <c r="G37" i="5"/>
  <c r="F37" i="5"/>
  <c r="E37" i="5"/>
  <c r="C37" i="5"/>
  <c r="B37" i="5"/>
  <c r="A37" i="5"/>
  <c r="G36" i="5"/>
  <c r="F36" i="5"/>
  <c r="E36" i="5"/>
  <c r="C36" i="5"/>
  <c r="B36" i="5"/>
  <c r="A36" i="5"/>
  <c r="G35" i="5"/>
  <c r="F35" i="5"/>
  <c r="E35" i="5"/>
  <c r="C35" i="5"/>
  <c r="B35" i="5"/>
  <c r="A35" i="5"/>
  <c r="G34" i="5"/>
  <c r="F34" i="5"/>
  <c r="E34" i="5"/>
  <c r="C34" i="5"/>
  <c r="B34" i="5"/>
  <c r="A34" i="5"/>
  <c r="G33" i="5"/>
  <c r="F33" i="5"/>
  <c r="E33" i="5"/>
  <c r="C33" i="5"/>
  <c r="B33" i="5"/>
  <c r="A33" i="5"/>
  <c r="G32" i="5"/>
  <c r="F32" i="5"/>
  <c r="E32" i="5"/>
  <c r="C32" i="5"/>
  <c r="B32" i="5"/>
  <c r="A32" i="5"/>
  <c r="G31" i="5"/>
  <c r="F31" i="5"/>
  <c r="E31" i="5"/>
  <c r="C31" i="5"/>
  <c r="B31" i="5"/>
  <c r="A31" i="5"/>
  <c r="G30" i="5"/>
  <c r="F30" i="5"/>
  <c r="E30" i="5"/>
  <c r="C30" i="5"/>
  <c r="B30" i="5"/>
  <c r="A30" i="5"/>
  <c r="G29" i="5"/>
  <c r="F29" i="5"/>
  <c r="E29" i="5"/>
  <c r="C29" i="5"/>
  <c r="B29" i="5"/>
  <c r="A29" i="5"/>
  <c r="G28" i="5"/>
  <c r="F28" i="5"/>
  <c r="E28" i="5"/>
  <c r="C28" i="5"/>
  <c r="B28" i="5"/>
  <c r="A28" i="5"/>
  <c r="G27" i="5"/>
  <c r="F27" i="5"/>
  <c r="E27" i="5"/>
  <c r="C27" i="5"/>
  <c r="B27" i="5"/>
  <c r="A27" i="5"/>
  <c r="G26" i="5"/>
  <c r="F26" i="5"/>
  <c r="E26" i="5"/>
  <c r="C26" i="5"/>
  <c r="B26" i="5"/>
  <c r="A26" i="5"/>
  <c r="G25" i="5"/>
  <c r="F25" i="5"/>
  <c r="E25" i="5"/>
  <c r="C25" i="5"/>
  <c r="B25" i="5"/>
  <c r="A25" i="5"/>
  <c r="G24" i="5"/>
  <c r="F24" i="5"/>
  <c r="E24" i="5"/>
  <c r="C24" i="5"/>
  <c r="B24" i="5"/>
  <c r="A24" i="5"/>
  <c r="G23" i="5"/>
  <c r="F23" i="5"/>
  <c r="E23" i="5"/>
  <c r="C23" i="5"/>
  <c r="B23" i="5"/>
  <c r="A23" i="5"/>
  <c r="G22" i="5"/>
  <c r="F22" i="5"/>
  <c r="E22" i="5"/>
  <c r="C22" i="5"/>
  <c r="B22" i="5"/>
  <c r="A22" i="5"/>
  <c r="G21" i="5"/>
  <c r="F21" i="5"/>
  <c r="E21" i="5"/>
  <c r="C21" i="5"/>
  <c r="B21" i="5"/>
  <c r="A21" i="5"/>
  <c r="G20" i="5"/>
  <c r="F20" i="5"/>
  <c r="E20" i="5"/>
  <c r="C20" i="5"/>
  <c r="B20" i="5"/>
  <c r="A20" i="5"/>
  <c r="G19" i="5"/>
  <c r="F19" i="5"/>
  <c r="E19" i="5"/>
  <c r="C19" i="5"/>
  <c r="B19" i="5"/>
  <c r="A19" i="5"/>
  <c r="G18" i="5"/>
  <c r="F18" i="5"/>
  <c r="E18" i="5"/>
  <c r="C18" i="5"/>
  <c r="B18" i="5"/>
  <c r="A18" i="5"/>
  <c r="G17" i="5"/>
  <c r="F17" i="5"/>
  <c r="E17" i="5"/>
  <c r="C17" i="5"/>
  <c r="B17" i="5"/>
  <c r="A17" i="5"/>
  <c r="G16" i="5"/>
  <c r="F16" i="5"/>
  <c r="E16" i="5"/>
  <c r="C16" i="5"/>
  <c r="B16" i="5"/>
  <c r="A16" i="5"/>
  <c r="G15" i="5"/>
  <c r="F15" i="5"/>
  <c r="E15" i="5"/>
  <c r="C15" i="5"/>
  <c r="B15" i="5"/>
  <c r="A15" i="5"/>
  <c r="G14" i="5"/>
  <c r="F14" i="5"/>
  <c r="E14" i="5"/>
  <c r="C14" i="5"/>
  <c r="B14" i="5"/>
  <c r="A14" i="5"/>
  <c r="G13" i="5"/>
  <c r="F13" i="5"/>
  <c r="E13" i="5"/>
  <c r="C13" i="5"/>
  <c r="B13" i="5"/>
  <c r="A13" i="5"/>
  <c r="G12" i="5"/>
  <c r="F12" i="5"/>
  <c r="E12" i="5"/>
  <c r="C12" i="5"/>
  <c r="B12" i="5"/>
  <c r="A12" i="5"/>
  <c r="G11" i="5"/>
  <c r="F11" i="5"/>
  <c r="E11" i="5"/>
  <c r="C11" i="5"/>
  <c r="B11" i="5"/>
  <c r="A11" i="5"/>
  <c r="G10" i="5"/>
  <c r="F10" i="5"/>
  <c r="E10" i="5"/>
  <c r="C10" i="5"/>
  <c r="B10" i="5"/>
  <c r="A10" i="5"/>
  <c r="G9" i="5"/>
  <c r="F9" i="5"/>
  <c r="E9" i="5"/>
  <c r="C9" i="5"/>
  <c r="B9" i="5"/>
  <c r="A9" i="5"/>
  <c r="G8" i="5"/>
  <c r="F8" i="5"/>
  <c r="E8" i="5"/>
  <c r="C8" i="5"/>
  <c r="B8" i="5"/>
  <c r="A8" i="5"/>
  <c r="G7" i="5"/>
  <c r="F7" i="5"/>
  <c r="E7" i="5"/>
  <c r="C7" i="5"/>
  <c r="B7" i="5"/>
  <c r="A7" i="5"/>
  <c r="G6" i="5"/>
  <c r="F6" i="5"/>
  <c r="E6" i="5"/>
  <c r="C6" i="5"/>
  <c r="B6" i="5"/>
  <c r="A6" i="5"/>
  <c r="G5" i="5"/>
  <c r="F5" i="5"/>
  <c r="E5" i="5"/>
  <c r="C5" i="5"/>
  <c r="B5" i="5"/>
  <c r="A5" i="5"/>
  <c r="G4" i="5"/>
  <c r="F4" i="5"/>
  <c r="E4" i="5"/>
  <c r="C4" i="5"/>
  <c r="B4" i="5"/>
  <c r="A4" i="5"/>
  <c r="G3" i="5"/>
  <c r="F3" i="5"/>
  <c r="E3" i="5"/>
  <c r="C3" i="5"/>
  <c r="B3" i="5"/>
  <c r="A3" i="5"/>
  <c r="G2" i="5"/>
  <c r="F2" i="5"/>
  <c r="E2" i="5"/>
  <c r="C2" i="5"/>
  <c r="B2" i="5"/>
  <c r="A2" i="5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G550" i="2"/>
  <c r="F550" i="2"/>
  <c r="E550" i="2"/>
  <c r="D550" i="5" s="1"/>
  <c r="G549" i="2"/>
  <c r="F549" i="2"/>
  <c r="E549" i="2"/>
  <c r="D549" i="5" s="1"/>
  <c r="G548" i="2"/>
  <c r="F548" i="2"/>
  <c r="E548" i="2"/>
  <c r="D548" i="5" s="1"/>
  <c r="G547" i="2"/>
  <c r="F547" i="2"/>
  <c r="E547" i="2"/>
  <c r="D547" i="5" s="1"/>
  <c r="G546" i="2"/>
  <c r="F546" i="2"/>
  <c r="E546" i="2"/>
  <c r="D546" i="5" s="1"/>
  <c r="G545" i="2"/>
  <c r="F545" i="2"/>
  <c r="E545" i="2"/>
  <c r="D545" i="5" s="1"/>
  <c r="G544" i="2"/>
  <c r="F544" i="2"/>
  <c r="E544" i="2"/>
  <c r="D544" i="5" s="1"/>
  <c r="G543" i="2"/>
  <c r="F543" i="2"/>
  <c r="E543" i="2"/>
  <c r="D543" i="5" s="1"/>
  <c r="G542" i="2"/>
  <c r="F542" i="2"/>
  <c r="E542" i="2"/>
  <c r="D542" i="5" s="1"/>
  <c r="G541" i="2"/>
  <c r="F541" i="2"/>
  <c r="E541" i="2"/>
  <c r="D541" i="5" s="1"/>
  <c r="G540" i="2"/>
  <c r="F540" i="2"/>
  <c r="E540" i="2"/>
  <c r="D540" i="5" s="1"/>
  <c r="G539" i="2"/>
  <c r="F539" i="2"/>
  <c r="E539" i="2"/>
  <c r="D539" i="5" s="1"/>
  <c r="G538" i="2"/>
  <c r="F538" i="2"/>
  <c r="E538" i="2"/>
  <c r="D538" i="5" s="1"/>
  <c r="G537" i="2"/>
  <c r="F537" i="2"/>
  <c r="E537" i="2"/>
  <c r="D537" i="5" s="1"/>
  <c r="G536" i="2"/>
  <c r="F536" i="2"/>
  <c r="E536" i="2"/>
  <c r="D536" i="5" s="1"/>
  <c r="G535" i="2"/>
  <c r="F535" i="2"/>
  <c r="E535" i="2"/>
  <c r="D535" i="5" s="1"/>
  <c r="G534" i="2"/>
  <c r="F534" i="2"/>
  <c r="E534" i="2"/>
  <c r="D534" i="5" s="1"/>
  <c r="G533" i="2"/>
  <c r="F533" i="2"/>
  <c r="E533" i="2"/>
  <c r="D533" i="5" s="1"/>
  <c r="G532" i="2"/>
  <c r="F532" i="2"/>
  <c r="E532" i="2"/>
  <c r="D532" i="5" s="1"/>
  <c r="G531" i="2"/>
  <c r="F531" i="2"/>
  <c r="E531" i="2"/>
  <c r="D531" i="5" s="1"/>
  <c r="G530" i="2"/>
  <c r="F530" i="2"/>
  <c r="E530" i="2"/>
  <c r="D530" i="5" s="1"/>
  <c r="G529" i="2"/>
  <c r="F529" i="2"/>
  <c r="E529" i="2"/>
  <c r="D529" i="5" s="1"/>
  <c r="G528" i="2"/>
  <c r="F528" i="2"/>
  <c r="E528" i="2"/>
  <c r="D528" i="5" s="1"/>
  <c r="G527" i="2"/>
  <c r="F527" i="2"/>
  <c r="E527" i="2"/>
  <c r="D527" i="5" s="1"/>
  <c r="G526" i="2"/>
  <c r="F526" i="2"/>
  <c r="E526" i="2"/>
  <c r="D526" i="5" s="1"/>
  <c r="G525" i="2"/>
  <c r="F525" i="2"/>
  <c r="E525" i="2"/>
  <c r="D525" i="5" s="1"/>
  <c r="G524" i="2"/>
  <c r="F524" i="2"/>
  <c r="E524" i="2"/>
  <c r="D524" i="5" s="1"/>
  <c r="G523" i="2"/>
  <c r="F523" i="2"/>
  <c r="E523" i="2"/>
  <c r="D523" i="5" s="1"/>
  <c r="G522" i="2"/>
  <c r="F522" i="2"/>
  <c r="E522" i="2"/>
  <c r="D522" i="5" s="1"/>
  <c r="G521" i="2"/>
  <c r="F521" i="2"/>
  <c r="E521" i="2"/>
  <c r="D521" i="5" s="1"/>
  <c r="G520" i="2"/>
  <c r="F520" i="2"/>
  <c r="E520" i="2"/>
  <c r="D520" i="5" s="1"/>
  <c r="G519" i="2"/>
  <c r="F519" i="2"/>
  <c r="E519" i="2"/>
  <c r="D519" i="5" s="1"/>
  <c r="G518" i="2"/>
  <c r="F518" i="2"/>
  <c r="E518" i="2"/>
  <c r="D518" i="5" s="1"/>
  <c r="G517" i="2"/>
  <c r="F517" i="2"/>
  <c r="E517" i="2"/>
  <c r="D517" i="5" s="1"/>
  <c r="G516" i="2"/>
  <c r="F516" i="2"/>
  <c r="E516" i="2"/>
  <c r="D516" i="5" s="1"/>
  <c r="G515" i="2"/>
  <c r="F515" i="2"/>
  <c r="E515" i="2"/>
  <c r="D515" i="5" s="1"/>
  <c r="G514" i="2"/>
  <c r="F514" i="2"/>
  <c r="E514" i="2"/>
  <c r="D514" i="5" s="1"/>
  <c r="G513" i="2"/>
  <c r="F513" i="2"/>
  <c r="E513" i="2"/>
  <c r="D513" i="5" s="1"/>
  <c r="G512" i="2"/>
  <c r="F512" i="2"/>
  <c r="E512" i="2"/>
  <c r="D512" i="5" s="1"/>
  <c r="G511" i="2"/>
  <c r="F511" i="2"/>
  <c r="E511" i="2"/>
  <c r="D511" i="5" s="1"/>
  <c r="G510" i="2"/>
  <c r="F510" i="2"/>
  <c r="E510" i="2"/>
  <c r="D510" i="5" s="1"/>
  <c r="G509" i="2"/>
  <c r="F509" i="2"/>
  <c r="E509" i="2"/>
  <c r="D509" i="5" s="1"/>
  <c r="G508" i="2"/>
  <c r="F508" i="2"/>
  <c r="E508" i="2"/>
  <c r="D508" i="5" s="1"/>
  <c r="G507" i="2"/>
  <c r="F507" i="2"/>
  <c r="E507" i="2"/>
  <c r="D507" i="5" s="1"/>
  <c r="G506" i="2"/>
  <c r="F506" i="2"/>
  <c r="E506" i="2"/>
  <c r="D506" i="5" s="1"/>
  <c r="G505" i="2"/>
  <c r="F505" i="2"/>
  <c r="E505" i="2"/>
  <c r="D505" i="5" s="1"/>
  <c r="G504" i="2"/>
  <c r="F504" i="2"/>
  <c r="E504" i="2"/>
  <c r="D504" i="5" s="1"/>
  <c r="G503" i="2"/>
  <c r="F503" i="2"/>
  <c r="E503" i="2"/>
  <c r="D503" i="5" s="1"/>
  <c r="G502" i="2"/>
  <c r="F502" i="2"/>
  <c r="E502" i="2"/>
  <c r="D502" i="5" s="1"/>
  <c r="G501" i="2"/>
  <c r="F501" i="2"/>
  <c r="E501" i="2"/>
  <c r="D501" i="5" s="1"/>
  <c r="G500" i="2"/>
  <c r="F500" i="2"/>
  <c r="E500" i="2"/>
  <c r="D500" i="5" s="1"/>
  <c r="G499" i="2"/>
  <c r="F499" i="2"/>
  <c r="E499" i="2"/>
  <c r="D499" i="5" s="1"/>
  <c r="G498" i="2"/>
  <c r="F498" i="2"/>
  <c r="E498" i="2"/>
  <c r="D498" i="5" s="1"/>
  <c r="G497" i="2"/>
  <c r="F497" i="2"/>
  <c r="E497" i="2"/>
  <c r="D497" i="5" s="1"/>
  <c r="G496" i="2"/>
  <c r="F496" i="2"/>
  <c r="E496" i="2"/>
  <c r="D496" i="5" s="1"/>
  <c r="G495" i="2"/>
  <c r="F495" i="2"/>
  <c r="E495" i="2"/>
  <c r="D495" i="5" s="1"/>
  <c r="G494" i="2"/>
  <c r="F494" i="2"/>
  <c r="E494" i="2"/>
  <c r="D494" i="5" s="1"/>
  <c r="G493" i="2"/>
  <c r="F493" i="2"/>
  <c r="E493" i="2"/>
  <c r="D493" i="5" s="1"/>
  <c r="G492" i="2"/>
  <c r="F492" i="2"/>
  <c r="E492" i="2"/>
  <c r="D492" i="5" s="1"/>
  <c r="G491" i="2"/>
  <c r="F491" i="2"/>
  <c r="E491" i="2"/>
  <c r="D491" i="5" s="1"/>
  <c r="G490" i="2"/>
  <c r="F490" i="2"/>
  <c r="E490" i="2"/>
  <c r="D490" i="5" s="1"/>
  <c r="G489" i="2"/>
  <c r="F489" i="2"/>
  <c r="E489" i="2"/>
  <c r="D489" i="5" s="1"/>
  <c r="G488" i="2"/>
  <c r="F488" i="2"/>
  <c r="E488" i="2"/>
  <c r="D488" i="5" s="1"/>
  <c r="G487" i="2"/>
  <c r="F487" i="2"/>
  <c r="E487" i="2"/>
  <c r="D487" i="5" s="1"/>
  <c r="G486" i="2"/>
  <c r="F486" i="2"/>
  <c r="E486" i="2"/>
  <c r="D486" i="5" s="1"/>
  <c r="G485" i="2"/>
  <c r="F485" i="2"/>
  <c r="E485" i="2"/>
  <c r="D485" i="5" s="1"/>
  <c r="G484" i="2"/>
  <c r="F484" i="2"/>
  <c r="E484" i="2"/>
  <c r="D484" i="5" s="1"/>
  <c r="G483" i="2"/>
  <c r="F483" i="2"/>
  <c r="E483" i="2"/>
  <c r="D483" i="5" s="1"/>
  <c r="G482" i="2"/>
  <c r="F482" i="2"/>
  <c r="E482" i="2"/>
  <c r="D482" i="5" s="1"/>
  <c r="G481" i="2"/>
  <c r="F481" i="2"/>
  <c r="E481" i="2"/>
  <c r="D481" i="5" s="1"/>
  <c r="G480" i="2"/>
  <c r="F480" i="2"/>
  <c r="E480" i="2"/>
  <c r="D480" i="5" s="1"/>
  <c r="G479" i="2"/>
  <c r="F479" i="2"/>
  <c r="E479" i="2"/>
  <c r="D479" i="5" s="1"/>
  <c r="G478" i="2"/>
  <c r="F478" i="2"/>
  <c r="E478" i="2"/>
  <c r="D478" i="5" s="1"/>
  <c r="G477" i="2"/>
  <c r="F477" i="2"/>
  <c r="E477" i="2"/>
  <c r="D477" i="5" s="1"/>
  <c r="G476" i="2"/>
  <c r="F476" i="2"/>
  <c r="E476" i="2"/>
  <c r="D476" i="5" s="1"/>
  <c r="G475" i="2"/>
  <c r="F475" i="2"/>
  <c r="E475" i="2"/>
  <c r="D475" i="5" s="1"/>
  <c r="G474" i="2"/>
  <c r="F474" i="2"/>
  <c r="E474" i="2"/>
  <c r="D474" i="5" s="1"/>
  <c r="G473" i="2"/>
  <c r="F473" i="2"/>
  <c r="E473" i="2"/>
  <c r="D473" i="5" s="1"/>
  <c r="G472" i="2"/>
  <c r="F472" i="2"/>
  <c r="E472" i="2"/>
  <c r="D472" i="5" s="1"/>
  <c r="G471" i="2"/>
  <c r="F471" i="2"/>
  <c r="E471" i="2"/>
  <c r="D471" i="5" s="1"/>
  <c r="G470" i="2"/>
  <c r="F470" i="2"/>
  <c r="E470" i="2"/>
  <c r="D470" i="5" s="1"/>
  <c r="G469" i="2"/>
  <c r="F469" i="2"/>
  <c r="E469" i="2"/>
  <c r="D469" i="5" s="1"/>
  <c r="G468" i="2"/>
  <c r="F468" i="2"/>
  <c r="E468" i="2"/>
  <c r="D468" i="5" s="1"/>
  <c r="G467" i="2"/>
  <c r="F467" i="2"/>
  <c r="E467" i="2"/>
  <c r="D467" i="5" s="1"/>
  <c r="G466" i="2"/>
  <c r="F466" i="2"/>
  <c r="E466" i="2"/>
  <c r="D466" i="5" s="1"/>
  <c r="G465" i="2"/>
  <c r="F465" i="2"/>
  <c r="E465" i="2"/>
  <c r="D465" i="5" s="1"/>
  <c r="G464" i="2"/>
  <c r="F464" i="2"/>
  <c r="E464" i="2"/>
  <c r="D464" i="5" s="1"/>
  <c r="G463" i="2"/>
  <c r="F463" i="2"/>
  <c r="E463" i="2"/>
  <c r="D463" i="5" s="1"/>
  <c r="G462" i="2"/>
  <c r="F462" i="2"/>
  <c r="E462" i="2"/>
  <c r="D462" i="5" s="1"/>
  <c r="G461" i="2"/>
  <c r="F461" i="2"/>
  <c r="E461" i="2"/>
  <c r="D461" i="5" s="1"/>
  <c r="G460" i="2"/>
  <c r="F460" i="2"/>
  <c r="E460" i="2"/>
  <c r="D460" i="5" s="1"/>
  <c r="G459" i="2"/>
  <c r="F459" i="2"/>
  <c r="E459" i="2"/>
  <c r="D459" i="5" s="1"/>
  <c r="G458" i="2"/>
  <c r="F458" i="2"/>
  <c r="E458" i="2"/>
  <c r="D458" i="5" s="1"/>
  <c r="G457" i="2"/>
  <c r="F457" i="2"/>
  <c r="E457" i="2"/>
  <c r="D457" i="5" s="1"/>
  <c r="G456" i="2"/>
  <c r="F456" i="2"/>
  <c r="E456" i="2"/>
  <c r="D456" i="5" s="1"/>
  <c r="G455" i="2"/>
  <c r="F455" i="2"/>
  <c r="E455" i="2"/>
  <c r="D455" i="5" s="1"/>
  <c r="G454" i="2"/>
  <c r="F454" i="2"/>
  <c r="E454" i="2"/>
  <c r="D454" i="5" s="1"/>
  <c r="G453" i="2"/>
  <c r="F453" i="2"/>
  <c r="E453" i="2"/>
  <c r="D453" i="5" s="1"/>
  <c r="G452" i="2"/>
  <c r="F452" i="2"/>
  <c r="E452" i="2"/>
  <c r="D452" i="5" s="1"/>
  <c r="G451" i="2"/>
  <c r="F451" i="2"/>
  <c r="E451" i="2"/>
  <c r="D451" i="5" s="1"/>
  <c r="G450" i="2"/>
  <c r="F450" i="2"/>
  <c r="E450" i="2"/>
  <c r="D450" i="5" s="1"/>
  <c r="G449" i="2"/>
  <c r="F449" i="2"/>
  <c r="E449" i="2"/>
  <c r="D449" i="5" s="1"/>
  <c r="G448" i="2"/>
  <c r="F448" i="2"/>
  <c r="E448" i="2"/>
  <c r="D448" i="5" s="1"/>
  <c r="G447" i="2"/>
  <c r="F447" i="2"/>
  <c r="E447" i="2"/>
  <c r="D447" i="5" s="1"/>
  <c r="G446" i="2"/>
  <c r="F446" i="2"/>
  <c r="E446" i="2"/>
  <c r="D446" i="5" s="1"/>
  <c r="G445" i="2"/>
  <c r="F445" i="2"/>
  <c r="E445" i="2"/>
  <c r="D445" i="5" s="1"/>
  <c r="G444" i="2"/>
  <c r="F444" i="2"/>
  <c r="E444" i="2"/>
  <c r="D444" i="5" s="1"/>
  <c r="G443" i="2"/>
  <c r="F443" i="2"/>
  <c r="E443" i="2"/>
  <c r="D443" i="5" s="1"/>
  <c r="G442" i="2"/>
  <c r="F442" i="2"/>
  <c r="E442" i="2"/>
  <c r="D442" i="5" s="1"/>
  <c r="G441" i="2"/>
  <c r="F441" i="2"/>
  <c r="E441" i="2"/>
  <c r="D441" i="5" s="1"/>
  <c r="G440" i="2"/>
  <c r="F440" i="2"/>
  <c r="E440" i="2"/>
  <c r="D440" i="5" s="1"/>
  <c r="G439" i="2"/>
  <c r="F439" i="2"/>
  <c r="E439" i="2"/>
  <c r="D439" i="5" s="1"/>
  <c r="G438" i="2"/>
  <c r="F438" i="2"/>
  <c r="E438" i="2"/>
  <c r="D438" i="5" s="1"/>
  <c r="G437" i="2"/>
  <c r="F437" i="2"/>
  <c r="E437" i="2"/>
  <c r="D437" i="5" s="1"/>
  <c r="G436" i="2"/>
  <c r="F436" i="2"/>
  <c r="E436" i="2"/>
  <c r="D436" i="5" s="1"/>
  <c r="G435" i="2"/>
  <c r="F435" i="2"/>
  <c r="E435" i="2"/>
  <c r="D435" i="5" s="1"/>
  <c r="G434" i="2"/>
  <c r="F434" i="2"/>
  <c r="E434" i="2"/>
  <c r="D434" i="5" s="1"/>
  <c r="G433" i="2"/>
  <c r="F433" i="2"/>
  <c r="E433" i="2"/>
  <c r="D433" i="5" s="1"/>
  <c r="G432" i="2"/>
  <c r="F432" i="2"/>
  <c r="E432" i="2"/>
  <c r="D432" i="5" s="1"/>
  <c r="G431" i="2"/>
  <c r="F431" i="2"/>
  <c r="E431" i="2"/>
  <c r="D431" i="5" s="1"/>
  <c r="G430" i="2"/>
  <c r="F430" i="2"/>
  <c r="E430" i="2"/>
  <c r="D430" i="5" s="1"/>
  <c r="G429" i="2"/>
  <c r="F429" i="2"/>
  <c r="E429" i="2"/>
  <c r="D429" i="5" s="1"/>
  <c r="G428" i="2"/>
  <c r="F428" i="2"/>
  <c r="E428" i="2"/>
  <c r="D428" i="5" s="1"/>
  <c r="G427" i="2"/>
  <c r="F427" i="2"/>
  <c r="E427" i="2"/>
  <c r="D427" i="5" s="1"/>
  <c r="G426" i="2"/>
  <c r="F426" i="2"/>
  <c r="E426" i="2"/>
  <c r="D426" i="5" s="1"/>
  <c r="G425" i="2"/>
  <c r="F425" i="2"/>
  <c r="E425" i="2"/>
  <c r="D425" i="5" s="1"/>
  <c r="G424" i="2"/>
  <c r="F424" i="2"/>
  <c r="E424" i="2"/>
  <c r="D424" i="5" s="1"/>
  <c r="G423" i="2"/>
  <c r="F423" i="2"/>
  <c r="E423" i="2"/>
  <c r="D423" i="5" s="1"/>
  <c r="G422" i="2"/>
  <c r="F422" i="2"/>
  <c r="E422" i="2"/>
  <c r="D422" i="5" s="1"/>
  <c r="G421" i="2"/>
  <c r="F421" i="2"/>
  <c r="E421" i="2"/>
  <c r="D421" i="5" s="1"/>
  <c r="G420" i="2"/>
  <c r="F420" i="2"/>
  <c r="E420" i="2"/>
  <c r="D420" i="5" s="1"/>
  <c r="G419" i="2"/>
  <c r="F419" i="2"/>
  <c r="E419" i="2"/>
  <c r="D419" i="5" s="1"/>
  <c r="G418" i="2"/>
  <c r="F418" i="2"/>
  <c r="E418" i="2"/>
  <c r="D418" i="5" s="1"/>
  <c r="G417" i="2"/>
  <c r="F417" i="2"/>
  <c r="E417" i="2"/>
  <c r="D417" i="5" s="1"/>
  <c r="G416" i="2"/>
  <c r="F416" i="2"/>
  <c r="E416" i="2"/>
  <c r="D416" i="5" s="1"/>
  <c r="G415" i="2"/>
  <c r="F415" i="2"/>
  <c r="E415" i="2"/>
  <c r="D415" i="5" s="1"/>
  <c r="G414" i="2"/>
  <c r="F414" i="2"/>
  <c r="E414" i="2"/>
  <c r="D414" i="5" s="1"/>
  <c r="G413" i="2"/>
  <c r="F413" i="2"/>
  <c r="E413" i="2"/>
  <c r="D413" i="5" s="1"/>
  <c r="G412" i="2"/>
  <c r="F412" i="2"/>
  <c r="E412" i="2"/>
  <c r="D412" i="5" s="1"/>
  <c r="G411" i="2"/>
  <c r="F411" i="2"/>
  <c r="E411" i="2"/>
  <c r="D411" i="5" s="1"/>
  <c r="G410" i="2"/>
  <c r="F410" i="2"/>
  <c r="E410" i="2"/>
  <c r="D410" i="5" s="1"/>
  <c r="G409" i="2"/>
  <c r="F409" i="2"/>
  <c r="E409" i="2"/>
  <c r="D409" i="5" s="1"/>
  <c r="G408" i="2"/>
  <c r="F408" i="2"/>
  <c r="E408" i="2"/>
  <c r="D408" i="5" s="1"/>
  <c r="G407" i="2"/>
  <c r="F407" i="2"/>
  <c r="E407" i="2"/>
  <c r="D407" i="5" s="1"/>
  <c r="G406" i="2"/>
  <c r="F406" i="2"/>
  <c r="E406" i="2"/>
  <c r="D406" i="5" s="1"/>
  <c r="G405" i="2"/>
  <c r="F405" i="2"/>
  <c r="E405" i="2"/>
  <c r="D405" i="5" s="1"/>
  <c r="G404" i="2"/>
  <c r="F404" i="2"/>
  <c r="E404" i="2"/>
  <c r="D404" i="5" s="1"/>
  <c r="G403" i="2"/>
  <c r="F403" i="2"/>
  <c r="E403" i="2"/>
  <c r="D403" i="5" s="1"/>
  <c r="G402" i="2"/>
  <c r="F402" i="2"/>
  <c r="E402" i="2"/>
  <c r="D402" i="5" s="1"/>
  <c r="G401" i="2"/>
  <c r="F401" i="2"/>
  <c r="E401" i="2"/>
  <c r="D401" i="5" s="1"/>
  <c r="G400" i="2"/>
  <c r="F400" i="2"/>
  <c r="E400" i="2"/>
  <c r="D400" i="5" s="1"/>
  <c r="G399" i="2"/>
  <c r="F399" i="2"/>
  <c r="E399" i="2"/>
  <c r="D399" i="5" s="1"/>
  <c r="G398" i="2"/>
  <c r="F398" i="2"/>
  <c r="E398" i="2"/>
  <c r="D398" i="5" s="1"/>
  <c r="G397" i="2"/>
  <c r="F397" i="2"/>
  <c r="E397" i="2"/>
  <c r="D397" i="5" s="1"/>
  <c r="G396" i="2"/>
  <c r="F396" i="2"/>
  <c r="E396" i="2"/>
  <c r="D396" i="5" s="1"/>
  <c r="G395" i="2"/>
  <c r="F395" i="2"/>
  <c r="E395" i="2"/>
  <c r="D395" i="5" s="1"/>
  <c r="G394" i="2"/>
  <c r="F394" i="2"/>
  <c r="E394" i="2"/>
  <c r="D394" i="5" s="1"/>
  <c r="G393" i="2"/>
  <c r="F393" i="2"/>
  <c r="E393" i="2"/>
  <c r="D393" i="5" s="1"/>
  <c r="G392" i="2"/>
  <c r="F392" i="2"/>
  <c r="E392" i="2"/>
  <c r="D392" i="5" s="1"/>
  <c r="G391" i="2"/>
  <c r="F391" i="2"/>
  <c r="E391" i="2"/>
  <c r="D391" i="5" s="1"/>
  <c r="G390" i="2"/>
  <c r="F390" i="2"/>
  <c r="E390" i="2"/>
  <c r="D390" i="5" s="1"/>
  <c r="G389" i="2"/>
  <c r="F389" i="2"/>
  <c r="E389" i="2"/>
  <c r="D389" i="5" s="1"/>
  <c r="G388" i="2"/>
  <c r="F388" i="2"/>
  <c r="E388" i="2"/>
  <c r="D388" i="5" s="1"/>
  <c r="G387" i="2"/>
  <c r="F387" i="2"/>
  <c r="E387" i="2"/>
  <c r="D387" i="5" s="1"/>
  <c r="G386" i="2"/>
  <c r="F386" i="2"/>
  <c r="E386" i="2"/>
  <c r="D386" i="5" s="1"/>
  <c r="G385" i="2"/>
  <c r="F385" i="2"/>
  <c r="E385" i="2"/>
  <c r="D385" i="5" s="1"/>
  <c r="G384" i="2"/>
  <c r="F384" i="2"/>
  <c r="E384" i="2"/>
  <c r="D384" i="5" s="1"/>
  <c r="G383" i="2"/>
  <c r="F383" i="2"/>
  <c r="E383" i="2"/>
  <c r="D383" i="5" s="1"/>
  <c r="G382" i="2"/>
  <c r="F382" i="2"/>
  <c r="E382" i="2"/>
  <c r="D382" i="5" s="1"/>
  <c r="G381" i="2"/>
  <c r="F381" i="2"/>
  <c r="E381" i="2"/>
  <c r="D381" i="5" s="1"/>
  <c r="G380" i="2"/>
  <c r="F380" i="2"/>
  <c r="E380" i="2"/>
  <c r="D380" i="5" s="1"/>
  <c r="G379" i="2"/>
  <c r="F379" i="2"/>
  <c r="E379" i="2"/>
  <c r="D379" i="5" s="1"/>
  <c r="G378" i="2"/>
  <c r="F378" i="2"/>
  <c r="E378" i="2"/>
  <c r="D378" i="5" s="1"/>
  <c r="G377" i="2"/>
  <c r="F377" i="2"/>
  <c r="E377" i="2"/>
  <c r="D377" i="5" s="1"/>
  <c r="G376" i="2"/>
  <c r="F376" i="2"/>
  <c r="E376" i="2"/>
  <c r="D376" i="5" s="1"/>
  <c r="G375" i="2"/>
  <c r="F375" i="2"/>
  <c r="E375" i="2"/>
  <c r="D375" i="5" s="1"/>
  <c r="G374" i="2"/>
  <c r="F374" i="2"/>
  <c r="E374" i="2"/>
  <c r="D374" i="5" s="1"/>
  <c r="G373" i="2"/>
  <c r="F373" i="2"/>
  <c r="E373" i="2"/>
  <c r="D373" i="5" s="1"/>
  <c r="G372" i="2"/>
  <c r="F372" i="2"/>
  <c r="E372" i="2"/>
  <c r="D372" i="5" s="1"/>
  <c r="G371" i="2"/>
  <c r="F371" i="2"/>
  <c r="E371" i="2"/>
  <c r="D371" i="5" s="1"/>
  <c r="G370" i="2"/>
  <c r="F370" i="2"/>
  <c r="E370" i="2"/>
  <c r="D370" i="5" s="1"/>
  <c r="G369" i="2"/>
  <c r="F369" i="2"/>
  <c r="E369" i="2"/>
  <c r="D369" i="5" s="1"/>
  <c r="G368" i="2"/>
  <c r="F368" i="2"/>
  <c r="E368" i="2"/>
  <c r="D368" i="5" s="1"/>
  <c r="G367" i="2"/>
  <c r="F367" i="2"/>
  <c r="E367" i="2"/>
  <c r="D367" i="5" s="1"/>
  <c r="G366" i="2"/>
  <c r="F366" i="2"/>
  <c r="E366" i="2"/>
  <c r="D366" i="5" s="1"/>
  <c r="G365" i="2"/>
  <c r="F365" i="2"/>
  <c r="E365" i="2"/>
  <c r="D365" i="5" s="1"/>
  <c r="G364" i="2"/>
  <c r="F364" i="2"/>
  <c r="E364" i="2"/>
  <c r="D364" i="5" s="1"/>
  <c r="G363" i="2"/>
  <c r="F363" i="2"/>
  <c r="E363" i="2"/>
  <c r="D363" i="5" s="1"/>
  <c r="G362" i="2"/>
  <c r="F362" i="2"/>
  <c r="E362" i="2"/>
  <c r="D362" i="5" s="1"/>
  <c r="G361" i="2"/>
  <c r="F361" i="2"/>
  <c r="E361" i="2"/>
  <c r="D361" i="5" s="1"/>
  <c r="G360" i="2"/>
  <c r="F360" i="2"/>
  <c r="E360" i="2"/>
  <c r="D360" i="5" s="1"/>
  <c r="G359" i="2"/>
  <c r="F359" i="2"/>
  <c r="E359" i="2"/>
  <c r="D359" i="5" s="1"/>
  <c r="G358" i="2"/>
  <c r="F358" i="2"/>
  <c r="E358" i="2"/>
  <c r="D358" i="5" s="1"/>
  <c r="G357" i="2"/>
  <c r="F357" i="2"/>
  <c r="E357" i="2"/>
  <c r="D357" i="5" s="1"/>
  <c r="G356" i="2"/>
  <c r="F356" i="2"/>
  <c r="E356" i="2"/>
  <c r="D356" i="5" s="1"/>
  <c r="G355" i="2"/>
  <c r="F355" i="2"/>
  <c r="E355" i="2"/>
  <c r="D355" i="5" s="1"/>
  <c r="G354" i="2"/>
  <c r="F354" i="2"/>
  <c r="E354" i="2"/>
  <c r="D354" i="5" s="1"/>
  <c r="G353" i="2"/>
  <c r="F353" i="2"/>
  <c r="E353" i="2"/>
  <c r="D353" i="5" s="1"/>
  <c r="G352" i="2"/>
  <c r="F352" i="2"/>
  <c r="E352" i="2"/>
  <c r="D352" i="5" s="1"/>
  <c r="G351" i="2"/>
  <c r="F351" i="2"/>
  <c r="E351" i="2"/>
  <c r="D351" i="5" s="1"/>
  <c r="G350" i="2"/>
  <c r="F350" i="2"/>
  <c r="E350" i="2"/>
  <c r="D350" i="5" s="1"/>
  <c r="G349" i="2"/>
  <c r="F349" i="2"/>
  <c r="E349" i="2"/>
  <c r="D349" i="5" s="1"/>
  <c r="G348" i="2"/>
  <c r="F348" i="2"/>
  <c r="E348" i="2"/>
  <c r="D348" i="5" s="1"/>
  <c r="G347" i="2"/>
  <c r="F347" i="2"/>
  <c r="E347" i="2"/>
  <c r="D347" i="5" s="1"/>
  <c r="G346" i="2"/>
  <c r="F346" i="2"/>
  <c r="E346" i="2"/>
  <c r="D346" i="5" s="1"/>
  <c r="G345" i="2"/>
  <c r="F345" i="2"/>
  <c r="E345" i="2"/>
  <c r="D345" i="5" s="1"/>
  <c r="G344" i="2"/>
  <c r="F344" i="2"/>
  <c r="E344" i="2"/>
  <c r="D344" i="5" s="1"/>
  <c r="G343" i="2"/>
  <c r="F343" i="2"/>
  <c r="E343" i="2"/>
  <c r="D343" i="5" s="1"/>
  <c r="G342" i="2"/>
  <c r="F342" i="2"/>
  <c r="E342" i="2"/>
  <c r="D342" i="5" s="1"/>
  <c r="G341" i="2"/>
  <c r="F341" i="2"/>
  <c r="E341" i="2"/>
  <c r="D341" i="5" s="1"/>
  <c r="G340" i="2"/>
  <c r="F340" i="2"/>
  <c r="E340" i="2"/>
  <c r="D340" i="5" s="1"/>
  <c r="G339" i="2"/>
  <c r="F339" i="2"/>
  <c r="E339" i="2"/>
  <c r="D339" i="5" s="1"/>
  <c r="G338" i="2"/>
  <c r="F338" i="2"/>
  <c r="E338" i="2"/>
  <c r="D338" i="5" s="1"/>
  <c r="G337" i="2"/>
  <c r="F337" i="2"/>
  <c r="E337" i="2"/>
  <c r="D337" i="5" s="1"/>
  <c r="G336" i="2"/>
  <c r="F336" i="2"/>
  <c r="E336" i="2"/>
  <c r="D336" i="5" s="1"/>
  <c r="G335" i="2"/>
  <c r="F335" i="2"/>
  <c r="E335" i="2"/>
  <c r="D335" i="5" s="1"/>
  <c r="G334" i="2"/>
  <c r="F334" i="2"/>
  <c r="E334" i="2"/>
  <c r="D334" i="5" s="1"/>
  <c r="G333" i="2"/>
  <c r="F333" i="2"/>
  <c r="E333" i="2"/>
  <c r="D333" i="5" s="1"/>
  <c r="G332" i="2"/>
  <c r="F332" i="2"/>
  <c r="E332" i="2"/>
  <c r="D332" i="5" s="1"/>
  <c r="G331" i="2"/>
  <c r="F331" i="2"/>
  <c r="E331" i="2"/>
  <c r="D331" i="5" s="1"/>
  <c r="G330" i="2"/>
  <c r="F330" i="2"/>
  <c r="E330" i="2"/>
  <c r="D330" i="5" s="1"/>
  <c r="G329" i="2"/>
  <c r="F329" i="2"/>
  <c r="E329" i="2"/>
  <c r="D329" i="5" s="1"/>
  <c r="G328" i="2"/>
  <c r="F328" i="2"/>
  <c r="E328" i="2"/>
  <c r="D328" i="5" s="1"/>
  <c r="G327" i="2"/>
  <c r="F327" i="2"/>
  <c r="E327" i="2"/>
  <c r="D327" i="5" s="1"/>
  <c r="G326" i="2"/>
  <c r="F326" i="2"/>
  <c r="E326" i="2"/>
  <c r="D326" i="5" s="1"/>
  <c r="G325" i="2"/>
  <c r="F325" i="2"/>
  <c r="E325" i="2"/>
  <c r="D325" i="5" s="1"/>
  <c r="G324" i="2"/>
  <c r="F324" i="2"/>
  <c r="E324" i="2"/>
  <c r="D324" i="5" s="1"/>
  <c r="G323" i="2"/>
  <c r="F323" i="2"/>
  <c r="E323" i="2"/>
  <c r="D323" i="5" s="1"/>
  <c r="G322" i="2"/>
  <c r="F322" i="2"/>
  <c r="E322" i="2"/>
  <c r="D322" i="5" s="1"/>
  <c r="G321" i="2"/>
  <c r="F321" i="2"/>
  <c r="E321" i="2"/>
  <c r="D321" i="5" s="1"/>
  <c r="G320" i="2"/>
  <c r="F320" i="2"/>
  <c r="E320" i="2"/>
  <c r="D320" i="5" s="1"/>
  <c r="G319" i="2"/>
  <c r="F319" i="2"/>
  <c r="E319" i="2"/>
  <c r="D319" i="5" s="1"/>
  <c r="G318" i="2"/>
  <c r="F318" i="2"/>
  <c r="E318" i="2"/>
  <c r="D318" i="5" s="1"/>
  <c r="G317" i="2"/>
  <c r="F317" i="2"/>
  <c r="E317" i="2"/>
  <c r="D317" i="5" s="1"/>
  <c r="G316" i="2"/>
  <c r="F316" i="2"/>
  <c r="E316" i="2"/>
  <c r="D316" i="5" s="1"/>
  <c r="G315" i="2"/>
  <c r="F315" i="2"/>
  <c r="E315" i="2"/>
  <c r="D315" i="5" s="1"/>
  <c r="G314" i="2"/>
  <c r="F314" i="2"/>
  <c r="E314" i="2"/>
  <c r="D314" i="5" s="1"/>
  <c r="G313" i="2"/>
  <c r="F313" i="2"/>
  <c r="E313" i="2"/>
  <c r="D313" i="5" s="1"/>
  <c r="G312" i="2"/>
  <c r="F312" i="2"/>
  <c r="E312" i="2"/>
  <c r="D312" i="5" s="1"/>
  <c r="G311" i="2"/>
  <c r="F311" i="2"/>
  <c r="E311" i="2"/>
  <c r="D311" i="5" s="1"/>
  <c r="G310" i="2"/>
  <c r="F310" i="2"/>
  <c r="E310" i="2"/>
  <c r="D310" i="5" s="1"/>
  <c r="G309" i="2"/>
  <c r="F309" i="2"/>
  <c r="E309" i="2"/>
  <c r="D309" i="5" s="1"/>
  <c r="G308" i="2"/>
  <c r="F308" i="2"/>
  <c r="E308" i="2"/>
  <c r="D308" i="5" s="1"/>
  <c r="G307" i="2"/>
  <c r="F307" i="2"/>
  <c r="E307" i="2"/>
  <c r="D307" i="5" s="1"/>
  <c r="G306" i="2"/>
  <c r="F306" i="2"/>
  <c r="E306" i="2"/>
  <c r="D306" i="5" s="1"/>
  <c r="G305" i="2"/>
  <c r="F305" i="2"/>
  <c r="E305" i="2"/>
  <c r="D305" i="5" s="1"/>
  <c r="G304" i="2"/>
  <c r="F304" i="2"/>
  <c r="E304" i="2"/>
  <c r="D304" i="5" s="1"/>
  <c r="G303" i="2"/>
  <c r="F303" i="2"/>
  <c r="E303" i="2"/>
  <c r="D303" i="5" s="1"/>
  <c r="G302" i="2"/>
  <c r="F302" i="2"/>
  <c r="E302" i="2"/>
  <c r="D302" i="5" s="1"/>
  <c r="G301" i="2"/>
  <c r="F301" i="2"/>
  <c r="E301" i="2"/>
  <c r="D301" i="5" s="1"/>
  <c r="G300" i="2"/>
  <c r="F300" i="2"/>
  <c r="E300" i="2"/>
  <c r="D300" i="5" s="1"/>
  <c r="G299" i="2"/>
  <c r="F299" i="2"/>
  <c r="E299" i="2"/>
  <c r="D299" i="5" s="1"/>
  <c r="G298" i="2"/>
  <c r="F298" i="2"/>
  <c r="E298" i="2"/>
  <c r="D298" i="5" s="1"/>
  <c r="G297" i="2"/>
  <c r="F297" i="2"/>
  <c r="E297" i="2"/>
  <c r="D297" i="5" s="1"/>
  <c r="G296" i="2"/>
  <c r="F296" i="2"/>
  <c r="E296" i="2"/>
  <c r="D296" i="5" s="1"/>
  <c r="G295" i="2"/>
  <c r="F295" i="2"/>
  <c r="E295" i="2"/>
  <c r="D295" i="5" s="1"/>
  <c r="G294" i="2"/>
  <c r="F294" i="2"/>
  <c r="E294" i="2"/>
  <c r="D294" i="5" s="1"/>
  <c r="G293" i="2"/>
  <c r="F293" i="2"/>
  <c r="E293" i="2"/>
  <c r="D293" i="5" s="1"/>
  <c r="G292" i="2"/>
  <c r="F292" i="2"/>
  <c r="E292" i="2"/>
  <c r="D292" i="5" s="1"/>
  <c r="G291" i="2"/>
  <c r="F291" i="2"/>
  <c r="E291" i="2"/>
  <c r="D291" i="5" s="1"/>
  <c r="G290" i="2"/>
  <c r="F290" i="2"/>
  <c r="E290" i="2"/>
  <c r="D290" i="5" s="1"/>
  <c r="G289" i="2"/>
  <c r="F289" i="2"/>
  <c r="E289" i="2"/>
  <c r="D289" i="5" s="1"/>
  <c r="G288" i="2"/>
  <c r="F288" i="2"/>
  <c r="E288" i="2"/>
  <c r="D288" i="5" s="1"/>
  <c r="G287" i="2"/>
  <c r="F287" i="2"/>
  <c r="E287" i="2"/>
  <c r="D287" i="5" s="1"/>
  <c r="G286" i="2"/>
  <c r="F286" i="2"/>
  <c r="E286" i="2"/>
  <c r="D286" i="5" s="1"/>
  <c r="G285" i="2"/>
  <c r="F285" i="2"/>
  <c r="E285" i="2"/>
  <c r="D285" i="5" s="1"/>
  <c r="G284" i="2"/>
  <c r="F284" i="2"/>
  <c r="E284" i="2"/>
  <c r="D284" i="5" s="1"/>
  <c r="G283" i="2"/>
  <c r="F283" i="2"/>
  <c r="E283" i="2"/>
  <c r="D283" i="5" s="1"/>
  <c r="G282" i="2"/>
  <c r="F282" i="2"/>
  <c r="E282" i="2"/>
  <c r="D282" i="5" s="1"/>
  <c r="G281" i="2"/>
  <c r="F281" i="2"/>
  <c r="E281" i="2"/>
  <c r="D281" i="5" s="1"/>
  <c r="G280" i="2"/>
  <c r="F280" i="2"/>
  <c r="E280" i="2"/>
  <c r="D280" i="5" s="1"/>
  <c r="G279" i="2"/>
  <c r="F279" i="2"/>
  <c r="E279" i="2"/>
  <c r="D279" i="5" s="1"/>
  <c r="G278" i="2"/>
  <c r="F278" i="2"/>
  <c r="E278" i="2"/>
  <c r="D278" i="5" s="1"/>
  <c r="G277" i="2"/>
  <c r="F277" i="2"/>
  <c r="E277" i="2"/>
  <c r="D277" i="5" s="1"/>
  <c r="G276" i="2"/>
  <c r="F276" i="2"/>
  <c r="E276" i="2"/>
  <c r="D276" i="5" s="1"/>
  <c r="G275" i="2"/>
  <c r="F275" i="2"/>
  <c r="E275" i="2"/>
  <c r="D275" i="5" s="1"/>
  <c r="G274" i="2"/>
  <c r="F274" i="2"/>
  <c r="E274" i="2"/>
  <c r="D274" i="5" s="1"/>
  <c r="G273" i="2"/>
  <c r="F273" i="2"/>
  <c r="E273" i="2"/>
  <c r="D273" i="5" s="1"/>
  <c r="G272" i="2"/>
  <c r="F272" i="2"/>
  <c r="E272" i="2"/>
  <c r="D272" i="5" s="1"/>
  <c r="G271" i="2"/>
  <c r="F271" i="2"/>
  <c r="E271" i="2"/>
  <c r="D271" i="5" s="1"/>
  <c r="G270" i="2"/>
  <c r="F270" i="2"/>
  <c r="E270" i="2"/>
  <c r="D270" i="5" s="1"/>
  <c r="G269" i="2"/>
  <c r="F269" i="2"/>
  <c r="E269" i="2"/>
  <c r="D269" i="5" s="1"/>
  <c r="G268" i="2"/>
  <c r="F268" i="2"/>
  <c r="E268" i="2"/>
  <c r="D268" i="5" s="1"/>
  <c r="G267" i="2"/>
  <c r="F267" i="2"/>
  <c r="E267" i="2"/>
  <c r="D267" i="5" s="1"/>
  <c r="G266" i="2"/>
  <c r="F266" i="2"/>
  <c r="E266" i="2"/>
  <c r="D266" i="5" s="1"/>
  <c r="G265" i="2"/>
  <c r="F265" i="2"/>
  <c r="E265" i="2"/>
  <c r="D265" i="5" s="1"/>
  <c r="G264" i="2"/>
  <c r="F264" i="2"/>
  <c r="E264" i="2"/>
  <c r="D264" i="5" s="1"/>
  <c r="G263" i="2"/>
  <c r="F263" i="2"/>
  <c r="E263" i="2"/>
  <c r="D263" i="5" s="1"/>
  <c r="G262" i="2"/>
  <c r="F262" i="2"/>
  <c r="E262" i="2"/>
  <c r="D262" i="5" s="1"/>
  <c r="G261" i="2"/>
  <c r="F261" i="2"/>
  <c r="E261" i="2"/>
  <c r="D261" i="5" s="1"/>
  <c r="G260" i="2"/>
  <c r="F260" i="2"/>
  <c r="E260" i="2"/>
  <c r="D260" i="5" s="1"/>
  <c r="G259" i="2"/>
  <c r="F259" i="2"/>
  <c r="E259" i="2"/>
  <c r="D259" i="5" s="1"/>
  <c r="G258" i="2"/>
  <c r="F258" i="2"/>
  <c r="E258" i="2"/>
  <c r="D258" i="5" s="1"/>
  <c r="G257" i="2"/>
  <c r="F257" i="2"/>
  <c r="E257" i="2"/>
  <c r="D257" i="5" s="1"/>
  <c r="G256" i="2"/>
  <c r="F256" i="2"/>
  <c r="E256" i="2"/>
  <c r="D256" i="5" s="1"/>
  <c r="G255" i="2"/>
  <c r="F255" i="2"/>
  <c r="E255" i="2"/>
  <c r="D255" i="5" s="1"/>
  <c r="G254" i="2"/>
  <c r="F254" i="2"/>
  <c r="E254" i="2"/>
  <c r="D254" i="5" s="1"/>
  <c r="G253" i="2"/>
  <c r="F253" i="2"/>
  <c r="E253" i="2"/>
  <c r="D253" i="5" s="1"/>
  <c r="G252" i="2"/>
  <c r="F252" i="2"/>
  <c r="E252" i="2"/>
  <c r="D252" i="5" s="1"/>
  <c r="G251" i="2"/>
  <c r="F251" i="2"/>
  <c r="E251" i="2"/>
  <c r="D251" i="5" s="1"/>
  <c r="G250" i="2"/>
  <c r="F250" i="2"/>
  <c r="E250" i="2"/>
  <c r="D250" i="5" s="1"/>
  <c r="G249" i="2"/>
  <c r="F249" i="2"/>
  <c r="E249" i="2"/>
  <c r="D249" i="5" s="1"/>
  <c r="G248" i="2"/>
  <c r="F248" i="2"/>
  <c r="E248" i="2"/>
  <c r="D248" i="5" s="1"/>
  <c r="G247" i="2"/>
  <c r="F247" i="2"/>
  <c r="E247" i="2"/>
  <c r="D247" i="5" s="1"/>
  <c r="G246" i="2"/>
  <c r="F246" i="2"/>
  <c r="E246" i="2"/>
  <c r="D246" i="5" s="1"/>
  <c r="G245" i="2"/>
  <c r="F245" i="2"/>
  <c r="E245" i="2"/>
  <c r="D245" i="5" s="1"/>
  <c r="G244" i="2"/>
  <c r="F244" i="2"/>
  <c r="E244" i="2"/>
  <c r="D244" i="5" s="1"/>
  <c r="G243" i="2"/>
  <c r="F243" i="2"/>
  <c r="E243" i="2"/>
  <c r="D243" i="5" s="1"/>
  <c r="G242" i="2"/>
  <c r="F242" i="2"/>
  <c r="E242" i="2"/>
  <c r="D242" i="5" s="1"/>
  <c r="G241" i="2"/>
  <c r="F241" i="2"/>
  <c r="E241" i="2"/>
  <c r="D241" i="5" s="1"/>
  <c r="G240" i="2"/>
  <c r="F240" i="2"/>
  <c r="E240" i="2"/>
  <c r="D240" i="5" s="1"/>
  <c r="G239" i="2"/>
  <c r="F239" i="2"/>
  <c r="E239" i="2"/>
  <c r="D239" i="5" s="1"/>
  <c r="G238" i="2"/>
  <c r="F238" i="2"/>
  <c r="E238" i="2"/>
  <c r="D238" i="5" s="1"/>
  <c r="G237" i="2"/>
  <c r="F237" i="2"/>
  <c r="E237" i="2"/>
  <c r="D237" i="5" s="1"/>
  <c r="G236" i="2"/>
  <c r="F236" i="2"/>
  <c r="E236" i="2"/>
  <c r="D236" i="5" s="1"/>
  <c r="G235" i="2"/>
  <c r="F235" i="2"/>
  <c r="E235" i="2"/>
  <c r="D235" i="5" s="1"/>
  <c r="G234" i="2"/>
  <c r="F234" i="2"/>
  <c r="E234" i="2"/>
  <c r="D234" i="5" s="1"/>
  <c r="G233" i="2"/>
  <c r="F233" i="2"/>
  <c r="E233" i="2"/>
  <c r="D233" i="5" s="1"/>
  <c r="G232" i="2"/>
  <c r="F232" i="2"/>
  <c r="E232" i="2"/>
  <c r="D232" i="5" s="1"/>
  <c r="G231" i="2"/>
  <c r="F231" i="2"/>
  <c r="E231" i="2"/>
  <c r="D231" i="5" s="1"/>
  <c r="G230" i="2"/>
  <c r="F230" i="2"/>
  <c r="E230" i="2"/>
  <c r="D230" i="5" s="1"/>
  <c r="G229" i="2"/>
  <c r="F229" i="2"/>
  <c r="E229" i="2"/>
  <c r="D229" i="5" s="1"/>
  <c r="G228" i="2"/>
  <c r="F228" i="2"/>
  <c r="E228" i="2"/>
  <c r="D228" i="5" s="1"/>
  <c r="G227" i="2"/>
  <c r="F227" i="2"/>
  <c r="E227" i="2"/>
  <c r="D227" i="5" s="1"/>
  <c r="G226" i="2"/>
  <c r="F226" i="2"/>
  <c r="E226" i="2"/>
  <c r="D226" i="5" s="1"/>
  <c r="G225" i="2"/>
  <c r="F225" i="2"/>
  <c r="E225" i="2"/>
  <c r="D225" i="5" s="1"/>
  <c r="G224" i="2"/>
  <c r="F224" i="2"/>
  <c r="E224" i="2"/>
  <c r="D224" i="5" s="1"/>
  <c r="G223" i="2"/>
  <c r="F223" i="2"/>
  <c r="E223" i="2"/>
  <c r="D223" i="5" s="1"/>
  <c r="G222" i="2"/>
  <c r="F222" i="2"/>
  <c r="E222" i="2"/>
  <c r="D222" i="5" s="1"/>
  <c r="G221" i="2"/>
  <c r="F221" i="2"/>
  <c r="E221" i="2"/>
  <c r="D221" i="5" s="1"/>
  <c r="G220" i="2"/>
  <c r="F220" i="2"/>
  <c r="E220" i="2"/>
  <c r="D220" i="5" s="1"/>
  <c r="G219" i="2"/>
  <c r="F219" i="2"/>
  <c r="E219" i="2"/>
  <c r="D219" i="5" s="1"/>
  <c r="G218" i="2"/>
  <c r="F218" i="2"/>
  <c r="E218" i="2"/>
  <c r="D218" i="5" s="1"/>
  <c r="G217" i="2"/>
  <c r="F217" i="2"/>
  <c r="E217" i="2"/>
  <c r="D217" i="5" s="1"/>
  <c r="G216" i="2"/>
  <c r="F216" i="2"/>
  <c r="E216" i="2"/>
  <c r="D216" i="5" s="1"/>
  <c r="G215" i="2"/>
  <c r="F215" i="2"/>
  <c r="E215" i="2"/>
  <c r="D215" i="5" s="1"/>
  <c r="G214" i="2"/>
  <c r="F214" i="2"/>
  <c r="E214" i="2"/>
  <c r="D214" i="5" s="1"/>
  <c r="G213" i="2"/>
  <c r="F213" i="2"/>
  <c r="E213" i="2"/>
  <c r="D213" i="5" s="1"/>
  <c r="G212" i="2"/>
  <c r="F212" i="2"/>
  <c r="E212" i="2"/>
  <c r="D212" i="5" s="1"/>
  <c r="G211" i="2"/>
  <c r="F211" i="2"/>
  <c r="E211" i="2"/>
  <c r="D211" i="5" s="1"/>
  <c r="G210" i="2"/>
  <c r="F210" i="2"/>
  <c r="E210" i="2"/>
  <c r="D210" i="5" s="1"/>
  <c r="G209" i="2"/>
  <c r="F209" i="2"/>
  <c r="E209" i="2"/>
  <c r="D209" i="5" s="1"/>
  <c r="G208" i="2"/>
  <c r="F208" i="2"/>
  <c r="E208" i="2"/>
  <c r="D208" i="5" s="1"/>
  <c r="G207" i="2"/>
  <c r="F207" i="2"/>
  <c r="E207" i="2"/>
  <c r="D207" i="5" s="1"/>
  <c r="G206" i="2"/>
  <c r="F206" i="2"/>
  <c r="E206" i="2"/>
  <c r="D206" i="5" s="1"/>
  <c r="G205" i="2"/>
  <c r="F205" i="2"/>
  <c r="E205" i="2"/>
  <c r="D205" i="5" s="1"/>
  <c r="G204" i="2"/>
  <c r="F204" i="2"/>
  <c r="E204" i="2"/>
  <c r="D204" i="5" s="1"/>
  <c r="G203" i="2"/>
  <c r="F203" i="2"/>
  <c r="E203" i="2"/>
  <c r="D203" i="5" s="1"/>
  <c r="G202" i="2"/>
  <c r="F202" i="2"/>
  <c r="E202" i="2"/>
  <c r="D202" i="5" s="1"/>
  <c r="G201" i="2"/>
  <c r="F201" i="2"/>
  <c r="E201" i="2"/>
  <c r="D201" i="5" s="1"/>
  <c r="G200" i="2"/>
  <c r="F200" i="2"/>
  <c r="E200" i="2"/>
  <c r="D200" i="5" s="1"/>
  <c r="G199" i="2"/>
  <c r="F199" i="2"/>
  <c r="E199" i="2"/>
  <c r="D199" i="5" s="1"/>
  <c r="G198" i="2"/>
  <c r="F198" i="2"/>
  <c r="E198" i="2"/>
  <c r="D198" i="5" s="1"/>
  <c r="G197" i="2"/>
  <c r="F197" i="2"/>
  <c r="E197" i="2"/>
  <c r="D197" i="5" s="1"/>
  <c r="G196" i="2"/>
  <c r="F196" i="2"/>
  <c r="E196" i="2"/>
  <c r="D196" i="5" s="1"/>
  <c r="G195" i="2"/>
  <c r="F195" i="2"/>
  <c r="E195" i="2"/>
  <c r="D195" i="5" s="1"/>
  <c r="G194" i="2"/>
  <c r="F194" i="2"/>
  <c r="E194" i="2"/>
  <c r="D194" i="5" s="1"/>
  <c r="G193" i="2"/>
  <c r="F193" i="2"/>
  <c r="E193" i="2"/>
  <c r="D193" i="5" s="1"/>
  <c r="G192" i="2"/>
  <c r="F192" i="2"/>
  <c r="E192" i="2"/>
  <c r="D192" i="5" s="1"/>
  <c r="G191" i="2"/>
  <c r="F191" i="2"/>
  <c r="E191" i="2"/>
  <c r="D191" i="5" s="1"/>
  <c r="G190" i="2"/>
  <c r="F190" i="2"/>
  <c r="E190" i="2"/>
  <c r="D190" i="5" s="1"/>
  <c r="G189" i="2"/>
  <c r="F189" i="2"/>
  <c r="E189" i="2"/>
  <c r="D189" i="5" s="1"/>
  <c r="G188" i="2"/>
  <c r="F188" i="2"/>
  <c r="E188" i="2"/>
  <c r="D188" i="5" s="1"/>
  <c r="G187" i="2"/>
  <c r="F187" i="2"/>
  <c r="E187" i="2"/>
  <c r="D187" i="5" s="1"/>
  <c r="G186" i="2"/>
  <c r="F186" i="2"/>
  <c r="E186" i="2"/>
  <c r="D186" i="5" s="1"/>
  <c r="G185" i="2"/>
  <c r="F185" i="2"/>
  <c r="E185" i="2"/>
  <c r="D185" i="5" s="1"/>
  <c r="G184" i="2"/>
  <c r="F184" i="2"/>
  <c r="E184" i="2"/>
  <c r="D184" i="5" s="1"/>
  <c r="G183" i="2"/>
  <c r="F183" i="2"/>
  <c r="E183" i="2"/>
  <c r="D183" i="5" s="1"/>
  <c r="G182" i="2"/>
  <c r="F182" i="2"/>
  <c r="E182" i="2"/>
  <c r="D182" i="5" s="1"/>
  <c r="G181" i="2"/>
  <c r="F181" i="2"/>
  <c r="E181" i="2"/>
  <c r="D181" i="5" s="1"/>
  <c r="G180" i="2"/>
  <c r="F180" i="2"/>
  <c r="E180" i="2"/>
  <c r="D180" i="5" s="1"/>
  <c r="G179" i="2"/>
  <c r="F179" i="2"/>
  <c r="E179" i="2"/>
  <c r="D179" i="5" s="1"/>
  <c r="G178" i="2"/>
  <c r="F178" i="2"/>
  <c r="E178" i="2"/>
  <c r="D178" i="5" s="1"/>
  <c r="G177" i="2"/>
  <c r="F177" i="2"/>
  <c r="E177" i="2"/>
  <c r="D177" i="5" s="1"/>
  <c r="G176" i="2"/>
  <c r="F176" i="2"/>
  <c r="E176" i="2"/>
  <c r="D176" i="5" s="1"/>
  <c r="G175" i="2"/>
  <c r="F175" i="2"/>
  <c r="E175" i="2"/>
  <c r="D175" i="5" s="1"/>
  <c r="G174" i="2"/>
  <c r="F174" i="2"/>
  <c r="E174" i="2"/>
  <c r="D174" i="5" s="1"/>
  <c r="G173" i="2"/>
  <c r="F173" i="2"/>
  <c r="E173" i="2"/>
  <c r="D173" i="5" s="1"/>
  <c r="G172" i="2"/>
  <c r="F172" i="2"/>
  <c r="E172" i="2"/>
  <c r="D172" i="5" s="1"/>
  <c r="G171" i="2"/>
  <c r="F171" i="2"/>
  <c r="E171" i="2"/>
  <c r="D171" i="5" s="1"/>
  <c r="G170" i="2"/>
  <c r="F170" i="2"/>
  <c r="E170" i="2"/>
  <c r="D170" i="5" s="1"/>
  <c r="G169" i="2"/>
  <c r="F169" i="2"/>
  <c r="E169" i="2"/>
  <c r="D169" i="5" s="1"/>
  <c r="G168" i="2"/>
  <c r="F168" i="2"/>
  <c r="E168" i="2"/>
  <c r="D168" i="5" s="1"/>
  <c r="G167" i="2"/>
  <c r="F167" i="2"/>
  <c r="E167" i="2"/>
  <c r="D167" i="5" s="1"/>
  <c r="G166" i="2"/>
  <c r="F166" i="2"/>
  <c r="E166" i="2"/>
  <c r="D166" i="5" s="1"/>
  <c r="G165" i="2"/>
  <c r="F165" i="2"/>
  <c r="E165" i="2"/>
  <c r="D165" i="5" s="1"/>
  <c r="G164" i="2"/>
  <c r="F164" i="2"/>
  <c r="E164" i="2"/>
  <c r="D164" i="5" s="1"/>
  <c r="G163" i="2"/>
  <c r="F163" i="2"/>
  <c r="E163" i="2"/>
  <c r="D163" i="5" s="1"/>
  <c r="G162" i="2"/>
  <c r="F162" i="2"/>
  <c r="E162" i="2"/>
  <c r="D162" i="5" s="1"/>
  <c r="G161" i="2"/>
  <c r="F161" i="2"/>
  <c r="E161" i="2"/>
  <c r="D161" i="5" s="1"/>
  <c r="G160" i="2"/>
  <c r="F160" i="2"/>
  <c r="E160" i="2"/>
  <c r="D160" i="5" s="1"/>
  <c r="G159" i="2"/>
  <c r="F159" i="2"/>
  <c r="E159" i="2"/>
  <c r="D159" i="5" s="1"/>
  <c r="G158" i="2"/>
  <c r="F158" i="2"/>
  <c r="E158" i="2"/>
  <c r="D158" i="5" s="1"/>
  <c r="G157" i="2"/>
  <c r="F157" i="2"/>
  <c r="E157" i="2"/>
  <c r="D157" i="5" s="1"/>
  <c r="G156" i="2"/>
  <c r="F156" i="2"/>
  <c r="E156" i="2"/>
  <c r="D156" i="5" s="1"/>
  <c r="G155" i="2"/>
  <c r="F155" i="2"/>
  <c r="E155" i="2"/>
  <c r="D155" i="5" s="1"/>
  <c r="G154" i="2"/>
  <c r="F154" i="2"/>
  <c r="E154" i="2"/>
  <c r="D154" i="5" s="1"/>
  <c r="G153" i="2"/>
  <c r="F153" i="2"/>
  <c r="E153" i="2"/>
  <c r="D153" i="5" s="1"/>
  <c r="G152" i="2"/>
  <c r="F152" i="2"/>
  <c r="E152" i="2"/>
  <c r="D152" i="5" s="1"/>
  <c r="G151" i="2"/>
  <c r="F151" i="2"/>
  <c r="E151" i="2"/>
  <c r="D151" i="5" s="1"/>
  <c r="G150" i="2"/>
  <c r="F150" i="2"/>
  <c r="E150" i="2"/>
  <c r="D150" i="5" s="1"/>
  <c r="G149" i="2"/>
  <c r="F149" i="2"/>
  <c r="E149" i="2"/>
  <c r="D149" i="5" s="1"/>
  <c r="G148" i="2"/>
  <c r="F148" i="2"/>
  <c r="E148" i="2"/>
  <c r="D148" i="5" s="1"/>
  <c r="G147" i="2"/>
  <c r="F147" i="2"/>
  <c r="E147" i="2"/>
  <c r="D147" i="5" s="1"/>
  <c r="G146" i="2"/>
  <c r="F146" i="2"/>
  <c r="E146" i="2"/>
  <c r="D146" i="5" s="1"/>
  <c r="G145" i="2"/>
  <c r="F145" i="2"/>
  <c r="E145" i="2"/>
  <c r="D145" i="5" s="1"/>
  <c r="G144" i="2"/>
  <c r="F144" i="2"/>
  <c r="E144" i="2"/>
  <c r="D144" i="5" s="1"/>
  <c r="G143" i="2"/>
  <c r="F143" i="2"/>
  <c r="E143" i="2"/>
  <c r="D143" i="5" s="1"/>
  <c r="G142" i="2"/>
  <c r="F142" i="2"/>
  <c r="E142" i="2"/>
  <c r="D142" i="5" s="1"/>
  <c r="G141" i="2"/>
  <c r="F141" i="2"/>
  <c r="E141" i="2"/>
  <c r="D141" i="5" s="1"/>
  <c r="G140" i="2"/>
  <c r="F140" i="2"/>
  <c r="E140" i="2"/>
  <c r="D140" i="5" s="1"/>
  <c r="G139" i="2"/>
  <c r="F139" i="2"/>
  <c r="E139" i="2"/>
  <c r="D139" i="5" s="1"/>
  <c r="G138" i="2"/>
  <c r="F138" i="2"/>
  <c r="E138" i="2"/>
  <c r="D138" i="5" s="1"/>
  <c r="G137" i="2"/>
  <c r="F137" i="2"/>
  <c r="E137" i="2"/>
  <c r="D137" i="5" s="1"/>
  <c r="G136" i="2"/>
  <c r="F136" i="2"/>
  <c r="E136" i="2"/>
  <c r="D136" i="5" s="1"/>
  <c r="G135" i="2"/>
  <c r="F135" i="2"/>
  <c r="E135" i="2"/>
  <c r="D135" i="5" s="1"/>
  <c r="G134" i="2"/>
  <c r="F134" i="2"/>
  <c r="E134" i="2"/>
  <c r="D134" i="5" s="1"/>
  <c r="G133" i="2"/>
  <c r="F133" i="2"/>
  <c r="E133" i="2"/>
  <c r="D133" i="5" s="1"/>
  <c r="G132" i="2"/>
  <c r="F132" i="2"/>
  <c r="E132" i="2"/>
  <c r="D132" i="5" s="1"/>
  <c r="G131" i="2"/>
  <c r="F131" i="2"/>
  <c r="E131" i="2"/>
  <c r="D131" i="5" s="1"/>
  <c r="G130" i="2"/>
  <c r="F130" i="2"/>
  <c r="E130" i="2"/>
  <c r="D130" i="5" s="1"/>
  <c r="G129" i="2"/>
  <c r="F129" i="2"/>
  <c r="E129" i="2"/>
  <c r="D129" i="5" s="1"/>
  <c r="G128" i="2"/>
  <c r="F128" i="2"/>
  <c r="E128" i="2"/>
  <c r="D128" i="5" s="1"/>
  <c r="G127" i="2"/>
  <c r="F127" i="2"/>
  <c r="E127" i="2"/>
  <c r="D127" i="5" s="1"/>
  <c r="G126" i="2"/>
  <c r="F126" i="2"/>
  <c r="E126" i="2"/>
  <c r="D126" i="5" s="1"/>
  <c r="G125" i="2"/>
  <c r="F125" i="2"/>
  <c r="E125" i="2"/>
  <c r="D125" i="5" s="1"/>
  <c r="G124" i="2"/>
  <c r="F124" i="2"/>
  <c r="E124" i="2"/>
  <c r="D124" i="5" s="1"/>
  <c r="G123" i="2"/>
  <c r="F123" i="2"/>
  <c r="E123" i="2"/>
  <c r="D123" i="5" s="1"/>
  <c r="G122" i="2"/>
  <c r="F122" i="2"/>
  <c r="E122" i="2"/>
  <c r="D122" i="5" s="1"/>
  <c r="G121" i="2"/>
  <c r="F121" i="2"/>
  <c r="E121" i="2"/>
  <c r="D121" i="5" s="1"/>
  <c r="G120" i="2"/>
  <c r="F120" i="2"/>
  <c r="E120" i="2"/>
  <c r="D120" i="5" s="1"/>
  <c r="G119" i="2"/>
  <c r="F119" i="2"/>
  <c r="E119" i="2"/>
  <c r="D119" i="5" s="1"/>
  <c r="G118" i="2"/>
  <c r="F118" i="2"/>
  <c r="E118" i="2"/>
  <c r="D118" i="5" s="1"/>
  <c r="G117" i="2"/>
  <c r="F117" i="2"/>
  <c r="E117" i="2"/>
  <c r="D117" i="5" s="1"/>
  <c r="G116" i="2"/>
  <c r="F116" i="2"/>
  <c r="E116" i="2"/>
  <c r="D116" i="5" s="1"/>
  <c r="G115" i="2"/>
  <c r="F115" i="2"/>
  <c r="E115" i="2"/>
  <c r="D115" i="5" s="1"/>
  <c r="G114" i="2"/>
  <c r="F114" i="2"/>
  <c r="E114" i="2"/>
  <c r="D114" i="5" s="1"/>
  <c r="G113" i="2"/>
  <c r="F113" i="2"/>
  <c r="E113" i="2"/>
  <c r="D113" i="5" s="1"/>
  <c r="G112" i="2"/>
  <c r="F112" i="2"/>
  <c r="E112" i="2"/>
  <c r="D112" i="5" s="1"/>
  <c r="G111" i="2"/>
  <c r="F111" i="2"/>
  <c r="E111" i="2"/>
  <c r="D111" i="5" s="1"/>
  <c r="G110" i="2"/>
  <c r="F110" i="2"/>
  <c r="E110" i="2"/>
  <c r="D110" i="5" s="1"/>
  <c r="G109" i="2"/>
  <c r="F109" i="2"/>
  <c r="E109" i="2"/>
  <c r="D109" i="5" s="1"/>
  <c r="G108" i="2"/>
  <c r="F108" i="2"/>
  <c r="E108" i="2"/>
  <c r="D108" i="5" s="1"/>
  <c r="G107" i="2"/>
  <c r="F107" i="2"/>
  <c r="E107" i="2"/>
  <c r="D107" i="5" s="1"/>
  <c r="G106" i="2"/>
  <c r="F106" i="2"/>
  <c r="E106" i="2"/>
  <c r="D106" i="5" s="1"/>
  <c r="G105" i="2"/>
  <c r="F105" i="2"/>
  <c r="E105" i="2"/>
  <c r="D105" i="5" s="1"/>
  <c r="G104" i="2"/>
  <c r="F104" i="2"/>
  <c r="E104" i="2"/>
  <c r="D104" i="5" s="1"/>
  <c r="G103" i="2"/>
  <c r="F103" i="2"/>
  <c r="E103" i="2"/>
  <c r="D103" i="5" s="1"/>
  <c r="G102" i="2"/>
  <c r="F102" i="2"/>
  <c r="E102" i="2"/>
  <c r="D102" i="5" s="1"/>
  <c r="G101" i="2"/>
  <c r="F101" i="2"/>
  <c r="E101" i="2"/>
  <c r="D101" i="5" s="1"/>
  <c r="G100" i="2"/>
  <c r="F100" i="2"/>
  <c r="E100" i="2"/>
  <c r="D100" i="5" s="1"/>
  <c r="G99" i="2"/>
  <c r="F99" i="2"/>
  <c r="E99" i="2"/>
  <c r="D99" i="5" s="1"/>
  <c r="G98" i="2"/>
  <c r="F98" i="2"/>
  <c r="E98" i="2"/>
  <c r="D98" i="5" s="1"/>
  <c r="G97" i="2"/>
  <c r="F97" i="2"/>
  <c r="E97" i="2"/>
  <c r="D97" i="5" s="1"/>
  <c r="G96" i="2"/>
  <c r="F96" i="2"/>
  <c r="E96" i="2"/>
  <c r="D96" i="5" s="1"/>
  <c r="G95" i="2"/>
  <c r="F95" i="2"/>
  <c r="E95" i="2"/>
  <c r="D95" i="5" s="1"/>
  <c r="G94" i="2"/>
  <c r="F94" i="2"/>
  <c r="E94" i="2"/>
  <c r="D94" i="5" s="1"/>
  <c r="G93" i="2"/>
  <c r="F93" i="2"/>
  <c r="E93" i="2"/>
  <c r="D93" i="5" s="1"/>
  <c r="G92" i="2"/>
  <c r="F92" i="2"/>
  <c r="E92" i="2"/>
  <c r="D92" i="5" s="1"/>
  <c r="G91" i="2"/>
  <c r="F91" i="2"/>
  <c r="E91" i="2"/>
  <c r="D91" i="5" s="1"/>
  <c r="G90" i="2"/>
  <c r="F90" i="2"/>
  <c r="E90" i="2"/>
  <c r="D90" i="5" s="1"/>
  <c r="G89" i="2"/>
  <c r="F89" i="2"/>
  <c r="E89" i="2"/>
  <c r="D89" i="5" s="1"/>
  <c r="G88" i="2"/>
  <c r="F88" i="2"/>
  <c r="E88" i="2"/>
  <c r="D88" i="5" s="1"/>
  <c r="G87" i="2"/>
  <c r="F87" i="2"/>
  <c r="E87" i="2"/>
  <c r="D87" i="5" s="1"/>
  <c r="G86" i="2"/>
  <c r="F86" i="2"/>
  <c r="E86" i="2"/>
  <c r="D86" i="5" s="1"/>
  <c r="G85" i="2"/>
  <c r="F85" i="2"/>
  <c r="E85" i="2"/>
  <c r="D85" i="5" s="1"/>
  <c r="G84" i="2"/>
  <c r="F84" i="2"/>
  <c r="E84" i="2"/>
  <c r="D84" i="5" s="1"/>
  <c r="G83" i="2"/>
  <c r="F83" i="2"/>
  <c r="E83" i="2"/>
  <c r="D83" i="5" s="1"/>
  <c r="G82" i="2"/>
  <c r="F82" i="2"/>
  <c r="E82" i="2"/>
  <c r="D82" i="5" s="1"/>
  <c r="G81" i="2"/>
  <c r="F81" i="2"/>
  <c r="E81" i="2"/>
  <c r="D81" i="5" s="1"/>
  <c r="G80" i="2"/>
  <c r="F80" i="2"/>
  <c r="E80" i="2"/>
  <c r="D80" i="5" s="1"/>
  <c r="G79" i="2"/>
  <c r="F79" i="2"/>
  <c r="E79" i="2"/>
  <c r="D79" i="5" s="1"/>
  <c r="G78" i="2"/>
  <c r="F78" i="2"/>
  <c r="E78" i="2"/>
  <c r="D78" i="5" s="1"/>
  <c r="G77" i="2"/>
  <c r="F77" i="2"/>
  <c r="E77" i="2"/>
  <c r="D77" i="5" s="1"/>
  <c r="G76" i="2"/>
  <c r="F76" i="2"/>
  <c r="E76" i="2"/>
  <c r="D76" i="5" s="1"/>
  <c r="G75" i="2"/>
  <c r="F75" i="2"/>
  <c r="E75" i="2"/>
  <c r="D75" i="5" s="1"/>
  <c r="G74" i="2"/>
  <c r="F74" i="2"/>
  <c r="E74" i="2"/>
  <c r="D74" i="5" s="1"/>
  <c r="G73" i="2"/>
  <c r="F73" i="2"/>
  <c r="E73" i="2"/>
  <c r="D73" i="5" s="1"/>
  <c r="G72" i="2"/>
  <c r="F72" i="2"/>
  <c r="E72" i="2"/>
  <c r="D72" i="5" s="1"/>
  <c r="G71" i="2"/>
  <c r="F71" i="2"/>
  <c r="E71" i="2"/>
  <c r="D71" i="5" s="1"/>
  <c r="G70" i="2"/>
  <c r="F70" i="2"/>
  <c r="E70" i="2"/>
  <c r="D70" i="5" s="1"/>
  <c r="G69" i="2"/>
  <c r="F69" i="2"/>
  <c r="E69" i="2"/>
  <c r="D69" i="5" s="1"/>
  <c r="G68" i="2"/>
  <c r="F68" i="2"/>
  <c r="E68" i="2"/>
  <c r="D68" i="5" s="1"/>
  <c r="G67" i="2"/>
  <c r="F67" i="2"/>
  <c r="E67" i="2"/>
  <c r="D67" i="5" s="1"/>
  <c r="G66" i="2"/>
  <c r="F66" i="2"/>
  <c r="E66" i="2"/>
  <c r="D66" i="5" s="1"/>
  <c r="G65" i="2"/>
  <c r="F65" i="2"/>
  <c r="E65" i="2"/>
  <c r="D65" i="5" s="1"/>
  <c r="G64" i="2"/>
  <c r="F64" i="2"/>
  <c r="E64" i="2"/>
  <c r="D64" i="5" s="1"/>
  <c r="G63" i="2"/>
  <c r="F63" i="2"/>
  <c r="E63" i="2"/>
  <c r="D63" i="5" s="1"/>
  <c r="G62" i="2"/>
  <c r="F62" i="2"/>
  <c r="E62" i="2"/>
  <c r="D62" i="5" s="1"/>
  <c r="G61" i="2"/>
  <c r="F61" i="2"/>
  <c r="E61" i="2"/>
  <c r="D61" i="5" s="1"/>
  <c r="G60" i="2"/>
  <c r="F60" i="2"/>
  <c r="E60" i="2"/>
  <c r="D60" i="5" s="1"/>
  <c r="G59" i="2"/>
  <c r="F59" i="2"/>
  <c r="E59" i="2"/>
  <c r="D59" i="5" s="1"/>
  <c r="G58" i="2"/>
  <c r="F58" i="2"/>
  <c r="E58" i="2"/>
  <c r="D58" i="5" s="1"/>
  <c r="G57" i="2"/>
  <c r="F57" i="2"/>
  <c r="E57" i="2"/>
  <c r="D57" i="5" s="1"/>
  <c r="G56" i="2"/>
  <c r="F56" i="2"/>
  <c r="E56" i="2"/>
  <c r="D56" i="5" s="1"/>
  <c r="G55" i="2"/>
  <c r="F55" i="2"/>
  <c r="E55" i="2"/>
  <c r="D55" i="5" s="1"/>
  <c r="G54" i="2"/>
  <c r="F54" i="2"/>
  <c r="E54" i="2"/>
  <c r="D54" i="5" s="1"/>
  <c r="G53" i="2"/>
  <c r="F53" i="2"/>
  <c r="E53" i="2"/>
  <c r="D53" i="5" s="1"/>
  <c r="G52" i="2"/>
  <c r="F52" i="2"/>
  <c r="E52" i="2"/>
  <c r="D52" i="5" s="1"/>
  <c r="G51" i="2"/>
  <c r="F51" i="2"/>
  <c r="E51" i="2"/>
  <c r="D51" i="5" s="1"/>
  <c r="G50" i="2"/>
  <c r="F50" i="2"/>
  <c r="E50" i="2"/>
  <c r="D50" i="5" s="1"/>
  <c r="G49" i="2"/>
  <c r="F49" i="2"/>
  <c r="E49" i="2"/>
  <c r="D49" i="5" s="1"/>
  <c r="G48" i="2"/>
  <c r="F48" i="2"/>
  <c r="E48" i="2"/>
  <c r="D48" i="5" s="1"/>
  <c r="G47" i="2"/>
  <c r="F47" i="2"/>
  <c r="E47" i="2"/>
  <c r="D47" i="5" s="1"/>
  <c r="G46" i="2"/>
  <c r="F46" i="2"/>
  <c r="E46" i="2"/>
  <c r="D46" i="5" s="1"/>
  <c r="G45" i="2"/>
  <c r="F45" i="2"/>
  <c r="E45" i="2"/>
  <c r="D45" i="5" s="1"/>
  <c r="G44" i="2"/>
  <c r="F44" i="2"/>
  <c r="E44" i="2"/>
  <c r="D44" i="5" s="1"/>
  <c r="G43" i="2"/>
  <c r="F43" i="2"/>
  <c r="E43" i="2"/>
  <c r="D43" i="5" s="1"/>
  <c r="G42" i="2"/>
  <c r="F42" i="2"/>
  <c r="E42" i="2"/>
  <c r="D42" i="5" s="1"/>
  <c r="G41" i="2"/>
  <c r="F41" i="2"/>
  <c r="E41" i="2"/>
  <c r="D41" i="5" s="1"/>
  <c r="G40" i="2"/>
  <c r="F40" i="2"/>
  <c r="E40" i="2"/>
  <c r="D40" i="5" s="1"/>
  <c r="G39" i="2"/>
  <c r="F39" i="2"/>
  <c r="E39" i="2"/>
  <c r="D39" i="5" s="1"/>
  <c r="G38" i="2"/>
  <c r="F38" i="2"/>
  <c r="E38" i="2"/>
  <c r="D38" i="5" s="1"/>
  <c r="G37" i="2"/>
  <c r="F37" i="2"/>
  <c r="E37" i="2"/>
  <c r="D37" i="5" s="1"/>
  <c r="G36" i="2"/>
  <c r="F36" i="2"/>
  <c r="E36" i="2"/>
  <c r="D36" i="5" s="1"/>
  <c r="G35" i="2"/>
  <c r="F35" i="2"/>
  <c r="E35" i="2"/>
  <c r="D35" i="5" s="1"/>
  <c r="G34" i="2"/>
  <c r="F34" i="2"/>
  <c r="E34" i="2"/>
  <c r="D34" i="5" s="1"/>
  <c r="G33" i="2"/>
  <c r="F33" i="2"/>
  <c r="E33" i="2"/>
  <c r="D33" i="5" s="1"/>
  <c r="G32" i="2"/>
  <c r="F32" i="2"/>
  <c r="E32" i="2"/>
  <c r="D32" i="5" s="1"/>
  <c r="G31" i="2"/>
  <c r="F31" i="2"/>
  <c r="E31" i="2"/>
  <c r="D31" i="5" s="1"/>
  <c r="G30" i="2"/>
  <c r="F30" i="2"/>
  <c r="E30" i="2"/>
  <c r="D30" i="5" s="1"/>
  <c r="G29" i="2"/>
  <c r="F29" i="2"/>
  <c r="E29" i="2"/>
  <c r="D29" i="5" s="1"/>
  <c r="G28" i="2"/>
  <c r="F28" i="2"/>
  <c r="E28" i="2"/>
  <c r="D28" i="5" s="1"/>
  <c r="G27" i="2"/>
  <c r="F27" i="2"/>
  <c r="E27" i="2"/>
  <c r="D27" i="5" s="1"/>
  <c r="G26" i="2"/>
  <c r="F26" i="2"/>
  <c r="E26" i="2"/>
  <c r="D26" i="5" s="1"/>
  <c r="G25" i="2"/>
  <c r="F25" i="2"/>
  <c r="E25" i="2"/>
  <c r="D25" i="5" s="1"/>
  <c r="G24" i="2"/>
  <c r="F24" i="2"/>
  <c r="E24" i="2"/>
  <c r="D24" i="5" s="1"/>
  <c r="G23" i="2"/>
  <c r="F23" i="2"/>
  <c r="E23" i="2"/>
  <c r="D23" i="5" s="1"/>
  <c r="G22" i="2"/>
  <c r="F22" i="2"/>
  <c r="E22" i="2"/>
  <c r="D22" i="5" s="1"/>
  <c r="G21" i="2"/>
  <c r="F21" i="2"/>
  <c r="E21" i="2"/>
  <c r="D21" i="5" s="1"/>
  <c r="G20" i="2"/>
  <c r="F20" i="2"/>
  <c r="E20" i="2"/>
  <c r="D20" i="5" s="1"/>
  <c r="G19" i="2"/>
  <c r="F19" i="2"/>
  <c r="E19" i="2"/>
  <c r="D19" i="5" s="1"/>
  <c r="G18" i="2"/>
  <c r="F18" i="2"/>
  <c r="E18" i="2"/>
  <c r="D18" i="5" s="1"/>
  <c r="G17" i="2"/>
  <c r="F17" i="2"/>
  <c r="E17" i="2"/>
  <c r="D17" i="5" s="1"/>
  <c r="G16" i="2"/>
  <c r="F16" i="2"/>
  <c r="E16" i="2"/>
  <c r="D16" i="5" s="1"/>
  <c r="G15" i="2"/>
  <c r="F15" i="2"/>
  <c r="E15" i="2"/>
  <c r="D15" i="5" s="1"/>
  <c r="G14" i="2"/>
  <c r="F14" i="2"/>
  <c r="E14" i="2"/>
  <c r="D14" i="5" s="1"/>
  <c r="G13" i="2"/>
  <c r="F13" i="2"/>
  <c r="E13" i="2"/>
  <c r="D13" i="5" s="1"/>
  <c r="G12" i="2"/>
  <c r="F12" i="2"/>
  <c r="E12" i="2"/>
  <c r="D12" i="5" s="1"/>
  <c r="G11" i="2"/>
  <c r="F11" i="2"/>
  <c r="E11" i="2"/>
  <c r="D11" i="5" s="1"/>
  <c r="G10" i="2"/>
  <c r="F10" i="2"/>
  <c r="E10" i="2"/>
  <c r="D10" i="5" s="1"/>
  <c r="G9" i="2"/>
  <c r="F9" i="2"/>
  <c r="E9" i="2"/>
  <c r="D9" i="5" s="1"/>
  <c r="G8" i="2"/>
  <c r="F8" i="2"/>
  <c r="E8" i="2"/>
  <c r="D8" i="5" s="1"/>
  <c r="G7" i="2"/>
  <c r="F7" i="2"/>
  <c r="E7" i="2"/>
  <c r="D7" i="5" s="1"/>
  <c r="G6" i="2"/>
  <c r="F6" i="2"/>
  <c r="E6" i="2"/>
  <c r="D6" i="5" s="1"/>
  <c r="G5" i="2"/>
  <c r="F5" i="2"/>
  <c r="E5" i="2"/>
  <c r="D5" i="5" s="1"/>
  <c r="G4" i="2"/>
  <c r="F4" i="2"/>
  <c r="E4" i="2"/>
  <c r="D4" i="5" s="1"/>
  <c r="G3" i="2"/>
  <c r="F3" i="2"/>
  <c r="E3" i="2"/>
  <c r="D3" i="5" s="1"/>
  <c r="G2" i="2"/>
  <c r="F2" i="2"/>
  <c r="E2" i="2"/>
  <c r="C15" i="1" s="1"/>
  <c r="C23" i="1"/>
  <c r="C22" i="1"/>
  <c r="C21" i="1"/>
  <c r="C20" i="1"/>
  <c r="C17" i="1"/>
  <c r="C16" i="1"/>
  <c r="C14" i="1"/>
  <c r="C13" i="1"/>
  <c r="C9" i="1"/>
  <c r="C7" i="1"/>
  <c r="C6" i="1"/>
  <c r="D2" i="5" l="1"/>
  <c r="C10" i="1"/>
  <c r="D6" i="1" s="1"/>
  <c r="D8" i="1" l="1"/>
  <c r="D7" i="1"/>
  <c r="D9" i="1"/>
  <c r="D10" i="1" l="1"/>
</calcChain>
</file>

<file path=xl/sharedStrings.xml><?xml version="1.0" encoding="utf-8"?>
<sst xmlns="http://schemas.openxmlformats.org/spreadsheetml/2006/main" count="4908" uniqueCount="1077">
  <si>
    <t>HOMOLOGACIÓN DE CENTROS DE COSTOS – ESTADO FINANCIERO vs. RESOLUCIÓN</t>
  </si>
  <si>
    <t>ESE Departamental de Primer Nivel Moreno y Clavijo · Base para la herramienta de costos</t>
  </si>
  <si>
    <t>Estado para costeo</t>
  </si>
  <si>
    <t>N° CECO</t>
  </si>
  <si>
    <t>%</t>
  </si>
  <si>
    <t>ACTIVO</t>
  </si>
  <si>
    <t>VERIFICAR</t>
  </si>
  <si>
    <t>NO APLICA</t>
  </si>
  <si>
    <t>EXCLUIR</t>
  </si>
  <si>
    <t>TOTAL CECO E.F.</t>
  </si>
  <si>
    <t>Control de calidad</t>
  </si>
  <si>
    <t>CECO E.F. en catálogo origen</t>
  </si>
  <si>
    <t>CECO con código homologado</t>
  </si>
  <si>
    <t>Códigos homologados no válidos en resolución</t>
  </si>
  <si>
    <t>ACTIVOS asignados a CECO fuera de "Utilizados"</t>
  </si>
  <si>
    <t>CECO de resolución "Utilizados" sin ningún CECO E.F. asignado</t>
  </si>
  <si>
    <t>Por tipo de CECO (solo ACTIVOS)</t>
  </si>
  <si>
    <t>PRODUCTIVO (final)</t>
  </si>
  <si>
    <t>APOYO ASISTENCIAL (intermedio)</t>
  </si>
  <si>
    <t>APOYO LOGÍSTICO</t>
  </si>
  <si>
    <t>ADMINISTRATIVO</t>
  </si>
  <si>
    <t>Cómo usar</t>
  </si>
  <si>
    <t>1. Hoja "C COSTOS ESTADO FINANCIERO", columna D (azul) = código de la resolución asignado. Es editable con lista desplegable; el resto de columnas se recalcula.</t>
  </si>
  <si>
    <t>2. Columna G = llave CECO|SEDE para cargar en la herramienta de costos (permite costear el mismo servicio por IPS).</t>
  </si>
  <si>
    <t>3. ESTADO: ACTIVO = cargar a la herramienta · VERIFICAR (amarillo) = validar con contabilidad/habilitación · NO APLICA (gris) = estructura CHIP no habilitada en primer nivel · EXCLUIR (rojo) = partidas que no son costo.</t>
  </si>
  <si>
    <t>4. Los ACTIVOS que caen en un CECO que no está en "Utilizados" (I01, D02, P01, P03, A32, L04, M07, etc.) deben agregarse a esa lista para que la herramienta los reconozca.</t>
  </si>
  <si>
    <t>5. Homologación realizada por la estructura del código (últimos 4 dígitos = servicio CHIP) y por nombre para los CECO de sede central e irregulares.</t>
  </si>
  <si>
    <t>Codigo</t>
  </si>
  <si>
    <t>Nombre</t>
  </si>
  <si>
    <t>Activo</t>
  </si>
  <si>
    <t>CENTRO DE COSTOS RESOLUCION HOMOLOGADO</t>
  </si>
  <si>
    <t>NOMBRE CECO RESOLUCIÓN</t>
  </si>
  <si>
    <t>¿EN LISTA UTILIZADOS?</t>
  </si>
  <si>
    <t>LLAVE HERRAMIENTA (CECO|SEDE)</t>
  </si>
  <si>
    <t>TIPO CECO</t>
  </si>
  <si>
    <t>SEDE / IPS</t>
  </si>
  <si>
    <t>ESTADO PARA COSTEO</t>
  </si>
  <si>
    <t>CONFIANZA</t>
  </si>
  <si>
    <t>CRITERIO DE HOMOLOGACIÓN</t>
  </si>
  <si>
    <t>MÉTODO</t>
  </si>
  <si>
    <t>HSLA-ARAUQUITA-CONSULTA Y PROCEDIMIENTOS</t>
  </si>
  <si>
    <t>B01</t>
  </si>
  <si>
    <t>HSLA - Arauquita</t>
  </si>
  <si>
    <t>Alta</t>
  </si>
  <si>
    <t>Urgencias: consulta y procedimientos. Si se requiere detalle, distribuir B01/B03 según producción</t>
  </si>
  <si>
    <t>Estructura de código (servicio)</t>
  </si>
  <si>
    <t>HSLA-ARAUQUITA-OBSERVACIONES</t>
  </si>
  <si>
    <t>B02</t>
  </si>
  <si>
    <t>Observación de urgencias</t>
  </si>
  <si>
    <t>HSLA-ARAUQUITA-CONSULTA EXTERNA</t>
  </si>
  <si>
    <t>A10</t>
  </si>
  <si>
    <t>Consulta externa general = Medicina general</t>
  </si>
  <si>
    <t>HSLA-ARAUQUITA-CONSULTA ESPECIALIZADA</t>
  </si>
  <si>
    <t>A32</t>
  </si>
  <si>
    <t>Media</t>
  </si>
  <si>
    <t>Consulta especializada agrupada. Distribuir a A24/A26/A18/A28 según producción por especialidad</t>
  </si>
  <si>
    <t>HSLA-ARAUQUITA-SALUD ORAL</t>
  </si>
  <si>
    <t>E01</t>
  </si>
  <si>
    <t>Salud oral = Odontología general</t>
  </si>
  <si>
    <t>HSLA-ARAUQUITA-PROMOCION Y MANTENIMIENTO</t>
  </si>
  <si>
    <t>N03</t>
  </si>
  <si>
    <t>Promoción y mantenimiento (RIAS) = Promoción y prevención</t>
  </si>
  <si>
    <t>HSLA-ARAUQUITA-OTRAS ACTIVIDADES EXTRAMURALES</t>
  </si>
  <si>
    <t>K25</t>
  </si>
  <si>
    <t>Extramural / PIC. Si se requiere detalle, desagregar en K10/K15/K17</t>
  </si>
  <si>
    <t>HSLA-ARAUQUITA-HOSPITALACION-ESTANCIA GENERAL</t>
  </si>
  <si>
    <t>I01</t>
  </si>
  <si>
    <t>Hospitalización estancia general</t>
  </si>
  <si>
    <t>HSLA-ARAUQUITA-CUIDADOS INTENSIVOS</t>
  </si>
  <si>
    <t>J02</t>
  </si>
  <si>
    <t>NO APLICA - servicio no habilitado en baja complejidad (mantener inactivo; validar que no reciba gasto)</t>
  </si>
  <si>
    <t>HSLA-ARAUQUITA-CUIDADOS INTERMEDIOS</t>
  </si>
  <si>
    <t>J05</t>
  </si>
  <si>
    <t>HSLA-ARAUQUITA-RECIEN NACIDOS</t>
  </si>
  <si>
    <t>J09</t>
  </si>
  <si>
    <t>Recién nacidos: validar si existe unidad habilitada; si no, el gasto va a D02/I01</t>
  </si>
  <si>
    <t>HSLA-ARAUQUITA-HOSPITALIZACI.N SALUD MENTAL</t>
  </si>
  <si>
    <t>J10</t>
  </si>
  <si>
    <t>HSLA-ARAUQUITA-QUEMADOS</t>
  </si>
  <si>
    <t>J08</t>
  </si>
  <si>
    <t>HSLA-ARAUQUITA-OTROS CUIDADOS ESPECIALE</t>
  </si>
  <si>
    <t>J13</t>
  </si>
  <si>
    <t>HSLA-ARAUQUITA-QUIROFANOS</t>
  </si>
  <si>
    <t>C01</t>
  </si>
  <si>
    <t>Quirófanos: validar habilitación de procedimientos quirúrgicos/menores</t>
  </si>
  <si>
    <t>HSLA-ARAUQUITA-SALA DE PARTO</t>
  </si>
  <si>
    <t>D02</t>
  </si>
  <si>
    <t>Sala de partos = Atención de parto baja complejidad</t>
  </si>
  <si>
    <t>HSLA-ARAUQUITA-LABORATORIO CLINICO</t>
  </si>
  <si>
    <t>L07</t>
  </si>
  <si>
    <t>Laboratorio clínico</t>
  </si>
  <si>
    <t>HSLA-ARAUQUITA-IMAGENOLOGIA</t>
  </si>
  <si>
    <t>L02</t>
  </si>
  <si>
    <t>Imagenología = Imagenología radiológica (RX)</t>
  </si>
  <si>
    <t>HSLA-ARAUQUITA-ANATOMIA PATOLOGICA</t>
  </si>
  <si>
    <t>L01</t>
  </si>
  <si>
    <t>HSLA-ARAUQUITA-OTRAS UNIDADES DE APOYO DIAGNOSTICO</t>
  </si>
  <si>
    <t>L04</t>
  </si>
  <si>
    <t>Otras unidades apoyo diagnóstico (ecografía, EKG) = Imagenología no radiológica</t>
  </si>
  <si>
    <t>HSLA-ARAUQUITA-REHABILITACION Y TERAPIAS</t>
  </si>
  <si>
    <t>M06</t>
  </si>
  <si>
    <t>Rehabilitación y terapias = Fisioterapia y rehabilitación</t>
  </si>
  <si>
    <t>HSLA-ARAUQUITA-BANCO DE SANGRE</t>
  </si>
  <si>
    <t>M01</t>
  </si>
  <si>
    <t>HSLA-ARAUQUITA-UNIDAD RENAL</t>
  </si>
  <si>
    <t>M03</t>
  </si>
  <si>
    <t>HSLA-ARAUQUITA-UNIDAD HEMODINAMIA</t>
  </si>
  <si>
    <t>C05</t>
  </si>
  <si>
    <t>HSLA-ARAUQUITA-TERAPIAS ONCOLOGICAS</t>
  </si>
  <si>
    <t>M07</t>
  </si>
  <si>
    <t>HSLA-ARAUQUITA-FARMACIA E INSUMOS HOPITALARIOS</t>
  </si>
  <si>
    <t>M05</t>
  </si>
  <si>
    <t>Farmacia e insumos hospitalarios</t>
  </si>
  <si>
    <t>HSLA-ARAUQUITA-OTRAS UNIDADES DE APOYO TERAPEUTICO</t>
  </si>
  <si>
    <t>Otras unidades apoyo terapéutico (terapia respiratoria, oxígeno) = Otras terapias</t>
  </si>
  <si>
    <t>HSLA-ARAUQUITA-ANCIANATOS</t>
  </si>
  <si>
    <t>J01</t>
  </si>
  <si>
    <t>HSLA-ARAUQUITA-CENTROS Y PUESTOS DE SALUD</t>
  </si>
  <si>
    <t>J17</t>
  </si>
  <si>
    <t>Centros y puestos de salud</t>
  </si>
  <si>
    <t>HSLA-ARAUQUITA-SERV. DOCENTES</t>
  </si>
  <si>
    <t>U03</t>
  </si>
  <si>
    <t>HSLA-ARAUQUITA-SERV. CONEXOS A LA SALUD MEDICINA LEGAL</t>
  </si>
  <si>
    <t>Baja</t>
  </si>
  <si>
    <t>Medicina legal: sin CECO directo en resolución; usar Otras consultas y procedimientos</t>
  </si>
  <si>
    <t>HSLA-ARAUQUITA-SERV. CONEXOS A LA SALUD SER. AMBULANC</t>
  </si>
  <si>
    <t>N08</t>
  </si>
  <si>
    <t>Servicio de ambulancias</t>
  </si>
  <si>
    <t>HSLA-ARAUQUITA-SER. CONEXOS A LA SALUD OTROS SERVICIOS</t>
  </si>
  <si>
    <t>N04</t>
  </si>
  <si>
    <t>Otros servicios conexos: sin equivalente directo; asignado a Otros enfermería</t>
  </si>
  <si>
    <t>HSFF-FORTUL-CONSULTA Y PROCEDIMIENTOS</t>
  </si>
  <si>
    <t>HSFF - Fortul</t>
  </si>
  <si>
    <t>HSFF-FORTUL-OBSERVACIONES</t>
  </si>
  <si>
    <t>HSFF-FORTUL-CONSULTA EXTERNA</t>
  </si>
  <si>
    <t>HSFF-FORTUL-CONSULTA ESPECIALIZADA</t>
  </si>
  <si>
    <t>HSFF-FORTUL-SALUD ORAL</t>
  </si>
  <si>
    <t>HSFF-FORTUL-PROMOCION Y MANTENIMIENTO</t>
  </si>
  <si>
    <t>HSFF-FORTUL-OTRAS ACTIVIDADES EXTRAMURALES</t>
  </si>
  <si>
    <t>HSFF-FORTUL-HOSPITALACION-ESTANCIA GENERAL</t>
  </si>
  <si>
    <t>HSFF-FORTUL-CUIDADOS INTENSIVOS</t>
  </si>
  <si>
    <t>HSFF-FORTUL-CUIDADOS INTERMEDIOS</t>
  </si>
  <si>
    <t>HSFF-FORTUL-RECIEN NACIDOS</t>
  </si>
  <si>
    <t>HSFF-FORTUL-HOSPITALIZACI.N SALUD MENTAL</t>
  </si>
  <si>
    <t>HSFF-FORTUL-QUEMADOS</t>
  </si>
  <si>
    <t>HSFF-FORTUL-OTROS CUIDADOS ESPECIALE</t>
  </si>
  <si>
    <t>HSFF-FORTUL-QUIROFANOS</t>
  </si>
  <si>
    <t>HSFF-FORTUL-SALA DE PARTO</t>
  </si>
  <si>
    <t>HSFF-FORTUL-LABORATORIO CLINICO</t>
  </si>
  <si>
    <t>HSFF-FORTUL-IMAGENOLOGIA</t>
  </si>
  <si>
    <t>HSFF-FORTUL-ANATOMIA PATOLOGICA</t>
  </si>
  <si>
    <t>HSFF-FORTUL-OTRAS UNIDADES DE APOYO DIAGNOSTICO</t>
  </si>
  <si>
    <t>HSFF-FORTUL-REHABILITACION Y TERAPIAS</t>
  </si>
  <si>
    <t>HSFF-FORTUL-BANCO DE SANGRE</t>
  </si>
  <si>
    <t>HSFF-FORTUL-UNIDAD RENAL</t>
  </si>
  <si>
    <t>HSFF-FORTUL-UNIDAD HEMODINAMIA</t>
  </si>
  <si>
    <t>HSFF-FORTUL-TERAPIAS ONCOLOGICAS</t>
  </si>
  <si>
    <t>HSFF-FORTUL-FARMACIA E INSUMOS HOPITALARIOS</t>
  </si>
  <si>
    <t>HSFF-FORTUL-OTRAS UNIDADES DE APOYO TERAPEUTICO</t>
  </si>
  <si>
    <t>HSFF-FORTUL-ANCIANATOS</t>
  </si>
  <si>
    <t>HSFF-FORTUL-CENTROS Y PUESTOS DE SALUD</t>
  </si>
  <si>
    <t>HSFF-FORTUL-SERV. DOCENTES</t>
  </si>
  <si>
    <t>HSFF-FORTUL-SERV. CONEXOS A LA SALUD MEDICINA LEGAL</t>
  </si>
  <si>
    <t>HSFF-FORTUL-SERV. CONEXOS A LA SALUD SER. AMBULANC</t>
  </si>
  <si>
    <t>HSFF-FORTUL-SER. CONEXOS A LA SALUD OTROS SERVICIOS</t>
  </si>
  <si>
    <t>HSAT-TAME-CONSULTA Y PROCEDIMIENTOS</t>
  </si>
  <si>
    <t>HSAT - Tame</t>
  </si>
  <si>
    <t>HSAT-TAME-OBSERVACIONES</t>
  </si>
  <si>
    <t>HSAT-TAME-CONSULTA EXTERNA</t>
  </si>
  <si>
    <t>HSAT-TAME-CONSULTA ESPECIALIZADA</t>
  </si>
  <si>
    <t>HSAT-TAME-SALUD ORAL</t>
  </si>
  <si>
    <t>HSAT-TAME-PROMOCION Y MANTENIMIENTO</t>
  </si>
  <si>
    <t>HSAT-TAME-OTRAS ACTIVIDADES EXTRAMURALES</t>
  </si>
  <si>
    <t>HSAT-TAME-HOSPITALACION-ESTANCIA GENERAL</t>
  </si>
  <si>
    <t>HSAT-TAME-CUIDADOS INTENSIVOS</t>
  </si>
  <si>
    <t>HSAT-TAME-CUIDADOS INTERMEDIOS</t>
  </si>
  <si>
    <t>HSAT-TAME-RECIEN NACIDOS</t>
  </si>
  <si>
    <t>HSAT-TAME-HOSPITALIZACI.N SALUD MENTAL</t>
  </si>
  <si>
    <t>HSAT-TAME-QUEMADOS</t>
  </si>
  <si>
    <t>HSAT-TAME-OTROS CUIDADOS ESPECIALE</t>
  </si>
  <si>
    <t>HSAT-TAME-QUIROFANOS</t>
  </si>
  <si>
    <t>HSAT-TAME-SALA DE PARTO</t>
  </si>
  <si>
    <t>HSAT-TAME-LABORATORIO CLINICO</t>
  </si>
  <si>
    <t>HSAT-TAME-IMAGENOLOGIA</t>
  </si>
  <si>
    <t>HSAT-TAME-ANATOMIA PATOLOGICA</t>
  </si>
  <si>
    <t>HSAT-TAME-OTRAS UNIDADES DE APOYO DIAGNOSTICO</t>
  </si>
  <si>
    <t>HSAT-TAME-REHABILITACION Y TERAPIAS</t>
  </si>
  <si>
    <t>HSAT-TAME-BANCO DE SANGRE</t>
  </si>
  <si>
    <t>HSAT-TAME-UNIDAD RENAL</t>
  </si>
  <si>
    <t>HSAT-TAME-UNIDAD HEMODINAMIA</t>
  </si>
  <si>
    <t>HSAT-TAME-TERAPIAS ONCOLOGICAS</t>
  </si>
  <si>
    <t>HSAT-TAME-FARMACIA E INSUMOS HOPITALARIOS</t>
  </si>
  <si>
    <t>HSAT-TAME-OTRAS UNIDADES DE APOYO TERAPEUTICO</t>
  </si>
  <si>
    <t>HSAT-TAME-ANCIANATOS</t>
  </si>
  <si>
    <t>HSAT-TAME-CENTROS Y PUESTOS DE SALUD</t>
  </si>
  <si>
    <t>HSAT-TAME-SERV. DOCENTES</t>
  </si>
  <si>
    <t>HSAT-TAME-SERV. CONEXOS A LA SALUD MEDICINA LEGAL</t>
  </si>
  <si>
    <t>HSAT-TAME-SERV. CONEXOS A LA SALUD SER. AMBULANC</t>
  </si>
  <si>
    <t>HSAT-TAME-SER. CONEXOS A LA SALUD OTROS SERVICIOS</t>
  </si>
  <si>
    <t>HSJDP-PUERTO RONDON-CONSULTA Y PROCEDIMIENTOS</t>
  </si>
  <si>
    <t>HSJDP - Puerto Rondón</t>
  </si>
  <si>
    <t>HSJDP-PUERTO RONDON-OBSERVACIONES</t>
  </si>
  <si>
    <t>HSJDP-PUERTO RONDON-CONSULTA EXTERNA</t>
  </si>
  <si>
    <t>HSJDP-PUERTO RONDON-CONSULTA ESPECIALIZADA</t>
  </si>
  <si>
    <t>HSJDP-PUERTO RONDON-SALUD ORAL</t>
  </si>
  <si>
    <t>HSJDP-PUERTO RONDON-PROMOCION Y MANTENIMIENTO</t>
  </si>
  <si>
    <t>HSJDP-PUERTO RONDON-OTRAS ACTIVIDADES EXTRAMURALES</t>
  </si>
  <si>
    <t>HSJDP-PUERTO RONDON-HOSPITALACION-ESTANCIA GENERAL</t>
  </si>
  <si>
    <t>HSJDP-PUERTO RONDON-CUIDADOS INTENSIVOS</t>
  </si>
  <si>
    <t>HSJDP-PUERTO RONDON-CUIDADOS INTERMEDIOS</t>
  </si>
  <si>
    <t>HSJDP-PUERTO RONDON-RECIEN NACIDOS</t>
  </si>
  <si>
    <t>HSJDP-PUERTO RONDON-HOSPITALIZACI.N SALUD MENTAL</t>
  </si>
  <si>
    <t>HSJDP-PUERTO RONDON-QUEMADOS</t>
  </si>
  <si>
    <t>HSJDP-PUERTO RONDON-OTROS CUIDADOS ESPECIALE</t>
  </si>
  <si>
    <t>HSJDP-PUERTO RONDON-QUIROFANOS</t>
  </si>
  <si>
    <t>HSJDP-PUERTO RONDON-SALA DE PARTO</t>
  </si>
  <si>
    <t>HSJDP-PUERTO RONDON-LABORATORIO CLINICO</t>
  </si>
  <si>
    <t>HSJDP-PUERTO RONDON-IMAGENOLOGIA</t>
  </si>
  <si>
    <t>HSJDP-PUERTO RONDON-ANATOMIA PATOLOGICA</t>
  </si>
  <si>
    <t>HSJDP-PUERTO RONDON-OTRAS UNIDADES DE APOYO DIAGNOSTICO</t>
  </si>
  <si>
    <t>HSJDP-PUERTO RONDON-REHABILITACION Y TERAPIAS</t>
  </si>
  <si>
    <t>HSJDP-PUERTO RONDON-BANCO DE SANGRE</t>
  </si>
  <si>
    <t>HSJDP-PUERTO RONDON-UNIDAD RENAL</t>
  </si>
  <si>
    <t>HSJDP-PUERTO RONDON-UNIDAD HEMODINAMIA</t>
  </si>
  <si>
    <t>HSJDP-PUERTO RONDON-TERAPIAS ONCOLOGICAS</t>
  </si>
  <si>
    <t>HSJDP-PUERTO RONDON-FARMACIA E INSUMOS HOPITALARIOS</t>
  </si>
  <si>
    <t>HSJDP-PUERTO RONDON-OTRAS UNIDADES DE APOYO TERAPEUTICO</t>
  </si>
  <si>
    <t>HSJDP-PUERTO RONDON-ANCIANATOS</t>
  </si>
  <si>
    <t>HSJDP-PUERTO RONDON-CENTROS Y PUESTOS DE SALUD</t>
  </si>
  <si>
    <t>HSJDP-PUERTO RONDON-SERV. DOCENTES</t>
  </si>
  <si>
    <t>HSJDP-PUERTO RONDON-SERV. CONEXOS A LA SALUD MEDICINA LEGAL</t>
  </si>
  <si>
    <t>HSJDP-PUERTO RONDON-SERV. CONEXOS A LA SALUD SER. AMBULANC</t>
  </si>
  <si>
    <t>HSJDP-PUERTO RONDON-SER. CONEXOS A LA SALUD OTROS SERVICIOS</t>
  </si>
  <si>
    <t>HSJCN-CRAVO NORTE-CONSULTA Y PROCEDIMIENTOS</t>
  </si>
  <si>
    <t>HSJCN - Cravo Norte</t>
  </si>
  <si>
    <t>HSJCN-CRAVO NORTE-OBSERVACIONES</t>
  </si>
  <si>
    <t>HSJCN-CRAVO NORTE-CONSULTA EXTERNA</t>
  </si>
  <si>
    <t>HSJCN-CRAVO NORTE-CONSULTA ESPECIALIZADA</t>
  </si>
  <si>
    <t>HSJCN-CRAVO NORTE-SALUD ORAL</t>
  </si>
  <si>
    <t>HSJCN-CRAVO NORTE-PROMOCION Y MANTENIMIENTO</t>
  </si>
  <si>
    <t>HSJCN-CRAVO NORTE-OTRAS ACTIVIDADES EXTRAMURALES</t>
  </si>
  <si>
    <t>HSJCN-CRAVO NORTE-HOSPITALACION-ESTANCIA GENERAL</t>
  </si>
  <si>
    <t>HSJCN-CRAVO NORTE-CUIDADOS INTENSIVOS</t>
  </si>
  <si>
    <t>HSJCN-CRAVO NORTE-CUIDADOS INTERMEDIOS</t>
  </si>
  <si>
    <t>HSJCN-CRAVO NORTE-RECIEN NACIDOS</t>
  </si>
  <si>
    <t>HSJCN-CRAVO NORTE-HOSPITALIZACI.N SALUD MENTAL</t>
  </si>
  <si>
    <t>HSJCN-CRAVO NORTE-QUEMADOS</t>
  </si>
  <si>
    <t>HSJCN-CRAVO NORTE-OTROS CUIDADOS ESPECIALE</t>
  </si>
  <si>
    <t>HSJCN-CRAVO NORTE-QUIROFANOS</t>
  </si>
  <si>
    <t>HSJCN-CRAVO NORTE-SALA DE PARTO</t>
  </si>
  <si>
    <t>HSJCN-CRAVO NORTE-LABORATORIO CLINICO</t>
  </si>
  <si>
    <t>HSJCN-CRAVO NORTE-IMAGENOLOGIA</t>
  </si>
  <si>
    <t>HSJCN-CRAVO NORTE-ANATOMIA PATOLOGICA</t>
  </si>
  <si>
    <t>HSJCN-CRAVO NORTE-OTRAS UNIDADES DE APOYO DIAGNOSTICO</t>
  </si>
  <si>
    <t>HSJCN-CRAVO NORTE-REHABILITACION Y TERAPIAS</t>
  </si>
  <si>
    <t>HSJCN-CRAVO NORTE-BANCO DE SANGRE</t>
  </si>
  <si>
    <t>HSJCN-CRAVO NORTE-UNIDAD RENAL</t>
  </si>
  <si>
    <t>HSJCN-CRAVO NORTE-UNIDAD HEMODINAMIA</t>
  </si>
  <si>
    <t>HSJCN-CRAVO NORTE-TERAPIAS ONCOLOGICAS</t>
  </si>
  <si>
    <t>HSJCN-CRAVO NORTE-FARMACIA E INSUMOS HOPITALARIOS</t>
  </si>
  <si>
    <t>HSJCN-CRAVO NORTE-OTRAS UNIDADES DE APOYO TERAPEUTICO</t>
  </si>
  <si>
    <t>HSJCN-CRAVO NORTE-ANCIANATOS</t>
  </si>
  <si>
    <t>HSJCN-CRAVO NORTE-CENTROS Y PUESTOS DE SALUD</t>
  </si>
  <si>
    <t>HSJCN-CRAVO NORTE-SERV. DOCENTES</t>
  </si>
  <si>
    <t>HSJCN-CRAVO NORTE-SERV. CONEXOS A LA SALUD MEDICINA LEGAL</t>
  </si>
  <si>
    <t>HSJCN-CRAVO NORTE-SERV. CONEXOS A LA SALUD SER. AMBULANC</t>
  </si>
  <si>
    <t>HSJCN-CRAVO NORTE-SER. CONEXOS A LA SALUD OTROS SERVICIOS</t>
  </si>
  <si>
    <t>HSRP-PAMPURI-CONSULTA Y PROCEDIMIENTOS</t>
  </si>
  <si>
    <t>HSRP - Pampurí / La Esmeralda</t>
  </si>
  <si>
    <t>HSRP-LA ESMERALDA-OBSERVACIONES</t>
  </si>
  <si>
    <t>HSRP-PAMPURI-CONSULTA EXTERNA</t>
  </si>
  <si>
    <t>HSRP-LA ESMERALDA-CONSULTA ESPECIALIZADA</t>
  </si>
  <si>
    <t>HSRP-PAMPURI-SALUD ORAL</t>
  </si>
  <si>
    <t>HSRP-LA ESMERALDA-PROMOCION Y MANTENIMIENTO</t>
  </si>
  <si>
    <t>HSRP-LA ESMERALDA-OTRAS ACTIVIDADES EXTRAMURALES</t>
  </si>
  <si>
    <t>HSRP-LA ESMERALDA-HOSPITALACION-ESTANCIA GENERAL</t>
  </si>
  <si>
    <t>HSRP-LA ESMERALDA-CUIDADOS INTENSIVOS</t>
  </si>
  <si>
    <t>HSRP-LA ESMERALDA-CUIDADOS INTERMEDIOS</t>
  </si>
  <si>
    <t>HSRP-LA ESMERALDA-RECIEN NACIDOS</t>
  </si>
  <si>
    <t>HSRP-LA ESMERALDA-HOSPITALIZACI.N SALUD MENTAL</t>
  </si>
  <si>
    <t>HSRP-LA ESMERALDA-QUEMADOS</t>
  </si>
  <si>
    <t>HSRP-LA ESMERALDA-OTROS CUIDADOS ESPECIALE</t>
  </si>
  <si>
    <t>HSRP-LA ESMERALDA-QUIROFANOS</t>
  </si>
  <si>
    <t>HSRP-LA ESMERALDA-SALA DE PARTO</t>
  </si>
  <si>
    <t>HSRP-LA ESMERALDA-LABORATORIO CLINICO</t>
  </si>
  <si>
    <t>HSRP-LA ESMERALDA-IMAGENOLOGIA</t>
  </si>
  <si>
    <t>HSRP-LA ESMERALDA-ANATOMIA PATOLOGICA</t>
  </si>
  <si>
    <t>HSRP-LA ESMERALDA-OTRAS UNIDADES DE APOYO DIAGNOSTICO</t>
  </si>
  <si>
    <t>HSRP-LA ESMERALDA-REHABILITACION Y TERAPIAS</t>
  </si>
  <si>
    <t>HSRP-LA ESMERALDA-BANCO DE SANGRE</t>
  </si>
  <si>
    <t>HSRP-LA ESMERALDA-UNIDAD RENAL</t>
  </si>
  <si>
    <t>HSRP-LA ESMERALDA-UNIDAD HEMODINAMIA</t>
  </si>
  <si>
    <t>HSRP-LA ESMERALDA-TERAPIAS ONCOLOGICAS</t>
  </si>
  <si>
    <t>HSRP-LA ESMERALDA-FARMACIA E INSUMOS HOPITALARIOS</t>
  </si>
  <si>
    <t>HSRP-LA ESMERALDA-OTRAS UNIDADES DE APOYO TERAPEUTICO</t>
  </si>
  <si>
    <t>HSRP-LA ESMERALDA-ANCIANATOS</t>
  </si>
  <si>
    <t>HSRP-LA ESMERALDA-CENTROS Y PUESTOS DE SALUD</t>
  </si>
  <si>
    <t>HSRP-LA ESMERALDA-SERV. DOCENTES</t>
  </si>
  <si>
    <t>HSRP-LA ESMERALDA-SERV. CONEXOS A LA SALUD MEDICINA LEGAL</t>
  </si>
  <si>
    <t>HSRP-LA ESMERALDA-SERV. CONEXOS A LA SALUD SER. AMBULANC</t>
  </si>
  <si>
    <t>HSRP-LA ESMERALDA-SER. CONEXOS A LA SALUD OTROS SERVICIOS</t>
  </si>
  <si>
    <t>CSPA-ARAUQUITA-CONSULTA Y PROCEDIMIENTOS</t>
  </si>
  <si>
    <t>CSPA - Panamá de Arauca</t>
  </si>
  <si>
    <t>CSPA-ARAUQUITA-OBSERVACIONES</t>
  </si>
  <si>
    <t>CSPA-ARAUQUITA-CONSULTA EXTERNA</t>
  </si>
  <si>
    <t>CSPA-ARAUQUITA-CONSULTA ESPECIALIZADA</t>
  </si>
  <si>
    <t>CSPA-ARAUQUITA-SALUD ORAL</t>
  </si>
  <si>
    <t>CSPA-ARAUQUITA-PROMOCION Y MANTENIMIENTO</t>
  </si>
  <si>
    <t>CSPA-ARAUQUITA-OTRAS ACTIVIDADES EXTRAMURALES</t>
  </si>
  <si>
    <t>CSPA-ARAUQUITA-HOSPITALACION-ESTANCIA GENERAL</t>
  </si>
  <si>
    <t>CSPA-ARAUQUITA-CUIDADOS INTENSIVOS</t>
  </si>
  <si>
    <t>CSPA-ARAUQUITA-CUIDADOS INTERMEDIOS</t>
  </si>
  <si>
    <t>CSPA-ARAUQUITA-RECIEN NACIDOS</t>
  </si>
  <si>
    <t>CSPA-ARAUQUITA-HOSPITALIZACI.N SALUD MENTAL</t>
  </si>
  <si>
    <t>CSPA-ARAUQUITA-QUEMADOS</t>
  </si>
  <si>
    <t>CSPA-ARAUQUITA-OTROS CUIDADOS ESPECIALE</t>
  </si>
  <si>
    <t>CSPA-ARAUQUITA-QUIROFANOS</t>
  </si>
  <si>
    <t>CSPA-ARAUQUITA-SALA DE PARTO</t>
  </si>
  <si>
    <t>CSPA-ARAUQUITA-LABORATORIO CLINICO</t>
  </si>
  <si>
    <t>CSPA-ARAUQUITA-IMAGENOLOGIA</t>
  </si>
  <si>
    <t>CSPA-ARAUQUITA-ANATOMIA PATOLOGICA</t>
  </si>
  <si>
    <t>CSPA-ARAUQUITA-OTRAS UNIDADES DE APOYO DIAGNOSTICO</t>
  </si>
  <si>
    <t>CSPA-ARAUQUITA-REHABILITACION Y TERAPIAS</t>
  </si>
  <si>
    <t>CSPA-ARAUQUITA-BANCO DE SANGRE</t>
  </si>
  <si>
    <t>CSPA-ARAUQUITA-UNIDAD RENAL</t>
  </si>
  <si>
    <t>CSPA-ARAUQUITA-UNIDAD HEMODINAMIA</t>
  </si>
  <si>
    <t>CSPA-ARAUQUITA-TERAPIAS ONCOLOGICAS</t>
  </si>
  <si>
    <t>CSPA-ARAUQUITA-FARMACIA E INSUMOS HOPITALARIOS</t>
  </si>
  <si>
    <t>CSPA-ARAUQUITA-OTRAS UNIDADES DE APOYO TERAPEUTICO</t>
  </si>
  <si>
    <t>CSPA-ARAUQUITA-ANCIANATOS</t>
  </si>
  <si>
    <t>CSPA-ARAUQUITA-CENTROS Y PUESTOS DE SALUD</t>
  </si>
  <si>
    <t>CSPA-ARAUQUITA-SERV. DOCENTES</t>
  </si>
  <si>
    <t>CSPA-ARAUQUITA-SERV. CONEXOS A LA SALUD MEDICINA LEGAL</t>
  </si>
  <si>
    <t>CSPA-ARAUQUITA-SERV. CONEXOS A LA SALUD SER. AMBULANC</t>
  </si>
  <si>
    <t>CSPA-ARAUQUITA-SER. CONEXOS A LA SALUD OTROS SERVICIOS</t>
  </si>
  <si>
    <t>CSJSC-TAME-CONSULTA Y PROCEDIMIENTOS</t>
  </si>
  <si>
    <t>CSJSC - Tame</t>
  </si>
  <si>
    <t>CSJSC-TAME-OBSERVACIONES</t>
  </si>
  <si>
    <t>CSJSC-TAME-CONSULTA EXTERNA</t>
  </si>
  <si>
    <t>CSJSC-TAME-CONSULTA ESPECIALIZADA</t>
  </si>
  <si>
    <t>CSJSC-TAME-SALUD ORAL</t>
  </si>
  <si>
    <t>CSJSC-TAME-PROMOCION Y MANTENIMIENTO</t>
  </si>
  <si>
    <t>CSJSC-TAME-OTRAS ACTIVIDADES EXTRAMURALES</t>
  </si>
  <si>
    <t>CSJSC-TAME-HOSPITALACION-ESTANCIA GENERAL</t>
  </si>
  <si>
    <t>CSJSC-TAME-CUIDADOS INTENSIVOS</t>
  </si>
  <si>
    <t>CSJSC-TAME-CUIDADOS INTERMEDIOS</t>
  </si>
  <si>
    <t>CSJSC-TAME-RECIEN NACIDOS</t>
  </si>
  <si>
    <t>CSJSC-TAME-HOSPITALIZACI.N SALUD MENTAL</t>
  </si>
  <si>
    <t>CSJSC-TAME-QUEMADOS</t>
  </si>
  <si>
    <t>CSJSC-TAME-OTROS CUIDADOS ESPECIALE</t>
  </si>
  <si>
    <t>CSJSC-TAME-QUIROFANOS</t>
  </si>
  <si>
    <t>CSJSC-TAME-SALA DE PARTO</t>
  </si>
  <si>
    <t>CSJSC-TAME-LABORATORIO CLINICO</t>
  </si>
  <si>
    <t>CSJSC-TAME-IMAGENOLOGIA</t>
  </si>
  <si>
    <t>CSJSC-TAME-ANATOMIA PATOLOGICA</t>
  </si>
  <si>
    <t>CSJSC-TAME-OTRAS UNIDADES DE APOYO DIAGNOSTICO</t>
  </si>
  <si>
    <t>CSJSC-TAME-REHABILITACION Y TERAPIAS</t>
  </si>
  <si>
    <t>CSJSC-TAME-BANCO DE SANGRE</t>
  </si>
  <si>
    <t>CSJSC-TAME-UNIDAD RENAL</t>
  </si>
  <si>
    <t>CSJSC-TAME-UNIDAD HEMODINAMIA</t>
  </si>
  <si>
    <t>CSJSC-TAME-TERAPIAS ONCOLOGICAS</t>
  </si>
  <si>
    <t>CSJSC-TAME-FARMACIA E INSUMOS HOPITALARIOS</t>
  </si>
  <si>
    <t>CSJSC-TAME-OTRAS UNIDADES DE APOYO TERAPEUTICO</t>
  </si>
  <si>
    <t>CSJSC-TAME-ANCIANATOS</t>
  </si>
  <si>
    <t>CSJSC-TAME-CENTROS Y PUESTOS DE SALUD</t>
  </si>
  <si>
    <t>CSJSC-TAME-SERV. DOCENTES</t>
  </si>
  <si>
    <t>CSJSC-TAME-SERV. CONEXOS A LA SALUD MEDICINA LEGAL</t>
  </si>
  <si>
    <t>CSJSC-TAME-SERV. CONEXOS A LA SALUD SER. AMBULANC</t>
  </si>
  <si>
    <t>CSJSC-TAME-SER. CONEXOS A LA SALUD OTROS SERVICIOS</t>
  </si>
  <si>
    <t>ESE01-TAME-GERENCIA</t>
  </si>
  <si>
    <t>T01</t>
  </si>
  <si>
    <t>ESE01 - Sede Administrativa (Tame)</t>
  </si>
  <si>
    <t>Gerencia</t>
  </si>
  <si>
    <t>Regla específica</t>
  </si>
  <si>
    <t>ESE01-TAME-JURIDICA</t>
  </si>
  <si>
    <t>T05</t>
  </si>
  <si>
    <t>Jurídica</t>
  </si>
  <si>
    <t>ESE01-TAME-RECURSOS HUMANOS</t>
  </si>
  <si>
    <t>R05</t>
  </si>
  <si>
    <t>Recursos humanos = Talento humano</t>
  </si>
  <si>
    <t>ESE01-TAME-ALMACEN SEDE ADMINISTRATIVA</t>
  </si>
  <si>
    <t>R02</t>
  </si>
  <si>
    <t>Almacén sede administrativa</t>
  </si>
  <si>
    <t>ESE01-TAME-CONTROL INTERNO</t>
  </si>
  <si>
    <t>T11</t>
  </si>
  <si>
    <t>Control interno</t>
  </si>
  <si>
    <t>ESE01-TAME-CALIDAD</t>
  </si>
  <si>
    <t>T10</t>
  </si>
  <si>
    <t>Calidad</t>
  </si>
  <si>
    <t>ESE01-TAME-ATENCION AL USUARIO</t>
  </si>
  <si>
    <t>O02</t>
  </si>
  <si>
    <t>Atención al usuario</t>
  </si>
  <si>
    <t>ESE01-TAME-SISTEMAS DE INFORMACION Y ARCHIVO</t>
  </si>
  <si>
    <t>R09</t>
  </si>
  <si>
    <t>Sistemas de información y archivo = Gestión documental</t>
  </si>
  <si>
    <t>ESE01-TAME-INFORMATICA Y TELECOMUNICACIONES</t>
  </si>
  <si>
    <t>T07</t>
  </si>
  <si>
    <t>Informática = Sistemas</t>
  </si>
  <si>
    <t>ESE01-TAME-FARMACIA E INSUMOS HOPITALARIOS</t>
  </si>
  <si>
    <t>Farmacia</t>
  </si>
  <si>
    <t>ESE01-TAME-AUDITORIA MEDICA</t>
  </si>
  <si>
    <t>U02</t>
  </si>
  <si>
    <t>Auditoría médica</t>
  </si>
  <si>
    <t>ESE01-TAME-PGRHYS</t>
  </si>
  <si>
    <t>R04</t>
  </si>
  <si>
    <t>PGIRHS = Aseo y limpieza</t>
  </si>
  <si>
    <t>ESE01-ARAUCA-ESTADISTICA</t>
  </si>
  <si>
    <t>Q05</t>
  </si>
  <si>
    <t>Estadística</t>
  </si>
  <si>
    <t>ESE01-TAME- CONTABILIDAD</t>
  </si>
  <si>
    <t>S02</t>
  </si>
  <si>
    <t>Contabilidad</t>
  </si>
  <si>
    <t>ESE01-TAME-PRESUPUESTO</t>
  </si>
  <si>
    <t>S06</t>
  </si>
  <si>
    <t>Presupuesto</t>
  </si>
  <si>
    <t>ESE01-TAME-CARTERA</t>
  </si>
  <si>
    <t>S03</t>
  </si>
  <si>
    <t>Cartera</t>
  </si>
  <si>
    <t>ESE01-ARAUCA-PAGOS</t>
  </si>
  <si>
    <t>S05</t>
  </si>
  <si>
    <t>Pagos = Tesorería</t>
  </si>
  <si>
    <t>ESE01-TAME-FACTURACION</t>
  </si>
  <si>
    <t>S04</t>
  </si>
  <si>
    <t>Facturación</t>
  </si>
  <si>
    <t>ESE01-TAME-TESORERIA</t>
  </si>
  <si>
    <t>Tesorería</t>
  </si>
  <si>
    <t>HSLA-ARAUQUITA-ATENCION AL USUARIO</t>
  </si>
  <si>
    <t>Atención al usuario (SIAU)</t>
  </si>
  <si>
    <t>HSLA-ARAUQUITA-ALMACEN</t>
  </si>
  <si>
    <t>Almacén = Recursos físicos</t>
  </si>
  <si>
    <t>HSLA-ARAUQUITA- FACTURACION</t>
  </si>
  <si>
    <t>HSLA-ARAUQUITA- ESTADISTICA</t>
  </si>
  <si>
    <t>HSFF-FORTUL-ATENCION AL USUARIO</t>
  </si>
  <si>
    <t>HSFF-FORTUL-ALMACEN</t>
  </si>
  <si>
    <t>HSFF-FORTUL- FACTURACION</t>
  </si>
  <si>
    <t>HSFF-FORTUL- ESTADISTICA</t>
  </si>
  <si>
    <t>HSAT-TAME-ATENCION AL USUARIO</t>
  </si>
  <si>
    <t>HSAT-TAME-ALMACEN</t>
  </si>
  <si>
    <t>HSAT-TAME- FACTURACION</t>
  </si>
  <si>
    <t>HSAT-TAME- ESTADISTICA</t>
  </si>
  <si>
    <t>HSJDP-PUERTO RONDON-ATENCION AL USUARIO</t>
  </si>
  <si>
    <t>HSJDP-PUERTO RONDON-ALMACEN</t>
  </si>
  <si>
    <t>HSJDP-PUERTO RONDON- FACTURACION</t>
  </si>
  <si>
    <t>HSJDP-PUERTO RONDON- ESTADISTICA</t>
  </si>
  <si>
    <t>HSJCN-CRAVO NORTE-ATENCION AL USUARIO</t>
  </si>
  <si>
    <t>HSJCN-CRAVO NORTE-ALMACEN</t>
  </si>
  <si>
    <t>HSJCN-CRAVO NORTE- FACTURACION</t>
  </si>
  <si>
    <t>HSJCN-CRAVO NORTE- ESTADISTICA</t>
  </si>
  <si>
    <t>HSRP-SARAVENA-ATENCION AL USUARIO</t>
  </si>
  <si>
    <t>HSRP-ESMERALDA-ALMACEN</t>
  </si>
  <si>
    <t>HSRP-PAMPURI- FACTURACION</t>
  </si>
  <si>
    <t>HSRP-ESMERALDA- ESTADISTICA</t>
  </si>
  <si>
    <t>CSPA-ARAUQUITA-ATENCION AL USUARIO</t>
  </si>
  <si>
    <t>CSPA-ARAUQUITA-ALMACEN</t>
  </si>
  <si>
    <t>CSPA-ARAUQUITA- FACTURACION</t>
  </si>
  <si>
    <t>CSPA-ARAUQUITA- ESTADISTICA</t>
  </si>
  <si>
    <t>CSJSC-TAME-ATENCION AL USUARIO</t>
  </si>
  <si>
    <t>CSJSC-TAME-ALMACEN</t>
  </si>
  <si>
    <t>CSJSC-TAME- FACTURACION</t>
  </si>
  <si>
    <t>CSJSC-TAME- ESTADISTICA</t>
  </si>
  <si>
    <t>ESE01-TAME-PLANEACION</t>
  </si>
  <si>
    <t>T08</t>
  </si>
  <si>
    <t>Planeación</t>
  </si>
  <si>
    <t>ESE01-ARAUCA-COORDINACION DE PROYECTOS</t>
  </si>
  <si>
    <t>Coordinación de proyectos = Planeación</t>
  </si>
  <si>
    <t>ESE01-ARAUCA-COORDINACION DE ASISTENCIAL</t>
  </si>
  <si>
    <t>U05</t>
  </si>
  <si>
    <t>Coordinación asistencial = Coordinación en salud</t>
  </si>
  <si>
    <t>ESE01 TAME-CONDUCTOR</t>
  </si>
  <si>
    <t>R07</t>
  </si>
  <si>
    <t>Conductor sede administrativa</t>
  </si>
  <si>
    <t>ESE01-TAME-MANTENIMIENTO VEHICULOS</t>
  </si>
  <si>
    <t>Mantenimiento vehículos administrativos</t>
  </si>
  <si>
    <t>ESE01-CENTRAL-MANTENIMIENTO PLANTA FISICA</t>
  </si>
  <si>
    <t>R03</t>
  </si>
  <si>
    <t>Mantenimiento planta física sede central</t>
  </si>
  <si>
    <t>ESE01-TAME-MANTENIMIENTO EQUIPOS BIOMEDICOS</t>
  </si>
  <si>
    <t>P02</t>
  </si>
  <si>
    <t>Mantenimiento equipos biomédicos (central, se distribuye a sedes)</t>
  </si>
  <si>
    <t>ESE01-TAME-MANTENIMIENTO EQUIPOS NO BIOMEDICOS</t>
  </si>
  <si>
    <t>Mantenimiento equipos no biomédicos sede central</t>
  </si>
  <si>
    <t>ESE01-ARAUCA-LAVANDERIA</t>
  </si>
  <si>
    <t>P03</t>
  </si>
  <si>
    <t>Lavandería</t>
  </si>
  <si>
    <t>ESE01-TAME-ALIMENTACION ADMINISTRATIVO Y ASISTENCIAL</t>
  </si>
  <si>
    <t>P01</t>
  </si>
  <si>
    <t>Alimentación administrativo y asistencial = Cocina</t>
  </si>
  <si>
    <t>HSLA-ARAUQUITA-TRANSPORTE PACIENTES CONDUCTORES</t>
  </si>
  <si>
    <t>Conductores de transporte de pacientes = Ambulancias</t>
  </si>
  <si>
    <t>HSLA-ARAUQUITA-MANTENIMIENTO VEHICULOS</t>
  </si>
  <si>
    <t>Mantenimiento de vehículos de sede hospitalaria (ambulancias)</t>
  </si>
  <si>
    <t>HSLA-ARAUQUITA-MANTENIMIENTO PLANTA FISICA</t>
  </si>
  <si>
    <t>Mantenimiento planta física hospitalaria</t>
  </si>
  <si>
    <t>HSLA-ARAUQUITA-MANTENIMIENTO EQUIPOS BIOMEDICOS</t>
  </si>
  <si>
    <t>Mantenimiento equipos biomédicos</t>
  </si>
  <si>
    <t>HSLA-ARAUQUITA-MANTENIMIENTO EQUIPOS NO BIOMEDICOS</t>
  </si>
  <si>
    <t>Mantenimiento equipos no biomédicos</t>
  </si>
  <si>
    <t>HSLA-ARAUQUITA-LAVANDERIA</t>
  </si>
  <si>
    <t>HSLA-ARAUQUITA-ALIMENTACION A PACIENTES</t>
  </si>
  <si>
    <t>Alimentación a pacientes = Cocina</t>
  </si>
  <si>
    <t>HSFF-FORTUL-TRANSPORTE PACIENTES CONDUCTORES</t>
  </si>
  <si>
    <t>HSFF-FORTUL-MANTENIMIENTO VEHICULOS</t>
  </si>
  <si>
    <t>HSFF-FORTUL-MANTENIMIENTO PLANTA FISICA</t>
  </si>
  <si>
    <t>HSFF-FORTUL-MANTENIMIENTO EQUIPOS BIOMEDICOS</t>
  </si>
  <si>
    <t>HSFF-FORTUL-MANTENIMIENTO EQUIPOS NO BIOMEDICOS</t>
  </si>
  <si>
    <t>HSFF-FORTUL-LAVANDERIA</t>
  </si>
  <si>
    <t>HSFF-FORTUL-ALIMENTACION A PACIENTES</t>
  </si>
  <si>
    <t>HSAT-TAME-TRANSPORTE PACIENTES CONDUCTORES</t>
  </si>
  <si>
    <t>HSAT-TAME-MANTENIMIENTO VEHICULOS</t>
  </si>
  <si>
    <t>HSAT-TAME-MANTENIMIENTO PLANTA FISICA</t>
  </si>
  <si>
    <t>HSAT-TAME-MANTENIMIENTO EQUIPOS BIOMEDICOS</t>
  </si>
  <si>
    <t>HSAT-TAME-MANTENIMIENTO EQUIPOS NO BIOMEDICOS</t>
  </si>
  <si>
    <t>HSAT-TAME-LAVANDERIA</t>
  </si>
  <si>
    <t>HSAT-TAME-ALIMENTACION A PACIENTES</t>
  </si>
  <si>
    <t>HSJDP-PUERTO RONDON-TRANSPORTE PACIENTES CONDUCTORES</t>
  </si>
  <si>
    <t>HSJDP-PUERTO RONDON-MANTENIMIENTO VEHICULOS</t>
  </si>
  <si>
    <t>HSJDP-PUERTO RONDON-MANTENIMIENTO PLANTA FISICA</t>
  </si>
  <si>
    <t>HSJDP-PUERTO RONDON-MANTENIMIENTO EQUIPOS BIOMEDICOS</t>
  </si>
  <si>
    <t>HSJDP-PUERTO RONDON-MANTENIMIENTO EQUIPOS NO BIOMEDICOS</t>
  </si>
  <si>
    <t>HSJDP-PUERTO RONDON-LAVANDERIA</t>
  </si>
  <si>
    <t>HSJDP-PUERTO RONDON-ALIMENTACION A PACIENTES</t>
  </si>
  <si>
    <t>HSJCN-CRAVO NORTE-TRANSPORTE PACIENTES CONDUCTORES</t>
  </si>
  <si>
    <t>HSJCN-CRAVO NORTE-MANTENIMIENTO VEHICULOS</t>
  </si>
  <si>
    <t>HSJCN-CRAVO NORTE-MANTENIMIENTO PLANTA FISICA</t>
  </si>
  <si>
    <t>HSJCN-CRAVO NORTE-MANTENIMIENTO EQUIPOS BIOMEDICOS</t>
  </si>
  <si>
    <t>HSJCN-CRAVO NORTE-MANTENIMIENTO EQUIPOS NO BIOMEDICOS</t>
  </si>
  <si>
    <t>HSJCN-CRAVO NORTE-LAVANDERIA</t>
  </si>
  <si>
    <t>HSJCN-CRAVO NORTE-ALIMENTACION A PACIENTES</t>
  </si>
  <si>
    <t>HSRP-PAMPURI-TRANSPORTE PACIENTES CONDUCTORES</t>
  </si>
  <si>
    <t>HSRP-MANTENIMIENTO VEHICULOS</t>
  </si>
  <si>
    <t>HSRP-PAMPURI-MANTENIMIENTO PLANTA FISICA</t>
  </si>
  <si>
    <t>HSRP-PAMPURI-MANTENIMIENTO EQUIPOS BIOMEDICOS</t>
  </si>
  <si>
    <t>HSRP-ESMERALDA-MANTENIMIENTO EQUIPOS NO BIOMEDICOS</t>
  </si>
  <si>
    <t>HSRP-SARAVENA-LAVANDERIA</t>
  </si>
  <si>
    <t>HSRP-PAMPURI-ALIMENTACION A PACIENTES</t>
  </si>
  <si>
    <t>CSPA-TRANSPORTE PACIENTES CONDUCTORES</t>
  </si>
  <si>
    <t>CSPA-ARAUQUITA-MANTENIMIENTO VEHICULOS</t>
  </si>
  <si>
    <t>CSPA-ARAUQUITA-MANTENIMIENTO PLANTA FISICA</t>
  </si>
  <si>
    <t>CSPA-ARAUQUITA-MANTENIMIENTO EQUIPOS BIOMEDICOS</t>
  </si>
  <si>
    <t>CSPA-ARAUQUITA-MANTENIMIENTO EQUIPOS NO BIOMEDICOS</t>
  </si>
  <si>
    <t>CSPA-ARAUQUITA-LAVANDERIA</t>
  </si>
  <si>
    <t>CSPA-ARAUQUITA-ALIMENTACION A PACIENTES</t>
  </si>
  <si>
    <t>CSJSC-TAME- TRANSPORTE PACIENTES CONDUCTORES</t>
  </si>
  <si>
    <t>CSJSC-TAME- MANTENIMIENTO VEHICULOS</t>
  </si>
  <si>
    <t>CSJSC-TAME- MANTENIMIENTO PLANTA FISICA</t>
  </si>
  <si>
    <t>CSJSC-TAME- MANTENIMIENTO EQUIPOS BIOMEDICOS</t>
  </si>
  <si>
    <t>CSJSC-TAME- MANTENIMIENTO EQUIPOS NO BIOMEDICOS</t>
  </si>
  <si>
    <t>CSJSC-TAME- LAVANDERIA</t>
  </si>
  <si>
    <t>CSJSC-TAME- ALIMENTACION A PACIENTES</t>
  </si>
  <si>
    <t>HSLA-ARAUQUITA-TESORERIA CAJA</t>
  </si>
  <si>
    <t>Tesorería / caja</t>
  </si>
  <si>
    <t>HSFF-FORTUL-TESORERIA CAJA</t>
  </si>
  <si>
    <t>HSAT-TAME-TESORERIA CAJA</t>
  </si>
  <si>
    <t>HSJDP-PUERTO RONDON-TESORERIA CAJA</t>
  </si>
  <si>
    <t>HSJCN-CRAVO NORTE-TESORERIA CAJA</t>
  </si>
  <si>
    <t>HSRP-SARAVENA-TESORERIA CAJA</t>
  </si>
  <si>
    <t>CSPA-ARAUQUITA-TESORERIA CAJA</t>
  </si>
  <si>
    <t>CSJSC-TAME-TESORERIA CAJA</t>
  </si>
  <si>
    <t>ESE01-TAME-SERVICIOS PUBLICOS</t>
  </si>
  <si>
    <t>Servicios públicos sede central</t>
  </si>
  <si>
    <t>HSLA-ARAUQUITA-SERVICIOS PUBLICOS</t>
  </si>
  <si>
    <t>Servicios públicos: CECO de apoyo a distribuir por m²</t>
  </si>
  <si>
    <t>HSFF-FORTUL-SERVICIOS PUBLICOS</t>
  </si>
  <si>
    <t>HSAT-TAME-SERVICIOS PUBLICOS</t>
  </si>
  <si>
    <t>HSJDP-PUERTO RONDON-SERVICIOS PUBLICOS</t>
  </si>
  <si>
    <t>HSJCN-CRAVO NORTE-SERVICIOS PUBLICOS</t>
  </si>
  <si>
    <t>HSRP-PAMPURI-SERVICIOS PUBLICOS</t>
  </si>
  <si>
    <t>CSPA-ARAUQUITA-SERVICIOS PUBLICOS</t>
  </si>
  <si>
    <t>CSJSC-TAME-SERVICIOS PUBLICOS</t>
  </si>
  <si>
    <t>HSLA-ARAUQUITA-ADMINISTRACION HOSPITALARIA</t>
  </si>
  <si>
    <t>R01</t>
  </si>
  <si>
    <t>Administración hospitalaria = Coordinación administrativa</t>
  </si>
  <si>
    <t>HSFF-FORTUL-ADMINISTRACION HOSPITALARIA</t>
  </si>
  <si>
    <t>HSAT-TAME-ADMINISTRACION HOSPITALARIA</t>
  </si>
  <si>
    <t>HSJDP-PUERTO RONDON-ADMINISTRACION HOSPITALARIA</t>
  </si>
  <si>
    <t>HSJCN-CRAVO NORTE-ADMINISTRACION HOSPITALARIA</t>
  </si>
  <si>
    <t>HSRP-PAMPURI-ADMINISTRACION HOSPITALARIA</t>
  </si>
  <si>
    <t>CSPA-ARAUQUITA-ADMINISTRACION HOSPITALARIA</t>
  </si>
  <si>
    <t>CSJSC-TAME-ADMINISTRACION HOSPITALARIA</t>
  </si>
  <si>
    <t>ESE01-TAME-ADMINISTRACION SEDE CENTRAL</t>
  </si>
  <si>
    <t>Administración sede central</t>
  </si>
  <si>
    <t>HSLA-ARAUQUITA- INFORMATICA Y TELECOMUNICACIONES</t>
  </si>
  <si>
    <t>Informática y telecomunicaciones = Sistemas</t>
  </si>
  <si>
    <t>HSFF-FORTUL- INFORMATICA Y TELECOMUNICACIONES</t>
  </si>
  <si>
    <t>HSAT-TAME- INFORMATICA Y TELECOMUNICACIONES</t>
  </si>
  <si>
    <t>HSJDP-PUERTO RONDON- INFORMATICA Y TELECOMUNICACIONES</t>
  </si>
  <si>
    <t>HSJCN-CRAVO NORTE- INFORMATICA Y TELECOMUNICACIONES</t>
  </si>
  <si>
    <t>HSRP-PAMPURI- INFORMATICA Y TELECOMUNICACIONES</t>
  </si>
  <si>
    <t>CSPA-ARAUQUITA- INFORMATICA Y TELECOMUNICACIONES</t>
  </si>
  <si>
    <t>CSJSC-TAME- INFORMATICA Y TELECOMUNICACIONES</t>
  </si>
  <si>
    <t>ESE01-TAME-PROMOCION Y MANTENIMIENTO</t>
  </si>
  <si>
    <t>Promoción y mantenimiento</t>
  </si>
  <si>
    <t>ESE01-TAME-VIGILANCIA Y ASEO</t>
  </si>
  <si>
    <t>Vigilancia y aseo (llevar vigilancia a R06 si se separa)</t>
  </si>
  <si>
    <t>HSLA-ARAUQUITA-VIGILANCIA Y ASEO</t>
  </si>
  <si>
    <t>Vigilancia y aseo: asignado a Aseo; si el contrato separa vigilancia, llevar esa parte a R06</t>
  </si>
  <si>
    <t>HSFF-FORTUL-VIGILANCIA Y ASEO</t>
  </si>
  <si>
    <t>HSAT-TAME-VIGILANCIA Y ASEO</t>
  </si>
  <si>
    <t>HSJDP-PUERTO RONDON-VIGILANCIA Y ASEO</t>
  </si>
  <si>
    <t>HSJCN-CRAVO NORTE-VIGILANCIA Y ASEO</t>
  </si>
  <si>
    <t>HSRP-PAMPURI-VIGILANCIA Y ASEO</t>
  </si>
  <si>
    <t>CSPA-ARAUQUITA-VIGILANCIA Y ASEO</t>
  </si>
  <si>
    <t>CSJSC-TAME-VIGILANCIA Y ASEO</t>
  </si>
  <si>
    <t>ESE01 TAME TRANSPORTE PERSONAL</t>
  </si>
  <si>
    <t>Transporte de personal</t>
  </si>
  <si>
    <t>PAGO IMPUESTOS RETENIDOS</t>
  </si>
  <si>
    <t>Pago de impuestos retenidos: cuenta transitoria, no es costo. Excluir</t>
  </si>
  <si>
    <t>ESE01- SEDE ADMINISTRATIVA - OTRAS ACTIVIDADES EXTRAMURALES</t>
  </si>
  <si>
    <t>Extramurales sede administrativa (PIC)</t>
  </si>
  <si>
    <t>ESE01-SALDOS INCIALES</t>
  </si>
  <si>
    <t>Saldos iniciales: partida contable, no es centro de costo. Excluir de la herramienta</t>
  </si>
  <si>
    <t>ESE01-TRANSPORTE PACIENTES - COMBUSTIBLE</t>
  </si>
  <si>
    <t>Combustible transporte pacientes</t>
  </si>
  <si>
    <t>HSLA - ARAUQUITA - TRANSPORTE PACIENTES - COMBUSTIBLE</t>
  </si>
  <si>
    <t>Combustible transporte pacientes = Ambulancias</t>
  </si>
  <si>
    <t>HSFF-FORTUL-TRANSPORTE PACIENTES - COMBUSTIBLE</t>
  </si>
  <si>
    <t>HSAT-TAME-TRANSPORTE PACIENTES - COMBUSTIBLE</t>
  </si>
  <si>
    <t>HSJDP-RONDON-TRANSPORTE PACIENTES - COMBUSTIBLE</t>
  </si>
  <si>
    <t>HSJCN-CRAVO NORTE-TRANSPORTE PACIENTES - COMBUSTIBLE</t>
  </si>
  <si>
    <t>HSRP-LA ESMERALDA-TRANSPORTE PACIENTES - COMBUSTIBLE</t>
  </si>
  <si>
    <t>CSPA-PANAMA-TRANSPORTE PACIENTES - COMBUSTIBLE</t>
  </si>
  <si>
    <t>CSJSC-PUERTO JORDAN-TRANSPORTE PACIENTES - COMBUSTIBLE</t>
  </si>
  <si>
    <t>AMPLIACION Y ADECUACION INFRAESTRUCTURA</t>
  </si>
  <si>
    <t>Ampliación y adecuación de infraestructura: inversión capitalizable, no costo del periodo. Excluir (o R02 si se causa como gasto)</t>
  </si>
  <si>
    <t>PSLP-FARMACIA E INSUMOS HOPITALARIOS</t>
  </si>
  <si>
    <t>PSLP</t>
  </si>
  <si>
    <t>PSAC-FARMACIA E INSUMOS HOPITALARIOS</t>
  </si>
  <si>
    <t>PSAC</t>
  </si>
  <si>
    <t>PSO1-FARMACIA E INSUMOS HOPITALARIOS</t>
  </si>
  <si>
    <t>PSO1</t>
  </si>
  <si>
    <t>ESE01-MEDICAMENTOS</t>
  </si>
  <si>
    <t>Medicamentos = Farmacia</t>
  </si>
  <si>
    <t>HSLA - ARAUQUITA - CONTROL DE RESIDUOS SOLIDOS</t>
  </si>
  <si>
    <t>Control residuos hospitalarios (PGIRHS) = Aseo y limpieza</t>
  </si>
  <si>
    <t>HSFF-FORTUL-CONTROL DE RESIDUOS HOSPITALARIOS</t>
  </si>
  <si>
    <t>HSAT-TAME- CONTROL DE RESIDUOS HOSPITALARIOS</t>
  </si>
  <si>
    <t>HSJDP-RONDON - CONTROL DE RESIDUOS HOSPITALARIOS</t>
  </si>
  <si>
    <t>CSJSC - TAME - CONTROL DE RESIDUOS SOLIDOS</t>
  </si>
  <si>
    <t>CSPA - PANAMA- CONTROL DE RESIDUOS SOLIDOS</t>
  </si>
  <si>
    <t>HSRP - LA ESMERALDA - CONTROL DE RESIDUOS SOLIDOS</t>
  </si>
  <si>
    <t>HSJCN - CONTROL DE RESIDUOS SOLIDOS</t>
  </si>
  <si>
    <t>HSFF - FORTUL - GASTOS ADMINISTRATIVOS</t>
  </si>
  <si>
    <t>Gastos administrativos de sede</t>
  </si>
  <si>
    <t>ESE01-TAME-SEGURIDAD INDUSTRIAL</t>
  </si>
  <si>
    <t>R08</t>
  </si>
  <si>
    <t>Seguridad industrial</t>
  </si>
  <si>
    <t>HSLA-ARAUQUITA-SEGURIDAD INSDUSTRIAL</t>
  </si>
  <si>
    <t>Seguridad industrial = Salud ocupacional (SG-SST)</t>
  </si>
  <si>
    <t>HSFF - FORTUL-SEGURIDAD INDUSTRIAL</t>
  </si>
  <si>
    <t>HSAT- TAME-SEGURIDAD INDUSTRIAL</t>
  </si>
  <si>
    <t>HSJDP-RONDON-SEGURIDAD INDUSTRIAL</t>
  </si>
  <si>
    <t>HSJCN-CRAVO NORTE- SEGURIDAD INDUSTRIAL</t>
  </si>
  <si>
    <t>HSRP-LA ESMERALDA-SEGURIDAD INDUSTRIAL</t>
  </si>
  <si>
    <t>CSPA-ARAUQUITA-SEGURIDAD INDUSTRIAL</t>
  </si>
  <si>
    <t>CSJSC-TAME-SEGURIDAD INDUSTRIAL</t>
  </si>
  <si>
    <t>ESE01- TAME - MENSAJERIA Y ARCHIVO</t>
  </si>
  <si>
    <t>Mensajería y archivo</t>
  </si>
  <si>
    <t>HSJDP-RONDON - MENSAJERIA Y ARCHIVO</t>
  </si>
  <si>
    <t>Mensajería y archivo = Gestión documental</t>
  </si>
  <si>
    <t>HSLA - ARAUQUITA - ARCHIVO Y MENSAJERIA</t>
  </si>
  <si>
    <t>CSJSC-TAME-MENSAJERIA Y ARCHIVO</t>
  </si>
  <si>
    <t>HSAT-TAME-MENSAJERIA Y ARCHIVO</t>
  </si>
  <si>
    <t>HSFF - FORTUL - ARCHIVO Y MENSAJERIA</t>
  </si>
  <si>
    <t>ESE01-CAPACITACION, BIENESTAR SOCIAL Y ESTIMULOS</t>
  </si>
  <si>
    <t>Capacitación y bienestar</t>
  </si>
  <si>
    <t>HSLA - ARAUQUITA- CAPACITACION, BIENESTAR SOCIAL Y ESTIMULOS</t>
  </si>
  <si>
    <t>Capacitación y bienestar = Talento humano</t>
  </si>
  <si>
    <t>HSAT- TAME- CAPACITACION, BIENESTAR SOCIAL Y ESTIMULOS</t>
  </si>
  <si>
    <t>HSSF-FORTUL- CAPACITACION, BIENESTAR SOCIAL Y ESTIMULOS</t>
  </si>
  <si>
    <t>HSJDP-PUERTO RONDON-CAPACITACION, BIENESTAR SOCIAL Y ESTIMULOS</t>
  </si>
  <si>
    <t>HSJCN - CRAVO NORTE - CAPACITACION, BIENESTAR SOCIAL Y ESTIMULOS</t>
  </si>
  <si>
    <t>HSJC - CRAVO NORTE MENSAJERIA Y ARCHIVO</t>
  </si>
  <si>
    <t>PSPG-TAME-SERVICIOS PUBLICOS</t>
  </si>
  <si>
    <t>PSPG - Tame</t>
  </si>
  <si>
    <t>SEGUROS-SOAT VEHICULOS SEDE ADMINISTRATIVA</t>
  </si>
  <si>
    <t>SOAT vehículos sede administrativa</t>
  </si>
  <si>
    <t>SEGURO-SOAT VEHICULO ARAUQUITA</t>
  </si>
  <si>
    <t>SOAT vehículos de sede hospitalaria (ambulancias)</t>
  </si>
  <si>
    <t>SEGURO-SOAT VEHICULO FORTUL</t>
  </si>
  <si>
    <t>SEGURO-SOAT VEHICULO TAME</t>
  </si>
  <si>
    <t>SEGURO-SOAT VEHICULO PUERTO RONDON</t>
  </si>
  <si>
    <t>SEGURO-SOAT VEHICULO CRAVO NORTE</t>
  </si>
  <si>
    <t>SEGURO-SOAT VEHICULO PANAMA ARAUQUITA</t>
  </si>
  <si>
    <t>SEGURO-SOAT VEHICULO PAMPURI LA ESEMERALDA</t>
  </si>
  <si>
    <t>HSLA-TRANSPORTE MEDICOS Y PARAMEDICOS</t>
  </si>
  <si>
    <t>Transporte médicos y paramédicos</t>
  </si>
  <si>
    <t>ESE01- TAME-SALUD OCUPACIONAL</t>
  </si>
  <si>
    <t>Salud ocupacional</t>
  </si>
  <si>
    <t>ESE01-TAME-HOSPEDAJE- ADMINISTRATIVO Y ASISTENCIAL</t>
  </si>
  <si>
    <t>Hospedaje administrativo y asistencial</t>
  </si>
  <si>
    <t>ESE-ACTIVIDADES DE SALUD PUBLICA</t>
  </si>
  <si>
    <t>Actividades de salud pública</t>
  </si>
  <si>
    <t>HSAT-FONOAUDIOLOGIA</t>
  </si>
  <si>
    <t>Fonoaudiología = Otras terapias</t>
  </si>
  <si>
    <t>HSAT-FILIPINAS-MANTENIMIENTO PLANTA FISICA</t>
  </si>
  <si>
    <t>HSAT - Filipinas</t>
  </si>
  <si>
    <t>HSAT- MAPOY-MANTENIMIENTO PLANTA FISICA</t>
  </si>
  <si>
    <t>HSAT- ALTO CAUCA-MAMTENIMIENTO PLANTA FISICA</t>
  </si>
  <si>
    <t>HSAT-PUERTO GAITAN-MANTENIMIENTO PLANTA FISICA</t>
  </si>
  <si>
    <t>HSAT-BETOYES-MANTENIMIENTO PLANTA FISICA</t>
  </si>
  <si>
    <t>HSAT-CAÑO CAMAME-MANTENIMIENTO PLANTA FISICA</t>
  </si>
  <si>
    <t>HSAT-PUERTO MIRANDA-MANTENIMIENTO PLANTA FISICA</t>
  </si>
  <si>
    <t>HSAT-LA HORQUETA-MANTENIMIENTO PLANTA FISICA</t>
  </si>
  <si>
    <t>HSAT-MALVINAS-MANTENIMIENTO PLANTA FISICA</t>
  </si>
  <si>
    <t>HSFF-LA 20-MANTENIMIENTO PLANTA FISICA</t>
  </si>
  <si>
    <t>HSFF - La 20</t>
  </si>
  <si>
    <t>HSFF-PUERTO NIDIA-MANTENIMIENTO PLANTA FISICA</t>
  </si>
  <si>
    <t>HSFF-CARANAL-MANTENIMIENTO PLANTA FISICA</t>
  </si>
  <si>
    <t>HSFF-CARACOLES-MANTENIMIENTO PLANTA FISICA</t>
  </si>
  <si>
    <t>HSFF-CUSAY-MANTENIMIENTO PLANTA FISICA</t>
  </si>
  <si>
    <t>HSFF-EL SALEM-MANTENIMIENTO PLANTA FISICA</t>
  </si>
  <si>
    <t>HSLA-LA PESQUERA-MANTENIMIENTO PLANTA FISICA</t>
  </si>
  <si>
    <t>HSLA - La Pesquera</t>
  </si>
  <si>
    <t>HSLA-EL OASIS-MANTENIMIENTO PLANTA FISICA</t>
  </si>
  <si>
    <t>HSLA-LA PAZ-MANTENIMIENTO PLANTA FISICA</t>
  </si>
  <si>
    <t>HSLA-EL PARAISO-MANTENIMIENTO PLANTA FISICA</t>
  </si>
  <si>
    <t>HSLA-AGUACHICA-MANTENIMIENTO PLANTA FISICA</t>
  </si>
  <si>
    <t>HSLA-LA REINERA-MANTENIMIENTO PLANTA FISICA</t>
  </si>
  <si>
    <t>HSAT-MANTENIMIENTO SISTEMA ELECTRICO</t>
  </si>
  <si>
    <t>Mantenimiento sistema eléctrico hospital</t>
  </si>
  <si>
    <t>ESE- INGENIERIA CIVIL</t>
  </si>
  <si>
    <t>Ingeniería civil = Mantenimiento</t>
  </si>
  <si>
    <t>CSJSC - PLANTA ELECTRICA</t>
  </si>
  <si>
    <t>Planta eléctrica = Mantenimiento hospitalario</t>
  </si>
  <si>
    <t>HSAT-TAME-SISTEMA DE PRESION Y PURIFICACION DE AGUA</t>
  </si>
  <si>
    <t>Sistema presión/purificación agua = Mantenimiento hospitalario</t>
  </si>
  <si>
    <t>ESE01 - UNIDAD DE CORRESPONDENCIA</t>
  </si>
  <si>
    <t>Unidad de correspondencia = Gestión documental</t>
  </si>
  <si>
    <t>HSAT-TAME-REDES DE DISTRIBUCION AGUA</t>
  </si>
  <si>
    <t>Redes de agua = Mantenimiento hospitalario</t>
  </si>
  <si>
    <t>ESE01-SUBGERENCIA ADMINISTRATIVA</t>
  </si>
  <si>
    <t>Subgerencia administrativa y financiera = Coordinación administrativa (alternativa S01)</t>
  </si>
  <si>
    <t>HSAT-TAME-MANTENIMIENTO PREVENTIVO Y CORRECTIVO</t>
  </si>
  <si>
    <t>Mantenimiento preventivo y correctivo</t>
  </si>
  <si>
    <t>HSLA-ARAUQUITA-MANTENIMIENTO PREVENTIVO Y CORRECTIVO</t>
  </si>
  <si>
    <t>HSFF-FORTUL-MANTENIMIENTO PREVENTIVO Y CORRECTIVO</t>
  </si>
  <si>
    <t>HSJDP-PUERTO RONDON-MANTENIMIENTO PREVENTIVO Y CORRECTIVO</t>
  </si>
  <si>
    <t>HSJC-CRAVO NORTE-MANTENIMIENTO PREVENTIVO Y CORRECTIVO</t>
  </si>
  <si>
    <t>CSPA-PANAMA-MANTENIMIENTO PREVENTIVO Y CORRECTIVO</t>
  </si>
  <si>
    <t>HSRP-PAMPURI-MANTENIMIENTO PREVENTIVO Y CORRECTIVO</t>
  </si>
  <si>
    <t>ESE01-SEDE ADMINISTRATIVA-MANTENIMIENTO PREVENTIVO Y CORRECTIVO</t>
  </si>
  <si>
    <t>Mantenimiento preventivo/correctivo sede administrativa</t>
  </si>
  <si>
    <t>ESE01-TAME- TRANSPORTE Y VEHICULOS</t>
  </si>
  <si>
    <t>Transporte y vehículos sede administrativa</t>
  </si>
  <si>
    <t>HSLA-ARAUQUITA-TRANSPORTE Y VEHICULOS</t>
  </si>
  <si>
    <t>Transporte y vehículos de sede</t>
  </si>
  <si>
    <t>HSJC-CRAVO NORTE-TRANSPORTE Y VEHICULOS</t>
  </si>
  <si>
    <t>HSRP-PAMPURI-TRANSPORTE Y VEHICULOS</t>
  </si>
  <si>
    <t>ESE01-CONSULTORIA-PROFESIONAL</t>
  </si>
  <si>
    <t>Consultoría profesional: asignar al área que contrata</t>
  </si>
  <si>
    <t>ESE01-DOSIMETRIA</t>
  </si>
  <si>
    <t>Dosimetría: costo directo de RX</t>
  </si>
  <si>
    <t>HSAT-TAME-DOSIMETRIA</t>
  </si>
  <si>
    <t>Dosimetría: costo directo del servicio de RX</t>
  </si>
  <si>
    <t>HSJC-CRAVO NORTE-DOSIMETRIA</t>
  </si>
  <si>
    <t>HSJDP-PUERTO RONDON-DOSIMETRIA</t>
  </si>
  <si>
    <t>HSLA-ARAUQUITA-DOSIMETRIA</t>
  </si>
  <si>
    <t>HSFF-FORTUL-DOSIMETRIA</t>
  </si>
  <si>
    <t>HSRP MENSAJERIA Y ARCHIVO</t>
  </si>
  <si>
    <t>CJDC MANTENIMIENTO PREVENTIVO Y CORRECTIVO P JORDAN</t>
  </si>
  <si>
    <t>Puerto Jordán</t>
  </si>
  <si>
    <t>HSRP DOSIMETRIA</t>
  </si>
  <si>
    <t>CSPA-PANAMA-MENSAJERIA Y ARCHIVO</t>
  </si>
  <si>
    <t>HSFF-FORTUL TRANSPORTE VEHICULOS</t>
  </si>
  <si>
    <t>HSAT-TAME TRANSPORTE VEHICULOS</t>
  </si>
  <si>
    <t>HSJP-RONDON TRANSPORTE DE VEHICULOS</t>
  </si>
  <si>
    <t>SUBGERENCIA EN SALUD</t>
  </si>
  <si>
    <t>Subgerencia en salud = Coordinación en salud</t>
  </si>
  <si>
    <t>FARMACIA PRINCIPAL FILIPINAS</t>
  </si>
  <si>
    <t>Farmacia principal Filipinas</t>
  </si>
  <si>
    <t>COMBUSTIBLE FILIPINAS</t>
  </si>
  <si>
    <t>Combustible Filipinas: confirmar si es transporte de pacientes (N08) o administrativo</t>
  </si>
  <si>
    <t>MANTENIMIENTO VEHICULOS FILIPINA</t>
  </si>
  <si>
    <t>Mantenimiento vehículos Filipinas: confirmar si es ambulancia (N08)</t>
  </si>
  <si>
    <t>ESE-MANTENIMIENTO PREVENTIVO Y CORRECTIVO</t>
  </si>
  <si>
    <t>Mantenimiento preventivo y correctivo sede central</t>
  </si>
  <si>
    <t>ESE-TAME-BIOMEDICO</t>
  </si>
  <si>
    <t>Biomédico = Mantenimiento hospitalario</t>
  </si>
  <si>
    <t>ESE01 - TAME - SISTEMA ELECTRICO</t>
  </si>
  <si>
    <t>Sistema eléctrico sede central</t>
  </si>
  <si>
    <t>CENTROS DE COSTOS UTILIZADOS</t>
  </si>
  <si>
    <t>CÓDIGO CECO</t>
  </si>
  <si>
    <t>NOMBRE CENTROS DE COSTOS</t>
  </si>
  <si>
    <t>N° CECO E.F. ACTIVOS ASIGNADOS</t>
  </si>
  <si>
    <t>MEDICINA GENERAL</t>
  </si>
  <si>
    <t>A18</t>
  </si>
  <si>
    <t>PSICOLOGÍA</t>
  </si>
  <si>
    <t>A24</t>
  </si>
  <si>
    <t>GINECOLOGÍA Y OBSTETRICIA</t>
  </si>
  <si>
    <t>A26</t>
  </si>
  <si>
    <t>PEDIATRÍA</t>
  </si>
  <si>
    <t>A28</t>
  </si>
  <si>
    <t>CONSULTA PREANESTÉSICA</t>
  </si>
  <si>
    <t>CONSULTA URGENCIAS</t>
  </si>
  <si>
    <t>OBSERVACIÓN</t>
  </si>
  <si>
    <t>B03</t>
  </si>
  <si>
    <t>PROCEDIMIENTOS URGENCIAS</t>
  </si>
  <si>
    <t>ODONTOLOGÍA GENERAL</t>
  </si>
  <si>
    <t>CENTROS Y PUESTOS DE SALUD</t>
  </si>
  <si>
    <t>K10</t>
  </si>
  <si>
    <t>GESTIÓN Y ADMINISTRACIÓN DEL PROGRAMA AMPLIADO DE INMUNIZACIONES</t>
  </si>
  <si>
    <t>K15</t>
  </si>
  <si>
    <t>SALUD ORAL EN LOS TERRITORIOS</t>
  </si>
  <si>
    <t>K17</t>
  </si>
  <si>
    <t>ENTORNOS SALUDABLES EN LOS TERRITORIOS</t>
  </si>
  <si>
    <t>SALUD PUBLICA</t>
  </si>
  <si>
    <t>IMAGENEOLOGÍA RADIOLÓGICA</t>
  </si>
  <si>
    <t>LABORATORIO Y ANÁLISIS CLÍNICO</t>
  </si>
  <si>
    <t>FARMACIA</t>
  </si>
  <si>
    <t>FISIOTERAPIA Y REHABILITACIÓN</t>
  </si>
  <si>
    <t>PROMOCIÓN Y PREVENCIÓN</t>
  </si>
  <si>
    <t>SERVICIO DE AMBULANCIAS</t>
  </si>
  <si>
    <t>ATENCIÓN AL USUARIO</t>
  </si>
  <si>
    <t>MANTENIMIENTO HOSPITALARIO</t>
  </si>
  <si>
    <t>ESTADISTICA</t>
  </si>
  <si>
    <t>COORDINACIÓN ADMINISTRATIVA</t>
  </si>
  <si>
    <t>RECURSOS FÍSICOS</t>
  </si>
  <si>
    <t>MANTENIMIENTO</t>
  </si>
  <si>
    <t>ASEO Y LIMPIEZA</t>
  </si>
  <si>
    <t>TALENTO HUMANO</t>
  </si>
  <si>
    <t>R06</t>
  </si>
  <si>
    <t>SEGURIDAD Y VIGILANCIA</t>
  </si>
  <si>
    <t>OTROS VEHÍCULOS Y CONDUCTORES</t>
  </si>
  <si>
    <t>SALUD OCUPACIONAL</t>
  </si>
  <si>
    <t>GESTIÓN DOCUMENTAL Y ARCHIVÍSTICA</t>
  </si>
  <si>
    <t>S01</t>
  </si>
  <si>
    <t>COORDINACIÓN FINANCIERA</t>
  </si>
  <si>
    <t>CONTABILIDAD Y COSTOS</t>
  </si>
  <si>
    <t>CARTERA</t>
  </si>
  <si>
    <t>FACTURACIÓN Y AUDITORIA DE CUENTAS MÉDICAS</t>
  </si>
  <si>
    <t>TESORERÍA</t>
  </si>
  <si>
    <t>PRESUPUESTO</t>
  </si>
  <si>
    <t>GERENCIA Y JUNTA DIRECTIVA</t>
  </si>
  <si>
    <t>JURÍDICA Y CONTRATACIÓN</t>
  </si>
  <si>
    <t>SISTEMAS</t>
  </si>
  <si>
    <t>PLANEACIÓN Y DESARROLLO INSTITUCIONAL</t>
  </si>
  <si>
    <t>PROGRAMAS DE CALIDAD Y ACREDITACIÓN</t>
  </si>
  <si>
    <t>CONTROL INTERNO</t>
  </si>
  <si>
    <t>AUDITORIA MÉDICA</t>
  </si>
  <si>
    <t>COORDINACION EN SALUD</t>
  </si>
  <si>
    <t>CENTROS DE COSTOS RESOLUCION</t>
  </si>
  <si>
    <t>A01</t>
  </si>
  <si>
    <t>AUDIOLOGIA Y AUDIOMETRÍA</t>
  </si>
  <si>
    <t>A02</t>
  </si>
  <si>
    <t>CARDIOLOGÍA</t>
  </si>
  <si>
    <t>A03</t>
  </si>
  <si>
    <t>DERMATOLOGÍA</t>
  </si>
  <si>
    <t>A04</t>
  </si>
  <si>
    <t>ENDOCRINOLOGÍA</t>
  </si>
  <si>
    <t>A05</t>
  </si>
  <si>
    <t>GERIATRÍA</t>
  </si>
  <si>
    <t>A06</t>
  </si>
  <si>
    <t>GASTROENTEROLOGÍA</t>
  </si>
  <si>
    <t>A07</t>
  </si>
  <si>
    <t>GENÉTICA</t>
  </si>
  <si>
    <t>A08</t>
  </si>
  <si>
    <t>INMUNOHEMATOLOGÍA</t>
  </si>
  <si>
    <t>A09</t>
  </si>
  <si>
    <t>NEFROLOGÍA</t>
  </si>
  <si>
    <t>A11</t>
  </si>
  <si>
    <t>MEDICINA INTERNA</t>
  </si>
  <si>
    <t>A12</t>
  </si>
  <si>
    <t>NEUMOLOGÍA</t>
  </si>
  <si>
    <t>A13</t>
  </si>
  <si>
    <t>NEUROLOGÍA Y NEUROPEDIATRÍA</t>
  </si>
  <si>
    <t>A14</t>
  </si>
  <si>
    <t>ONCOLOGÍA</t>
  </si>
  <si>
    <t>A15</t>
  </si>
  <si>
    <t>OPTOMETRÍA</t>
  </si>
  <si>
    <t>A16</t>
  </si>
  <si>
    <t>OTORRINOLARINGOLOGÍA</t>
  </si>
  <si>
    <t>A17</t>
  </si>
  <si>
    <t>PSIQUIATRÍA</t>
  </si>
  <si>
    <t>A19</t>
  </si>
  <si>
    <t>REUMATOLOGÍA</t>
  </si>
  <si>
    <t>A20</t>
  </si>
  <si>
    <t>UROLOGÍA</t>
  </si>
  <si>
    <t>A21</t>
  </si>
  <si>
    <t>OFTALMOLOGÍA</t>
  </si>
  <si>
    <t>A22</t>
  </si>
  <si>
    <t>MAXILOFACIAL</t>
  </si>
  <si>
    <t>A23</t>
  </si>
  <si>
    <t>CIRUGIA GENERAL</t>
  </si>
  <si>
    <t>A25</t>
  </si>
  <si>
    <t>ORTOPEDIA</t>
  </si>
  <si>
    <t>A27</t>
  </si>
  <si>
    <t>PLÁSTICA, ESTÉTICA Y RECONSTRUCTIVA</t>
  </si>
  <si>
    <t>A29</t>
  </si>
  <si>
    <t>NEUROCIRUGÍA</t>
  </si>
  <si>
    <t>A30</t>
  </si>
  <si>
    <t>TORAX</t>
  </si>
  <si>
    <t>A31</t>
  </si>
  <si>
    <t>CARDIOVASCULAR</t>
  </si>
  <si>
    <t>OTRAS CONSULTAS Y PROCEDIMIENTOS</t>
  </si>
  <si>
    <t>A33</t>
  </si>
  <si>
    <t>VASCULAR PERIFERICA</t>
  </si>
  <si>
    <t>B04</t>
  </si>
  <si>
    <t>URGENCIAS ESPECIALIZADAS</t>
  </si>
  <si>
    <t>B05</t>
  </si>
  <si>
    <t>URGENCIAS PEDIÁTRICAS</t>
  </si>
  <si>
    <t>CIRUGÍA GENERAL</t>
  </si>
  <si>
    <t>C02</t>
  </si>
  <si>
    <t>C03</t>
  </si>
  <si>
    <t>C04</t>
  </si>
  <si>
    <t>C06</t>
  </si>
  <si>
    <t>C07</t>
  </si>
  <si>
    <t>C08</t>
  </si>
  <si>
    <t>GASTROINTESTINAL</t>
  </si>
  <si>
    <t>C09</t>
  </si>
  <si>
    <t>C10</t>
  </si>
  <si>
    <t>C11</t>
  </si>
  <si>
    <t>C12</t>
  </si>
  <si>
    <t>C13</t>
  </si>
  <si>
    <t>C14</t>
  </si>
  <si>
    <t>C15</t>
  </si>
  <si>
    <t>CABEZA Y CUELLO</t>
  </si>
  <si>
    <t>C16</t>
  </si>
  <si>
    <t>C17</t>
  </si>
  <si>
    <t>C18</t>
  </si>
  <si>
    <t>ATENCIÓN DE PARTO BAJA COMPLEJIDAD</t>
  </si>
  <si>
    <t>D03</t>
  </si>
  <si>
    <t>PROCEDIMIENTOS GINECOBSTETRICIA</t>
  </si>
  <si>
    <t>D05</t>
  </si>
  <si>
    <t>ATENCIÓN DE PARTO ALTA COMPLEJIDAD</t>
  </si>
  <si>
    <t>E02</t>
  </si>
  <si>
    <t>ODONTOLOGÍA PEDIÁTRICA</t>
  </si>
  <si>
    <t>E03</t>
  </si>
  <si>
    <t>ORTODONCIA</t>
  </si>
  <si>
    <t>E04</t>
  </si>
  <si>
    <t>REHABILITACIÓN ORAL</t>
  </si>
  <si>
    <t>E05</t>
  </si>
  <si>
    <t>CIRUGÍA ORAL (AMBULATORIA)</t>
  </si>
  <si>
    <t>HOSPITALIZACIÓN GENERAL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</si>
  <si>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</si>
  <si>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</si>
  <si>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</si>
  <si>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</si>
  <si>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</si>
  <si>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</si>
  <si>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</si>
  <si>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</si>
  <si>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</si>
  <si>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</si>
  <si>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ENDOCRINOLÓGICA</t>
  </si>
  <si>
    <t>I12</t>
  </si>
  <si>
    <t>I13</t>
  </si>
  <si>
    <t>I14</t>
  </si>
  <si>
    <t>UROLOGIA</t>
  </si>
  <si>
    <t>I15</t>
  </si>
  <si>
    <t>PERINATOLOGÍA Y NEONATOLOGÍA</t>
  </si>
  <si>
    <t>I16</t>
  </si>
  <si>
    <t>NEUMOLOGIA</t>
  </si>
  <si>
    <t>ANCIANATOS Y ALBERGUES</t>
  </si>
  <si>
    <t>UCI ADULTOS</t>
  </si>
  <si>
    <t>J03</t>
  </si>
  <si>
    <t>UCI PEDIÁTRICA</t>
  </si>
  <si>
    <t>J04</t>
  </si>
  <si>
    <t>UCI NEONATAL</t>
  </si>
  <si>
    <t>UCI INTERMEDIOS ADULTOS</t>
  </si>
  <si>
    <t>J06</t>
  </si>
  <si>
    <t>UCI INTERMEDIOS PEDIÁTRICA</t>
  </si>
  <si>
    <t>J07</t>
  </si>
  <si>
    <t>UCI INTERMEDIOS NEONATAL</t>
  </si>
  <si>
    <t>UNIDAD DE QUEMADOS ADULTOS</t>
  </si>
  <si>
    <t>UNIDAD DE RECIÉN NACIDOS</t>
  </si>
  <si>
    <t>UNIDAD SALUD MENTAL Y DESINTOXICACIÓN (BAJA COMPLEJIDAD)</t>
  </si>
  <si>
    <t>J11</t>
  </si>
  <si>
    <t>INTERNACIÓN PARCIAL</t>
  </si>
  <si>
    <t>J12</t>
  </si>
  <si>
    <t>UNIDAD DE AISLAMIENTO</t>
  </si>
  <si>
    <t>OTRAS UNIDADES ESPECIALES</t>
  </si>
  <si>
    <t>J14</t>
  </si>
  <si>
    <t>UNIDAD DE QUEMADOS PEDIATRÍA</t>
  </si>
  <si>
    <t>J15</t>
  </si>
  <si>
    <t>UNIDAD SALUD MENTALY DESINTOXICACIÓN (ALTA COMPLEJIDAD)</t>
  </si>
  <si>
    <t>J16</t>
  </si>
  <si>
    <t>PLAN CANGURO</t>
  </si>
  <si>
    <t>K07</t>
  </si>
  <si>
    <t>GESTIÓN DE LA VIGILANCIA EN SALUD</t>
  </si>
  <si>
    <t>K08</t>
  </si>
  <si>
    <t>PROYECTOS LOCALIDADES</t>
  </si>
  <si>
    <t>K09</t>
  </si>
  <si>
    <t>INSPECCIÓN VIGILANCIA Y CONTROL</t>
  </si>
  <si>
    <t>K11</t>
  </si>
  <si>
    <t>SALUD INFANTIL EN LOS TERRITORIOS</t>
  </si>
  <si>
    <t>K12</t>
  </si>
  <si>
    <t>SALUD SEXUAL Y REPRODUCTIVA EN LOS TERRITORIOS</t>
  </si>
  <si>
    <t>K13</t>
  </si>
  <si>
    <t>PREVENCIÓN ENFERMEDADES TRANSMISIBLES Y ZOONOSIS EN LOS TERRITORIOS</t>
  </si>
  <si>
    <t>K14</t>
  </si>
  <si>
    <t>PREVENCIÓN ENFERMEDADES CRÓNICAS NO TRANSMISIBLES EN LOS TERRITORIOS</t>
  </si>
  <si>
    <t>K16</t>
  </si>
  <si>
    <t>SEGURIDAD ALIMENTARIA Y NUTRICIONAL EN LOS TERRITORIOS</t>
  </si>
  <si>
    <t>K18</t>
  </si>
  <si>
    <t>SEGURIDAD EN EL TRABAJO Y PREVENCIÓN ENFERMEDADES ORIGEN LABORAL EN LOS TERRITORIOS</t>
  </si>
  <si>
    <t>K19</t>
  </si>
  <si>
    <t>GESTIÓN DEL PLAN TERRITORIAL EN SALUD EN LOS TERRITORIOS</t>
  </si>
  <si>
    <t>K20</t>
  </si>
  <si>
    <t>SALUD Y PREVENCIÓN ENFERMEDAD GRUPOS POBLACIONES ESPECIALES EN LOS TERRITORIOS</t>
  </si>
  <si>
    <t>K21</t>
  </si>
  <si>
    <t>IMPLEMENTACIÓN POLÍTICA DISTRITAL DE PREVENCIÓN DE LA DISCAPACIDAD EN LOS TERRITORIOS</t>
  </si>
  <si>
    <t>K22</t>
  </si>
  <si>
    <t>PREVALENCIA ACTIVIDAD FÍSICA EN LOS TERRITORIOS</t>
  </si>
  <si>
    <t>K23</t>
  </si>
  <si>
    <t>SALUD MENTAL Y PREVENCIÓN LESIONES VIOLENTAS EVITABLES EN LOS TERRITORIOS</t>
  </si>
  <si>
    <t>K24</t>
  </si>
  <si>
    <t>INTERVENCIÓN DE PERSONAS EN SITUACIÓN DESPLAZAMIENTO EN LOS TERRITORIOS</t>
  </si>
  <si>
    <t>LABORATORIO ANATOMÍA PATOLÓGICA</t>
  </si>
  <si>
    <t>L03</t>
  </si>
  <si>
    <t>IMAGENOLOGÍA RADIOLÓGICA ESPECIAL</t>
  </si>
  <si>
    <t>IMAGENOLOGÍA NO RADIOLÓGICA</t>
  </si>
  <si>
    <t>L05</t>
  </si>
  <si>
    <t>MEDICINA NUCLEAR</t>
  </si>
  <si>
    <t>L06</t>
  </si>
  <si>
    <t>RESONANCIA MAGNÉTICA Y T.A.C.</t>
  </si>
  <si>
    <t>BANCO DE SANGRE</t>
  </si>
  <si>
    <t>M02</t>
  </si>
  <si>
    <t>HEMOCENTRO BANCO DE ÓRGANOS Y TEJIDOS COMPONENTES ANATÓMICOS</t>
  </si>
  <si>
    <t>TERAPIA RENAL</t>
  </si>
  <si>
    <t>M04</t>
  </si>
  <si>
    <t>OXÍGENO</t>
  </si>
  <si>
    <t>OTRAS TERAPIAS</t>
  </si>
  <si>
    <t>M08</t>
  </si>
  <si>
    <t>MEDICINA NUCLEAR TERAPÉUTICA</t>
  </si>
  <si>
    <t>M09</t>
  </si>
  <si>
    <t>SALAS ENFERMEDAD RESPIRATORIA AGUDA (ERA)</t>
  </si>
  <si>
    <t>N01</t>
  </si>
  <si>
    <t>ATENCIÓN MÉDICA DOMICILIARIA</t>
  </si>
  <si>
    <t>N02</t>
  </si>
  <si>
    <t>NUTRICION Y DIETÉTICA</t>
  </si>
  <si>
    <t>OTROS ENFERMERÍA</t>
  </si>
  <si>
    <t>N05</t>
  </si>
  <si>
    <t>ESTERILIZACIÓN</t>
  </si>
  <si>
    <t>N06</t>
  </si>
  <si>
    <t>INFECTOLOGÍA</t>
  </si>
  <si>
    <t>N07</t>
  </si>
  <si>
    <t>LACTARIO</t>
  </si>
  <si>
    <t>N09</t>
  </si>
  <si>
    <t>TOXICOLOGÍA</t>
  </si>
  <si>
    <t>N10</t>
  </si>
  <si>
    <t>VIGILANCIA EPIDEMIOLÓGICA Y MEDIO AMBIENTE</t>
  </si>
  <si>
    <t>O01</t>
  </si>
  <si>
    <t>TRABAJO SOCIAL</t>
  </si>
  <si>
    <t>COCINA</t>
  </si>
  <si>
    <t>LAVANDERIA, VESTUARIO Y COSTURERO</t>
  </si>
  <si>
    <t>P04</t>
  </si>
  <si>
    <t>NUTRICIÓN</t>
  </si>
  <si>
    <t>Q01</t>
  </si>
  <si>
    <t>ADMISIONES</t>
  </si>
  <si>
    <t>Q02</t>
  </si>
  <si>
    <t>AUTORIZACIONES</t>
  </si>
  <si>
    <t>Q03</t>
  </si>
  <si>
    <t>HISTORIAS CLÍNICAS</t>
  </si>
  <si>
    <t>Q04</t>
  </si>
  <si>
    <t>REFERENCIA Y CONTRARREFERENCIA</t>
  </si>
  <si>
    <t>T02</t>
  </si>
  <si>
    <t>COMUNICACIÓN Y PRENSA</t>
  </si>
  <si>
    <t>T03</t>
  </si>
  <si>
    <t>CONTROL INTERNO DISCIPLINARIO</t>
  </si>
  <si>
    <t>T04</t>
  </si>
  <si>
    <t>GESTION PÚBLICA Y AUTOCONTROL</t>
  </si>
  <si>
    <t>T06</t>
  </si>
  <si>
    <t>MERCADEO Y PUBLICIDAD</t>
  </si>
  <si>
    <t>T09</t>
  </si>
  <si>
    <t>REVISORÍA FISCAL</t>
  </si>
  <si>
    <t>U01</t>
  </si>
  <si>
    <t>COORDINACION MÉDICA</t>
  </si>
  <si>
    <t>EDUCACIÓN MÉDICA</t>
  </si>
  <si>
    <t>U04</t>
  </si>
  <si>
    <t>INVESTIGACIÓN CIENTÍFICA</t>
  </si>
  <si>
    <t>COD_CECO_EF</t>
  </si>
  <si>
    <t>NOMBRE_CECO_EF</t>
  </si>
  <si>
    <t>COD_CECO_RES</t>
  </si>
  <si>
    <t>NOMBRE_CECO_RES</t>
  </si>
  <si>
    <t>SEDE</t>
  </si>
  <si>
    <t>TIPO_CECO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</si>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</sst>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b/>
      <sz val="12"/>
      <color rgb="FF1F4E78"/>
      <name val="Arial"/>
      <charset val="1"/>
    </font>
    <font>
      <sz val="10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0" fillId="2" borderId="0" xfId="0" applyFill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8" fillId="0" borderId="0" xfId="0" applyFont="1"/>
    <xf numFmtId="0" fontId="6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4">
    <dxf>
      <font>
        <b/>
        <color rgb="FFC00000"/>
        <name val="Arial"/>
        <charset val="1"/>
      </font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ont>
        <color rgb="FF808080"/>
        <name val="Arial"/>
        <charset val="1"/>
      </font>
      <fill>
        <patternFill>
          <bgColor rgb="FFEDED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topLeftCell="A13" zoomScaleNormal="100" workbookViewId="0">
      <selection activeCell="C16" sqref="C16"/>
    </sheetView>
  </sheetViews>
  <sheetFormatPr baseColWidth="10" defaultColWidth="8.7109375" defaultRowHeight="15" x14ac:dyDescent="0.25"/>
  <cols>
    <col min="1" max="1" width="3" customWidth="1"/>
    <col min="2" max="2" width="58" customWidth="1"/>
    <col min="3" max="3" width="12" customWidth="1"/>
    <col min="4" max="4" width="10" customWidth="1"/>
  </cols>
  <sheetData>
    <row r="2" spans="2:4" ht="18" x14ac:dyDescent="0.25">
      <c r="B2" s="2" t="s">
        <v>0</v>
      </c>
    </row>
    <row r="3" spans="2:4" x14ac:dyDescent="0.25">
      <c r="B3" s="3" t="s">
        <v>1</v>
      </c>
    </row>
    <row r="5" spans="2:4" x14ac:dyDescent="0.25">
      <c r="B5" s="4" t="s">
        <v>2</v>
      </c>
      <c r="C5" s="4" t="s">
        <v>3</v>
      </c>
      <c r="D5" s="4" t="s">
        <v>4</v>
      </c>
    </row>
    <row r="6" spans="2:4" x14ac:dyDescent="0.25">
      <c r="B6" s="5" t="s">
        <v>5</v>
      </c>
      <c r="C6" s="5">
        <f>COUNTIF('C COSTOS ESTADO FINANCIERO'!$J:$J,B6)</f>
        <v>399</v>
      </c>
      <c r="D6" s="6">
        <f>IFERROR(C6/$C$10,0)</f>
        <v>0.72677595628415304</v>
      </c>
    </row>
    <row r="7" spans="2:4" x14ac:dyDescent="0.25">
      <c r="B7" s="5" t="s">
        <v>6</v>
      </c>
      <c r="C7" s="5">
        <f>COUNTIF('C COSTOS ESTADO FINANCIERO'!$J:$J,B7)</f>
        <v>51</v>
      </c>
      <c r="D7" s="6">
        <f>IFERROR(C7/$C$10,0)</f>
        <v>9.2896174863387984E-2</v>
      </c>
    </row>
    <row r="8" spans="2:4" x14ac:dyDescent="0.25">
      <c r="B8" s="5" t="s">
        <v>7</v>
      </c>
      <c r="C8" s="5">
        <f>COUNTIF('C COSTOS ESTADO FINANCIERO'!$J:$J,B8)</f>
        <v>96</v>
      </c>
      <c r="D8" s="6">
        <f>IFERROR(C8/$C$10,0)</f>
        <v>0.17486338797814208</v>
      </c>
    </row>
    <row r="9" spans="2:4" x14ac:dyDescent="0.25">
      <c r="B9" s="5" t="s">
        <v>8</v>
      </c>
      <c r="C9" s="5">
        <f>COUNTIF('C COSTOS ESTADO FINANCIERO'!$J:$J,B9)</f>
        <v>3</v>
      </c>
      <c r="D9" s="6">
        <f>IFERROR(C9/$C$10,0)</f>
        <v>5.4644808743169399E-3</v>
      </c>
    </row>
    <row r="10" spans="2:4" x14ac:dyDescent="0.25">
      <c r="B10" s="7" t="s">
        <v>9</v>
      </c>
      <c r="C10" s="7">
        <f>SUM(C6:C9)</f>
        <v>549</v>
      </c>
      <c r="D10" s="8">
        <f>SUM(D6:D9)</f>
        <v>1</v>
      </c>
    </row>
    <row r="12" spans="2:4" x14ac:dyDescent="0.25">
      <c r="B12" s="9" t="s">
        <v>10</v>
      </c>
      <c r="C12" s="10"/>
    </row>
    <row r="13" spans="2:4" x14ac:dyDescent="0.25">
      <c r="B13" s="5" t="s">
        <v>11</v>
      </c>
      <c r="C13" s="5">
        <f>COUNTA('C COSTOS ESTADO FINANCIERO'!$A:$A)-1</f>
        <v>549</v>
      </c>
    </row>
    <row r="14" spans="2:4" x14ac:dyDescent="0.25">
      <c r="B14" s="5" t="s">
        <v>12</v>
      </c>
      <c r="C14" s="5">
        <f>COUNTA('C COSTOS ESTADO FINANCIERO'!$D:$D)-1</f>
        <v>549</v>
      </c>
    </row>
    <row r="15" spans="2:4" x14ac:dyDescent="0.25">
      <c r="B15" s="5" t="s">
        <v>13</v>
      </c>
      <c r="C15" s="5">
        <f>COUNTIF('C COSTOS ESTADO FINANCIERO'!$E:$E,"CÓDIGO NO VÁLIDO")</f>
        <v>0</v>
      </c>
    </row>
    <row r="16" spans="2:4" x14ac:dyDescent="0.25">
      <c r="B16" s="5" t="s">
        <v>14</v>
      </c>
      <c r="C16" s="5">
        <f>COUNTIFS('C COSTOS ESTADO FINANCIERO'!$J:$J,"ACTIVO",'C COSTOS ESTADO FINANCIERO'!$F:$F,"NO")</f>
        <v>43</v>
      </c>
    </row>
    <row r="17" spans="2:6" x14ac:dyDescent="0.25">
      <c r="B17" s="5" t="s">
        <v>15</v>
      </c>
      <c r="C17" s="5">
        <f>COUNTIF('CENTROS DE COSTOS UTILIZADOS'!$D:$D,0)</f>
        <v>10</v>
      </c>
    </row>
    <row r="19" spans="2:6" x14ac:dyDescent="0.25">
      <c r="B19" s="9" t="s">
        <v>16</v>
      </c>
      <c r="C19" s="10"/>
    </row>
    <row r="20" spans="2:6" x14ac:dyDescent="0.25">
      <c r="B20" s="5" t="s">
        <v>17</v>
      </c>
      <c r="C20" s="5">
        <f>COUNTIFS('C COSTOS ESTADO FINANCIERO'!$H:$H,B20,'C COSTOS ESTADO FINANCIERO'!$J:$J,"ACTIVO")</f>
        <v>123</v>
      </c>
    </row>
    <row r="21" spans="2:6" x14ac:dyDescent="0.25">
      <c r="B21" s="5" t="s">
        <v>18</v>
      </c>
      <c r="C21" s="5">
        <f>COUNTIFS('C COSTOS ESTADO FINANCIERO'!$H:$H,B21,'C COSTOS ESTADO FINANCIERO'!$J:$J,"ACTIVO")</f>
        <v>46</v>
      </c>
    </row>
    <row r="22" spans="2:6" x14ac:dyDescent="0.25">
      <c r="B22" s="5" t="s">
        <v>19</v>
      </c>
      <c r="C22" s="5">
        <f>COUNTIFS('C COSTOS ESTADO FINANCIERO'!$H:$H,B22,'C COSTOS ESTADO FINANCIERO'!$J:$J,"ACTIVO")</f>
        <v>95</v>
      </c>
    </row>
    <row r="23" spans="2:6" x14ac:dyDescent="0.25">
      <c r="B23" s="5" t="s">
        <v>20</v>
      </c>
      <c r="C23" s="5">
        <f>COUNTIFS('C COSTOS ESTADO FINANCIERO'!$H:$H,B23,'C COSTOS ESTADO FINANCIERO'!$J:$J,"ACTIVO")</f>
        <v>135</v>
      </c>
    </row>
    <row r="25" spans="2:6" x14ac:dyDescent="0.25">
      <c r="B25" s="11" t="s">
        <v>21</v>
      </c>
    </row>
    <row r="26" spans="2:6" ht="30" customHeight="1" x14ac:dyDescent="0.25">
      <c r="B26" s="1" t="s">
        <v>22</v>
      </c>
      <c r="C26" s="1"/>
      <c r="D26" s="1"/>
      <c r="E26" s="1"/>
      <c r="F26" s="1"/>
    </row>
    <row r="27" spans="2:6" ht="30" customHeight="1" x14ac:dyDescent="0.25">
      <c r="B27" s="1" t="s">
        <v>23</v>
      </c>
      <c r="C27" s="1"/>
      <c r="D27" s="1"/>
      <c r="E27" s="1"/>
      <c r="F27" s="1"/>
    </row>
    <row r="28" spans="2:6" ht="30" customHeight="1" x14ac:dyDescent="0.25">
      <c r="B28" s="1" t="s">
        <v>24</v>
      </c>
      <c r="C28" s="1"/>
      <c r="D28" s="1"/>
      <c r="E28" s="1"/>
      <c r="F28" s="1"/>
    </row>
    <row r="29" spans="2:6" ht="30" customHeight="1" x14ac:dyDescent="0.25">
      <c r="B29" s="1" t="s">
        <v>25</v>
      </c>
      <c r="C29" s="1"/>
      <c r="D29" s="1"/>
      <c r="E29" s="1"/>
      <c r="F29" s="1"/>
    </row>
    <row r="30" spans="2:6" ht="30" customHeight="1" x14ac:dyDescent="0.25">
      <c r="B30" s="1" t="s">
        <v>26</v>
      </c>
      <c r="C30" s="1"/>
      <c r="D30" s="1"/>
      <c r="E30" s="1"/>
      <c r="F30" s="1"/>
    </row>
  </sheetData>
  <mergeCells count="5">
    <mergeCell ref="B26:F26"/>
    <mergeCell ref="B27:F27"/>
    <mergeCell ref="B28:F28"/>
    <mergeCell ref="B29:F29"/>
    <mergeCell ref="B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1" customWidth="1"/>
    <col min="2" max="2" width="52" customWidth="1"/>
    <col min="3" max="3" width="8" customWidth="1"/>
    <col min="4" max="4" width="16" customWidth="1"/>
    <col min="5" max="5" width="40" customWidth="1"/>
    <col min="6" max="6" width="13" customWidth="1"/>
    <col min="7" max="7" width="36" customWidth="1"/>
    <col min="8" max="8" width="24" customWidth="1"/>
    <col min="9" max="9" width="30" customWidth="1"/>
    <col min="10" max="10" width="14" customWidth="1"/>
    <col min="11" max="11" width="11" customWidth="1"/>
    <col min="12" max="12" width="70" customWidth="1"/>
    <col min="13" max="13" width="24" customWidth="1"/>
  </cols>
  <sheetData>
    <row r="1" spans="1:13" ht="31.5" customHeight="1" x14ac:dyDescent="0.25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  <c r="L1" s="12" t="s">
        <v>38</v>
      </c>
      <c r="M1" s="12" t="s">
        <v>39</v>
      </c>
    </row>
    <row r="2" spans="1:13" ht="25.5" x14ac:dyDescent="0.25">
      <c r="A2" s="13">
        <v>1020101</v>
      </c>
      <c r="B2" s="13" t="s">
        <v>40</v>
      </c>
      <c r="C2" s="13"/>
      <c r="D2" s="14" t="s">
        <v>41</v>
      </c>
      <c r="E2" s="13" t="str">
        <f>IFERROR(INDEX('CENTROS DE COSTOS RESOLUCION'!$C:$C,MATCH(D2,'CENTROS DE COSTOS RESOLUCION'!$B:$B,0)),"CÓDIGO NO VÁLIDO")</f>
        <v>CONSULTA URGENCIAS</v>
      </c>
      <c r="F2" s="15" t="str">
        <f>IF(COUNTIF('CENTROS DE COSTOS UTILIZADOS'!$B:$B,D2)&gt;0,"SÍ","NO")</f>
        <v>SÍ</v>
      </c>
      <c r="G2" s="13" t="str">
        <f t="shared" ref="G2:G65" si="0">D2&amp;"|"&amp;LEFT(I2,FIND(" ",I2&amp;" ")-1)</f>
        <v>B01|HSLA</v>
      </c>
      <c r="H2" s="13" t="s">
        <v>17</v>
      </c>
      <c r="I2" s="13" t="s">
        <v>42</v>
      </c>
      <c r="J2" s="15" t="s">
        <v>5</v>
      </c>
      <c r="K2" s="15" t="s">
        <v>43</v>
      </c>
      <c r="L2" s="16" t="s">
        <v>44</v>
      </c>
      <c r="M2" s="13" t="s">
        <v>45</v>
      </c>
    </row>
    <row r="3" spans="1:13" x14ac:dyDescent="0.25">
      <c r="A3" s="13">
        <v>1020102</v>
      </c>
      <c r="B3" s="13" t="s">
        <v>46</v>
      </c>
      <c r="C3" s="13"/>
      <c r="D3" s="14" t="s">
        <v>47</v>
      </c>
      <c r="E3" s="13" t="str">
        <f>IFERROR(INDEX('CENTROS DE COSTOS RESOLUCION'!$C:$C,MATCH(D3,'CENTROS DE COSTOS RESOLUCION'!$B:$B,0)),"CÓDIGO NO VÁLIDO")</f>
        <v>OBSERVACIÓN</v>
      </c>
      <c r="F3" s="15" t="str">
        <f>IF(COUNTIF('CENTROS DE COSTOS UTILIZADOS'!$B:$B,D3)&gt;0,"SÍ","NO")</f>
        <v>SÍ</v>
      </c>
      <c r="G3" s="13" t="str">
        <f t="shared" si="0"/>
        <v>B02|HSLA</v>
      </c>
      <c r="H3" s="13" t="s">
        <v>17</v>
      </c>
      <c r="I3" s="13" t="s">
        <v>42</v>
      </c>
      <c r="J3" s="15" t="s">
        <v>5</v>
      </c>
      <c r="K3" s="15" t="s">
        <v>43</v>
      </c>
      <c r="L3" s="16" t="s">
        <v>48</v>
      </c>
      <c r="M3" s="13" t="s">
        <v>45</v>
      </c>
    </row>
    <row r="4" spans="1:13" x14ac:dyDescent="0.25">
      <c r="A4" s="13">
        <v>1020201</v>
      </c>
      <c r="B4" s="13" t="s">
        <v>49</v>
      </c>
      <c r="C4" s="13"/>
      <c r="D4" s="14" t="s">
        <v>50</v>
      </c>
      <c r="E4" s="13" t="str">
        <f>IFERROR(INDEX('CENTROS DE COSTOS RESOLUCION'!$C:$C,MATCH(D4,'CENTROS DE COSTOS RESOLUCION'!$B:$B,0)),"CÓDIGO NO VÁLIDO")</f>
        <v>MEDICINA GENERAL</v>
      </c>
      <c r="F4" s="15" t="str">
        <f>IF(COUNTIF('CENTROS DE COSTOS UTILIZADOS'!$B:$B,D4)&gt;0,"SÍ","NO")</f>
        <v>SÍ</v>
      </c>
      <c r="G4" s="13" t="str">
        <f t="shared" si="0"/>
        <v>A10|HSLA</v>
      </c>
      <c r="H4" s="13" t="s">
        <v>17</v>
      </c>
      <c r="I4" s="13" t="s">
        <v>42</v>
      </c>
      <c r="J4" s="15" t="s">
        <v>5</v>
      </c>
      <c r="K4" s="15" t="s">
        <v>43</v>
      </c>
      <c r="L4" s="16" t="s">
        <v>51</v>
      </c>
      <c r="M4" s="13" t="s">
        <v>45</v>
      </c>
    </row>
    <row r="5" spans="1:13" ht="25.5" x14ac:dyDescent="0.25">
      <c r="A5" s="13">
        <v>1020202</v>
      </c>
      <c r="B5" s="13" t="s">
        <v>52</v>
      </c>
      <c r="C5" s="13"/>
      <c r="D5" s="14" t="s">
        <v>53</v>
      </c>
      <c r="E5" s="13" t="str">
        <f>IFERROR(INDEX('CENTROS DE COSTOS RESOLUCION'!$C:$C,MATCH(D5,'CENTROS DE COSTOS RESOLUCION'!$B:$B,0)),"CÓDIGO NO VÁLIDO")</f>
        <v>OTRAS CONSULTAS Y PROCEDIMIENTOS</v>
      </c>
      <c r="F5" s="15" t="str">
        <f>IF(COUNTIF('CENTROS DE COSTOS UTILIZADOS'!$B:$B,D5)&gt;0,"SÍ","NO")</f>
        <v>NO</v>
      </c>
      <c r="G5" s="13" t="str">
        <f t="shared" si="0"/>
        <v>A32|HSLA</v>
      </c>
      <c r="H5" s="13" t="s">
        <v>17</v>
      </c>
      <c r="I5" s="13" t="s">
        <v>42</v>
      </c>
      <c r="J5" s="15" t="s">
        <v>5</v>
      </c>
      <c r="K5" s="15" t="s">
        <v>54</v>
      </c>
      <c r="L5" s="16" t="s">
        <v>55</v>
      </c>
      <c r="M5" s="13" t="s">
        <v>45</v>
      </c>
    </row>
    <row r="6" spans="1:13" x14ac:dyDescent="0.25">
      <c r="A6" s="13">
        <v>1020203</v>
      </c>
      <c r="B6" s="13" t="s">
        <v>56</v>
      </c>
      <c r="C6" s="13"/>
      <c r="D6" s="14" t="s">
        <v>57</v>
      </c>
      <c r="E6" s="13" t="str">
        <f>IFERROR(INDEX('CENTROS DE COSTOS RESOLUCION'!$C:$C,MATCH(D6,'CENTROS DE COSTOS RESOLUCION'!$B:$B,0)),"CÓDIGO NO VÁLIDO")</f>
        <v>ODONTOLOGÍA GENERAL</v>
      </c>
      <c r="F6" s="15" t="str">
        <f>IF(COUNTIF('CENTROS DE COSTOS UTILIZADOS'!$B:$B,D6)&gt;0,"SÍ","NO")</f>
        <v>SÍ</v>
      </c>
      <c r="G6" s="13" t="str">
        <f t="shared" si="0"/>
        <v>E01|HSLA</v>
      </c>
      <c r="H6" s="13" t="s">
        <v>17</v>
      </c>
      <c r="I6" s="13" t="s">
        <v>42</v>
      </c>
      <c r="J6" s="15" t="s">
        <v>5</v>
      </c>
      <c r="K6" s="15" t="s">
        <v>43</v>
      </c>
      <c r="L6" s="16" t="s">
        <v>58</v>
      </c>
      <c r="M6" s="13" t="s">
        <v>45</v>
      </c>
    </row>
    <row r="7" spans="1:13" x14ac:dyDescent="0.25">
      <c r="A7" s="13">
        <v>1020204</v>
      </c>
      <c r="B7" s="13" t="s">
        <v>59</v>
      </c>
      <c r="C7" s="13"/>
      <c r="D7" s="14" t="s">
        <v>60</v>
      </c>
      <c r="E7" s="13" t="str">
        <f>IFERROR(INDEX('CENTROS DE COSTOS RESOLUCION'!$C:$C,MATCH(D7,'CENTROS DE COSTOS RESOLUCION'!$B:$B,0)),"CÓDIGO NO VÁLIDO")</f>
        <v>PROMOCIÓN Y PREVENCIÓN</v>
      </c>
      <c r="F7" s="15" t="str">
        <f>IF(COUNTIF('CENTROS DE COSTOS UTILIZADOS'!$B:$B,D7)&gt;0,"SÍ","NO")</f>
        <v>SÍ</v>
      </c>
      <c r="G7" s="13" t="str">
        <f t="shared" si="0"/>
        <v>N03|HSLA</v>
      </c>
      <c r="H7" s="13" t="s">
        <v>17</v>
      </c>
      <c r="I7" s="13" t="s">
        <v>42</v>
      </c>
      <c r="J7" s="15" t="s">
        <v>5</v>
      </c>
      <c r="K7" s="15" t="s">
        <v>43</v>
      </c>
      <c r="L7" s="16" t="s">
        <v>61</v>
      </c>
      <c r="M7" s="13" t="s">
        <v>45</v>
      </c>
    </row>
    <row r="8" spans="1:13" x14ac:dyDescent="0.25">
      <c r="A8" s="13">
        <v>1020205</v>
      </c>
      <c r="B8" s="13" t="s">
        <v>62</v>
      </c>
      <c r="C8" s="13"/>
      <c r="D8" s="14" t="s">
        <v>63</v>
      </c>
      <c r="E8" s="13" t="str">
        <f>IFERROR(INDEX('CENTROS DE COSTOS RESOLUCION'!$C:$C,MATCH(D8,'CENTROS DE COSTOS RESOLUCION'!$B:$B,0)),"CÓDIGO NO VÁLIDO")</f>
        <v>SALUD PUBLICA</v>
      </c>
      <c r="F8" s="15" t="str">
        <f>IF(COUNTIF('CENTROS DE COSTOS UTILIZADOS'!$B:$B,D8)&gt;0,"SÍ","NO")</f>
        <v>SÍ</v>
      </c>
      <c r="G8" s="13" t="str">
        <f t="shared" si="0"/>
        <v>K25|HSLA</v>
      </c>
      <c r="H8" s="13" t="s">
        <v>17</v>
      </c>
      <c r="I8" s="13" t="s">
        <v>42</v>
      </c>
      <c r="J8" s="15" t="s">
        <v>5</v>
      </c>
      <c r="K8" s="15" t="s">
        <v>54</v>
      </c>
      <c r="L8" s="16" t="s">
        <v>64</v>
      </c>
      <c r="M8" s="13" t="s">
        <v>45</v>
      </c>
    </row>
    <row r="9" spans="1:13" x14ac:dyDescent="0.25">
      <c r="A9" s="13">
        <v>1020301</v>
      </c>
      <c r="B9" s="13" t="s">
        <v>65</v>
      </c>
      <c r="C9" s="13"/>
      <c r="D9" s="14" t="s">
        <v>66</v>
      </c>
      <c r="E9" s="13" t="str">
        <f>IFERROR(INDEX('CENTROS DE COSTOS RESOLUCION'!$C:$C,MATCH(D9,'CENTROS DE COSTOS RESOLUCION'!$B:$B,0)),"CÓDIGO NO VÁLIDO")</f>
        <v>HOSPITALIZACIÓN GENERAL</v>
      </c>
      <c r="F9" s="15" t="str">
        <f>IF(COUNTIF('CENTROS DE COSTOS UTILIZADOS'!$B:$B,D9)&gt;0,"SÍ","NO")</f>
        <v>NO</v>
      </c>
      <c r="G9" s="13" t="str">
        <f t="shared" si="0"/>
        <v>I01|HSLA</v>
      </c>
      <c r="H9" s="13" t="s">
        <v>17</v>
      </c>
      <c r="I9" s="13" t="s">
        <v>42</v>
      </c>
      <c r="J9" s="15" t="s">
        <v>5</v>
      </c>
      <c r="K9" s="15" t="s">
        <v>43</v>
      </c>
      <c r="L9" s="16" t="s">
        <v>67</v>
      </c>
      <c r="M9" s="13" t="s">
        <v>45</v>
      </c>
    </row>
    <row r="10" spans="1:13" ht="25.5" x14ac:dyDescent="0.25">
      <c r="A10" s="13">
        <v>1020302</v>
      </c>
      <c r="B10" s="13" t="s">
        <v>68</v>
      </c>
      <c r="C10" s="13"/>
      <c r="D10" s="14" t="s">
        <v>69</v>
      </c>
      <c r="E10" s="13" t="str">
        <f>IFERROR(INDEX('CENTROS DE COSTOS RESOLUCION'!$C:$C,MATCH(D10,'CENTROS DE COSTOS RESOLUCION'!$B:$B,0)),"CÓDIGO NO VÁLIDO")</f>
        <v>UCI ADULTOS</v>
      </c>
      <c r="F10" s="15" t="str">
        <f>IF(COUNTIF('CENTROS DE COSTOS UTILIZADOS'!$B:$B,D10)&gt;0,"SÍ","NO")</f>
        <v>NO</v>
      </c>
      <c r="G10" s="13" t="str">
        <f t="shared" si="0"/>
        <v>J02|HSLA</v>
      </c>
      <c r="H10" s="13" t="s">
        <v>17</v>
      </c>
      <c r="I10" s="13" t="s">
        <v>42</v>
      </c>
      <c r="J10" s="15" t="s">
        <v>7</v>
      </c>
      <c r="K10" s="15" t="s">
        <v>43</v>
      </c>
      <c r="L10" s="16" t="s">
        <v>70</v>
      </c>
      <c r="M10" s="13" t="s">
        <v>45</v>
      </c>
    </row>
    <row r="11" spans="1:13" ht="25.5" x14ac:dyDescent="0.25">
      <c r="A11" s="13">
        <v>1020303</v>
      </c>
      <c r="B11" s="13" t="s">
        <v>71</v>
      </c>
      <c r="C11" s="13"/>
      <c r="D11" s="14" t="s">
        <v>72</v>
      </c>
      <c r="E11" s="13" t="str">
        <f>IFERROR(INDEX('CENTROS DE COSTOS RESOLUCION'!$C:$C,MATCH(D11,'CENTROS DE COSTOS RESOLUCION'!$B:$B,0)),"CÓDIGO NO VÁLIDO")</f>
        <v>UCI INTERMEDIOS ADULTOS</v>
      </c>
      <c r="F11" s="15" t="str">
        <f>IF(COUNTIF('CENTROS DE COSTOS UTILIZADOS'!$B:$B,D11)&gt;0,"SÍ","NO")</f>
        <v>NO</v>
      </c>
      <c r="G11" s="13" t="str">
        <f t="shared" si="0"/>
        <v>J05|HSLA</v>
      </c>
      <c r="H11" s="13" t="s">
        <v>17</v>
      </c>
      <c r="I11" s="13" t="s">
        <v>42</v>
      </c>
      <c r="J11" s="15" t="s">
        <v>7</v>
      </c>
      <c r="K11" s="15" t="s">
        <v>43</v>
      </c>
      <c r="L11" s="16" t="s">
        <v>70</v>
      </c>
      <c r="M11" s="13" t="s">
        <v>45</v>
      </c>
    </row>
    <row r="12" spans="1:13" x14ac:dyDescent="0.25">
      <c r="A12" s="13">
        <v>1020304</v>
      </c>
      <c r="B12" s="13" t="s">
        <v>73</v>
      </c>
      <c r="C12" s="13"/>
      <c r="D12" s="14" t="s">
        <v>74</v>
      </c>
      <c r="E12" s="13" t="str">
        <f>IFERROR(INDEX('CENTROS DE COSTOS RESOLUCION'!$C:$C,MATCH(D12,'CENTROS DE COSTOS RESOLUCION'!$B:$B,0)),"CÓDIGO NO VÁLIDO")</f>
        <v>UNIDAD DE RECIÉN NACIDOS</v>
      </c>
      <c r="F12" s="15" t="str">
        <f>IF(COUNTIF('CENTROS DE COSTOS UTILIZADOS'!$B:$B,D12)&gt;0,"SÍ","NO")</f>
        <v>NO</v>
      </c>
      <c r="G12" s="13" t="str">
        <f t="shared" si="0"/>
        <v>J09|HSLA</v>
      </c>
      <c r="H12" s="13" t="s">
        <v>17</v>
      </c>
      <c r="I12" s="13" t="s">
        <v>42</v>
      </c>
      <c r="J12" s="15" t="s">
        <v>6</v>
      </c>
      <c r="K12" s="15" t="s">
        <v>54</v>
      </c>
      <c r="L12" s="16" t="s">
        <v>75</v>
      </c>
      <c r="M12" s="13" t="s">
        <v>45</v>
      </c>
    </row>
    <row r="13" spans="1:13" ht="25.5" x14ac:dyDescent="0.25">
      <c r="A13" s="13">
        <v>1020305</v>
      </c>
      <c r="B13" s="13" t="s">
        <v>76</v>
      </c>
      <c r="C13" s="13"/>
      <c r="D13" s="14" t="s">
        <v>77</v>
      </c>
      <c r="E13" s="13" t="str">
        <f>IFERROR(INDEX('CENTROS DE COSTOS RESOLUCION'!$C:$C,MATCH(D13,'CENTROS DE COSTOS RESOLUCION'!$B:$B,0)),"CÓDIGO NO VÁLIDO")</f>
        <v>UNIDAD SALUD MENTAL Y DESINTOXICACIÓN (BAJA COMPLEJIDAD)</v>
      </c>
      <c r="F13" s="15" t="str">
        <f>IF(COUNTIF('CENTROS DE COSTOS UTILIZADOS'!$B:$B,D13)&gt;0,"SÍ","NO")</f>
        <v>NO</v>
      </c>
      <c r="G13" s="13" t="str">
        <f t="shared" si="0"/>
        <v>J10|HSLA</v>
      </c>
      <c r="H13" s="13" t="s">
        <v>17</v>
      </c>
      <c r="I13" s="13" t="s">
        <v>42</v>
      </c>
      <c r="J13" s="15" t="s">
        <v>7</v>
      </c>
      <c r="K13" s="15" t="s">
        <v>43</v>
      </c>
      <c r="L13" s="16" t="s">
        <v>70</v>
      </c>
      <c r="M13" s="13" t="s">
        <v>45</v>
      </c>
    </row>
    <row r="14" spans="1:13" ht="25.5" x14ac:dyDescent="0.25">
      <c r="A14" s="13">
        <v>1020306</v>
      </c>
      <c r="B14" s="13" t="s">
        <v>78</v>
      </c>
      <c r="C14" s="13"/>
      <c r="D14" s="14" t="s">
        <v>79</v>
      </c>
      <c r="E14" s="13" t="str">
        <f>IFERROR(INDEX('CENTROS DE COSTOS RESOLUCION'!$C:$C,MATCH(D14,'CENTROS DE COSTOS RESOLUCION'!$B:$B,0)),"CÓDIGO NO VÁLIDO")</f>
        <v>UNIDAD DE QUEMADOS ADULTOS</v>
      </c>
      <c r="F14" s="15" t="str">
        <f>IF(COUNTIF('CENTROS DE COSTOS UTILIZADOS'!$B:$B,D14)&gt;0,"SÍ","NO")</f>
        <v>NO</v>
      </c>
      <c r="G14" s="13" t="str">
        <f t="shared" si="0"/>
        <v>J08|HSLA</v>
      </c>
      <c r="H14" s="13" t="s">
        <v>17</v>
      </c>
      <c r="I14" s="13" t="s">
        <v>42</v>
      </c>
      <c r="J14" s="15" t="s">
        <v>7</v>
      </c>
      <c r="K14" s="15" t="s">
        <v>43</v>
      </c>
      <c r="L14" s="16" t="s">
        <v>70</v>
      </c>
      <c r="M14" s="13" t="s">
        <v>45</v>
      </c>
    </row>
    <row r="15" spans="1:13" ht="25.5" x14ac:dyDescent="0.25">
      <c r="A15" s="13">
        <v>1020307</v>
      </c>
      <c r="B15" s="13" t="s">
        <v>80</v>
      </c>
      <c r="C15" s="13"/>
      <c r="D15" s="14" t="s">
        <v>81</v>
      </c>
      <c r="E15" s="13" t="str">
        <f>IFERROR(INDEX('CENTROS DE COSTOS RESOLUCION'!$C:$C,MATCH(D15,'CENTROS DE COSTOS RESOLUCION'!$B:$B,0)),"CÓDIGO NO VÁLIDO")</f>
        <v>OTRAS UNIDADES ESPECIALES</v>
      </c>
      <c r="F15" s="15" t="str">
        <f>IF(COUNTIF('CENTROS DE COSTOS UTILIZADOS'!$B:$B,D15)&gt;0,"SÍ","NO")</f>
        <v>NO</v>
      </c>
      <c r="G15" s="13" t="str">
        <f t="shared" si="0"/>
        <v>J13|HSLA</v>
      </c>
      <c r="H15" s="13" t="s">
        <v>17</v>
      </c>
      <c r="I15" s="13" t="s">
        <v>42</v>
      </c>
      <c r="J15" s="15" t="s">
        <v>7</v>
      </c>
      <c r="K15" s="15" t="s">
        <v>54</v>
      </c>
      <c r="L15" s="16" t="s">
        <v>70</v>
      </c>
      <c r="M15" s="13" t="s">
        <v>45</v>
      </c>
    </row>
    <row r="16" spans="1:13" x14ac:dyDescent="0.25">
      <c r="A16" s="13">
        <v>1020401</v>
      </c>
      <c r="B16" s="13" t="s">
        <v>82</v>
      </c>
      <c r="C16" s="13"/>
      <c r="D16" s="14" t="s">
        <v>83</v>
      </c>
      <c r="E16" s="13" t="str">
        <f>IFERROR(INDEX('CENTROS DE COSTOS RESOLUCION'!$C:$C,MATCH(D16,'CENTROS DE COSTOS RESOLUCION'!$B:$B,0)),"CÓDIGO NO VÁLIDO")</f>
        <v>CIRUGÍA GENERAL</v>
      </c>
      <c r="F16" s="15" t="str">
        <f>IF(COUNTIF('CENTROS DE COSTOS UTILIZADOS'!$B:$B,D16)&gt;0,"SÍ","NO")</f>
        <v>NO</v>
      </c>
      <c r="G16" s="13" t="str">
        <f t="shared" si="0"/>
        <v>C01|HSLA</v>
      </c>
      <c r="H16" s="13" t="s">
        <v>17</v>
      </c>
      <c r="I16" s="13" t="s">
        <v>42</v>
      </c>
      <c r="J16" s="15" t="s">
        <v>6</v>
      </c>
      <c r="K16" s="15" t="s">
        <v>54</v>
      </c>
      <c r="L16" s="16" t="s">
        <v>84</v>
      </c>
      <c r="M16" s="13" t="s">
        <v>45</v>
      </c>
    </row>
    <row r="17" spans="1:13" x14ac:dyDescent="0.25">
      <c r="A17" s="13">
        <v>1020402</v>
      </c>
      <c r="B17" s="13" t="s">
        <v>85</v>
      </c>
      <c r="C17" s="13"/>
      <c r="D17" s="14" t="s">
        <v>86</v>
      </c>
      <c r="E17" s="13" t="str">
        <f>IFERROR(INDEX('CENTROS DE COSTOS RESOLUCION'!$C:$C,MATCH(D17,'CENTROS DE COSTOS RESOLUCION'!$B:$B,0)),"CÓDIGO NO VÁLIDO")</f>
        <v>ATENCIÓN DE PARTO BAJA COMPLEJIDAD</v>
      </c>
      <c r="F17" s="15" t="str">
        <f>IF(COUNTIF('CENTROS DE COSTOS UTILIZADOS'!$B:$B,D17)&gt;0,"SÍ","NO")</f>
        <v>NO</v>
      </c>
      <c r="G17" s="13" t="str">
        <f t="shared" si="0"/>
        <v>D02|HSLA</v>
      </c>
      <c r="H17" s="13" t="s">
        <v>17</v>
      </c>
      <c r="I17" s="13" t="s">
        <v>42</v>
      </c>
      <c r="J17" s="15" t="s">
        <v>5</v>
      </c>
      <c r="K17" s="15" t="s">
        <v>43</v>
      </c>
      <c r="L17" s="16" t="s">
        <v>87</v>
      </c>
      <c r="M17" s="13" t="s">
        <v>45</v>
      </c>
    </row>
    <row r="18" spans="1:13" x14ac:dyDescent="0.25">
      <c r="A18" s="13">
        <v>1020501</v>
      </c>
      <c r="B18" s="13" t="s">
        <v>88</v>
      </c>
      <c r="C18" s="13"/>
      <c r="D18" s="14" t="s">
        <v>89</v>
      </c>
      <c r="E18" s="13" t="str">
        <f>IFERROR(INDEX('CENTROS DE COSTOS RESOLUCION'!$C:$C,MATCH(D18,'CENTROS DE COSTOS RESOLUCION'!$B:$B,0)),"CÓDIGO NO VÁLIDO")</f>
        <v>LABORATORIO Y ANÁLISIS CLÍNICO</v>
      </c>
      <c r="F18" s="15" t="str">
        <f>IF(COUNTIF('CENTROS DE COSTOS UTILIZADOS'!$B:$B,D18)&gt;0,"SÍ","NO")</f>
        <v>SÍ</v>
      </c>
      <c r="G18" s="13" t="str">
        <f t="shared" si="0"/>
        <v>L07|HSLA</v>
      </c>
      <c r="H18" s="13" t="s">
        <v>18</v>
      </c>
      <c r="I18" s="13" t="s">
        <v>42</v>
      </c>
      <c r="J18" s="15" t="s">
        <v>5</v>
      </c>
      <c r="K18" s="15" t="s">
        <v>43</v>
      </c>
      <c r="L18" s="16" t="s">
        <v>90</v>
      </c>
      <c r="M18" s="13" t="s">
        <v>45</v>
      </c>
    </row>
    <row r="19" spans="1:13" x14ac:dyDescent="0.25">
      <c r="A19" s="13">
        <v>1020502</v>
      </c>
      <c r="B19" s="13" t="s">
        <v>91</v>
      </c>
      <c r="C19" s="13"/>
      <c r="D19" s="14" t="s">
        <v>92</v>
      </c>
      <c r="E19" s="13" t="str">
        <f>IFERROR(INDEX('CENTROS DE COSTOS RESOLUCION'!$C:$C,MATCH(D19,'CENTROS DE COSTOS RESOLUCION'!$B:$B,0)),"CÓDIGO NO VÁLIDO")</f>
        <v>IMAGENEOLOGÍA RADIOLÓGICA</v>
      </c>
      <c r="F19" s="15" t="str">
        <f>IF(COUNTIF('CENTROS DE COSTOS UTILIZADOS'!$B:$B,D19)&gt;0,"SÍ","NO")</f>
        <v>SÍ</v>
      </c>
      <c r="G19" s="13" t="str">
        <f t="shared" si="0"/>
        <v>L02|HSLA</v>
      </c>
      <c r="H19" s="13" t="s">
        <v>18</v>
      </c>
      <c r="I19" s="13" t="s">
        <v>42</v>
      </c>
      <c r="J19" s="15" t="s">
        <v>5</v>
      </c>
      <c r="K19" s="15" t="s">
        <v>43</v>
      </c>
      <c r="L19" s="16" t="s">
        <v>93</v>
      </c>
      <c r="M19" s="13" t="s">
        <v>45</v>
      </c>
    </row>
    <row r="20" spans="1:13" ht="25.5" x14ac:dyDescent="0.25">
      <c r="A20" s="13">
        <v>1020503</v>
      </c>
      <c r="B20" s="13" t="s">
        <v>94</v>
      </c>
      <c r="C20" s="13"/>
      <c r="D20" s="14" t="s">
        <v>95</v>
      </c>
      <c r="E20" s="13" t="str">
        <f>IFERROR(INDEX('CENTROS DE COSTOS RESOLUCION'!$C:$C,MATCH(D20,'CENTROS DE COSTOS RESOLUCION'!$B:$B,0)),"CÓDIGO NO VÁLIDO")</f>
        <v>LABORATORIO ANATOMÍA PATOLÓGICA</v>
      </c>
      <c r="F20" s="15" t="str">
        <f>IF(COUNTIF('CENTROS DE COSTOS UTILIZADOS'!$B:$B,D20)&gt;0,"SÍ","NO")</f>
        <v>NO</v>
      </c>
      <c r="G20" s="13" t="str">
        <f t="shared" si="0"/>
        <v>L01|HSLA</v>
      </c>
      <c r="H20" s="13" t="s">
        <v>18</v>
      </c>
      <c r="I20" s="13" t="s">
        <v>42</v>
      </c>
      <c r="J20" s="15" t="s">
        <v>7</v>
      </c>
      <c r="K20" s="15" t="s">
        <v>43</v>
      </c>
      <c r="L20" s="16" t="s">
        <v>70</v>
      </c>
      <c r="M20" s="13" t="s">
        <v>45</v>
      </c>
    </row>
    <row r="21" spans="1:13" ht="25.5" x14ac:dyDescent="0.25">
      <c r="A21" s="13">
        <v>1020504</v>
      </c>
      <c r="B21" s="13" t="s">
        <v>96</v>
      </c>
      <c r="C21" s="13"/>
      <c r="D21" s="14" t="s">
        <v>97</v>
      </c>
      <c r="E21" s="13" t="str">
        <f>IFERROR(INDEX('CENTROS DE COSTOS RESOLUCION'!$C:$C,MATCH(D21,'CENTROS DE COSTOS RESOLUCION'!$B:$B,0)),"CÓDIGO NO VÁLIDO")</f>
        <v>IMAGENOLOGÍA NO RADIOLÓGICA</v>
      </c>
      <c r="F21" s="15" t="str">
        <f>IF(COUNTIF('CENTROS DE COSTOS UTILIZADOS'!$B:$B,D21)&gt;0,"SÍ","NO")</f>
        <v>NO</v>
      </c>
      <c r="G21" s="13" t="str">
        <f t="shared" si="0"/>
        <v>L04|HSLA</v>
      </c>
      <c r="H21" s="13" t="s">
        <v>18</v>
      </c>
      <c r="I21" s="13" t="s">
        <v>42</v>
      </c>
      <c r="J21" s="15" t="s">
        <v>6</v>
      </c>
      <c r="K21" s="15" t="s">
        <v>54</v>
      </c>
      <c r="L21" s="16" t="s">
        <v>98</v>
      </c>
      <c r="M21" s="13" t="s">
        <v>45</v>
      </c>
    </row>
    <row r="22" spans="1:13" x14ac:dyDescent="0.25">
      <c r="A22" s="13">
        <v>1020601</v>
      </c>
      <c r="B22" s="13" t="s">
        <v>99</v>
      </c>
      <c r="C22" s="13"/>
      <c r="D22" s="14" t="s">
        <v>100</v>
      </c>
      <c r="E22" s="13" t="str">
        <f>IFERROR(INDEX('CENTROS DE COSTOS RESOLUCION'!$C:$C,MATCH(D22,'CENTROS DE COSTOS RESOLUCION'!$B:$B,0)),"CÓDIGO NO VÁLIDO")</f>
        <v>FISIOTERAPIA Y REHABILITACIÓN</v>
      </c>
      <c r="F22" s="15" t="str">
        <f>IF(COUNTIF('CENTROS DE COSTOS UTILIZADOS'!$B:$B,D22)&gt;0,"SÍ","NO")</f>
        <v>SÍ</v>
      </c>
      <c r="G22" s="13" t="str">
        <f t="shared" si="0"/>
        <v>M06|HSLA</v>
      </c>
      <c r="H22" s="13" t="s">
        <v>18</v>
      </c>
      <c r="I22" s="13" t="s">
        <v>42</v>
      </c>
      <c r="J22" s="15" t="s">
        <v>5</v>
      </c>
      <c r="K22" s="15" t="s">
        <v>43</v>
      </c>
      <c r="L22" s="16" t="s">
        <v>101</v>
      </c>
      <c r="M22" s="13" t="s">
        <v>45</v>
      </c>
    </row>
    <row r="23" spans="1:13" ht="25.5" x14ac:dyDescent="0.25">
      <c r="A23" s="13">
        <v>1020602</v>
      </c>
      <c r="B23" s="13" t="s">
        <v>102</v>
      </c>
      <c r="C23" s="13"/>
      <c r="D23" s="14" t="s">
        <v>103</v>
      </c>
      <c r="E23" s="13" t="str">
        <f>IFERROR(INDEX('CENTROS DE COSTOS RESOLUCION'!$C:$C,MATCH(D23,'CENTROS DE COSTOS RESOLUCION'!$B:$B,0)),"CÓDIGO NO VÁLIDO")</f>
        <v>BANCO DE SANGRE</v>
      </c>
      <c r="F23" s="15" t="str">
        <f>IF(COUNTIF('CENTROS DE COSTOS UTILIZADOS'!$B:$B,D23)&gt;0,"SÍ","NO")</f>
        <v>NO</v>
      </c>
      <c r="G23" s="13" t="str">
        <f t="shared" si="0"/>
        <v>M01|HSLA</v>
      </c>
      <c r="H23" s="13" t="s">
        <v>18</v>
      </c>
      <c r="I23" s="13" t="s">
        <v>42</v>
      </c>
      <c r="J23" s="15" t="s">
        <v>7</v>
      </c>
      <c r="K23" s="15" t="s">
        <v>43</v>
      </c>
      <c r="L23" s="16" t="s">
        <v>70</v>
      </c>
      <c r="M23" s="13" t="s">
        <v>45</v>
      </c>
    </row>
    <row r="24" spans="1:13" ht="25.5" x14ac:dyDescent="0.25">
      <c r="A24" s="13">
        <v>1020603</v>
      </c>
      <c r="B24" s="13" t="s">
        <v>104</v>
      </c>
      <c r="C24" s="13"/>
      <c r="D24" s="14" t="s">
        <v>105</v>
      </c>
      <c r="E24" s="13" t="str">
        <f>IFERROR(INDEX('CENTROS DE COSTOS RESOLUCION'!$C:$C,MATCH(D24,'CENTROS DE COSTOS RESOLUCION'!$B:$B,0)),"CÓDIGO NO VÁLIDO")</f>
        <v>TERAPIA RENAL</v>
      </c>
      <c r="F24" s="15" t="str">
        <f>IF(COUNTIF('CENTROS DE COSTOS UTILIZADOS'!$B:$B,D24)&gt;0,"SÍ","NO")</f>
        <v>NO</v>
      </c>
      <c r="G24" s="13" t="str">
        <f t="shared" si="0"/>
        <v>M03|HSLA</v>
      </c>
      <c r="H24" s="13" t="s">
        <v>18</v>
      </c>
      <c r="I24" s="13" t="s">
        <v>42</v>
      </c>
      <c r="J24" s="15" t="s">
        <v>7</v>
      </c>
      <c r="K24" s="15" t="s">
        <v>43</v>
      </c>
      <c r="L24" s="16" t="s">
        <v>70</v>
      </c>
      <c r="M24" s="13" t="s">
        <v>45</v>
      </c>
    </row>
    <row r="25" spans="1:13" ht="25.5" x14ac:dyDescent="0.25">
      <c r="A25" s="13">
        <v>1020604</v>
      </c>
      <c r="B25" s="13" t="s">
        <v>106</v>
      </c>
      <c r="C25" s="13"/>
      <c r="D25" s="14" t="s">
        <v>107</v>
      </c>
      <c r="E25" s="13" t="str">
        <f>IFERROR(INDEX('CENTROS DE COSTOS RESOLUCION'!$C:$C,MATCH(D25,'CENTROS DE COSTOS RESOLUCION'!$B:$B,0)),"CÓDIGO NO VÁLIDO")</f>
        <v>CARDIOVASCULAR</v>
      </c>
      <c r="F25" s="15" t="str">
        <f>IF(COUNTIF('CENTROS DE COSTOS UTILIZADOS'!$B:$B,D25)&gt;0,"SÍ","NO")</f>
        <v>NO</v>
      </c>
      <c r="G25" s="13" t="str">
        <f t="shared" si="0"/>
        <v>C05|HSLA</v>
      </c>
      <c r="H25" s="13" t="s">
        <v>17</v>
      </c>
      <c r="I25" s="13" t="s">
        <v>42</v>
      </c>
      <c r="J25" s="15" t="s">
        <v>7</v>
      </c>
      <c r="K25" s="15" t="s">
        <v>43</v>
      </c>
      <c r="L25" s="16" t="s">
        <v>70</v>
      </c>
      <c r="M25" s="13" t="s">
        <v>45</v>
      </c>
    </row>
    <row r="26" spans="1:13" ht="25.5" x14ac:dyDescent="0.25">
      <c r="A26" s="13">
        <v>1020605</v>
      </c>
      <c r="B26" s="13" t="s">
        <v>108</v>
      </c>
      <c r="C26" s="13"/>
      <c r="D26" s="14" t="s">
        <v>109</v>
      </c>
      <c r="E26" s="13" t="str">
        <f>IFERROR(INDEX('CENTROS DE COSTOS RESOLUCION'!$C:$C,MATCH(D26,'CENTROS DE COSTOS RESOLUCION'!$B:$B,0)),"CÓDIGO NO VÁLIDO")</f>
        <v>OTRAS TERAPIAS</v>
      </c>
      <c r="F26" s="15" t="str">
        <f>IF(COUNTIF('CENTROS DE COSTOS UTILIZADOS'!$B:$B,D26)&gt;0,"SÍ","NO")</f>
        <v>NO</v>
      </c>
      <c r="G26" s="13" t="str">
        <f t="shared" si="0"/>
        <v>M07|HSLA</v>
      </c>
      <c r="H26" s="13" t="s">
        <v>18</v>
      </c>
      <c r="I26" s="13" t="s">
        <v>42</v>
      </c>
      <c r="J26" s="15" t="s">
        <v>7</v>
      </c>
      <c r="K26" s="15" t="s">
        <v>43</v>
      </c>
      <c r="L26" s="16" t="s">
        <v>70</v>
      </c>
      <c r="M26" s="13" t="s">
        <v>45</v>
      </c>
    </row>
    <row r="27" spans="1:13" x14ac:dyDescent="0.25">
      <c r="A27" s="13">
        <v>1020606</v>
      </c>
      <c r="B27" s="13" t="s">
        <v>110</v>
      </c>
      <c r="C27" s="13"/>
      <c r="D27" s="14" t="s">
        <v>111</v>
      </c>
      <c r="E27" s="13" t="str">
        <f>IFERROR(INDEX('CENTROS DE COSTOS RESOLUCION'!$C:$C,MATCH(D27,'CENTROS DE COSTOS RESOLUCION'!$B:$B,0)),"CÓDIGO NO VÁLIDO")</f>
        <v>FARMACIA</v>
      </c>
      <c r="F27" s="15" t="str">
        <f>IF(COUNTIF('CENTROS DE COSTOS UTILIZADOS'!$B:$B,D27)&gt;0,"SÍ","NO")</f>
        <v>SÍ</v>
      </c>
      <c r="G27" s="13" t="str">
        <f t="shared" si="0"/>
        <v>M05|HSLA</v>
      </c>
      <c r="H27" s="13" t="s">
        <v>18</v>
      </c>
      <c r="I27" s="13" t="s">
        <v>42</v>
      </c>
      <c r="J27" s="15" t="s">
        <v>5</v>
      </c>
      <c r="K27" s="15" t="s">
        <v>43</v>
      </c>
      <c r="L27" s="16" t="s">
        <v>112</v>
      </c>
      <c r="M27" s="13" t="s">
        <v>45</v>
      </c>
    </row>
    <row r="28" spans="1:13" x14ac:dyDescent="0.25">
      <c r="A28" s="13">
        <v>1020607</v>
      </c>
      <c r="B28" s="13" t="s">
        <v>113</v>
      </c>
      <c r="C28" s="13"/>
      <c r="D28" s="14" t="s">
        <v>109</v>
      </c>
      <c r="E28" s="13" t="str">
        <f>IFERROR(INDEX('CENTROS DE COSTOS RESOLUCION'!$C:$C,MATCH(D28,'CENTROS DE COSTOS RESOLUCION'!$B:$B,0)),"CÓDIGO NO VÁLIDO")</f>
        <v>OTRAS TERAPIAS</v>
      </c>
      <c r="F28" s="15" t="str">
        <f>IF(COUNTIF('CENTROS DE COSTOS UTILIZADOS'!$B:$B,D28)&gt;0,"SÍ","NO")</f>
        <v>NO</v>
      </c>
      <c r="G28" s="13" t="str">
        <f t="shared" si="0"/>
        <v>M07|HSLA</v>
      </c>
      <c r="H28" s="13" t="s">
        <v>18</v>
      </c>
      <c r="I28" s="13" t="s">
        <v>42</v>
      </c>
      <c r="J28" s="15" t="s">
        <v>6</v>
      </c>
      <c r="K28" s="15" t="s">
        <v>54</v>
      </c>
      <c r="L28" s="16" t="s">
        <v>114</v>
      </c>
      <c r="M28" s="13" t="s">
        <v>45</v>
      </c>
    </row>
    <row r="29" spans="1:13" ht="25.5" x14ac:dyDescent="0.25">
      <c r="A29" s="13">
        <v>1020701</v>
      </c>
      <c r="B29" s="13" t="s">
        <v>115</v>
      </c>
      <c r="C29" s="13"/>
      <c r="D29" s="14" t="s">
        <v>116</v>
      </c>
      <c r="E29" s="13" t="str">
        <f>IFERROR(INDEX('CENTROS DE COSTOS RESOLUCION'!$C:$C,MATCH(D29,'CENTROS DE COSTOS RESOLUCION'!$B:$B,0)),"CÓDIGO NO VÁLIDO")</f>
        <v>ANCIANATOS Y ALBERGUES</v>
      </c>
      <c r="F29" s="15" t="str">
        <f>IF(COUNTIF('CENTROS DE COSTOS UTILIZADOS'!$B:$B,D29)&gt;0,"SÍ","NO")</f>
        <v>NO</v>
      </c>
      <c r="G29" s="13" t="str">
        <f t="shared" si="0"/>
        <v>J01|HSLA</v>
      </c>
      <c r="H29" s="13" t="s">
        <v>17</v>
      </c>
      <c r="I29" s="13" t="s">
        <v>42</v>
      </c>
      <c r="J29" s="15" t="s">
        <v>7</v>
      </c>
      <c r="K29" s="15" t="s">
        <v>43</v>
      </c>
      <c r="L29" s="16" t="s">
        <v>70</v>
      </c>
      <c r="M29" s="13" t="s">
        <v>45</v>
      </c>
    </row>
    <row r="30" spans="1:13" x14ac:dyDescent="0.25">
      <c r="A30" s="13">
        <v>1020702</v>
      </c>
      <c r="B30" s="13" t="s">
        <v>117</v>
      </c>
      <c r="C30" s="13"/>
      <c r="D30" s="14" t="s">
        <v>118</v>
      </c>
      <c r="E30" s="13" t="str">
        <f>IFERROR(INDEX('CENTROS DE COSTOS RESOLUCION'!$C:$C,MATCH(D30,'CENTROS DE COSTOS RESOLUCION'!$B:$B,0)),"CÓDIGO NO VÁLIDO")</f>
        <v>CENTROS Y PUESTOS DE SALUD</v>
      </c>
      <c r="F30" s="15" t="str">
        <f>IF(COUNTIF('CENTROS DE COSTOS UTILIZADOS'!$B:$B,D30)&gt;0,"SÍ","NO")</f>
        <v>SÍ</v>
      </c>
      <c r="G30" s="13" t="str">
        <f t="shared" si="0"/>
        <v>J17|HSLA</v>
      </c>
      <c r="H30" s="13" t="s">
        <v>17</v>
      </c>
      <c r="I30" s="13" t="s">
        <v>42</v>
      </c>
      <c r="J30" s="15" t="s">
        <v>5</v>
      </c>
      <c r="K30" s="15" t="s">
        <v>43</v>
      </c>
      <c r="L30" s="16" t="s">
        <v>119</v>
      </c>
      <c r="M30" s="13" t="s">
        <v>45</v>
      </c>
    </row>
    <row r="31" spans="1:13" ht="25.5" x14ac:dyDescent="0.25">
      <c r="A31" s="13">
        <v>1020703</v>
      </c>
      <c r="B31" s="13" t="s">
        <v>120</v>
      </c>
      <c r="C31" s="13"/>
      <c r="D31" s="14" t="s">
        <v>121</v>
      </c>
      <c r="E31" s="13" t="str">
        <f>IFERROR(INDEX('CENTROS DE COSTOS RESOLUCION'!$C:$C,MATCH(D31,'CENTROS DE COSTOS RESOLUCION'!$B:$B,0)),"CÓDIGO NO VÁLIDO")</f>
        <v>EDUCACIÓN MÉDICA</v>
      </c>
      <c r="F31" s="15" t="str">
        <f>IF(COUNTIF('CENTROS DE COSTOS UTILIZADOS'!$B:$B,D31)&gt;0,"SÍ","NO")</f>
        <v>NO</v>
      </c>
      <c r="G31" s="13" t="str">
        <f t="shared" si="0"/>
        <v>U03|HSLA</v>
      </c>
      <c r="H31" s="13" t="s">
        <v>20</v>
      </c>
      <c r="I31" s="13" t="s">
        <v>42</v>
      </c>
      <c r="J31" s="15" t="s">
        <v>7</v>
      </c>
      <c r="K31" s="15" t="s">
        <v>43</v>
      </c>
      <c r="L31" s="16" t="s">
        <v>70</v>
      </c>
      <c r="M31" s="13" t="s">
        <v>45</v>
      </c>
    </row>
    <row r="32" spans="1:13" ht="25.5" x14ac:dyDescent="0.25">
      <c r="A32" s="13">
        <v>1020704</v>
      </c>
      <c r="B32" s="13" t="s">
        <v>122</v>
      </c>
      <c r="C32" s="13"/>
      <c r="D32" s="14" t="s">
        <v>53</v>
      </c>
      <c r="E32" s="13" t="str">
        <f>IFERROR(INDEX('CENTROS DE COSTOS RESOLUCION'!$C:$C,MATCH(D32,'CENTROS DE COSTOS RESOLUCION'!$B:$B,0)),"CÓDIGO NO VÁLIDO")</f>
        <v>OTRAS CONSULTAS Y PROCEDIMIENTOS</v>
      </c>
      <c r="F32" s="15" t="str">
        <f>IF(COUNTIF('CENTROS DE COSTOS UTILIZADOS'!$B:$B,D32)&gt;0,"SÍ","NO")</f>
        <v>NO</v>
      </c>
      <c r="G32" s="13" t="str">
        <f t="shared" si="0"/>
        <v>A32|HSLA</v>
      </c>
      <c r="H32" s="13" t="s">
        <v>17</v>
      </c>
      <c r="I32" s="13" t="s">
        <v>42</v>
      </c>
      <c r="J32" s="15" t="s">
        <v>6</v>
      </c>
      <c r="K32" s="15" t="s">
        <v>123</v>
      </c>
      <c r="L32" s="16" t="s">
        <v>124</v>
      </c>
      <c r="M32" s="13" t="s">
        <v>45</v>
      </c>
    </row>
    <row r="33" spans="1:13" x14ac:dyDescent="0.25">
      <c r="A33" s="13">
        <v>1020705</v>
      </c>
      <c r="B33" s="13" t="s">
        <v>125</v>
      </c>
      <c r="C33" s="13"/>
      <c r="D33" s="14" t="s">
        <v>126</v>
      </c>
      <c r="E33" s="13" t="str">
        <f>IFERROR(INDEX('CENTROS DE COSTOS RESOLUCION'!$C:$C,MATCH(D33,'CENTROS DE COSTOS RESOLUCION'!$B:$B,0)),"CÓDIGO NO VÁLIDO")</f>
        <v>SERVICIO DE AMBULANCIAS</v>
      </c>
      <c r="F33" s="15" t="str">
        <f>IF(COUNTIF('CENTROS DE COSTOS UTILIZADOS'!$B:$B,D33)&gt;0,"SÍ","NO")</f>
        <v>SÍ</v>
      </c>
      <c r="G33" s="13" t="str">
        <f t="shared" si="0"/>
        <v>N08|HSLA</v>
      </c>
      <c r="H33" s="13" t="s">
        <v>17</v>
      </c>
      <c r="I33" s="13" t="s">
        <v>42</v>
      </c>
      <c r="J33" s="15" t="s">
        <v>5</v>
      </c>
      <c r="K33" s="15" t="s">
        <v>43</v>
      </c>
      <c r="L33" s="16" t="s">
        <v>127</v>
      </c>
      <c r="M33" s="13" t="s">
        <v>45</v>
      </c>
    </row>
    <row r="34" spans="1:13" x14ac:dyDescent="0.25">
      <c r="A34" s="13">
        <v>1020706</v>
      </c>
      <c r="B34" s="13" t="s">
        <v>128</v>
      </c>
      <c r="C34" s="13"/>
      <c r="D34" s="14" t="s">
        <v>129</v>
      </c>
      <c r="E34" s="13" t="str">
        <f>IFERROR(INDEX('CENTROS DE COSTOS RESOLUCION'!$C:$C,MATCH(D34,'CENTROS DE COSTOS RESOLUCION'!$B:$B,0)),"CÓDIGO NO VÁLIDO")</f>
        <v>OTROS ENFERMERÍA</v>
      </c>
      <c r="F34" s="15" t="str">
        <f>IF(COUNTIF('CENTROS DE COSTOS UTILIZADOS'!$B:$B,D34)&gt;0,"SÍ","NO")</f>
        <v>NO</v>
      </c>
      <c r="G34" s="13" t="str">
        <f t="shared" si="0"/>
        <v>N04|HSLA</v>
      </c>
      <c r="H34" s="13" t="s">
        <v>18</v>
      </c>
      <c r="I34" s="13" t="s">
        <v>42</v>
      </c>
      <c r="J34" s="15" t="s">
        <v>6</v>
      </c>
      <c r="K34" s="15" t="s">
        <v>123</v>
      </c>
      <c r="L34" s="16" t="s">
        <v>130</v>
      </c>
      <c r="M34" s="13" t="s">
        <v>45</v>
      </c>
    </row>
    <row r="35" spans="1:13" ht="25.5" x14ac:dyDescent="0.25">
      <c r="A35" s="13">
        <v>1030101</v>
      </c>
      <c r="B35" s="13" t="s">
        <v>131</v>
      </c>
      <c r="C35" s="13"/>
      <c r="D35" s="14" t="s">
        <v>41</v>
      </c>
      <c r="E35" s="13" t="str">
        <f>IFERROR(INDEX('CENTROS DE COSTOS RESOLUCION'!$C:$C,MATCH(D35,'CENTROS DE COSTOS RESOLUCION'!$B:$B,0)),"CÓDIGO NO VÁLIDO")</f>
        <v>CONSULTA URGENCIAS</v>
      </c>
      <c r="F35" s="15" t="str">
        <f>IF(COUNTIF('CENTROS DE COSTOS UTILIZADOS'!$B:$B,D35)&gt;0,"SÍ","NO")</f>
        <v>SÍ</v>
      </c>
      <c r="G35" s="13" t="str">
        <f t="shared" si="0"/>
        <v>B01|HSFF</v>
      </c>
      <c r="H35" s="13" t="s">
        <v>17</v>
      </c>
      <c r="I35" s="13" t="s">
        <v>132</v>
      </c>
      <c r="J35" s="15" t="s">
        <v>5</v>
      </c>
      <c r="K35" s="15" t="s">
        <v>43</v>
      </c>
      <c r="L35" s="16" t="s">
        <v>44</v>
      </c>
      <c r="M35" s="13" t="s">
        <v>45</v>
      </c>
    </row>
    <row r="36" spans="1:13" x14ac:dyDescent="0.25">
      <c r="A36" s="13">
        <v>1030102</v>
      </c>
      <c r="B36" s="13" t="s">
        <v>133</v>
      </c>
      <c r="C36" s="13"/>
      <c r="D36" s="14" t="s">
        <v>47</v>
      </c>
      <c r="E36" s="13" t="str">
        <f>IFERROR(INDEX('CENTROS DE COSTOS RESOLUCION'!$C:$C,MATCH(D36,'CENTROS DE COSTOS RESOLUCION'!$B:$B,0)),"CÓDIGO NO VÁLIDO")</f>
        <v>OBSERVACIÓN</v>
      </c>
      <c r="F36" s="15" t="str">
        <f>IF(COUNTIF('CENTROS DE COSTOS UTILIZADOS'!$B:$B,D36)&gt;0,"SÍ","NO")</f>
        <v>SÍ</v>
      </c>
      <c r="G36" s="13" t="str">
        <f t="shared" si="0"/>
        <v>B02|HSFF</v>
      </c>
      <c r="H36" s="13" t="s">
        <v>17</v>
      </c>
      <c r="I36" s="13" t="s">
        <v>132</v>
      </c>
      <c r="J36" s="15" t="s">
        <v>5</v>
      </c>
      <c r="K36" s="15" t="s">
        <v>43</v>
      </c>
      <c r="L36" s="16" t="s">
        <v>48</v>
      </c>
      <c r="M36" s="13" t="s">
        <v>45</v>
      </c>
    </row>
    <row r="37" spans="1:13" x14ac:dyDescent="0.25">
      <c r="A37" s="13">
        <v>1030201</v>
      </c>
      <c r="B37" s="13" t="s">
        <v>134</v>
      </c>
      <c r="C37" s="13"/>
      <c r="D37" s="14" t="s">
        <v>50</v>
      </c>
      <c r="E37" s="13" t="str">
        <f>IFERROR(INDEX('CENTROS DE COSTOS RESOLUCION'!$C:$C,MATCH(D37,'CENTROS DE COSTOS RESOLUCION'!$B:$B,0)),"CÓDIGO NO VÁLIDO")</f>
        <v>MEDICINA GENERAL</v>
      </c>
      <c r="F37" s="15" t="str">
        <f>IF(COUNTIF('CENTROS DE COSTOS UTILIZADOS'!$B:$B,D37)&gt;0,"SÍ","NO")</f>
        <v>SÍ</v>
      </c>
      <c r="G37" s="13" t="str">
        <f t="shared" si="0"/>
        <v>A10|HSFF</v>
      </c>
      <c r="H37" s="13" t="s">
        <v>17</v>
      </c>
      <c r="I37" s="13" t="s">
        <v>132</v>
      </c>
      <c r="J37" s="15" t="s">
        <v>5</v>
      </c>
      <c r="K37" s="15" t="s">
        <v>43</v>
      </c>
      <c r="L37" s="16" t="s">
        <v>51</v>
      </c>
      <c r="M37" s="13" t="s">
        <v>45</v>
      </c>
    </row>
    <row r="38" spans="1:13" ht="25.5" x14ac:dyDescent="0.25">
      <c r="A38" s="13">
        <v>1030202</v>
      </c>
      <c r="B38" s="13" t="s">
        <v>135</v>
      </c>
      <c r="C38" s="13"/>
      <c r="D38" s="14" t="s">
        <v>53</v>
      </c>
      <c r="E38" s="13" t="str">
        <f>IFERROR(INDEX('CENTROS DE COSTOS RESOLUCION'!$C:$C,MATCH(D38,'CENTROS DE COSTOS RESOLUCION'!$B:$B,0)),"CÓDIGO NO VÁLIDO")</f>
        <v>OTRAS CONSULTAS Y PROCEDIMIENTOS</v>
      </c>
      <c r="F38" s="15" t="str">
        <f>IF(COUNTIF('CENTROS DE COSTOS UTILIZADOS'!$B:$B,D38)&gt;0,"SÍ","NO")</f>
        <v>NO</v>
      </c>
      <c r="G38" s="13" t="str">
        <f t="shared" si="0"/>
        <v>A32|HSFF</v>
      </c>
      <c r="H38" s="13" t="s">
        <v>17</v>
      </c>
      <c r="I38" s="13" t="s">
        <v>132</v>
      </c>
      <c r="J38" s="15" t="s">
        <v>5</v>
      </c>
      <c r="K38" s="15" t="s">
        <v>54</v>
      </c>
      <c r="L38" s="16" t="s">
        <v>55</v>
      </c>
      <c r="M38" s="13" t="s">
        <v>45</v>
      </c>
    </row>
    <row r="39" spans="1:13" x14ac:dyDescent="0.25">
      <c r="A39" s="13">
        <v>1030203</v>
      </c>
      <c r="B39" s="13" t="s">
        <v>136</v>
      </c>
      <c r="C39" s="13"/>
      <c r="D39" s="14" t="s">
        <v>57</v>
      </c>
      <c r="E39" s="13" t="str">
        <f>IFERROR(INDEX('CENTROS DE COSTOS RESOLUCION'!$C:$C,MATCH(D39,'CENTROS DE COSTOS RESOLUCION'!$B:$B,0)),"CÓDIGO NO VÁLIDO")</f>
        <v>ODONTOLOGÍA GENERAL</v>
      </c>
      <c r="F39" s="15" t="str">
        <f>IF(COUNTIF('CENTROS DE COSTOS UTILIZADOS'!$B:$B,D39)&gt;0,"SÍ","NO")</f>
        <v>SÍ</v>
      </c>
      <c r="G39" s="13" t="str">
        <f t="shared" si="0"/>
        <v>E01|HSFF</v>
      </c>
      <c r="H39" s="13" t="s">
        <v>17</v>
      </c>
      <c r="I39" s="13" t="s">
        <v>132</v>
      </c>
      <c r="J39" s="15" t="s">
        <v>5</v>
      </c>
      <c r="K39" s="15" t="s">
        <v>43</v>
      </c>
      <c r="L39" s="16" t="s">
        <v>58</v>
      </c>
      <c r="M39" s="13" t="s">
        <v>45</v>
      </c>
    </row>
    <row r="40" spans="1:13" x14ac:dyDescent="0.25">
      <c r="A40" s="13">
        <v>1030204</v>
      </c>
      <c r="B40" s="13" t="s">
        <v>137</v>
      </c>
      <c r="C40" s="13"/>
      <c r="D40" s="14" t="s">
        <v>60</v>
      </c>
      <c r="E40" s="13" t="str">
        <f>IFERROR(INDEX('CENTROS DE COSTOS RESOLUCION'!$C:$C,MATCH(D40,'CENTROS DE COSTOS RESOLUCION'!$B:$B,0)),"CÓDIGO NO VÁLIDO")</f>
        <v>PROMOCIÓN Y PREVENCIÓN</v>
      </c>
      <c r="F40" s="15" t="str">
        <f>IF(COUNTIF('CENTROS DE COSTOS UTILIZADOS'!$B:$B,D40)&gt;0,"SÍ","NO")</f>
        <v>SÍ</v>
      </c>
      <c r="G40" s="13" t="str">
        <f t="shared" si="0"/>
        <v>N03|HSFF</v>
      </c>
      <c r="H40" s="13" t="s">
        <v>17</v>
      </c>
      <c r="I40" s="13" t="s">
        <v>132</v>
      </c>
      <c r="J40" s="15" t="s">
        <v>5</v>
      </c>
      <c r="K40" s="15" t="s">
        <v>43</v>
      </c>
      <c r="L40" s="16" t="s">
        <v>61</v>
      </c>
      <c r="M40" s="13" t="s">
        <v>45</v>
      </c>
    </row>
    <row r="41" spans="1:13" x14ac:dyDescent="0.25">
      <c r="A41" s="13">
        <v>1030205</v>
      </c>
      <c r="B41" s="13" t="s">
        <v>138</v>
      </c>
      <c r="C41" s="13"/>
      <c r="D41" s="14" t="s">
        <v>63</v>
      </c>
      <c r="E41" s="13" t="str">
        <f>IFERROR(INDEX('CENTROS DE COSTOS RESOLUCION'!$C:$C,MATCH(D41,'CENTROS DE COSTOS RESOLUCION'!$B:$B,0)),"CÓDIGO NO VÁLIDO")</f>
        <v>SALUD PUBLICA</v>
      </c>
      <c r="F41" s="15" t="str">
        <f>IF(COUNTIF('CENTROS DE COSTOS UTILIZADOS'!$B:$B,D41)&gt;0,"SÍ","NO")</f>
        <v>SÍ</v>
      </c>
      <c r="G41" s="13" t="str">
        <f t="shared" si="0"/>
        <v>K25|HSFF</v>
      </c>
      <c r="H41" s="13" t="s">
        <v>17</v>
      </c>
      <c r="I41" s="13" t="s">
        <v>132</v>
      </c>
      <c r="J41" s="15" t="s">
        <v>5</v>
      </c>
      <c r="K41" s="15" t="s">
        <v>54</v>
      </c>
      <c r="L41" s="16" t="s">
        <v>64</v>
      </c>
      <c r="M41" s="13" t="s">
        <v>45</v>
      </c>
    </row>
    <row r="42" spans="1:13" x14ac:dyDescent="0.25">
      <c r="A42" s="13">
        <v>1030301</v>
      </c>
      <c r="B42" s="13" t="s">
        <v>139</v>
      </c>
      <c r="C42" s="13"/>
      <c r="D42" s="14" t="s">
        <v>66</v>
      </c>
      <c r="E42" s="13" t="str">
        <f>IFERROR(INDEX('CENTROS DE COSTOS RESOLUCION'!$C:$C,MATCH(D42,'CENTROS DE COSTOS RESOLUCION'!$B:$B,0)),"CÓDIGO NO VÁLIDO")</f>
        <v>HOSPITALIZACIÓN GENERAL</v>
      </c>
      <c r="F42" s="15" t="str">
        <f>IF(COUNTIF('CENTROS DE COSTOS UTILIZADOS'!$B:$B,D42)&gt;0,"SÍ","NO")</f>
        <v>NO</v>
      </c>
      <c r="G42" s="13" t="str">
        <f t="shared" si="0"/>
        <v>I01|HSFF</v>
      </c>
      <c r="H42" s="13" t="s">
        <v>17</v>
      </c>
      <c r="I42" s="13" t="s">
        <v>132</v>
      </c>
      <c r="J42" s="15" t="s">
        <v>5</v>
      </c>
      <c r="K42" s="15" t="s">
        <v>43</v>
      </c>
      <c r="L42" s="16" t="s">
        <v>67</v>
      </c>
      <c r="M42" s="13" t="s">
        <v>45</v>
      </c>
    </row>
    <row r="43" spans="1:13" ht="25.5" x14ac:dyDescent="0.25">
      <c r="A43" s="13">
        <v>1030302</v>
      </c>
      <c r="B43" s="13" t="s">
        <v>140</v>
      </c>
      <c r="C43" s="13"/>
      <c r="D43" s="14" t="s">
        <v>69</v>
      </c>
      <c r="E43" s="13" t="str">
        <f>IFERROR(INDEX('CENTROS DE COSTOS RESOLUCION'!$C:$C,MATCH(D43,'CENTROS DE COSTOS RESOLUCION'!$B:$B,0)),"CÓDIGO NO VÁLIDO")</f>
        <v>UCI ADULTOS</v>
      </c>
      <c r="F43" s="15" t="str">
        <f>IF(COUNTIF('CENTROS DE COSTOS UTILIZADOS'!$B:$B,D43)&gt;0,"SÍ","NO")</f>
        <v>NO</v>
      </c>
      <c r="G43" s="13" t="str">
        <f t="shared" si="0"/>
        <v>J02|HSFF</v>
      </c>
      <c r="H43" s="13" t="s">
        <v>17</v>
      </c>
      <c r="I43" s="13" t="s">
        <v>132</v>
      </c>
      <c r="J43" s="15" t="s">
        <v>7</v>
      </c>
      <c r="K43" s="15" t="s">
        <v>43</v>
      </c>
      <c r="L43" s="16" t="s">
        <v>70</v>
      </c>
      <c r="M43" s="13" t="s">
        <v>45</v>
      </c>
    </row>
    <row r="44" spans="1:13" ht="25.5" x14ac:dyDescent="0.25">
      <c r="A44" s="13">
        <v>1030303</v>
      </c>
      <c r="B44" s="13" t="s">
        <v>141</v>
      </c>
      <c r="C44" s="13"/>
      <c r="D44" s="14" t="s">
        <v>72</v>
      </c>
      <c r="E44" s="13" t="str">
        <f>IFERROR(INDEX('CENTROS DE COSTOS RESOLUCION'!$C:$C,MATCH(D44,'CENTROS DE COSTOS RESOLUCION'!$B:$B,0)),"CÓDIGO NO VÁLIDO")</f>
        <v>UCI INTERMEDIOS ADULTOS</v>
      </c>
      <c r="F44" s="15" t="str">
        <f>IF(COUNTIF('CENTROS DE COSTOS UTILIZADOS'!$B:$B,D44)&gt;0,"SÍ","NO")</f>
        <v>NO</v>
      </c>
      <c r="G44" s="13" t="str">
        <f t="shared" si="0"/>
        <v>J05|HSFF</v>
      </c>
      <c r="H44" s="13" t="s">
        <v>17</v>
      </c>
      <c r="I44" s="13" t="s">
        <v>132</v>
      </c>
      <c r="J44" s="15" t="s">
        <v>7</v>
      </c>
      <c r="K44" s="15" t="s">
        <v>43</v>
      </c>
      <c r="L44" s="16" t="s">
        <v>70</v>
      </c>
      <c r="M44" s="13" t="s">
        <v>45</v>
      </c>
    </row>
    <row r="45" spans="1:13" x14ac:dyDescent="0.25">
      <c r="A45" s="13">
        <v>1030304</v>
      </c>
      <c r="B45" s="13" t="s">
        <v>142</v>
      </c>
      <c r="C45" s="13"/>
      <c r="D45" s="14" t="s">
        <v>74</v>
      </c>
      <c r="E45" s="13" t="str">
        <f>IFERROR(INDEX('CENTROS DE COSTOS RESOLUCION'!$C:$C,MATCH(D45,'CENTROS DE COSTOS RESOLUCION'!$B:$B,0)),"CÓDIGO NO VÁLIDO")</f>
        <v>UNIDAD DE RECIÉN NACIDOS</v>
      </c>
      <c r="F45" s="15" t="str">
        <f>IF(COUNTIF('CENTROS DE COSTOS UTILIZADOS'!$B:$B,D45)&gt;0,"SÍ","NO")</f>
        <v>NO</v>
      </c>
      <c r="G45" s="13" t="str">
        <f t="shared" si="0"/>
        <v>J09|HSFF</v>
      </c>
      <c r="H45" s="13" t="s">
        <v>17</v>
      </c>
      <c r="I45" s="13" t="s">
        <v>132</v>
      </c>
      <c r="J45" s="15" t="s">
        <v>6</v>
      </c>
      <c r="K45" s="15" t="s">
        <v>54</v>
      </c>
      <c r="L45" s="16" t="s">
        <v>75</v>
      </c>
      <c r="M45" s="13" t="s">
        <v>45</v>
      </c>
    </row>
    <row r="46" spans="1:13" ht="25.5" x14ac:dyDescent="0.25">
      <c r="A46" s="13">
        <v>1030305</v>
      </c>
      <c r="B46" s="13" t="s">
        <v>143</v>
      </c>
      <c r="C46" s="13"/>
      <c r="D46" s="14" t="s">
        <v>77</v>
      </c>
      <c r="E46" s="13" t="str">
        <f>IFERROR(INDEX('CENTROS DE COSTOS RESOLUCION'!$C:$C,MATCH(D46,'CENTROS DE COSTOS RESOLUCION'!$B:$B,0)),"CÓDIGO NO VÁLIDO")</f>
        <v>UNIDAD SALUD MENTAL Y DESINTOXICACIÓN (BAJA COMPLEJIDAD)</v>
      </c>
      <c r="F46" s="15" t="str">
        <f>IF(COUNTIF('CENTROS DE COSTOS UTILIZADOS'!$B:$B,D46)&gt;0,"SÍ","NO")</f>
        <v>NO</v>
      </c>
      <c r="G46" s="13" t="str">
        <f t="shared" si="0"/>
        <v>J10|HSFF</v>
      </c>
      <c r="H46" s="13" t="s">
        <v>17</v>
      </c>
      <c r="I46" s="13" t="s">
        <v>132</v>
      </c>
      <c r="J46" s="15" t="s">
        <v>7</v>
      </c>
      <c r="K46" s="15" t="s">
        <v>43</v>
      </c>
      <c r="L46" s="16" t="s">
        <v>70</v>
      </c>
      <c r="M46" s="13" t="s">
        <v>45</v>
      </c>
    </row>
    <row r="47" spans="1:13" ht="25.5" x14ac:dyDescent="0.25">
      <c r="A47" s="13">
        <v>1030306</v>
      </c>
      <c r="B47" s="13" t="s">
        <v>144</v>
      </c>
      <c r="C47" s="13"/>
      <c r="D47" s="14" t="s">
        <v>79</v>
      </c>
      <c r="E47" s="13" t="str">
        <f>IFERROR(INDEX('CENTROS DE COSTOS RESOLUCION'!$C:$C,MATCH(D47,'CENTROS DE COSTOS RESOLUCION'!$B:$B,0)),"CÓDIGO NO VÁLIDO")</f>
        <v>UNIDAD DE QUEMADOS ADULTOS</v>
      </c>
      <c r="F47" s="15" t="str">
        <f>IF(COUNTIF('CENTROS DE COSTOS UTILIZADOS'!$B:$B,D47)&gt;0,"SÍ","NO")</f>
        <v>NO</v>
      </c>
      <c r="G47" s="13" t="str">
        <f t="shared" si="0"/>
        <v>J08|HSFF</v>
      </c>
      <c r="H47" s="13" t="s">
        <v>17</v>
      </c>
      <c r="I47" s="13" t="s">
        <v>132</v>
      </c>
      <c r="J47" s="15" t="s">
        <v>7</v>
      </c>
      <c r="K47" s="15" t="s">
        <v>43</v>
      </c>
      <c r="L47" s="16" t="s">
        <v>70</v>
      </c>
      <c r="M47" s="13" t="s">
        <v>45</v>
      </c>
    </row>
    <row r="48" spans="1:13" ht="25.5" x14ac:dyDescent="0.25">
      <c r="A48" s="13">
        <v>1030307</v>
      </c>
      <c r="B48" s="13" t="s">
        <v>145</v>
      </c>
      <c r="C48" s="13"/>
      <c r="D48" s="14" t="s">
        <v>81</v>
      </c>
      <c r="E48" s="13" t="str">
        <f>IFERROR(INDEX('CENTROS DE COSTOS RESOLUCION'!$C:$C,MATCH(D48,'CENTROS DE COSTOS RESOLUCION'!$B:$B,0)),"CÓDIGO NO VÁLIDO")</f>
        <v>OTRAS UNIDADES ESPECIALES</v>
      </c>
      <c r="F48" s="15" t="str">
        <f>IF(COUNTIF('CENTROS DE COSTOS UTILIZADOS'!$B:$B,D48)&gt;0,"SÍ","NO")</f>
        <v>NO</v>
      </c>
      <c r="G48" s="13" t="str">
        <f t="shared" si="0"/>
        <v>J13|HSFF</v>
      </c>
      <c r="H48" s="13" t="s">
        <v>17</v>
      </c>
      <c r="I48" s="13" t="s">
        <v>132</v>
      </c>
      <c r="J48" s="15" t="s">
        <v>7</v>
      </c>
      <c r="K48" s="15" t="s">
        <v>54</v>
      </c>
      <c r="L48" s="16" t="s">
        <v>70</v>
      </c>
      <c r="M48" s="13" t="s">
        <v>45</v>
      </c>
    </row>
    <row r="49" spans="1:13" x14ac:dyDescent="0.25">
      <c r="A49" s="13">
        <v>1030401</v>
      </c>
      <c r="B49" s="13" t="s">
        <v>146</v>
      </c>
      <c r="C49" s="13"/>
      <c r="D49" s="14" t="s">
        <v>83</v>
      </c>
      <c r="E49" s="13" t="str">
        <f>IFERROR(INDEX('CENTROS DE COSTOS RESOLUCION'!$C:$C,MATCH(D49,'CENTROS DE COSTOS RESOLUCION'!$B:$B,0)),"CÓDIGO NO VÁLIDO")</f>
        <v>CIRUGÍA GENERAL</v>
      </c>
      <c r="F49" s="15" t="str">
        <f>IF(COUNTIF('CENTROS DE COSTOS UTILIZADOS'!$B:$B,D49)&gt;0,"SÍ","NO")</f>
        <v>NO</v>
      </c>
      <c r="G49" s="13" t="str">
        <f t="shared" si="0"/>
        <v>C01|HSFF</v>
      </c>
      <c r="H49" s="13" t="s">
        <v>17</v>
      </c>
      <c r="I49" s="13" t="s">
        <v>132</v>
      </c>
      <c r="J49" s="15" t="s">
        <v>6</v>
      </c>
      <c r="K49" s="15" t="s">
        <v>54</v>
      </c>
      <c r="L49" s="16" t="s">
        <v>84</v>
      </c>
      <c r="M49" s="13" t="s">
        <v>45</v>
      </c>
    </row>
    <row r="50" spans="1:13" x14ac:dyDescent="0.25">
      <c r="A50" s="13">
        <v>1030402</v>
      </c>
      <c r="B50" s="13" t="s">
        <v>147</v>
      </c>
      <c r="C50" s="13"/>
      <c r="D50" s="14" t="s">
        <v>86</v>
      </c>
      <c r="E50" s="13" t="str">
        <f>IFERROR(INDEX('CENTROS DE COSTOS RESOLUCION'!$C:$C,MATCH(D50,'CENTROS DE COSTOS RESOLUCION'!$B:$B,0)),"CÓDIGO NO VÁLIDO")</f>
        <v>ATENCIÓN DE PARTO BAJA COMPLEJIDAD</v>
      </c>
      <c r="F50" s="15" t="str">
        <f>IF(COUNTIF('CENTROS DE COSTOS UTILIZADOS'!$B:$B,D50)&gt;0,"SÍ","NO")</f>
        <v>NO</v>
      </c>
      <c r="G50" s="13" t="str">
        <f t="shared" si="0"/>
        <v>D02|HSFF</v>
      </c>
      <c r="H50" s="13" t="s">
        <v>17</v>
      </c>
      <c r="I50" s="13" t="s">
        <v>132</v>
      </c>
      <c r="J50" s="15" t="s">
        <v>5</v>
      </c>
      <c r="K50" s="15" t="s">
        <v>43</v>
      </c>
      <c r="L50" s="16" t="s">
        <v>87</v>
      </c>
      <c r="M50" s="13" t="s">
        <v>45</v>
      </c>
    </row>
    <row r="51" spans="1:13" x14ac:dyDescent="0.25">
      <c r="A51" s="13">
        <v>1030501</v>
      </c>
      <c r="B51" s="13" t="s">
        <v>148</v>
      </c>
      <c r="C51" s="13"/>
      <c r="D51" s="14" t="s">
        <v>89</v>
      </c>
      <c r="E51" s="13" t="str">
        <f>IFERROR(INDEX('CENTROS DE COSTOS RESOLUCION'!$C:$C,MATCH(D51,'CENTROS DE COSTOS RESOLUCION'!$B:$B,0)),"CÓDIGO NO VÁLIDO")</f>
        <v>LABORATORIO Y ANÁLISIS CLÍNICO</v>
      </c>
      <c r="F51" s="15" t="str">
        <f>IF(COUNTIF('CENTROS DE COSTOS UTILIZADOS'!$B:$B,D51)&gt;0,"SÍ","NO")</f>
        <v>SÍ</v>
      </c>
      <c r="G51" s="13" t="str">
        <f t="shared" si="0"/>
        <v>L07|HSFF</v>
      </c>
      <c r="H51" s="13" t="s">
        <v>18</v>
      </c>
      <c r="I51" s="13" t="s">
        <v>132</v>
      </c>
      <c r="J51" s="15" t="s">
        <v>5</v>
      </c>
      <c r="K51" s="15" t="s">
        <v>43</v>
      </c>
      <c r="L51" s="16" t="s">
        <v>90</v>
      </c>
      <c r="M51" s="13" t="s">
        <v>45</v>
      </c>
    </row>
    <row r="52" spans="1:13" x14ac:dyDescent="0.25">
      <c r="A52" s="13">
        <v>1030502</v>
      </c>
      <c r="B52" s="13" t="s">
        <v>149</v>
      </c>
      <c r="C52" s="13"/>
      <c r="D52" s="14" t="s">
        <v>92</v>
      </c>
      <c r="E52" s="13" t="str">
        <f>IFERROR(INDEX('CENTROS DE COSTOS RESOLUCION'!$C:$C,MATCH(D52,'CENTROS DE COSTOS RESOLUCION'!$B:$B,0)),"CÓDIGO NO VÁLIDO")</f>
        <v>IMAGENEOLOGÍA RADIOLÓGICA</v>
      </c>
      <c r="F52" s="15" t="str">
        <f>IF(COUNTIF('CENTROS DE COSTOS UTILIZADOS'!$B:$B,D52)&gt;0,"SÍ","NO")</f>
        <v>SÍ</v>
      </c>
      <c r="G52" s="13" t="str">
        <f t="shared" si="0"/>
        <v>L02|HSFF</v>
      </c>
      <c r="H52" s="13" t="s">
        <v>18</v>
      </c>
      <c r="I52" s="13" t="s">
        <v>132</v>
      </c>
      <c r="J52" s="15" t="s">
        <v>5</v>
      </c>
      <c r="K52" s="15" t="s">
        <v>43</v>
      </c>
      <c r="L52" s="16" t="s">
        <v>93</v>
      </c>
      <c r="M52" s="13" t="s">
        <v>45</v>
      </c>
    </row>
    <row r="53" spans="1:13" ht="25.5" x14ac:dyDescent="0.25">
      <c r="A53" s="13">
        <v>1030503</v>
      </c>
      <c r="B53" s="13" t="s">
        <v>150</v>
      </c>
      <c r="C53" s="13"/>
      <c r="D53" s="14" t="s">
        <v>95</v>
      </c>
      <c r="E53" s="13" t="str">
        <f>IFERROR(INDEX('CENTROS DE COSTOS RESOLUCION'!$C:$C,MATCH(D53,'CENTROS DE COSTOS RESOLUCION'!$B:$B,0)),"CÓDIGO NO VÁLIDO")</f>
        <v>LABORATORIO ANATOMÍA PATOLÓGICA</v>
      </c>
      <c r="F53" s="15" t="str">
        <f>IF(COUNTIF('CENTROS DE COSTOS UTILIZADOS'!$B:$B,D53)&gt;0,"SÍ","NO")</f>
        <v>NO</v>
      </c>
      <c r="G53" s="13" t="str">
        <f t="shared" si="0"/>
        <v>L01|HSFF</v>
      </c>
      <c r="H53" s="13" t="s">
        <v>18</v>
      </c>
      <c r="I53" s="13" t="s">
        <v>132</v>
      </c>
      <c r="J53" s="15" t="s">
        <v>7</v>
      </c>
      <c r="K53" s="15" t="s">
        <v>43</v>
      </c>
      <c r="L53" s="16" t="s">
        <v>70</v>
      </c>
      <c r="M53" s="13" t="s">
        <v>45</v>
      </c>
    </row>
    <row r="54" spans="1:13" ht="25.5" x14ac:dyDescent="0.25">
      <c r="A54" s="13">
        <v>1030504</v>
      </c>
      <c r="B54" s="13" t="s">
        <v>151</v>
      </c>
      <c r="C54" s="13"/>
      <c r="D54" s="14" t="s">
        <v>97</v>
      </c>
      <c r="E54" s="13" t="str">
        <f>IFERROR(INDEX('CENTROS DE COSTOS RESOLUCION'!$C:$C,MATCH(D54,'CENTROS DE COSTOS RESOLUCION'!$B:$B,0)),"CÓDIGO NO VÁLIDO")</f>
        <v>IMAGENOLOGÍA NO RADIOLÓGICA</v>
      </c>
      <c r="F54" s="15" t="str">
        <f>IF(COUNTIF('CENTROS DE COSTOS UTILIZADOS'!$B:$B,D54)&gt;0,"SÍ","NO")</f>
        <v>NO</v>
      </c>
      <c r="G54" s="13" t="str">
        <f t="shared" si="0"/>
        <v>L04|HSFF</v>
      </c>
      <c r="H54" s="13" t="s">
        <v>18</v>
      </c>
      <c r="I54" s="13" t="s">
        <v>132</v>
      </c>
      <c r="J54" s="15" t="s">
        <v>6</v>
      </c>
      <c r="K54" s="15" t="s">
        <v>54</v>
      </c>
      <c r="L54" s="16" t="s">
        <v>98</v>
      </c>
      <c r="M54" s="13" t="s">
        <v>45</v>
      </c>
    </row>
    <row r="55" spans="1:13" x14ac:dyDescent="0.25">
      <c r="A55" s="13">
        <v>1030601</v>
      </c>
      <c r="B55" s="13" t="s">
        <v>152</v>
      </c>
      <c r="C55" s="13"/>
      <c r="D55" s="14" t="s">
        <v>100</v>
      </c>
      <c r="E55" s="13" t="str">
        <f>IFERROR(INDEX('CENTROS DE COSTOS RESOLUCION'!$C:$C,MATCH(D55,'CENTROS DE COSTOS RESOLUCION'!$B:$B,0)),"CÓDIGO NO VÁLIDO")</f>
        <v>FISIOTERAPIA Y REHABILITACIÓN</v>
      </c>
      <c r="F55" s="15" t="str">
        <f>IF(COUNTIF('CENTROS DE COSTOS UTILIZADOS'!$B:$B,D55)&gt;0,"SÍ","NO")</f>
        <v>SÍ</v>
      </c>
      <c r="G55" s="13" t="str">
        <f t="shared" si="0"/>
        <v>M06|HSFF</v>
      </c>
      <c r="H55" s="13" t="s">
        <v>18</v>
      </c>
      <c r="I55" s="13" t="s">
        <v>132</v>
      </c>
      <c r="J55" s="15" t="s">
        <v>5</v>
      </c>
      <c r="K55" s="15" t="s">
        <v>43</v>
      </c>
      <c r="L55" s="16" t="s">
        <v>101</v>
      </c>
      <c r="M55" s="13" t="s">
        <v>45</v>
      </c>
    </row>
    <row r="56" spans="1:13" ht="25.5" x14ac:dyDescent="0.25">
      <c r="A56" s="13">
        <v>1030602</v>
      </c>
      <c r="B56" s="13" t="s">
        <v>153</v>
      </c>
      <c r="C56" s="13"/>
      <c r="D56" s="14" t="s">
        <v>103</v>
      </c>
      <c r="E56" s="13" t="str">
        <f>IFERROR(INDEX('CENTROS DE COSTOS RESOLUCION'!$C:$C,MATCH(D56,'CENTROS DE COSTOS RESOLUCION'!$B:$B,0)),"CÓDIGO NO VÁLIDO")</f>
        <v>BANCO DE SANGRE</v>
      </c>
      <c r="F56" s="15" t="str">
        <f>IF(COUNTIF('CENTROS DE COSTOS UTILIZADOS'!$B:$B,D56)&gt;0,"SÍ","NO")</f>
        <v>NO</v>
      </c>
      <c r="G56" s="13" t="str">
        <f t="shared" si="0"/>
        <v>M01|HSFF</v>
      </c>
      <c r="H56" s="13" t="s">
        <v>18</v>
      </c>
      <c r="I56" s="13" t="s">
        <v>132</v>
      </c>
      <c r="J56" s="15" t="s">
        <v>7</v>
      </c>
      <c r="K56" s="15" t="s">
        <v>43</v>
      </c>
      <c r="L56" s="16" t="s">
        <v>70</v>
      </c>
      <c r="M56" s="13" t="s">
        <v>45</v>
      </c>
    </row>
    <row r="57" spans="1:13" ht="25.5" x14ac:dyDescent="0.25">
      <c r="A57" s="13">
        <v>1030603</v>
      </c>
      <c r="B57" s="13" t="s">
        <v>154</v>
      </c>
      <c r="C57" s="13"/>
      <c r="D57" s="14" t="s">
        <v>105</v>
      </c>
      <c r="E57" s="13" t="str">
        <f>IFERROR(INDEX('CENTROS DE COSTOS RESOLUCION'!$C:$C,MATCH(D57,'CENTROS DE COSTOS RESOLUCION'!$B:$B,0)),"CÓDIGO NO VÁLIDO")</f>
        <v>TERAPIA RENAL</v>
      </c>
      <c r="F57" s="15" t="str">
        <f>IF(COUNTIF('CENTROS DE COSTOS UTILIZADOS'!$B:$B,D57)&gt;0,"SÍ","NO")</f>
        <v>NO</v>
      </c>
      <c r="G57" s="13" t="str">
        <f t="shared" si="0"/>
        <v>M03|HSFF</v>
      </c>
      <c r="H57" s="13" t="s">
        <v>18</v>
      </c>
      <c r="I57" s="13" t="s">
        <v>132</v>
      </c>
      <c r="J57" s="15" t="s">
        <v>7</v>
      </c>
      <c r="K57" s="15" t="s">
        <v>43</v>
      </c>
      <c r="L57" s="16" t="s">
        <v>70</v>
      </c>
      <c r="M57" s="13" t="s">
        <v>45</v>
      </c>
    </row>
    <row r="58" spans="1:13" ht="25.5" x14ac:dyDescent="0.25">
      <c r="A58" s="13">
        <v>1030604</v>
      </c>
      <c r="B58" s="13" t="s">
        <v>155</v>
      </c>
      <c r="C58" s="13"/>
      <c r="D58" s="14" t="s">
        <v>107</v>
      </c>
      <c r="E58" s="13" t="str">
        <f>IFERROR(INDEX('CENTROS DE COSTOS RESOLUCION'!$C:$C,MATCH(D58,'CENTROS DE COSTOS RESOLUCION'!$B:$B,0)),"CÓDIGO NO VÁLIDO")</f>
        <v>CARDIOVASCULAR</v>
      </c>
      <c r="F58" s="15" t="str">
        <f>IF(COUNTIF('CENTROS DE COSTOS UTILIZADOS'!$B:$B,D58)&gt;0,"SÍ","NO")</f>
        <v>NO</v>
      </c>
      <c r="G58" s="13" t="str">
        <f t="shared" si="0"/>
        <v>C05|HSFF</v>
      </c>
      <c r="H58" s="13" t="s">
        <v>17</v>
      </c>
      <c r="I58" s="13" t="s">
        <v>132</v>
      </c>
      <c r="J58" s="15" t="s">
        <v>7</v>
      </c>
      <c r="K58" s="15" t="s">
        <v>43</v>
      </c>
      <c r="L58" s="16" t="s">
        <v>70</v>
      </c>
      <c r="M58" s="13" t="s">
        <v>45</v>
      </c>
    </row>
    <row r="59" spans="1:13" ht="25.5" x14ac:dyDescent="0.25">
      <c r="A59" s="13">
        <v>1030605</v>
      </c>
      <c r="B59" s="13" t="s">
        <v>156</v>
      </c>
      <c r="C59" s="13"/>
      <c r="D59" s="14" t="s">
        <v>109</v>
      </c>
      <c r="E59" s="13" t="str">
        <f>IFERROR(INDEX('CENTROS DE COSTOS RESOLUCION'!$C:$C,MATCH(D59,'CENTROS DE COSTOS RESOLUCION'!$B:$B,0)),"CÓDIGO NO VÁLIDO")</f>
        <v>OTRAS TERAPIAS</v>
      </c>
      <c r="F59" s="15" t="str">
        <f>IF(COUNTIF('CENTROS DE COSTOS UTILIZADOS'!$B:$B,D59)&gt;0,"SÍ","NO")</f>
        <v>NO</v>
      </c>
      <c r="G59" s="13" t="str">
        <f t="shared" si="0"/>
        <v>M07|HSFF</v>
      </c>
      <c r="H59" s="13" t="s">
        <v>18</v>
      </c>
      <c r="I59" s="13" t="s">
        <v>132</v>
      </c>
      <c r="J59" s="15" t="s">
        <v>7</v>
      </c>
      <c r="K59" s="15" t="s">
        <v>43</v>
      </c>
      <c r="L59" s="16" t="s">
        <v>70</v>
      </c>
      <c r="M59" s="13" t="s">
        <v>45</v>
      </c>
    </row>
    <row r="60" spans="1:13" x14ac:dyDescent="0.25">
      <c r="A60" s="13">
        <v>1030606</v>
      </c>
      <c r="B60" s="13" t="s">
        <v>157</v>
      </c>
      <c r="C60" s="13"/>
      <c r="D60" s="14" t="s">
        <v>111</v>
      </c>
      <c r="E60" s="13" t="str">
        <f>IFERROR(INDEX('CENTROS DE COSTOS RESOLUCION'!$C:$C,MATCH(D60,'CENTROS DE COSTOS RESOLUCION'!$B:$B,0)),"CÓDIGO NO VÁLIDO")</f>
        <v>FARMACIA</v>
      </c>
      <c r="F60" s="15" t="str">
        <f>IF(COUNTIF('CENTROS DE COSTOS UTILIZADOS'!$B:$B,D60)&gt;0,"SÍ","NO")</f>
        <v>SÍ</v>
      </c>
      <c r="G60" s="13" t="str">
        <f t="shared" si="0"/>
        <v>M05|HSFF</v>
      </c>
      <c r="H60" s="13" t="s">
        <v>18</v>
      </c>
      <c r="I60" s="13" t="s">
        <v>132</v>
      </c>
      <c r="J60" s="15" t="s">
        <v>5</v>
      </c>
      <c r="K60" s="15" t="s">
        <v>43</v>
      </c>
      <c r="L60" s="16" t="s">
        <v>112</v>
      </c>
      <c r="M60" s="13" t="s">
        <v>45</v>
      </c>
    </row>
    <row r="61" spans="1:13" x14ac:dyDescent="0.25">
      <c r="A61" s="13">
        <v>1030607</v>
      </c>
      <c r="B61" s="13" t="s">
        <v>158</v>
      </c>
      <c r="C61" s="13"/>
      <c r="D61" s="14" t="s">
        <v>109</v>
      </c>
      <c r="E61" s="13" t="str">
        <f>IFERROR(INDEX('CENTROS DE COSTOS RESOLUCION'!$C:$C,MATCH(D61,'CENTROS DE COSTOS RESOLUCION'!$B:$B,0)),"CÓDIGO NO VÁLIDO")</f>
        <v>OTRAS TERAPIAS</v>
      </c>
      <c r="F61" s="15" t="str">
        <f>IF(COUNTIF('CENTROS DE COSTOS UTILIZADOS'!$B:$B,D61)&gt;0,"SÍ","NO")</f>
        <v>NO</v>
      </c>
      <c r="G61" s="13" t="str">
        <f t="shared" si="0"/>
        <v>M07|HSFF</v>
      </c>
      <c r="H61" s="13" t="s">
        <v>18</v>
      </c>
      <c r="I61" s="13" t="s">
        <v>132</v>
      </c>
      <c r="J61" s="15" t="s">
        <v>6</v>
      </c>
      <c r="K61" s="15" t="s">
        <v>54</v>
      </c>
      <c r="L61" s="16" t="s">
        <v>114</v>
      </c>
      <c r="M61" s="13" t="s">
        <v>45</v>
      </c>
    </row>
    <row r="62" spans="1:13" ht="25.5" x14ac:dyDescent="0.25">
      <c r="A62" s="13">
        <v>1030701</v>
      </c>
      <c r="B62" s="13" t="s">
        <v>159</v>
      </c>
      <c r="C62" s="13"/>
      <c r="D62" s="14" t="s">
        <v>116</v>
      </c>
      <c r="E62" s="13" t="str">
        <f>IFERROR(INDEX('CENTROS DE COSTOS RESOLUCION'!$C:$C,MATCH(D62,'CENTROS DE COSTOS RESOLUCION'!$B:$B,0)),"CÓDIGO NO VÁLIDO")</f>
        <v>ANCIANATOS Y ALBERGUES</v>
      </c>
      <c r="F62" s="15" t="str">
        <f>IF(COUNTIF('CENTROS DE COSTOS UTILIZADOS'!$B:$B,D62)&gt;0,"SÍ","NO")</f>
        <v>NO</v>
      </c>
      <c r="G62" s="13" t="str">
        <f t="shared" si="0"/>
        <v>J01|HSFF</v>
      </c>
      <c r="H62" s="13" t="s">
        <v>17</v>
      </c>
      <c r="I62" s="13" t="s">
        <v>132</v>
      </c>
      <c r="J62" s="15" t="s">
        <v>7</v>
      </c>
      <c r="K62" s="15" t="s">
        <v>43</v>
      </c>
      <c r="L62" s="16" t="s">
        <v>70</v>
      </c>
      <c r="M62" s="13" t="s">
        <v>45</v>
      </c>
    </row>
    <row r="63" spans="1:13" x14ac:dyDescent="0.25">
      <c r="A63" s="13">
        <v>1030702</v>
      </c>
      <c r="B63" s="13" t="s">
        <v>160</v>
      </c>
      <c r="C63" s="13"/>
      <c r="D63" s="14" t="s">
        <v>118</v>
      </c>
      <c r="E63" s="13" t="str">
        <f>IFERROR(INDEX('CENTROS DE COSTOS RESOLUCION'!$C:$C,MATCH(D63,'CENTROS DE COSTOS RESOLUCION'!$B:$B,0)),"CÓDIGO NO VÁLIDO")</f>
        <v>CENTROS Y PUESTOS DE SALUD</v>
      </c>
      <c r="F63" s="15" t="str">
        <f>IF(COUNTIF('CENTROS DE COSTOS UTILIZADOS'!$B:$B,D63)&gt;0,"SÍ","NO")</f>
        <v>SÍ</v>
      </c>
      <c r="G63" s="13" t="str">
        <f t="shared" si="0"/>
        <v>J17|HSFF</v>
      </c>
      <c r="H63" s="13" t="s">
        <v>17</v>
      </c>
      <c r="I63" s="13" t="s">
        <v>132</v>
      </c>
      <c r="J63" s="15" t="s">
        <v>5</v>
      </c>
      <c r="K63" s="15" t="s">
        <v>43</v>
      </c>
      <c r="L63" s="16" t="s">
        <v>119</v>
      </c>
      <c r="M63" s="13" t="s">
        <v>45</v>
      </c>
    </row>
    <row r="64" spans="1:13" ht="25.5" x14ac:dyDescent="0.25">
      <c r="A64" s="13">
        <v>1030703</v>
      </c>
      <c r="B64" s="13" t="s">
        <v>161</v>
      </c>
      <c r="C64" s="13"/>
      <c r="D64" s="14" t="s">
        <v>121</v>
      </c>
      <c r="E64" s="13" t="str">
        <f>IFERROR(INDEX('CENTROS DE COSTOS RESOLUCION'!$C:$C,MATCH(D64,'CENTROS DE COSTOS RESOLUCION'!$B:$B,0)),"CÓDIGO NO VÁLIDO")</f>
        <v>EDUCACIÓN MÉDICA</v>
      </c>
      <c r="F64" s="15" t="str">
        <f>IF(COUNTIF('CENTROS DE COSTOS UTILIZADOS'!$B:$B,D64)&gt;0,"SÍ","NO")</f>
        <v>NO</v>
      </c>
      <c r="G64" s="13" t="str">
        <f t="shared" si="0"/>
        <v>U03|HSFF</v>
      </c>
      <c r="H64" s="13" t="s">
        <v>20</v>
      </c>
      <c r="I64" s="13" t="s">
        <v>132</v>
      </c>
      <c r="J64" s="15" t="s">
        <v>7</v>
      </c>
      <c r="K64" s="15" t="s">
        <v>43</v>
      </c>
      <c r="L64" s="16" t="s">
        <v>70</v>
      </c>
      <c r="M64" s="13" t="s">
        <v>45</v>
      </c>
    </row>
    <row r="65" spans="1:13" ht="25.5" x14ac:dyDescent="0.25">
      <c r="A65" s="13">
        <v>1030704</v>
      </c>
      <c r="B65" s="13" t="s">
        <v>162</v>
      </c>
      <c r="C65" s="13"/>
      <c r="D65" s="14" t="s">
        <v>53</v>
      </c>
      <c r="E65" s="13" t="str">
        <f>IFERROR(INDEX('CENTROS DE COSTOS RESOLUCION'!$C:$C,MATCH(D65,'CENTROS DE COSTOS RESOLUCION'!$B:$B,0)),"CÓDIGO NO VÁLIDO")</f>
        <v>OTRAS CONSULTAS Y PROCEDIMIENTOS</v>
      </c>
      <c r="F65" s="15" t="str">
        <f>IF(COUNTIF('CENTROS DE COSTOS UTILIZADOS'!$B:$B,D65)&gt;0,"SÍ","NO")</f>
        <v>NO</v>
      </c>
      <c r="G65" s="13" t="str">
        <f t="shared" si="0"/>
        <v>A32|HSFF</v>
      </c>
      <c r="H65" s="13" t="s">
        <v>17</v>
      </c>
      <c r="I65" s="13" t="s">
        <v>132</v>
      </c>
      <c r="J65" s="15" t="s">
        <v>6</v>
      </c>
      <c r="K65" s="15" t="s">
        <v>123</v>
      </c>
      <c r="L65" s="16" t="s">
        <v>124</v>
      </c>
      <c r="M65" s="13" t="s">
        <v>45</v>
      </c>
    </row>
    <row r="66" spans="1:13" x14ac:dyDescent="0.25">
      <c r="A66" s="13">
        <v>1030705</v>
      </c>
      <c r="B66" s="13" t="s">
        <v>163</v>
      </c>
      <c r="C66" s="13"/>
      <c r="D66" s="14" t="s">
        <v>126</v>
      </c>
      <c r="E66" s="13" t="str">
        <f>IFERROR(INDEX('CENTROS DE COSTOS RESOLUCION'!$C:$C,MATCH(D66,'CENTROS DE COSTOS RESOLUCION'!$B:$B,0)),"CÓDIGO NO VÁLIDO")</f>
        <v>SERVICIO DE AMBULANCIAS</v>
      </c>
      <c r="F66" s="15" t="str">
        <f>IF(COUNTIF('CENTROS DE COSTOS UTILIZADOS'!$B:$B,D66)&gt;0,"SÍ","NO")</f>
        <v>SÍ</v>
      </c>
      <c r="G66" s="13" t="str">
        <f t="shared" ref="G66:G129" si="1">D66&amp;"|"&amp;LEFT(I66,FIND(" ",I66&amp;" ")-1)</f>
        <v>N08|HSFF</v>
      </c>
      <c r="H66" s="13" t="s">
        <v>17</v>
      </c>
      <c r="I66" s="13" t="s">
        <v>132</v>
      </c>
      <c r="J66" s="15" t="s">
        <v>5</v>
      </c>
      <c r="K66" s="15" t="s">
        <v>43</v>
      </c>
      <c r="L66" s="16" t="s">
        <v>127</v>
      </c>
      <c r="M66" s="13" t="s">
        <v>45</v>
      </c>
    </row>
    <row r="67" spans="1:13" x14ac:dyDescent="0.25">
      <c r="A67" s="13">
        <v>1030706</v>
      </c>
      <c r="B67" s="13" t="s">
        <v>164</v>
      </c>
      <c r="C67" s="13"/>
      <c r="D67" s="14" t="s">
        <v>129</v>
      </c>
      <c r="E67" s="13" t="str">
        <f>IFERROR(INDEX('CENTROS DE COSTOS RESOLUCION'!$C:$C,MATCH(D67,'CENTROS DE COSTOS RESOLUCION'!$B:$B,0)),"CÓDIGO NO VÁLIDO")</f>
        <v>OTROS ENFERMERÍA</v>
      </c>
      <c r="F67" s="15" t="str">
        <f>IF(COUNTIF('CENTROS DE COSTOS UTILIZADOS'!$B:$B,D67)&gt;0,"SÍ","NO")</f>
        <v>NO</v>
      </c>
      <c r="G67" s="13" t="str">
        <f t="shared" si="1"/>
        <v>N04|HSFF</v>
      </c>
      <c r="H67" s="13" t="s">
        <v>18</v>
      </c>
      <c r="I67" s="13" t="s">
        <v>132</v>
      </c>
      <c r="J67" s="15" t="s">
        <v>6</v>
      </c>
      <c r="K67" s="15" t="s">
        <v>123</v>
      </c>
      <c r="L67" s="16" t="s">
        <v>130</v>
      </c>
      <c r="M67" s="13" t="s">
        <v>45</v>
      </c>
    </row>
    <row r="68" spans="1:13" ht="25.5" x14ac:dyDescent="0.25">
      <c r="A68" s="13">
        <v>1040101</v>
      </c>
      <c r="B68" s="13" t="s">
        <v>165</v>
      </c>
      <c r="C68" s="13"/>
      <c r="D68" s="14" t="s">
        <v>41</v>
      </c>
      <c r="E68" s="13" t="str">
        <f>IFERROR(INDEX('CENTROS DE COSTOS RESOLUCION'!$C:$C,MATCH(D68,'CENTROS DE COSTOS RESOLUCION'!$B:$B,0)),"CÓDIGO NO VÁLIDO")</f>
        <v>CONSULTA URGENCIAS</v>
      </c>
      <c r="F68" s="15" t="str">
        <f>IF(COUNTIF('CENTROS DE COSTOS UTILIZADOS'!$B:$B,D68)&gt;0,"SÍ","NO")</f>
        <v>SÍ</v>
      </c>
      <c r="G68" s="13" t="str">
        <f t="shared" si="1"/>
        <v>B01|HSAT</v>
      </c>
      <c r="H68" s="13" t="s">
        <v>17</v>
      </c>
      <c r="I68" s="13" t="s">
        <v>166</v>
      </c>
      <c r="J68" s="15" t="s">
        <v>5</v>
      </c>
      <c r="K68" s="15" t="s">
        <v>43</v>
      </c>
      <c r="L68" s="16" t="s">
        <v>44</v>
      </c>
      <c r="M68" s="13" t="s">
        <v>45</v>
      </c>
    </row>
    <row r="69" spans="1:13" x14ac:dyDescent="0.25">
      <c r="A69" s="13">
        <v>1040102</v>
      </c>
      <c r="B69" s="13" t="s">
        <v>167</v>
      </c>
      <c r="C69" s="13"/>
      <c r="D69" s="14" t="s">
        <v>47</v>
      </c>
      <c r="E69" s="13" t="str">
        <f>IFERROR(INDEX('CENTROS DE COSTOS RESOLUCION'!$C:$C,MATCH(D69,'CENTROS DE COSTOS RESOLUCION'!$B:$B,0)),"CÓDIGO NO VÁLIDO")</f>
        <v>OBSERVACIÓN</v>
      </c>
      <c r="F69" s="15" t="str">
        <f>IF(COUNTIF('CENTROS DE COSTOS UTILIZADOS'!$B:$B,D69)&gt;0,"SÍ","NO")</f>
        <v>SÍ</v>
      </c>
      <c r="G69" s="13" t="str">
        <f t="shared" si="1"/>
        <v>B02|HSAT</v>
      </c>
      <c r="H69" s="13" t="s">
        <v>17</v>
      </c>
      <c r="I69" s="13" t="s">
        <v>166</v>
      </c>
      <c r="J69" s="15" t="s">
        <v>5</v>
      </c>
      <c r="K69" s="15" t="s">
        <v>43</v>
      </c>
      <c r="L69" s="16" t="s">
        <v>48</v>
      </c>
      <c r="M69" s="13" t="s">
        <v>45</v>
      </c>
    </row>
    <row r="70" spans="1:13" x14ac:dyDescent="0.25">
      <c r="A70" s="13">
        <v>1040201</v>
      </c>
      <c r="B70" s="13" t="s">
        <v>168</v>
      </c>
      <c r="C70" s="13"/>
      <c r="D70" s="14" t="s">
        <v>50</v>
      </c>
      <c r="E70" s="13" t="str">
        <f>IFERROR(INDEX('CENTROS DE COSTOS RESOLUCION'!$C:$C,MATCH(D70,'CENTROS DE COSTOS RESOLUCION'!$B:$B,0)),"CÓDIGO NO VÁLIDO")</f>
        <v>MEDICINA GENERAL</v>
      </c>
      <c r="F70" s="15" t="str">
        <f>IF(COUNTIF('CENTROS DE COSTOS UTILIZADOS'!$B:$B,D70)&gt;0,"SÍ","NO")</f>
        <v>SÍ</v>
      </c>
      <c r="G70" s="13" t="str">
        <f t="shared" si="1"/>
        <v>A10|HSAT</v>
      </c>
      <c r="H70" s="13" t="s">
        <v>17</v>
      </c>
      <c r="I70" s="13" t="s">
        <v>166</v>
      </c>
      <c r="J70" s="15" t="s">
        <v>5</v>
      </c>
      <c r="K70" s="15" t="s">
        <v>43</v>
      </c>
      <c r="L70" s="16" t="s">
        <v>51</v>
      </c>
      <c r="M70" s="13" t="s">
        <v>45</v>
      </c>
    </row>
    <row r="71" spans="1:13" ht="25.5" x14ac:dyDescent="0.25">
      <c r="A71" s="13">
        <v>1040202</v>
      </c>
      <c r="B71" s="13" t="s">
        <v>169</v>
      </c>
      <c r="C71" s="13"/>
      <c r="D71" s="14" t="s">
        <v>53</v>
      </c>
      <c r="E71" s="13" t="str">
        <f>IFERROR(INDEX('CENTROS DE COSTOS RESOLUCION'!$C:$C,MATCH(D71,'CENTROS DE COSTOS RESOLUCION'!$B:$B,0)),"CÓDIGO NO VÁLIDO")</f>
        <v>OTRAS CONSULTAS Y PROCEDIMIENTOS</v>
      </c>
      <c r="F71" s="15" t="str">
        <f>IF(COUNTIF('CENTROS DE COSTOS UTILIZADOS'!$B:$B,D71)&gt;0,"SÍ","NO")</f>
        <v>NO</v>
      </c>
      <c r="G71" s="13" t="str">
        <f t="shared" si="1"/>
        <v>A32|HSAT</v>
      </c>
      <c r="H71" s="13" t="s">
        <v>17</v>
      </c>
      <c r="I71" s="13" t="s">
        <v>166</v>
      </c>
      <c r="J71" s="15" t="s">
        <v>5</v>
      </c>
      <c r="K71" s="15" t="s">
        <v>54</v>
      </c>
      <c r="L71" s="16" t="s">
        <v>55</v>
      </c>
      <c r="M71" s="13" t="s">
        <v>45</v>
      </c>
    </row>
    <row r="72" spans="1:13" x14ac:dyDescent="0.25">
      <c r="A72" s="13">
        <v>1040203</v>
      </c>
      <c r="B72" s="13" t="s">
        <v>170</v>
      </c>
      <c r="C72" s="13"/>
      <c r="D72" s="14" t="s">
        <v>57</v>
      </c>
      <c r="E72" s="13" t="str">
        <f>IFERROR(INDEX('CENTROS DE COSTOS RESOLUCION'!$C:$C,MATCH(D72,'CENTROS DE COSTOS RESOLUCION'!$B:$B,0)),"CÓDIGO NO VÁLIDO")</f>
        <v>ODONTOLOGÍA GENERAL</v>
      </c>
      <c r="F72" s="15" t="str">
        <f>IF(COUNTIF('CENTROS DE COSTOS UTILIZADOS'!$B:$B,D72)&gt;0,"SÍ","NO")</f>
        <v>SÍ</v>
      </c>
      <c r="G72" s="13" t="str">
        <f t="shared" si="1"/>
        <v>E01|HSAT</v>
      </c>
      <c r="H72" s="13" t="s">
        <v>17</v>
      </c>
      <c r="I72" s="13" t="s">
        <v>166</v>
      </c>
      <c r="J72" s="15" t="s">
        <v>5</v>
      </c>
      <c r="K72" s="15" t="s">
        <v>43</v>
      </c>
      <c r="L72" s="16" t="s">
        <v>58</v>
      </c>
      <c r="M72" s="13" t="s">
        <v>45</v>
      </c>
    </row>
    <row r="73" spans="1:13" x14ac:dyDescent="0.25">
      <c r="A73" s="13">
        <v>1040204</v>
      </c>
      <c r="B73" s="13" t="s">
        <v>171</v>
      </c>
      <c r="C73" s="13"/>
      <c r="D73" s="14" t="s">
        <v>60</v>
      </c>
      <c r="E73" s="13" t="str">
        <f>IFERROR(INDEX('CENTROS DE COSTOS RESOLUCION'!$C:$C,MATCH(D73,'CENTROS DE COSTOS RESOLUCION'!$B:$B,0)),"CÓDIGO NO VÁLIDO")</f>
        <v>PROMOCIÓN Y PREVENCIÓN</v>
      </c>
      <c r="F73" s="15" t="str">
        <f>IF(COUNTIF('CENTROS DE COSTOS UTILIZADOS'!$B:$B,D73)&gt;0,"SÍ","NO")</f>
        <v>SÍ</v>
      </c>
      <c r="G73" s="13" t="str">
        <f t="shared" si="1"/>
        <v>N03|HSAT</v>
      </c>
      <c r="H73" s="13" t="s">
        <v>17</v>
      </c>
      <c r="I73" s="13" t="s">
        <v>166</v>
      </c>
      <c r="J73" s="15" t="s">
        <v>5</v>
      </c>
      <c r="K73" s="15" t="s">
        <v>43</v>
      </c>
      <c r="L73" s="16" t="s">
        <v>61</v>
      </c>
      <c r="M73" s="13" t="s">
        <v>45</v>
      </c>
    </row>
    <row r="74" spans="1:13" x14ac:dyDescent="0.25">
      <c r="A74" s="13">
        <v>1040205</v>
      </c>
      <c r="B74" s="13" t="s">
        <v>172</v>
      </c>
      <c r="C74" s="13"/>
      <c r="D74" s="14" t="s">
        <v>63</v>
      </c>
      <c r="E74" s="13" t="str">
        <f>IFERROR(INDEX('CENTROS DE COSTOS RESOLUCION'!$C:$C,MATCH(D74,'CENTROS DE COSTOS RESOLUCION'!$B:$B,0)),"CÓDIGO NO VÁLIDO")</f>
        <v>SALUD PUBLICA</v>
      </c>
      <c r="F74" s="15" t="str">
        <f>IF(COUNTIF('CENTROS DE COSTOS UTILIZADOS'!$B:$B,D74)&gt;0,"SÍ","NO")</f>
        <v>SÍ</v>
      </c>
      <c r="G74" s="13" t="str">
        <f t="shared" si="1"/>
        <v>K25|HSAT</v>
      </c>
      <c r="H74" s="13" t="s">
        <v>17</v>
      </c>
      <c r="I74" s="13" t="s">
        <v>166</v>
      </c>
      <c r="J74" s="15" t="s">
        <v>5</v>
      </c>
      <c r="K74" s="15" t="s">
        <v>54</v>
      </c>
      <c r="L74" s="16" t="s">
        <v>64</v>
      </c>
      <c r="M74" s="13" t="s">
        <v>45</v>
      </c>
    </row>
    <row r="75" spans="1:13" x14ac:dyDescent="0.25">
      <c r="A75" s="13">
        <v>1040301</v>
      </c>
      <c r="B75" s="13" t="s">
        <v>173</v>
      </c>
      <c r="C75" s="13"/>
      <c r="D75" s="14" t="s">
        <v>66</v>
      </c>
      <c r="E75" s="13" t="str">
        <f>IFERROR(INDEX('CENTROS DE COSTOS RESOLUCION'!$C:$C,MATCH(D75,'CENTROS DE COSTOS RESOLUCION'!$B:$B,0)),"CÓDIGO NO VÁLIDO")</f>
        <v>HOSPITALIZACIÓN GENERAL</v>
      </c>
      <c r="F75" s="15" t="str">
        <f>IF(COUNTIF('CENTROS DE COSTOS UTILIZADOS'!$B:$B,D75)&gt;0,"SÍ","NO")</f>
        <v>NO</v>
      </c>
      <c r="G75" s="13" t="str">
        <f t="shared" si="1"/>
        <v>I01|HSAT</v>
      </c>
      <c r="H75" s="13" t="s">
        <v>17</v>
      </c>
      <c r="I75" s="13" t="s">
        <v>166</v>
      </c>
      <c r="J75" s="15" t="s">
        <v>5</v>
      </c>
      <c r="K75" s="15" t="s">
        <v>43</v>
      </c>
      <c r="L75" s="16" t="s">
        <v>67</v>
      </c>
      <c r="M75" s="13" t="s">
        <v>45</v>
      </c>
    </row>
    <row r="76" spans="1:13" ht="25.5" x14ac:dyDescent="0.25">
      <c r="A76" s="13">
        <v>1040302</v>
      </c>
      <c r="B76" s="13" t="s">
        <v>174</v>
      </c>
      <c r="C76" s="13"/>
      <c r="D76" s="14" t="s">
        <v>69</v>
      </c>
      <c r="E76" s="13" t="str">
        <f>IFERROR(INDEX('CENTROS DE COSTOS RESOLUCION'!$C:$C,MATCH(D76,'CENTROS DE COSTOS RESOLUCION'!$B:$B,0)),"CÓDIGO NO VÁLIDO")</f>
        <v>UCI ADULTOS</v>
      </c>
      <c r="F76" s="15" t="str">
        <f>IF(COUNTIF('CENTROS DE COSTOS UTILIZADOS'!$B:$B,D76)&gt;0,"SÍ","NO")</f>
        <v>NO</v>
      </c>
      <c r="G76" s="13" t="str">
        <f t="shared" si="1"/>
        <v>J02|HSAT</v>
      </c>
      <c r="H76" s="13" t="s">
        <v>17</v>
      </c>
      <c r="I76" s="13" t="s">
        <v>166</v>
      </c>
      <c r="J76" s="15" t="s">
        <v>7</v>
      </c>
      <c r="K76" s="15" t="s">
        <v>43</v>
      </c>
      <c r="L76" s="16" t="s">
        <v>70</v>
      </c>
      <c r="M76" s="13" t="s">
        <v>45</v>
      </c>
    </row>
    <row r="77" spans="1:13" ht="25.5" x14ac:dyDescent="0.25">
      <c r="A77" s="13">
        <v>1040303</v>
      </c>
      <c r="B77" s="13" t="s">
        <v>175</v>
      </c>
      <c r="C77" s="13"/>
      <c r="D77" s="14" t="s">
        <v>72</v>
      </c>
      <c r="E77" s="13" t="str">
        <f>IFERROR(INDEX('CENTROS DE COSTOS RESOLUCION'!$C:$C,MATCH(D77,'CENTROS DE COSTOS RESOLUCION'!$B:$B,0)),"CÓDIGO NO VÁLIDO")</f>
        <v>UCI INTERMEDIOS ADULTOS</v>
      </c>
      <c r="F77" s="15" t="str">
        <f>IF(COUNTIF('CENTROS DE COSTOS UTILIZADOS'!$B:$B,D77)&gt;0,"SÍ","NO")</f>
        <v>NO</v>
      </c>
      <c r="G77" s="13" t="str">
        <f t="shared" si="1"/>
        <v>J05|HSAT</v>
      </c>
      <c r="H77" s="13" t="s">
        <v>17</v>
      </c>
      <c r="I77" s="13" t="s">
        <v>166</v>
      </c>
      <c r="J77" s="15" t="s">
        <v>7</v>
      </c>
      <c r="K77" s="15" t="s">
        <v>43</v>
      </c>
      <c r="L77" s="16" t="s">
        <v>70</v>
      </c>
      <c r="M77" s="13" t="s">
        <v>45</v>
      </c>
    </row>
    <row r="78" spans="1:13" x14ac:dyDescent="0.25">
      <c r="A78" s="13">
        <v>1040304</v>
      </c>
      <c r="B78" s="13" t="s">
        <v>176</v>
      </c>
      <c r="C78" s="13"/>
      <c r="D78" s="14" t="s">
        <v>74</v>
      </c>
      <c r="E78" s="13" t="str">
        <f>IFERROR(INDEX('CENTROS DE COSTOS RESOLUCION'!$C:$C,MATCH(D78,'CENTROS DE COSTOS RESOLUCION'!$B:$B,0)),"CÓDIGO NO VÁLIDO")</f>
        <v>UNIDAD DE RECIÉN NACIDOS</v>
      </c>
      <c r="F78" s="15" t="str">
        <f>IF(COUNTIF('CENTROS DE COSTOS UTILIZADOS'!$B:$B,D78)&gt;0,"SÍ","NO")</f>
        <v>NO</v>
      </c>
      <c r="G78" s="13" t="str">
        <f t="shared" si="1"/>
        <v>J09|HSAT</v>
      </c>
      <c r="H78" s="13" t="s">
        <v>17</v>
      </c>
      <c r="I78" s="13" t="s">
        <v>166</v>
      </c>
      <c r="J78" s="15" t="s">
        <v>6</v>
      </c>
      <c r="K78" s="15" t="s">
        <v>54</v>
      </c>
      <c r="L78" s="16" t="s">
        <v>75</v>
      </c>
      <c r="M78" s="13" t="s">
        <v>45</v>
      </c>
    </row>
    <row r="79" spans="1:13" ht="25.5" x14ac:dyDescent="0.25">
      <c r="A79" s="13">
        <v>1040305</v>
      </c>
      <c r="B79" s="13" t="s">
        <v>177</v>
      </c>
      <c r="C79" s="13"/>
      <c r="D79" s="14" t="s">
        <v>77</v>
      </c>
      <c r="E79" s="13" t="str">
        <f>IFERROR(INDEX('CENTROS DE COSTOS RESOLUCION'!$C:$C,MATCH(D79,'CENTROS DE COSTOS RESOLUCION'!$B:$B,0)),"CÓDIGO NO VÁLIDO")</f>
        <v>UNIDAD SALUD MENTAL Y DESINTOXICACIÓN (BAJA COMPLEJIDAD)</v>
      </c>
      <c r="F79" s="15" t="str">
        <f>IF(COUNTIF('CENTROS DE COSTOS UTILIZADOS'!$B:$B,D79)&gt;0,"SÍ","NO")</f>
        <v>NO</v>
      </c>
      <c r="G79" s="13" t="str">
        <f t="shared" si="1"/>
        <v>J10|HSAT</v>
      </c>
      <c r="H79" s="13" t="s">
        <v>17</v>
      </c>
      <c r="I79" s="13" t="s">
        <v>166</v>
      </c>
      <c r="J79" s="15" t="s">
        <v>7</v>
      </c>
      <c r="K79" s="15" t="s">
        <v>43</v>
      </c>
      <c r="L79" s="16" t="s">
        <v>70</v>
      </c>
      <c r="M79" s="13" t="s">
        <v>45</v>
      </c>
    </row>
    <row r="80" spans="1:13" ht="25.5" x14ac:dyDescent="0.25">
      <c r="A80" s="13">
        <v>1040306</v>
      </c>
      <c r="B80" s="13" t="s">
        <v>178</v>
      </c>
      <c r="C80" s="13"/>
      <c r="D80" s="14" t="s">
        <v>79</v>
      </c>
      <c r="E80" s="13" t="str">
        <f>IFERROR(INDEX('CENTROS DE COSTOS RESOLUCION'!$C:$C,MATCH(D80,'CENTROS DE COSTOS RESOLUCION'!$B:$B,0)),"CÓDIGO NO VÁLIDO")</f>
        <v>UNIDAD DE QUEMADOS ADULTOS</v>
      </c>
      <c r="F80" s="15" t="str">
        <f>IF(COUNTIF('CENTROS DE COSTOS UTILIZADOS'!$B:$B,D80)&gt;0,"SÍ","NO")</f>
        <v>NO</v>
      </c>
      <c r="G80" s="13" t="str">
        <f t="shared" si="1"/>
        <v>J08|HSAT</v>
      </c>
      <c r="H80" s="13" t="s">
        <v>17</v>
      </c>
      <c r="I80" s="13" t="s">
        <v>166</v>
      </c>
      <c r="J80" s="15" t="s">
        <v>7</v>
      </c>
      <c r="K80" s="15" t="s">
        <v>43</v>
      </c>
      <c r="L80" s="16" t="s">
        <v>70</v>
      </c>
      <c r="M80" s="13" t="s">
        <v>45</v>
      </c>
    </row>
    <row r="81" spans="1:13" ht="25.5" x14ac:dyDescent="0.25">
      <c r="A81" s="13">
        <v>1040307</v>
      </c>
      <c r="B81" s="13" t="s">
        <v>179</v>
      </c>
      <c r="C81" s="13"/>
      <c r="D81" s="14" t="s">
        <v>81</v>
      </c>
      <c r="E81" s="13" t="str">
        <f>IFERROR(INDEX('CENTROS DE COSTOS RESOLUCION'!$C:$C,MATCH(D81,'CENTROS DE COSTOS RESOLUCION'!$B:$B,0)),"CÓDIGO NO VÁLIDO")</f>
        <v>OTRAS UNIDADES ESPECIALES</v>
      </c>
      <c r="F81" s="15" t="str">
        <f>IF(COUNTIF('CENTROS DE COSTOS UTILIZADOS'!$B:$B,D81)&gt;0,"SÍ","NO")</f>
        <v>NO</v>
      </c>
      <c r="G81" s="13" t="str">
        <f t="shared" si="1"/>
        <v>J13|HSAT</v>
      </c>
      <c r="H81" s="13" t="s">
        <v>17</v>
      </c>
      <c r="I81" s="13" t="s">
        <v>166</v>
      </c>
      <c r="J81" s="15" t="s">
        <v>7</v>
      </c>
      <c r="K81" s="15" t="s">
        <v>54</v>
      </c>
      <c r="L81" s="16" t="s">
        <v>70</v>
      </c>
      <c r="M81" s="13" t="s">
        <v>45</v>
      </c>
    </row>
    <row r="82" spans="1:13" x14ac:dyDescent="0.25">
      <c r="A82" s="13">
        <v>1040401</v>
      </c>
      <c r="B82" s="13" t="s">
        <v>180</v>
      </c>
      <c r="C82" s="13"/>
      <c r="D82" s="14" t="s">
        <v>83</v>
      </c>
      <c r="E82" s="13" t="str">
        <f>IFERROR(INDEX('CENTROS DE COSTOS RESOLUCION'!$C:$C,MATCH(D82,'CENTROS DE COSTOS RESOLUCION'!$B:$B,0)),"CÓDIGO NO VÁLIDO")</f>
        <v>CIRUGÍA GENERAL</v>
      </c>
      <c r="F82" s="15" t="str">
        <f>IF(COUNTIF('CENTROS DE COSTOS UTILIZADOS'!$B:$B,D82)&gt;0,"SÍ","NO")</f>
        <v>NO</v>
      </c>
      <c r="G82" s="13" t="str">
        <f t="shared" si="1"/>
        <v>C01|HSAT</v>
      </c>
      <c r="H82" s="13" t="s">
        <v>17</v>
      </c>
      <c r="I82" s="13" t="s">
        <v>166</v>
      </c>
      <c r="J82" s="15" t="s">
        <v>6</v>
      </c>
      <c r="K82" s="15" t="s">
        <v>54</v>
      </c>
      <c r="L82" s="16" t="s">
        <v>84</v>
      </c>
      <c r="M82" s="13" t="s">
        <v>45</v>
      </c>
    </row>
    <row r="83" spans="1:13" x14ac:dyDescent="0.25">
      <c r="A83" s="13">
        <v>1040402</v>
      </c>
      <c r="B83" s="13" t="s">
        <v>181</v>
      </c>
      <c r="C83" s="13"/>
      <c r="D83" s="14" t="s">
        <v>86</v>
      </c>
      <c r="E83" s="13" t="str">
        <f>IFERROR(INDEX('CENTROS DE COSTOS RESOLUCION'!$C:$C,MATCH(D83,'CENTROS DE COSTOS RESOLUCION'!$B:$B,0)),"CÓDIGO NO VÁLIDO")</f>
        <v>ATENCIÓN DE PARTO BAJA COMPLEJIDAD</v>
      </c>
      <c r="F83" s="15" t="str">
        <f>IF(COUNTIF('CENTROS DE COSTOS UTILIZADOS'!$B:$B,D83)&gt;0,"SÍ","NO")</f>
        <v>NO</v>
      </c>
      <c r="G83" s="13" t="str">
        <f t="shared" si="1"/>
        <v>D02|HSAT</v>
      </c>
      <c r="H83" s="13" t="s">
        <v>17</v>
      </c>
      <c r="I83" s="13" t="s">
        <v>166</v>
      </c>
      <c r="J83" s="15" t="s">
        <v>5</v>
      </c>
      <c r="K83" s="15" t="s">
        <v>43</v>
      </c>
      <c r="L83" s="16" t="s">
        <v>87</v>
      </c>
      <c r="M83" s="13" t="s">
        <v>45</v>
      </c>
    </row>
    <row r="84" spans="1:13" x14ac:dyDescent="0.25">
      <c r="A84" s="13">
        <v>1040501</v>
      </c>
      <c r="B84" s="13" t="s">
        <v>182</v>
      </c>
      <c r="C84" s="13"/>
      <c r="D84" s="14" t="s">
        <v>89</v>
      </c>
      <c r="E84" s="13" t="str">
        <f>IFERROR(INDEX('CENTROS DE COSTOS RESOLUCION'!$C:$C,MATCH(D84,'CENTROS DE COSTOS RESOLUCION'!$B:$B,0)),"CÓDIGO NO VÁLIDO")</f>
        <v>LABORATORIO Y ANÁLISIS CLÍNICO</v>
      </c>
      <c r="F84" s="15" t="str">
        <f>IF(COUNTIF('CENTROS DE COSTOS UTILIZADOS'!$B:$B,D84)&gt;0,"SÍ","NO")</f>
        <v>SÍ</v>
      </c>
      <c r="G84" s="13" t="str">
        <f t="shared" si="1"/>
        <v>L07|HSAT</v>
      </c>
      <c r="H84" s="13" t="s">
        <v>18</v>
      </c>
      <c r="I84" s="13" t="s">
        <v>166</v>
      </c>
      <c r="J84" s="15" t="s">
        <v>5</v>
      </c>
      <c r="K84" s="15" t="s">
        <v>43</v>
      </c>
      <c r="L84" s="16" t="s">
        <v>90</v>
      </c>
      <c r="M84" s="13" t="s">
        <v>45</v>
      </c>
    </row>
    <row r="85" spans="1:13" x14ac:dyDescent="0.25">
      <c r="A85" s="13">
        <v>1040502</v>
      </c>
      <c r="B85" s="13" t="s">
        <v>183</v>
      </c>
      <c r="C85" s="13"/>
      <c r="D85" s="14" t="s">
        <v>92</v>
      </c>
      <c r="E85" s="13" t="str">
        <f>IFERROR(INDEX('CENTROS DE COSTOS RESOLUCION'!$C:$C,MATCH(D85,'CENTROS DE COSTOS RESOLUCION'!$B:$B,0)),"CÓDIGO NO VÁLIDO")</f>
        <v>IMAGENEOLOGÍA RADIOLÓGICA</v>
      </c>
      <c r="F85" s="15" t="str">
        <f>IF(COUNTIF('CENTROS DE COSTOS UTILIZADOS'!$B:$B,D85)&gt;0,"SÍ","NO")</f>
        <v>SÍ</v>
      </c>
      <c r="G85" s="13" t="str">
        <f t="shared" si="1"/>
        <v>L02|HSAT</v>
      </c>
      <c r="H85" s="13" t="s">
        <v>18</v>
      </c>
      <c r="I85" s="13" t="s">
        <v>166</v>
      </c>
      <c r="J85" s="15" t="s">
        <v>5</v>
      </c>
      <c r="K85" s="15" t="s">
        <v>43</v>
      </c>
      <c r="L85" s="16" t="s">
        <v>93</v>
      </c>
      <c r="M85" s="13" t="s">
        <v>45</v>
      </c>
    </row>
    <row r="86" spans="1:13" ht="25.5" x14ac:dyDescent="0.25">
      <c r="A86" s="13">
        <v>1040503</v>
      </c>
      <c r="B86" s="13" t="s">
        <v>184</v>
      </c>
      <c r="C86" s="13"/>
      <c r="D86" s="14" t="s">
        <v>95</v>
      </c>
      <c r="E86" s="13" t="str">
        <f>IFERROR(INDEX('CENTROS DE COSTOS RESOLUCION'!$C:$C,MATCH(D86,'CENTROS DE COSTOS RESOLUCION'!$B:$B,0)),"CÓDIGO NO VÁLIDO")</f>
        <v>LABORATORIO ANATOMÍA PATOLÓGICA</v>
      </c>
      <c r="F86" s="15" t="str">
        <f>IF(COUNTIF('CENTROS DE COSTOS UTILIZADOS'!$B:$B,D86)&gt;0,"SÍ","NO")</f>
        <v>NO</v>
      </c>
      <c r="G86" s="13" t="str">
        <f t="shared" si="1"/>
        <v>L01|HSAT</v>
      </c>
      <c r="H86" s="13" t="s">
        <v>18</v>
      </c>
      <c r="I86" s="13" t="s">
        <v>166</v>
      </c>
      <c r="J86" s="15" t="s">
        <v>7</v>
      </c>
      <c r="K86" s="15" t="s">
        <v>43</v>
      </c>
      <c r="L86" s="16" t="s">
        <v>70</v>
      </c>
      <c r="M86" s="13" t="s">
        <v>45</v>
      </c>
    </row>
    <row r="87" spans="1:13" ht="25.5" x14ac:dyDescent="0.25">
      <c r="A87" s="13">
        <v>1040504</v>
      </c>
      <c r="B87" s="13" t="s">
        <v>185</v>
      </c>
      <c r="C87" s="13"/>
      <c r="D87" s="14" t="s">
        <v>97</v>
      </c>
      <c r="E87" s="13" t="str">
        <f>IFERROR(INDEX('CENTROS DE COSTOS RESOLUCION'!$C:$C,MATCH(D87,'CENTROS DE COSTOS RESOLUCION'!$B:$B,0)),"CÓDIGO NO VÁLIDO")</f>
        <v>IMAGENOLOGÍA NO RADIOLÓGICA</v>
      </c>
      <c r="F87" s="15" t="str">
        <f>IF(COUNTIF('CENTROS DE COSTOS UTILIZADOS'!$B:$B,D87)&gt;0,"SÍ","NO")</f>
        <v>NO</v>
      </c>
      <c r="G87" s="13" t="str">
        <f t="shared" si="1"/>
        <v>L04|HSAT</v>
      </c>
      <c r="H87" s="13" t="s">
        <v>18</v>
      </c>
      <c r="I87" s="13" t="s">
        <v>166</v>
      </c>
      <c r="J87" s="15" t="s">
        <v>6</v>
      </c>
      <c r="K87" s="15" t="s">
        <v>54</v>
      </c>
      <c r="L87" s="16" t="s">
        <v>98</v>
      </c>
      <c r="M87" s="13" t="s">
        <v>45</v>
      </c>
    </row>
    <row r="88" spans="1:13" x14ac:dyDescent="0.25">
      <c r="A88" s="13">
        <v>1040601</v>
      </c>
      <c r="B88" s="13" t="s">
        <v>186</v>
      </c>
      <c r="C88" s="13"/>
      <c r="D88" s="14" t="s">
        <v>100</v>
      </c>
      <c r="E88" s="13" t="str">
        <f>IFERROR(INDEX('CENTROS DE COSTOS RESOLUCION'!$C:$C,MATCH(D88,'CENTROS DE COSTOS RESOLUCION'!$B:$B,0)),"CÓDIGO NO VÁLIDO")</f>
        <v>FISIOTERAPIA Y REHABILITACIÓN</v>
      </c>
      <c r="F88" s="15" t="str">
        <f>IF(COUNTIF('CENTROS DE COSTOS UTILIZADOS'!$B:$B,D88)&gt;0,"SÍ","NO")</f>
        <v>SÍ</v>
      </c>
      <c r="G88" s="13" t="str">
        <f t="shared" si="1"/>
        <v>M06|HSAT</v>
      </c>
      <c r="H88" s="13" t="s">
        <v>18</v>
      </c>
      <c r="I88" s="13" t="s">
        <v>166</v>
      </c>
      <c r="J88" s="15" t="s">
        <v>5</v>
      </c>
      <c r="K88" s="15" t="s">
        <v>43</v>
      </c>
      <c r="L88" s="16" t="s">
        <v>101</v>
      </c>
      <c r="M88" s="13" t="s">
        <v>45</v>
      </c>
    </row>
    <row r="89" spans="1:13" ht="25.5" x14ac:dyDescent="0.25">
      <c r="A89" s="13">
        <v>1040602</v>
      </c>
      <c r="B89" s="13" t="s">
        <v>187</v>
      </c>
      <c r="C89" s="13"/>
      <c r="D89" s="14" t="s">
        <v>103</v>
      </c>
      <c r="E89" s="13" t="str">
        <f>IFERROR(INDEX('CENTROS DE COSTOS RESOLUCION'!$C:$C,MATCH(D89,'CENTROS DE COSTOS RESOLUCION'!$B:$B,0)),"CÓDIGO NO VÁLIDO")</f>
        <v>BANCO DE SANGRE</v>
      </c>
      <c r="F89" s="15" t="str">
        <f>IF(COUNTIF('CENTROS DE COSTOS UTILIZADOS'!$B:$B,D89)&gt;0,"SÍ","NO")</f>
        <v>NO</v>
      </c>
      <c r="G89" s="13" t="str">
        <f t="shared" si="1"/>
        <v>M01|HSAT</v>
      </c>
      <c r="H89" s="13" t="s">
        <v>18</v>
      </c>
      <c r="I89" s="13" t="s">
        <v>166</v>
      </c>
      <c r="J89" s="15" t="s">
        <v>7</v>
      </c>
      <c r="K89" s="15" t="s">
        <v>43</v>
      </c>
      <c r="L89" s="16" t="s">
        <v>70</v>
      </c>
      <c r="M89" s="13" t="s">
        <v>45</v>
      </c>
    </row>
    <row r="90" spans="1:13" ht="25.5" x14ac:dyDescent="0.25">
      <c r="A90" s="13">
        <v>1040603</v>
      </c>
      <c r="B90" s="13" t="s">
        <v>188</v>
      </c>
      <c r="C90" s="13"/>
      <c r="D90" s="14" t="s">
        <v>105</v>
      </c>
      <c r="E90" s="13" t="str">
        <f>IFERROR(INDEX('CENTROS DE COSTOS RESOLUCION'!$C:$C,MATCH(D90,'CENTROS DE COSTOS RESOLUCION'!$B:$B,0)),"CÓDIGO NO VÁLIDO")</f>
        <v>TERAPIA RENAL</v>
      </c>
      <c r="F90" s="15" t="str">
        <f>IF(COUNTIF('CENTROS DE COSTOS UTILIZADOS'!$B:$B,D90)&gt;0,"SÍ","NO")</f>
        <v>NO</v>
      </c>
      <c r="G90" s="13" t="str">
        <f t="shared" si="1"/>
        <v>M03|HSAT</v>
      </c>
      <c r="H90" s="13" t="s">
        <v>18</v>
      </c>
      <c r="I90" s="13" t="s">
        <v>166</v>
      </c>
      <c r="J90" s="15" t="s">
        <v>7</v>
      </c>
      <c r="K90" s="15" t="s">
        <v>43</v>
      </c>
      <c r="L90" s="16" t="s">
        <v>70</v>
      </c>
      <c r="M90" s="13" t="s">
        <v>45</v>
      </c>
    </row>
    <row r="91" spans="1:13" ht="25.5" x14ac:dyDescent="0.25">
      <c r="A91" s="13">
        <v>1040604</v>
      </c>
      <c r="B91" s="13" t="s">
        <v>189</v>
      </c>
      <c r="C91" s="13"/>
      <c r="D91" s="14" t="s">
        <v>107</v>
      </c>
      <c r="E91" s="13" t="str">
        <f>IFERROR(INDEX('CENTROS DE COSTOS RESOLUCION'!$C:$C,MATCH(D91,'CENTROS DE COSTOS RESOLUCION'!$B:$B,0)),"CÓDIGO NO VÁLIDO")</f>
        <v>CARDIOVASCULAR</v>
      </c>
      <c r="F91" s="15" t="str">
        <f>IF(COUNTIF('CENTROS DE COSTOS UTILIZADOS'!$B:$B,D91)&gt;0,"SÍ","NO")</f>
        <v>NO</v>
      </c>
      <c r="G91" s="13" t="str">
        <f t="shared" si="1"/>
        <v>C05|HSAT</v>
      </c>
      <c r="H91" s="13" t="s">
        <v>17</v>
      </c>
      <c r="I91" s="13" t="s">
        <v>166</v>
      </c>
      <c r="J91" s="15" t="s">
        <v>7</v>
      </c>
      <c r="K91" s="15" t="s">
        <v>43</v>
      </c>
      <c r="L91" s="16" t="s">
        <v>70</v>
      </c>
      <c r="M91" s="13" t="s">
        <v>45</v>
      </c>
    </row>
    <row r="92" spans="1:13" ht="25.5" x14ac:dyDescent="0.25">
      <c r="A92" s="13">
        <v>1040605</v>
      </c>
      <c r="B92" s="13" t="s">
        <v>190</v>
      </c>
      <c r="C92" s="13"/>
      <c r="D92" s="14" t="s">
        <v>109</v>
      </c>
      <c r="E92" s="13" t="str">
        <f>IFERROR(INDEX('CENTROS DE COSTOS RESOLUCION'!$C:$C,MATCH(D92,'CENTROS DE COSTOS RESOLUCION'!$B:$B,0)),"CÓDIGO NO VÁLIDO")</f>
        <v>OTRAS TERAPIAS</v>
      </c>
      <c r="F92" s="15" t="str">
        <f>IF(COUNTIF('CENTROS DE COSTOS UTILIZADOS'!$B:$B,D92)&gt;0,"SÍ","NO")</f>
        <v>NO</v>
      </c>
      <c r="G92" s="13" t="str">
        <f t="shared" si="1"/>
        <v>M07|HSAT</v>
      </c>
      <c r="H92" s="13" t="s">
        <v>18</v>
      </c>
      <c r="I92" s="13" t="s">
        <v>166</v>
      </c>
      <c r="J92" s="15" t="s">
        <v>7</v>
      </c>
      <c r="K92" s="15" t="s">
        <v>43</v>
      </c>
      <c r="L92" s="16" t="s">
        <v>70</v>
      </c>
      <c r="M92" s="13" t="s">
        <v>45</v>
      </c>
    </row>
    <row r="93" spans="1:13" x14ac:dyDescent="0.25">
      <c r="A93" s="13">
        <v>1040606</v>
      </c>
      <c r="B93" s="13" t="s">
        <v>191</v>
      </c>
      <c r="C93" s="13"/>
      <c r="D93" s="14" t="s">
        <v>111</v>
      </c>
      <c r="E93" s="13" t="str">
        <f>IFERROR(INDEX('CENTROS DE COSTOS RESOLUCION'!$C:$C,MATCH(D93,'CENTROS DE COSTOS RESOLUCION'!$B:$B,0)),"CÓDIGO NO VÁLIDO")</f>
        <v>FARMACIA</v>
      </c>
      <c r="F93" s="15" t="str">
        <f>IF(COUNTIF('CENTROS DE COSTOS UTILIZADOS'!$B:$B,D93)&gt;0,"SÍ","NO")</f>
        <v>SÍ</v>
      </c>
      <c r="G93" s="13" t="str">
        <f t="shared" si="1"/>
        <v>M05|HSAT</v>
      </c>
      <c r="H93" s="13" t="s">
        <v>18</v>
      </c>
      <c r="I93" s="13" t="s">
        <v>166</v>
      </c>
      <c r="J93" s="15" t="s">
        <v>5</v>
      </c>
      <c r="K93" s="15" t="s">
        <v>43</v>
      </c>
      <c r="L93" s="16" t="s">
        <v>112</v>
      </c>
      <c r="M93" s="13" t="s">
        <v>45</v>
      </c>
    </row>
    <row r="94" spans="1:13" x14ac:dyDescent="0.25">
      <c r="A94" s="13">
        <v>1040607</v>
      </c>
      <c r="B94" s="13" t="s">
        <v>192</v>
      </c>
      <c r="C94" s="13"/>
      <c r="D94" s="14" t="s">
        <v>109</v>
      </c>
      <c r="E94" s="13" t="str">
        <f>IFERROR(INDEX('CENTROS DE COSTOS RESOLUCION'!$C:$C,MATCH(D94,'CENTROS DE COSTOS RESOLUCION'!$B:$B,0)),"CÓDIGO NO VÁLIDO")</f>
        <v>OTRAS TERAPIAS</v>
      </c>
      <c r="F94" s="15" t="str">
        <f>IF(COUNTIF('CENTROS DE COSTOS UTILIZADOS'!$B:$B,D94)&gt;0,"SÍ","NO")</f>
        <v>NO</v>
      </c>
      <c r="G94" s="13" t="str">
        <f t="shared" si="1"/>
        <v>M07|HSAT</v>
      </c>
      <c r="H94" s="13" t="s">
        <v>18</v>
      </c>
      <c r="I94" s="13" t="s">
        <v>166</v>
      </c>
      <c r="J94" s="15" t="s">
        <v>6</v>
      </c>
      <c r="K94" s="15" t="s">
        <v>54</v>
      </c>
      <c r="L94" s="16" t="s">
        <v>114</v>
      </c>
      <c r="M94" s="13" t="s">
        <v>45</v>
      </c>
    </row>
    <row r="95" spans="1:13" ht="25.5" x14ac:dyDescent="0.25">
      <c r="A95" s="13">
        <v>1040701</v>
      </c>
      <c r="B95" s="13" t="s">
        <v>193</v>
      </c>
      <c r="C95" s="13"/>
      <c r="D95" s="14" t="s">
        <v>116</v>
      </c>
      <c r="E95" s="13" t="str">
        <f>IFERROR(INDEX('CENTROS DE COSTOS RESOLUCION'!$C:$C,MATCH(D95,'CENTROS DE COSTOS RESOLUCION'!$B:$B,0)),"CÓDIGO NO VÁLIDO")</f>
        <v>ANCIANATOS Y ALBERGUES</v>
      </c>
      <c r="F95" s="15" t="str">
        <f>IF(COUNTIF('CENTROS DE COSTOS UTILIZADOS'!$B:$B,D95)&gt;0,"SÍ","NO")</f>
        <v>NO</v>
      </c>
      <c r="G95" s="13" t="str">
        <f t="shared" si="1"/>
        <v>J01|HSAT</v>
      </c>
      <c r="H95" s="13" t="s">
        <v>17</v>
      </c>
      <c r="I95" s="13" t="s">
        <v>166</v>
      </c>
      <c r="J95" s="15" t="s">
        <v>7</v>
      </c>
      <c r="K95" s="15" t="s">
        <v>43</v>
      </c>
      <c r="L95" s="16" t="s">
        <v>70</v>
      </c>
      <c r="M95" s="13" t="s">
        <v>45</v>
      </c>
    </row>
    <row r="96" spans="1:13" x14ac:dyDescent="0.25">
      <c r="A96" s="13">
        <v>1040702</v>
      </c>
      <c r="B96" s="13" t="s">
        <v>194</v>
      </c>
      <c r="C96" s="13"/>
      <c r="D96" s="14" t="s">
        <v>118</v>
      </c>
      <c r="E96" s="13" t="str">
        <f>IFERROR(INDEX('CENTROS DE COSTOS RESOLUCION'!$C:$C,MATCH(D96,'CENTROS DE COSTOS RESOLUCION'!$B:$B,0)),"CÓDIGO NO VÁLIDO")</f>
        <v>CENTROS Y PUESTOS DE SALUD</v>
      </c>
      <c r="F96" s="15" t="str">
        <f>IF(COUNTIF('CENTROS DE COSTOS UTILIZADOS'!$B:$B,D96)&gt;0,"SÍ","NO")</f>
        <v>SÍ</v>
      </c>
      <c r="G96" s="13" t="str">
        <f t="shared" si="1"/>
        <v>J17|HSAT</v>
      </c>
      <c r="H96" s="13" t="s">
        <v>17</v>
      </c>
      <c r="I96" s="13" t="s">
        <v>166</v>
      </c>
      <c r="J96" s="15" t="s">
        <v>5</v>
      </c>
      <c r="K96" s="15" t="s">
        <v>43</v>
      </c>
      <c r="L96" s="16" t="s">
        <v>119</v>
      </c>
      <c r="M96" s="13" t="s">
        <v>45</v>
      </c>
    </row>
    <row r="97" spans="1:13" ht="25.5" x14ac:dyDescent="0.25">
      <c r="A97" s="13">
        <v>1040703</v>
      </c>
      <c r="B97" s="13" t="s">
        <v>195</v>
      </c>
      <c r="C97" s="13"/>
      <c r="D97" s="14" t="s">
        <v>121</v>
      </c>
      <c r="E97" s="13" t="str">
        <f>IFERROR(INDEX('CENTROS DE COSTOS RESOLUCION'!$C:$C,MATCH(D97,'CENTROS DE COSTOS RESOLUCION'!$B:$B,0)),"CÓDIGO NO VÁLIDO")</f>
        <v>EDUCACIÓN MÉDICA</v>
      </c>
      <c r="F97" s="15" t="str">
        <f>IF(COUNTIF('CENTROS DE COSTOS UTILIZADOS'!$B:$B,D97)&gt;0,"SÍ","NO")</f>
        <v>NO</v>
      </c>
      <c r="G97" s="13" t="str">
        <f t="shared" si="1"/>
        <v>U03|HSAT</v>
      </c>
      <c r="H97" s="13" t="s">
        <v>20</v>
      </c>
      <c r="I97" s="13" t="s">
        <v>166</v>
      </c>
      <c r="J97" s="15" t="s">
        <v>7</v>
      </c>
      <c r="K97" s="15" t="s">
        <v>43</v>
      </c>
      <c r="L97" s="16" t="s">
        <v>70</v>
      </c>
      <c r="M97" s="13" t="s">
        <v>45</v>
      </c>
    </row>
    <row r="98" spans="1:13" ht="25.5" x14ac:dyDescent="0.25">
      <c r="A98" s="13">
        <v>1040704</v>
      </c>
      <c r="B98" s="13" t="s">
        <v>196</v>
      </c>
      <c r="C98" s="13"/>
      <c r="D98" s="14" t="s">
        <v>53</v>
      </c>
      <c r="E98" s="13" t="str">
        <f>IFERROR(INDEX('CENTROS DE COSTOS RESOLUCION'!$C:$C,MATCH(D98,'CENTROS DE COSTOS RESOLUCION'!$B:$B,0)),"CÓDIGO NO VÁLIDO")</f>
        <v>OTRAS CONSULTAS Y PROCEDIMIENTOS</v>
      </c>
      <c r="F98" s="15" t="str">
        <f>IF(COUNTIF('CENTROS DE COSTOS UTILIZADOS'!$B:$B,D98)&gt;0,"SÍ","NO")</f>
        <v>NO</v>
      </c>
      <c r="G98" s="13" t="str">
        <f t="shared" si="1"/>
        <v>A32|HSAT</v>
      </c>
      <c r="H98" s="13" t="s">
        <v>17</v>
      </c>
      <c r="I98" s="13" t="s">
        <v>166</v>
      </c>
      <c r="J98" s="15" t="s">
        <v>6</v>
      </c>
      <c r="K98" s="15" t="s">
        <v>123</v>
      </c>
      <c r="L98" s="16" t="s">
        <v>124</v>
      </c>
      <c r="M98" s="13" t="s">
        <v>45</v>
      </c>
    </row>
    <row r="99" spans="1:13" x14ac:dyDescent="0.25">
      <c r="A99" s="13">
        <v>1040705</v>
      </c>
      <c r="B99" s="13" t="s">
        <v>197</v>
      </c>
      <c r="C99" s="13"/>
      <c r="D99" s="14" t="s">
        <v>126</v>
      </c>
      <c r="E99" s="13" t="str">
        <f>IFERROR(INDEX('CENTROS DE COSTOS RESOLUCION'!$C:$C,MATCH(D99,'CENTROS DE COSTOS RESOLUCION'!$B:$B,0)),"CÓDIGO NO VÁLIDO")</f>
        <v>SERVICIO DE AMBULANCIAS</v>
      </c>
      <c r="F99" s="15" t="str">
        <f>IF(COUNTIF('CENTROS DE COSTOS UTILIZADOS'!$B:$B,D99)&gt;0,"SÍ","NO")</f>
        <v>SÍ</v>
      </c>
      <c r="G99" s="13" t="str">
        <f t="shared" si="1"/>
        <v>N08|HSAT</v>
      </c>
      <c r="H99" s="13" t="s">
        <v>17</v>
      </c>
      <c r="I99" s="13" t="s">
        <v>166</v>
      </c>
      <c r="J99" s="15" t="s">
        <v>5</v>
      </c>
      <c r="K99" s="15" t="s">
        <v>43</v>
      </c>
      <c r="L99" s="16" t="s">
        <v>127</v>
      </c>
      <c r="M99" s="13" t="s">
        <v>45</v>
      </c>
    </row>
    <row r="100" spans="1:13" x14ac:dyDescent="0.25">
      <c r="A100" s="13">
        <v>1040706</v>
      </c>
      <c r="B100" s="13" t="s">
        <v>198</v>
      </c>
      <c r="C100" s="13"/>
      <c r="D100" s="14" t="s">
        <v>129</v>
      </c>
      <c r="E100" s="13" t="str">
        <f>IFERROR(INDEX('CENTROS DE COSTOS RESOLUCION'!$C:$C,MATCH(D100,'CENTROS DE COSTOS RESOLUCION'!$B:$B,0)),"CÓDIGO NO VÁLIDO")</f>
        <v>OTROS ENFERMERÍA</v>
      </c>
      <c r="F100" s="15" t="str">
        <f>IF(COUNTIF('CENTROS DE COSTOS UTILIZADOS'!$B:$B,D100)&gt;0,"SÍ","NO")</f>
        <v>NO</v>
      </c>
      <c r="G100" s="13" t="str">
        <f t="shared" si="1"/>
        <v>N04|HSAT</v>
      </c>
      <c r="H100" s="13" t="s">
        <v>18</v>
      </c>
      <c r="I100" s="13" t="s">
        <v>166</v>
      </c>
      <c r="J100" s="15" t="s">
        <v>6</v>
      </c>
      <c r="K100" s="15" t="s">
        <v>123</v>
      </c>
      <c r="L100" s="16" t="s">
        <v>130</v>
      </c>
      <c r="M100" s="13" t="s">
        <v>45</v>
      </c>
    </row>
    <row r="101" spans="1:13" ht="25.5" x14ac:dyDescent="0.25">
      <c r="A101" s="13">
        <v>1050101</v>
      </c>
      <c r="B101" s="13" t="s">
        <v>199</v>
      </c>
      <c r="C101" s="13"/>
      <c r="D101" s="14" t="s">
        <v>41</v>
      </c>
      <c r="E101" s="13" t="str">
        <f>IFERROR(INDEX('CENTROS DE COSTOS RESOLUCION'!$C:$C,MATCH(D101,'CENTROS DE COSTOS RESOLUCION'!$B:$B,0)),"CÓDIGO NO VÁLIDO")</f>
        <v>CONSULTA URGENCIAS</v>
      </c>
      <c r="F101" s="15" t="str">
        <f>IF(COUNTIF('CENTROS DE COSTOS UTILIZADOS'!$B:$B,D101)&gt;0,"SÍ","NO")</f>
        <v>SÍ</v>
      </c>
      <c r="G101" s="13" t="str">
        <f t="shared" si="1"/>
        <v>B01|HSJDP</v>
      </c>
      <c r="H101" s="13" t="s">
        <v>17</v>
      </c>
      <c r="I101" s="13" t="s">
        <v>200</v>
      </c>
      <c r="J101" s="15" t="s">
        <v>5</v>
      </c>
      <c r="K101" s="15" t="s">
        <v>43</v>
      </c>
      <c r="L101" s="16" t="s">
        <v>44</v>
      </c>
      <c r="M101" s="13" t="s">
        <v>45</v>
      </c>
    </row>
    <row r="102" spans="1:13" x14ac:dyDescent="0.25">
      <c r="A102" s="13">
        <v>1050102</v>
      </c>
      <c r="B102" s="13" t="s">
        <v>201</v>
      </c>
      <c r="C102" s="13"/>
      <c r="D102" s="14" t="s">
        <v>47</v>
      </c>
      <c r="E102" s="13" t="str">
        <f>IFERROR(INDEX('CENTROS DE COSTOS RESOLUCION'!$C:$C,MATCH(D102,'CENTROS DE COSTOS RESOLUCION'!$B:$B,0)),"CÓDIGO NO VÁLIDO")</f>
        <v>OBSERVACIÓN</v>
      </c>
      <c r="F102" s="15" t="str">
        <f>IF(COUNTIF('CENTROS DE COSTOS UTILIZADOS'!$B:$B,D102)&gt;0,"SÍ","NO")</f>
        <v>SÍ</v>
      </c>
      <c r="G102" s="13" t="str">
        <f t="shared" si="1"/>
        <v>B02|HSJDP</v>
      </c>
      <c r="H102" s="13" t="s">
        <v>17</v>
      </c>
      <c r="I102" s="13" t="s">
        <v>200</v>
      </c>
      <c r="J102" s="15" t="s">
        <v>5</v>
      </c>
      <c r="K102" s="15" t="s">
        <v>43</v>
      </c>
      <c r="L102" s="16" t="s">
        <v>48</v>
      </c>
      <c r="M102" s="13" t="s">
        <v>45</v>
      </c>
    </row>
    <row r="103" spans="1:13" x14ac:dyDescent="0.25">
      <c r="A103" s="13">
        <v>1050201</v>
      </c>
      <c r="B103" s="13" t="s">
        <v>202</v>
      </c>
      <c r="C103" s="13"/>
      <c r="D103" s="14" t="s">
        <v>50</v>
      </c>
      <c r="E103" s="13" t="str">
        <f>IFERROR(INDEX('CENTROS DE COSTOS RESOLUCION'!$C:$C,MATCH(D103,'CENTROS DE COSTOS RESOLUCION'!$B:$B,0)),"CÓDIGO NO VÁLIDO")</f>
        <v>MEDICINA GENERAL</v>
      </c>
      <c r="F103" s="15" t="str">
        <f>IF(COUNTIF('CENTROS DE COSTOS UTILIZADOS'!$B:$B,D103)&gt;0,"SÍ","NO")</f>
        <v>SÍ</v>
      </c>
      <c r="G103" s="13" t="str">
        <f t="shared" si="1"/>
        <v>A10|HSJDP</v>
      </c>
      <c r="H103" s="13" t="s">
        <v>17</v>
      </c>
      <c r="I103" s="13" t="s">
        <v>200</v>
      </c>
      <c r="J103" s="15" t="s">
        <v>5</v>
      </c>
      <c r="K103" s="15" t="s">
        <v>43</v>
      </c>
      <c r="L103" s="16" t="s">
        <v>51</v>
      </c>
      <c r="M103" s="13" t="s">
        <v>45</v>
      </c>
    </row>
    <row r="104" spans="1:13" ht="25.5" x14ac:dyDescent="0.25">
      <c r="A104" s="13">
        <v>1050202</v>
      </c>
      <c r="B104" s="13" t="s">
        <v>203</v>
      </c>
      <c r="C104" s="13"/>
      <c r="D104" s="14" t="s">
        <v>53</v>
      </c>
      <c r="E104" s="13" t="str">
        <f>IFERROR(INDEX('CENTROS DE COSTOS RESOLUCION'!$C:$C,MATCH(D104,'CENTROS DE COSTOS RESOLUCION'!$B:$B,0)),"CÓDIGO NO VÁLIDO")</f>
        <v>OTRAS CONSULTAS Y PROCEDIMIENTOS</v>
      </c>
      <c r="F104" s="15" t="str">
        <f>IF(COUNTIF('CENTROS DE COSTOS UTILIZADOS'!$B:$B,D104)&gt;0,"SÍ","NO")</f>
        <v>NO</v>
      </c>
      <c r="G104" s="13" t="str">
        <f t="shared" si="1"/>
        <v>A32|HSJDP</v>
      </c>
      <c r="H104" s="13" t="s">
        <v>17</v>
      </c>
      <c r="I104" s="13" t="s">
        <v>200</v>
      </c>
      <c r="J104" s="15" t="s">
        <v>5</v>
      </c>
      <c r="K104" s="15" t="s">
        <v>54</v>
      </c>
      <c r="L104" s="16" t="s">
        <v>55</v>
      </c>
      <c r="M104" s="13" t="s">
        <v>45</v>
      </c>
    </row>
    <row r="105" spans="1:13" x14ac:dyDescent="0.25">
      <c r="A105" s="13">
        <v>1050203</v>
      </c>
      <c r="B105" s="13" t="s">
        <v>204</v>
      </c>
      <c r="C105" s="13"/>
      <c r="D105" s="14" t="s">
        <v>57</v>
      </c>
      <c r="E105" s="13" t="str">
        <f>IFERROR(INDEX('CENTROS DE COSTOS RESOLUCION'!$C:$C,MATCH(D105,'CENTROS DE COSTOS RESOLUCION'!$B:$B,0)),"CÓDIGO NO VÁLIDO")</f>
        <v>ODONTOLOGÍA GENERAL</v>
      </c>
      <c r="F105" s="15" t="str">
        <f>IF(COUNTIF('CENTROS DE COSTOS UTILIZADOS'!$B:$B,D105)&gt;0,"SÍ","NO")</f>
        <v>SÍ</v>
      </c>
      <c r="G105" s="13" t="str">
        <f t="shared" si="1"/>
        <v>E01|HSJDP</v>
      </c>
      <c r="H105" s="13" t="s">
        <v>17</v>
      </c>
      <c r="I105" s="13" t="s">
        <v>200</v>
      </c>
      <c r="J105" s="15" t="s">
        <v>5</v>
      </c>
      <c r="K105" s="15" t="s">
        <v>43</v>
      </c>
      <c r="L105" s="16" t="s">
        <v>58</v>
      </c>
      <c r="M105" s="13" t="s">
        <v>45</v>
      </c>
    </row>
    <row r="106" spans="1:13" x14ac:dyDescent="0.25">
      <c r="A106" s="13">
        <v>1050204</v>
      </c>
      <c r="B106" s="13" t="s">
        <v>205</v>
      </c>
      <c r="C106" s="13"/>
      <c r="D106" s="14" t="s">
        <v>60</v>
      </c>
      <c r="E106" s="13" t="str">
        <f>IFERROR(INDEX('CENTROS DE COSTOS RESOLUCION'!$C:$C,MATCH(D106,'CENTROS DE COSTOS RESOLUCION'!$B:$B,0)),"CÓDIGO NO VÁLIDO")</f>
        <v>PROMOCIÓN Y PREVENCIÓN</v>
      </c>
      <c r="F106" s="15" t="str">
        <f>IF(COUNTIF('CENTROS DE COSTOS UTILIZADOS'!$B:$B,D106)&gt;0,"SÍ","NO")</f>
        <v>SÍ</v>
      </c>
      <c r="G106" s="13" t="str">
        <f t="shared" si="1"/>
        <v>N03|HSJDP</v>
      </c>
      <c r="H106" s="13" t="s">
        <v>17</v>
      </c>
      <c r="I106" s="13" t="s">
        <v>200</v>
      </c>
      <c r="J106" s="15" t="s">
        <v>5</v>
      </c>
      <c r="K106" s="15" t="s">
        <v>43</v>
      </c>
      <c r="L106" s="16" t="s">
        <v>61</v>
      </c>
      <c r="M106" s="13" t="s">
        <v>45</v>
      </c>
    </row>
    <row r="107" spans="1:13" x14ac:dyDescent="0.25">
      <c r="A107" s="13">
        <v>1050205</v>
      </c>
      <c r="B107" s="13" t="s">
        <v>206</v>
      </c>
      <c r="C107" s="13"/>
      <c r="D107" s="14" t="s">
        <v>63</v>
      </c>
      <c r="E107" s="13" t="str">
        <f>IFERROR(INDEX('CENTROS DE COSTOS RESOLUCION'!$C:$C,MATCH(D107,'CENTROS DE COSTOS RESOLUCION'!$B:$B,0)),"CÓDIGO NO VÁLIDO")</f>
        <v>SALUD PUBLICA</v>
      </c>
      <c r="F107" s="15" t="str">
        <f>IF(COUNTIF('CENTROS DE COSTOS UTILIZADOS'!$B:$B,D107)&gt;0,"SÍ","NO")</f>
        <v>SÍ</v>
      </c>
      <c r="G107" s="13" t="str">
        <f t="shared" si="1"/>
        <v>K25|HSJDP</v>
      </c>
      <c r="H107" s="13" t="s">
        <v>17</v>
      </c>
      <c r="I107" s="13" t="s">
        <v>200</v>
      </c>
      <c r="J107" s="15" t="s">
        <v>5</v>
      </c>
      <c r="K107" s="15" t="s">
        <v>54</v>
      </c>
      <c r="L107" s="16" t="s">
        <v>64</v>
      </c>
      <c r="M107" s="13" t="s">
        <v>45</v>
      </c>
    </row>
    <row r="108" spans="1:13" x14ac:dyDescent="0.25">
      <c r="A108" s="13">
        <v>1050301</v>
      </c>
      <c r="B108" s="13" t="s">
        <v>207</v>
      </c>
      <c r="C108" s="13"/>
      <c r="D108" s="14" t="s">
        <v>66</v>
      </c>
      <c r="E108" s="13" t="str">
        <f>IFERROR(INDEX('CENTROS DE COSTOS RESOLUCION'!$C:$C,MATCH(D108,'CENTROS DE COSTOS RESOLUCION'!$B:$B,0)),"CÓDIGO NO VÁLIDO")</f>
        <v>HOSPITALIZACIÓN GENERAL</v>
      </c>
      <c r="F108" s="15" t="str">
        <f>IF(COUNTIF('CENTROS DE COSTOS UTILIZADOS'!$B:$B,D108)&gt;0,"SÍ","NO")</f>
        <v>NO</v>
      </c>
      <c r="G108" s="13" t="str">
        <f t="shared" si="1"/>
        <v>I01|HSJDP</v>
      </c>
      <c r="H108" s="13" t="s">
        <v>17</v>
      </c>
      <c r="I108" s="13" t="s">
        <v>200</v>
      </c>
      <c r="J108" s="15" t="s">
        <v>5</v>
      </c>
      <c r="K108" s="15" t="s">
        <v>43</v>
      </c>
      <c r="L108" s="16" t="s">
        <v>67</v>
      </c>
      <c r="M108" s="13" t="s">
        <v>45</v>
      </c>
    </row>
    <row r="109" spans="1:13" ht="25.5" x14ac:dyDescent="0.25">
      <c r="A109" s="13">
        <v>1050302</v>
      </c>
      <c r="B109" s="13" t="s">
        <v>208</v>
      </c>
      <c r="C109" s="13"/>
      <c r="D109" s="14" t="s">
        <v>69</v>
      </c>
      <c r="E109" s="13" t="str">
        <f>IFERROR(INDEX('CENTROS DE COSTOS RESOLUCION'!$C:$C,MATCH(D109,'CENTROS DE COSTOS RESOLUCION'!$B:$B,0)),"CÓDIGO NO VÁLIDO")</f>
        <v>UCI ADULTOS</v>
      </c>
      <c r="F109" s="15" t="str">
        <f>IF(COUNTIF('CENTROS DE COSTOS UTILIZADOS'!$B:$B,D109)&gt;0,"SÍ","NO")</f>
        <v>NO</v>
      </c>
      <c r="G109" s="13" t="str">
        <f t="shared" si="1"/>
        <v>J02|HSJDP</v>
      </c>
      <c r="H109" s="13" t="s">
        <v>17</v>
      </c>
      <c r="I109" s="13" t="s">
        <v>200</v>
      </c>
      <c r="J109" s="15" t="s">
        <v>7</v>
      </c>
      <c r="K109" s="15" t="s">
        <v>43</v>
      </c>
      <c r="L109" s="16" t="s">
        <v>70</v>
      </c>
      <c r="M109" s="13" t="s">
        <v>45</v>
      </c>
    </row>
    <row r="110" spans="1:13" ht="25.5" x14ac:dyDescent="0.25">
      <c r="A110" s="13">
        <v>1050303</v>
      </c>
      <c r="B110" s="13" t="s">
        <v>209</v>
      </c>
      <c r="C110" s="13"/>
      <c r="D110" s="14" t="s">
        <v>72</v>
      </c>
      <c r="E110" s="13" t="str">
        <f>IFERROR(INDEX('CENTROS DE COSTOS RESOLUCION'!$C:$C,MATCH(D110,'CENTROS DE COSTOS RESOLUCION'!$B:$B,0)),"CÓDIGO NO VÁLIDO")</f>
        <v>UCI INTERMEDIOS ADULTOS</v>
      </c>
      <c r="F110" s="15" t="str">
        <f>IF(COUNTIF('CENTROS DE COSTOS UTILIZADOS'!$B:$B,D110)&gt;0,"SÍ","NO")</f>
        <v>NO</v>
      </c>
      <c r="G110" s="13" t="str">
        <f t="shared" si="1"/>
        <v>J05|HSJDP</v>
      </c>
      <c r="H110" s="13" t="s">
        <v>17</v>
      </c>
      <c r="I110" s="13" t="s">
        <v>200</v>
      </c>
      <c r="J110" s="15" t="s">
        <v>7</v>
      </c>
      <c r="K110" s="15" t="s">
        <v>43</v>
      </c>
      <c r="L110" s="16" t="s">
        <v>70</v>
      </c>
      <c r="M110" s="13" t="s">
        <v>45</v>
      </c>
    </row>
    <row r="111" spans="1:13" x14ac:dyDescent="0.25">
      <c r="A111" s="13">
        <v>1050304</v>
      </c>
      <c r="B111" s="13" t="s">
        <v>210</v>
      </c>
      <c r="C111" s="13"/>
      <c r="D111" s="14" t="s">
        <v>74</v>
      </c>
      <c r="E111" s="13" t="str">
        <f>IFERROR(INDEX('CENTROS DE COSTOS RESOLUCION'!$C:$C,MATCH(D111,'CENTROS DE COSTOS RESOLUCION'!$B:$B,0)),"CÓDIGO NO VÁLIDO")</f>
        <v>UNIDAD DE RECIÉN NACIDOS</v>
      </c>
      <c r="F111" s="15" t="str">
        <f>IF(COUNTIF('CENTROS DE COSTOS UTILIZADOS'!$B:$B,D111)&gt;0,"SÍ","NO")</f>
        <v>NO</v>
      </c>
      <c r="G111" s="13" t="str">
        <f t="shared" si="1"/>
        <v>J09|HSJDP</v>
      </c>
      <c r="H111" s="13" t="s">
        <v>17</v>
      </c>
      <c r="I111" s="13" t="s">
        <v>200</v>
      </c>
      <c r="J111" s="15" t="s">
        <v>6</v>
      </c>
      <c r="K111" s="15" t="s">
        <v>54</v>
      </c>
      <c r="L111" s="16" t="s">
        <v>75</v>
      </c>
      <c r="M111" s="13" t="s">
        <v>45</v>
      </c>
    </row>
    <row r="112" spans="1:13" ht="25.5" x14ac:dyDescent="0.25">
      <c r="A112" s="13">
        <v>1050305</v>
      </c>
      <c r="B112" s="13" t="s">
        <v>211</v>
      </c>
      <c r="C112" s="13"/>
      <c r="D112" s="14" t="s">
        <v>77</v>
      </c>
      <c r="E112" s="13" t="str">
        <f>IFERROR(INDEX('CENTROS DE COSTOS RESOLUCION'!$C:$C,MATCH(D112,'CENTROS DE COSTOS RESOLUCION'!$B:$B,0)),"CÓDIGO NO VÁLIDO")</f>
        <v>UNIDAD SALUD MENTAL Y DESINTOXICACIÓN (BAJA COMPLEJIDAD)</v>
      </c>
      <c r="F112" s="15" t="str">
        <f>IF(COUNTIF('CENTROS DE COSTOS UTILIZADOS'!$B:$B,D112)&gt;0,"SÍ","NO")</f>
        <v>NO</v>
      </c>
      <c r="G112" s="13" t="str">
        <f t="shared" si="1"/>
        <v>J10|HSJDP</v>
      </c>
      <c r="H112" s="13" t="s">
        <v>17</v>
      </c>
      <c r="I112" s="13" t="s">
        <v>200</v>
      </c>
      <c r="J112" s="15" t="s">
        <v>7</v>
      </c>
      <c r="K112" s="15" t="s">
        <v>43</v>
      </c>
      <c r="L112" s="16" t="s">
        <v>70</v>
      </c>
      <c r="M112" s="13" t="s">
        <v>45</v>
      </c>
    </row>
    <row r="113" spans="1:13" ht="25.5" x14ac:dyDescent="0.25">
      <c r="A113" s="13">
        <v>1050306</v>
      </c>
      <c r="B113" s="13" t="s">
        <v>212</v>
      </c>
      <c r="C113" s="13"/>
      <c r="D113" s="14" t="s">
        <v>79</v>
      </c>
      <c r="E113" s="13" t="str">
        <f>IFERROR(INDEX('CENTROS DE COSTOS RESOLUCION'!$C:$C,MATCH(D113,'CENTROS DE COSTOS RESOLUCION'!$B:$B,0)),"CÓDIGO NO VÁLIDO")</f>
        <v>UNIDAD DE QUEMADOS ADULTOS</v>
      </c>
      <c r="F113" s="15" t="str">
        <f>IF(COUNTIF('CENTROS DE COSTOS UTILIZADOS'!$B:$B,D113)&gt;0,"SÍ","NO")</f>
        <v>NO</v>
      </c>
      <c r="G113" s="13" t="str">
        <f t="shared" si="1"/>
        <v>J08|HSJDP</v>
      </c>
      <c r="H113" s="13" t="s">
        <v>17</v>
      </c>
      <c r="I113" s="13" t="s">
        <v>200</v>
      </c>
      <c r="J113" s="15" t="s">
        <v>7</v>
      </c>
      <c r="K113" s="15" t="s">
        <v>43</v>
      </c>
      <c r="L113" s="16" t="s">
        <v>70</v>
      </c>
      <c r="M113" s="13" t="s">
        <v>45</v>
      </c>
    </row>
    <row r="114" spans="1:13" ht="25.5" x14ac:dyDescent="0.25">
      <c r="A114" s="13">
        <v>1050307</v>
      </c>
      <c r="B114" s="13" t="s">
        <v>213</v>
      </c>
      <c r="C114" s="13"/>
      <c r="D114" s="14" t="s">
        <v>81</v>
      </c>
      <c r="E114" s="13" t="str">
        <f>IFERROR(INDEX('CENTROS DE COSTOS RESOLUCION'!$C:$C,MATCH(D114,'CENTROS DE COSTOS RESOLUCION'!$B:$B,0)),"CÓDIGO NO VÁLIDO")</f>
        <v>OTRAS UNIDADES ESPECIALES</v>
      </c>
      <c r="F114" s="15" t="str">
        <f>IF(COUNTIF('CENTROS DE COSTOS UTILIZADOS'!$B:$B,D114)&gt;0,"SÍ","NO")</f>
        <v>NO</v>
      </c>
      <c r="G114" s="13" t="str">
        <f t="shared" si="1"/>
        <v>J13|HSJDP</v>
      </c>
      <c r="H114" s="13" t="s">
        <v>17</v>
      </c>
      <c r="I114" s="13" t="s">
        <v>200</v>
      </c>
      <c r="J114" s="15" t="s">
        <v>7</v>
      </c>
      <c r="K114" s="15" t="s">
        <v>54</v>
      </c>
      <c r="L114" s="16" t="s">
        <v>70</v>
      </c>
      <c r="M114" s="13" t="s">
        <v>45</v>
      </c>
    </row>
    <row r="115" spans="1:13" x14ac:dyDescent="0.25">
      <c r="A115" s="13">
        <v>1050401</v>
      </c>
      <c r="B115" s="13" t="s">
        <v>214</v>
      </c>
      <c r="C115" s="13"/>
      <c r="D115" s="14" t="s">
        <v>83</v>
      </c>
      <c r="E115" s="13" t="str">
        <f>IFERROR(INDEX('CENTROS DE COSTOS RESOLUCION'!$C:$C,MATCH(D115,'CENTROS DE COSTOS RESOLUCION'!$B:$B,0)),"CÓDIGO NO VÁLIDO")</f>
        <v>CIRUGÍA GENERAL</v>
      </c>
      <c r="F115" s="15" t="str">
        <f>IF(COUNTIF('CENTROS DE COSTOS UTILIZADOS'!$B:$B,D115)&gt;0,"SÍ","NO")</f>
        <v>NO</v>
      </c>
      <c r="G115" s="13" t="str">
        <f t="shared" si="1"/>
        <v>C01|HSJDP</v>
      </c>
      <c r="H115" s="13" t="s">
        <v>17</v>
      </c>
      <c r="I115" s="13" t="s">
        <v>200</v>
      </c>
      <c r="J115" s="15" t="s">
        <v>6</v>
      </c>
      <c r="K115" s="15" t="s">
        <v>54</v>
      </c>
      <c r="L115" s="16" t="s">
        <v>84</v>
      </c>
      <c r="M115" s="13" t="s">
        <v>45</v>
      </c>
    </row>
    <row r="116" spans="1:13" x14ac:dyDescent="0.25">
      <c r="A116" s="13">
        <v>1050402</v>
      </c>
      <c r="B116" s="13" t="s">
        <v>215</v>
      </c>
      <c r="C116" s="13"/>
      <c r="D116" s="14" t="s">
        <v>86</v>
      </c>
      <c r="E116" s="13" t="str">
        <f>IFERROR(INDEX('CENTROS DE COSTOS RESOLUCION'!$C:$C,MATCH(D116,'CENTROS DE COSTOS RESOLUCION'!$B:$B,0)),"CÓDIGO NO VÁLIDO")</f>
        <v>ATENCIÓN DE PARTO BAJA COMPLEJIDAD</v>
      </c>
      <c r="F116" s="15" t="str">
        <f>IF(COUNTIF('CENTROS DE COSTOS UTILIZADOS'!$B:$B,D116)&gt;0,"SÍ","NO")</f>
        <v>NO</v>
      </c>
      <c r="G116" s="13" t="str">
        <f t="shared" si="1"/>
        <v>D02|HSJDP</v>
      </c>
      <c r="H116" s="13" t="s">
        <v>17</v>
      </c>
      <c r="I116" s="13" t="s">
        <v>200</v>
      </c>
      <c r="J116" s="15" t="s">
        <v>5</v>
      </c>
      <c r="K116" s="15" t="s">
        <v>43</v>
      </c>
      <c r="L116" s="16" t="s">
        <v>87</v>
      </c>
      <c r="M116" s="13" t="s">
        <v>45</v>
      </c>
    </row>
    <row r="117" spans="1:13" x14ac:dyDescent="0.25">
      <c r="A117" s="13">
        <v>1050501</v>
      </c>
      <c r="B117" s="13" t="s">
        <v>216</v>
      </c>
      <c r="C117" s="13"/>
      <c r="D117" s="14" t="s">
        <v>89</v>
      </c>
      <c r="E117" s="13" t="str">
        <f>IFERROR(INDEX('CENTROS DE COSTOS RESOLUCION'!$C:$C,MATCH(D117,'CENTROS DE COSTOS RESOLUCION'!$B:$B,0)),"CÓDIGO NO VÁLIDO")</f>
        <v>LABORATORIO Y ANÁLISIS CLÍNICO</v>
      </c>
      <c r="F117" s="15" t="str">
        <f>IF(COUNTIF('CENTROS DE COSTOS UTILIZADOS'!$B:$B,D117)&gt;0,"SÍ","NO")</f>
        <v>SÍ</v>
      </c>
      <c r="G117" s="13" t="str">
        <f t="shared" si="1"/>
        <v>L07|HSJDP</v>
      </c>
      <c r="H117" s="13" t="s">
        <v>18</v>
      </c>
      <c r="I117" s="13" t="s">
        <v>200</v>
      </c>
      <c r="J117" s="15" t="s">
        <v>5</v>
      </c>
      <c r="K117" s="15" t="s">
        <v>43</v>
      </c>
      <c r="L117" s="16" t="s">
        <v>90</v>
      </c>
      <c r="M117" s="13" t="s">
        <v>45</v>
      </c>
    </row>
    <row r="118" spans="1:13" x14ac:dyDescent="0.25">
      <c r="A118" s="13">
        <v>1050502</v>
      </c>
      <c r="B118" s="13" t="s">
        <v>217</v>
      </c>
      <c r="C118" s="13"/>
      <c r="D118" s="14" t="s">
        <v>92</v>
      </c>
      <c r="E118" s="13" t="str">
        <f>IFERROR(INDEX('CENTROS DE COSTOS RESOLUCION'!$C:$C,MATCH(D118,'CENTROS DE COSTOS RESOLUCION'!$B:$B,0)),"CÓDIGO NO VÁLIDO")</f>
        <v>IMAGENEOLOGÍA RADIOLÓGICA</v>
      </c>
      <c r="F118" s="15" t="str">
        <f>IF(COUNTIF('CENTROS DE COSTOS UTILIZADOS'!$B:$B,D118)&gt;0,"SÍ","NO")</f>
        <v>SÍ</v>
      </c>
      <c r="G118" s="13" t="str">
        <f t="shared" si="1"/>
        <v>L02|HSJDP</v>
      </c>
      <c r="H118" s="13" t="s">
        <v>18</v>
      </c>
      <c r="I118" s="13" t="s">
        <v>200</v>
      </c>
      <c r="J118" s="15" t="s">
        <v>5</v>
      </c>
      <c r="K118" s="15" t="s">
        <v>43</v>
      </c>
      <c r="L118" s="16" t="s">
        <v>93</v>
      </c>
      <c r="M118" s="13" t="s">
        <v>45</v>
      </c>
    </row>
    <row r="119" spans="1:13" ht="25.5" x14ac:dyDescent="0.25">
      <c r="A119" s="13">
        <v>1050503</v>
      </c>
      <c r="B119" s="13" t="s">
        <v>218</v>
      </c>
      <c r="C119" s="13"/>
      <c r="D119" s="14" t="s">
        <v>95</v>
      </c>
      <c r="E119" s="13" t="str">
        <f>IFERROR(INDEX('CENTROS DE COSTOS RESOLUCION'!$C:$C,MATCH(D119,'CENTROS DE COSTOS RESOLUCION'!$B:$B,0)),"CÓDIGO NO VÁLIDO")</f>
        <v>LABORATORIO ANATOMÍA PATOLÓGICA</v>
      </c>
      <c r="F119" s="15" t="str">
        <f>IF(COUNTIF('CENTROS DE COSTOS UTILIZADOS'!$B:$B,D119)&gt;0,"SÍ","NO")</f>
        <v>NO</v>
      </c>
      <c r="G119" s="13" t="str">
        <f t="shared" si="1"/>
        <v>L01|HSJDP</v>
      </c>
      <c r="H119" s="13" t="s">
        <v>18</v>
      </c>
      <c r="I119" s="13" t="s">
        <v>200</v>
      </c>
      <c r="J119" s="15" t="s">
        <v>7</v>
      </c>
      <c r="K119" s="15" t="s">
        <v>43</v>
      </c>
      <c r="L119" s="16" t="s">
        <v>70</v>
      </c>
      <c r="M119" s="13" t="s">
        <v>45</v>
      </c>
    </row>
    <row r="120" spans="1:13" ht="25.5" x14ac:dyDescent="0.25">
      <c r="A120" s="13">
        <v>1050504</v>
      </c>
      <c r="B120" s="13" t="s">
        <v>219</v>
      </c>
      <c r="C120" s="13"/>
      <c r="D120" s="14" t="s">
        <v>97</v>
      </c>
      <c r="E120" s="13" t="str">
        <f>IFERROR(INDEX('CENTROS DE COSTOS RESOLUCION'!$C:$C,MATCH(D120,'CENTROS DE COSTOS RESOLUCION'!$B:$B,0)),"CÓDIGO NO VÁLIDO")</f>
        <v>IMAGENOLOGÍA NO RADIOLÓGICA</v>
      </c>
      <c r="F120" s="15" t="str">
        <f>IF(COUNTIF('CENTROS DE COSTOS UTILIZADOS'!$B:$B,D120)&gt;0,"SÍ","NO")</f>
        <v>NO</v>
      </c>
      <c r="G120" s="13" t="str">
        <f t="shared" si="1"/>
        <v>L04|HSJDP</v>
      </c>
      <c r="H120" s="13" t="s">
        <v>18</v>
      </c>
      <c r="I120" s="13" t="s">
        <v>200</v>
      </c>
      <c r="J120" s="15" t="s">
        <v>6</v>
      </c>
      <c r="K120" s="15" t="s">
        <v>54</v>
      </c>
      <c r="L120" s="16" t="s">
        <v>98</v>
      </c>
      <c r="M120" s="13" t="s">
        <v>45</v>
      </c>
    </row>
    <row r="121" spans="1:13" x14ac:dyDescent="0.25">
      <c r="A121" s="13">
        <v>1050601</v>
      </c>
      <c r="B121" s="13" t="s">
        <v>220</v>
      </c>
      <c r="C121" s="13"/>
      <c r="D121" s="14" t="s">
        <v>100</v>
      </c>
      <c r="E121" s="13" t="str">
        <f>IFERROR(INDEX('CENTROS DE COSTOS RESOLUCION'!$C:$C,MATCH(D121,'CENTROS DE COSTOS RESOLUCION'!$B:$B,0)),"CÓDIGO NO VÁLIDO")</f>
        <v>FISIOTERAPIA Y REHABILITACIÓN</v>
      </c>
      <c r="F121" s="15" t="str">
        <f>IF(COUNTIF('CENTROS DE COSTOS UTILIZADOS'!$B:$B,D121)&gt;0,"SÍ","NO")</f>
        <v>SÍ</v>
      </c>
      <c r="G121" s="13" t="str">
        <f t="shared" si="1"/>
        <v>M06|HSJDP</v>
      </c>
      <c r="H121" s="13" t="s">
        <v>18</v>
      </c>
      <c r="I121" s="13" t="s">
        <v>200</v>
      </c>
      <c r="J121" s="15" t="s">
        <v>5</v>
      </c>
      <c r="K121" s="15" t="s">
        <v>43</v>
      </c>
      <c r="L121" s="16" t="s">
        <v>101</v>
      </c>
      <c r="M121" s="13" t="s">
        <v>45</v>
      </c>
    </row>
    <row r="122" spans="1:13" ht="25.5" x14ac:dyDescent="0.25">
      <c r="A122" s="13">
        <v>1050602</v>
      </c>
      <c r="B122" s="13" t="s">
        <v>221</v>
      </c>
      <c r="C122" s="13"/>
      <c r="D122" s="14" t="s">
        <v>103</v>
      </c>
      <c r="E122" s="13" t="str">
        <f>IFERROR(INDEX('CENTROS DE COSTOS RESOLUCION'!$C:$C,MATCH(D122,'CENTROS DE COSTOS RESOLUCION'!$B:$B,0)),"CÓDIGO NO VÁLIDO")</f>
        <v>BANCO DE SANGRE</v>
      </c>
      <c r="F122" s="15" t="str">
        <f>IF(COUNTIF('CENTROS DE COSTOS UTILIZADOS'!$B:$B,D122)&gt;0,"SÍ","NO")</f>
        <v>NO</v>
      </c>
      <c r="G122" s="13" t="str">
        <f t="shared" si="1"/>
        <v>M01|HSJDP</v>
      </c>
      <c r="H122" s="13" t="s">
        <v>18</v>
      </c>
      <c r="I122" s="13" t="s">
        <v>200</v>
      </c>
      <c r="J122" s="15" t="s">
        <v>7</v>
      </c>
      <c r="K122" s="15" t="s">
        <v>43</v>
      </c>
      <c r="L122" s="16" t="s">
        <v>70</v>
      </c>
      <c r="M122" s="13" t="s">
        <v>45</v>
      </c>
    </row>
    <row r="123" spans="1:13" ht="25.5" x14ac:dyDescent="0.25">
      <c r="A123" s="13">
        <v>1050603</v>
      </c>
      <c r="B123" s="13" t="s">
        <v>222</v>
      </c>
      <c r="C123" s="13"/>
      <c r="D123" s="14" t="s">
        <v>105</v>
      </c>
      <c r="E123" s="13" t="str">
        <f>IFERROR(INDEX('CENTROS DE COSTOS RESOLUCION'!$C:$C,MATCH(D123,'CENTROS DE COSTOS RESOLUCION'!$B:$B,0)),"CÓDIGO NO VÁLIDO")</f>
        <v>TERAPIA RENAL</v>
      </c>
      <c r="F123" s="15" t="str">
        <f>IF(COUNTIF('CENTROS DE COSTOS UTILIZADOS'!$B:$B,D123)&gt;0,"SÍ","NO")</f>
        <v>NO</v>
      </c>
      <c r="G123" s="13" t="str">
        <f t="shared" si="1"/>
        <v>M03|HSJDP</v>
      </c>
      <c r="H123" s="13" t="s">
        <v>18</v>
      </c>
      <c r="I123" s="13" t="s">
        <v>200</v>
      </c>
      <c r="J123" s="15" t="s">
        <v>7</v>
      </c>
      <c r="K123" s="15" t="s">
        <v>43</v>
      </c>
      <c r="L123" s="16" t="s">
        <v>70</v>
      </c>
      <c r="M123" s="13" t="s">
        <v>45</v>
      </c>
    </row>
    <row r="124" spans="1:13" ht="25.5" x14ac:dyDescent="0.25">
      <c r="A124" s="13">
        <v>1050604</v>
      </c>
      <c r="B124" s="13" t="s">
        <v>223</v>
      </c>
      <c r="C124" s="13"/>
      <c r="D124" s="14" t="s">
        <v>107</v>
      </c>
      <c r="E124" s="13" t="str">
        <f>IFERROR(INDEX('CENTROS DE COSTOS RESOLUCION'!$C:$C,MATCH(D124,'CENTROS DE COSTOS RESOLUCION'!$B:$B,0)),"CÓDIGO NO VÁLIDO")</f>
        <v>CARDIOVASCULAR</v>
      </c>
      <c r="F124" s="15" t="str">
        <f>IF(COUNTIF('CENTROS DE COSTOS UTILIZADOS'!$B:$B,D124)&gt;0,"SÍ","NO")</f>
        <v>NO</v>
      </c>
      <c r="G124" s="13" t="str">
        <f t="shared" si="1"/>
        <v>C05|HSJDP</v>
      </c>
      <c r="H124" s="13" t="s">
        <v>17</v>
      </c>
      <c r="I124" s="13" t="s">
        <v>200</v>
      </c>
      <c r="J124" s="15" t="s">
        <v>7</v>
      </c>
      <c r="K124" s="15" t="s">
        <v>43</v>
      </c>
      <c r="L124" s="16" t="s">
        <v>70</v>
      </c>
      <c r="M124" s="13" t="s">
        <v>45</v>
      </c>
    </row>
    <row r="125" spans="1:13" ht="25.5" x14ac:dyDescent="0.25">
      <c r="A125" s="13">
        <v>1050605</v>
      </c>
      <c r="B125" s="13" t="s">
        <v>224</v>
      </c>
      <c r="C125" s="13"/>
      <c r="D125" s="14" t="s">
        <v>109</v>
      </c>
      <c r="E125" s="13" t="str">
        <f>IFERROR(INDEX('CENTROS DE COSTOS RESOLUCION'!$C:$C,MATCH(D125,'CENTROS DE COSTOS RESOLUCION'!$B:$B,0)),"CÓDIGO NO VÁLIDO")</f>
        <v>OTRAS TERAPIAS</v>
      </c>
      <c r="F125" s="15" t="str">
        <f>IF(COUNTIF('CENTROS DE COSTOS UTILIZADOS'!$B:$B,D125)&gt;0,"SÍ","NO")</f>
        <v>NO</v>
      </c>
      <c r="G125" s="13" t="str">
        <f t="shared" si="1"/>
        <v>M07|HSJDP</v>
      </c>
      <c r="H125" s="13" t="s">
        <v>18</v>
      </c>
      <c r="I125" s="13" t="s">
        <v>200</v>
      </c>
      <c r="J125" s="15" t="s">
        <v>7</v>
      </c>
      <c r="K125" s="15" t="s">
        <v>43</v>
      </c>
      <c r="L125" s="16" t="s">
        <v>70</v>
      </c>
      <c r="M125" s="13" t="s">
        <v>45</v>
      </c>
    </row>
    <row r="126" spans="1:13" x14ac:dyDescent="0.25">
      <c r="A126" s="13">
        <v>1050606</v>
      </c>
      <c r="B126" s="13" t="s">
        <v>225</v>
      </c>
      <c r="C126" s="13"/>
      <c r="D126" s="14" t="s">
        <v>111</v>
      </c>
      <c r="E126" s="13" t="str">
        <f>IFERROR(INDEX('CENTROS DE COSTOS RESOLUCION'!$C:$C,MATCH(D126,'CENTROS DE COSTOS RESOLUCION'!$B:$B,0)),"CÓDIGO NO VÁLIDO")</f>
        <v>FARMACIA</v>
      </c>
      <c r="F126" s="15" t="str">
        <f>IF(COUNTIF('CENTROS DE COSTOS UTILIZADOS'!$B:$B,D126)&gt;0,"SÍ","NO")</f>
        <v>SÍ</v>
      </c>
      <c r="G126" s="13" t="str">
        <f t="shared" si="1"/>
        <v>M05|HSJDP</v>
      </c>
      <c r="H126" s="13" t="s">
        <v>18</v>
      </c>
      <c r="I126" s="13" t="s">
        <v>200</v>
      </c>
      <c r="J126" s="15" t="s">
        <v>5</v>
      </c>
      <c r="K126" s="15" t="s">
        <v>43</v>
      </c>
      <c r="L126" s="16" t="s">
        <v>112</v>
      </c>
      <c r="M126" s="13" t="s">
        <v>45</v>
      </c>
    </row>
    <row r="127" spans="1:13" x14ac:dyDescent="0.25">
      <c r="A127" s="13">
        <v>1050607</v>
      </c>
      <c r="B127" s="13" t="s">
        <v>226</v>
      </c>
      <c r="C127" s="13"/>
      <c r="D127" s="14" t="s">
        <v>109</v>
      </c>
      <c r="E127" s="13" t="str">
        <f>IFERROR(INDEX('CENTROS DE COSTOS RESOLUCION'!$C:$C,MATCH(D127,'CENTROS DE COSTOS RESOLUCION'!$B:$B,0)),"CÓDIGO NO VÁLIDO")</f>
        <v>OTRAS TERAPIAS</v>
      </c>
      <c r="F127" s="15" t="str">
        <f>IF(COUNTIF('CENTROS DE COSTOS UTILIZADOS'!$B:$B,D127)&gt;0,"SÍ","NO")</f>
        <v>NO</v>
      </c>
      <c r="G127" s="13" t="str">
        <f t="shared" si="1"/>
        <v>M07|HSJDP</v>
      </c>
      <c r="H127" s="13" t="s">
        <v>18</v>
      </c>
      <c r="I127" s="13" t="s">
        <v>200</v>
      </c>
      <c r="J127" s="15" t="s">
        <v>6</v>
      </c>
      <c r="K127" s="15" t="s">
        <v>54</v>
      </c>
      <c r="L127" s="16" t="s">
        <v>114</v>
      </c>
      <c r="M127" s="13" t="s">
        <v>45</v>
      </c>
    </row>
    <row r="128" spans="1:13" ht="25.5" x14ac:dyDescent="0.25">
      <c r="A128" s="13">
        <v>1050701</v>
      </c>
      <c r="B128" s="13" t="s">
        <v>227</v>
      </c>
      <c r="C128" s="13"/>
      <c r="D128" s="14" t="s">
        <v>116</v>
      </c>
      <c r="E128" s="13" t="str">
        <f>IFERROR(INDEX('CENTROS DE COSTOS RESOLUCION'!$C:$C,MATCH(D128,'CENTROS DE COSTOS RESOLUCION'!$B:$B,0)),"CÓDIGO NO VÁLIDO")</f>
        <v>ANCIANATOS Y ALBERGUES</v>
      </c>
      <c r="F128" s="15" t="str">
        <f>IF(COUNTIF('CENTROS DE COSTOS UTILIZADOS'!$B:$B,D128)&gt;0,"SÍ","NO")</f>
        <v>NO</v>
      </c>
      <c r="G128" s="13" t="str">
        <f t="shared" si="1"/>
        <v>J01|HSJDP</v>
      </c>
      <c r="H128" s="13" t="s">
        <v>17</v>
      </c>
      <c r="I128" s="13" t="s">
        <v>200</v>
      </c>
      <c r="J128" s="15" t="s">
        <v>7</v>
      </c>
      <c r="K128" s="15" t="s">
        <v>43</v>
      </c>
      <c r="L128" s="16" t="s">
        <v>70</v>
      </c>
      <c r="M128" s="13" t="s">
        <v>45</v>
      </c>
    </row>
    <row r="129" spans="1:13" x14ac:dyDescent="0.25">
      <c r="A129" s="13">
        <v>1050702</v>
      </c>
      <c r="B129" s="13" t="s">
        <v>228</v>
      </c>
      <c r="C129" s="13"/>
      <c r="D129" s="14" t="s">
        <v>118</v>
      </c>
      <c r="E129" s="13" t="str">
        <f>IFERROR(INDEX('CENTROS DE COSTOS RESOLUCION'!$C:$C,MATCH(D129,'CENTROS DE COSTOS RESOLUCION'!$B:$B,0)),"CÓDIGO NO VÁLIDO")</f>
        <v>CENTROS Y PUESTOS DE SALUD</v>
      </c>
      <c r="F129" s="15" t="str">
        <f>IF(COUNTIF('CENTROS DE COSTOS UTILIZADOS'!$B:$B,D129)&gt;0,"SÍ","NO")</f>
        <v>SÍ</v>
      </c>
      <c r="G129" s="13" t="str">
        <f t="shared" si="1"/>
        <v>J17|HSJDP</v>
      </c>
      <c r="H129" s="13" t="s">
        <v>17</v>
      </c>
      <c r="I129" s="13" t="s">
        <v>200</v>
      </c>
      <c r="J129" s="15" t="s">
        <v>5</v>
      </c>
      <c r="K129" s="15" t="s">
        <v>43</v>
      </c>
      <c r="L129" s="16" t="s">
        <v>119</v>
      </c>
      <c r="M129" s="13" t="s">
        <v>45</v>
      </c>
    </row>
    <row r="130" spans="1:13" ht="25.5" x14ac:dyDescent="0.25">
      <c r="A130" s="13">
        <v>1050703</v>
      </c>
      <c r="B130" s="13" t="s">
        <v>229</v>
      </c>
      <c r="C130" s="13"/>
      <c r="D130" s="14" t="s">
        <v>121</v>
      </c>
      <c r="E130" s="13" t="str">
        <f>IFERROR(INDEX('CENTROS DE COSTOS RESOLUCION'!$C:$C,MATCH(D130,'CENTROS DE COSTOS RESOLUCION'!$B:$B,0)),"CÓDIGO NO VÁLIDO")</f>
        <v>EDUCACIÓN MÉDICA</v>
      </c>
      <c r="F130" s="15" t="str">
        <f>IF(COUNTIF('CENTROS DE COSTOS UTILIZADOS'!$B:$B,D130)&gt;0,"SÍ","NO")</f>
        <v>NO</v>
      </c>
      <c r="G130" s="13" t="str">
        <f t="shared" ref="G130:G193" si="2">D130&amp;"|"&amp;LEFT(I130,FIND(" ",I130&amp;" ")-1)</f>
        <v>U03|HSJDP</v>
      </c>
      <c r="H130" s="13" t="s">
        <v>20</v>
      </c>
      <c r="I130" s="13" t="s">
        <v>200</v>
      </c>
      <c r="J130" s="15" t="s">
        <v>7</v>
      </c>
      <c r="K130" s="15" t="s">
        <v>43</v>
      </c>
      <c r="L130" s="16" t="s">
        <v>70</v>
      </c>
      <c r="M130" s="13" t="s">
        <v>45</v>
      </c>
    </row>
    <row r="131" spans="1:13" ht="25.5" x14ac:dyDescent="0.25">
      <c r="A131" s="13">
        <v>1050704</v>
      </c>
      <c r="B131" s="13" t="s">
        <v>230</v>
      </c>
      <c r="C131" s="13"/>
      <c r="D131" s="14" t="s">
        <v>53</v>
      </c>
      <c r="E131" s="13" t="str">
        <f>IFERROR(INDEX('CENTROS DE COSTOS RESOLUCION'!$C:$C,MATCH(D131,'CENTROS DE COSTOS RESOLUCION'!$B:$B,0)),"CÓDIGO NO VÁLIDO")</f>
        <v>OTRAS CONSULTAS Y PROCEDIMIENTOS</v>
      </c>
      <c r="F131" s="15" t="str">
        <f>IF(COUNTIF('CENTROS DE COSTOS UTILIZADOS'!$B:$B,D131)&gt;0,"SÍ","NO")</f>
        <v>NO</v>
      </c>
      <c r="G131" s="13" t="str">
        <f t="shared" si="2"/>
        <v>A32|HSJDP</v>
      </c>
      <c r="H131" s="13" t="s">
        <v>17</v>
      </c>
      <c r="I131" s="13" t="s">
        <v>200</v>
      </c>
      <c r="J131" s="15" t="s">
        <v>6</v>
      </c>
      <c r="K131" s="15" t="s">
        <v>123</v>
      </c>
      <c r="L131" s="16" t="s">
        <v>124</v>
      </c>
      <c r="M131" s="13" t="s">
        <v>45</v>
      </c>
    </row>
    <row r="132" spans="1:13" x14ac:dyDescent="0.25">
      <c r="A132" s="13">
        <v>1050705</v>
      </c>
      <c r="B132" s="13" t="s">
        <v>231</v>
      </c>
      <c r="C132" s="13"/>
      <c r="D132" s="14" t="s">
        <v>126</v>
      </c>
      <c r="E132" s="13" t="str">
        <f>IFERROR(INDEX('CENTROS DE COSTOS RESOLUCION'!$C:$C,MATCH(D132,'CENTROS DE COSTOS RESOLUCION'!$B:$B,0)),"CÓDIGO NO VÁLIDO")</f>
        <v>SERVICIO DE AMBULANCIAS</v>
      </c>
      <c r="F132" s="15" t="str">
        <f>IF(COUNTIF('CENTROS DE COSTOS UTILIZADOS'!$B:$B,D132)&gt;0,"SÍ","NO")</f>
        <v>SÍ</v>
      </c>
      <c r="G132" s="13" t="str">
        <f t="shared" si="2"/>
        <v>N08|HSJDP</v>
      </c>
      <c r="H132" s="13" t="s">
        <v>17</v>
      </c>
      <c r="I132" s="13" t="s">
        <v>200</v>
      </c>
      <c r="J132" s="15" t="s">
        <v>5</v>
      </c>
      <c r="K132" s="15" t="s">
        <v>43</v>
      </c>
      <c r="L132" s="16" t="s">
        <v>127</v>
      </c>
      <c r="M132" s="13" t="s">
        <v>45</v>
      </c>
    </row>
    <row r="133" spans="1:13" x14ac:dyDescent="0.25">
      <c r="A133" s="13">
        <v>1050706</v>
      </c>
      <c r="B133" s="13" t="s">
        <v>232</v>
      </c>
      <c r="C133" s="13"/>
      <c r="D133" s="14" t="s">
        <v>129</v>
      </c>
      <c r="E133" s="13" t="str">
        <f>IFERROR(INDEX('CENTROS DE COSTOS RESOLUCION'!$C:$C,MATCH(D133,'CENTROS DE COSTOS RESOLUCION'!$B:$B,0)),"CÓDIGO NO VÁLIDO")</f>
        <v>OTROS ENFERMERÍA</v>
      </c>
      <c r="F133" s="15" t="str">
        <f>IF(COUNTIF('CENTROS DE COSTOS UTILIZADOS'!$B:$B,D133)&gt;0,"SÍ","NO")</f>
        <v>NO</v>
      </c>
      <c r="G133" s="13" t="str">
        <f t="shared" si="2"/>
        <v>N04|HSJDP</v>
      </c>
      <c r="H133" s="13" t="s">
        <v>18</v>
      </c>
      <c r="I133" s="13" t="s">
        <v>200</v>
      </c>
      <c r="J133" s="15" t="s">
        <v>6</v>
      </c>
      <c r="K133" s="15" t="s">
        <v>123</v>
      </c>
      <c r="L133" s="16" t="s">
        <v>130</v>
      </c>
      <c r="M133" s="13" t="s">
        <v>45</v>
      </c>
    </row>
    <row r="134" spans="1:13" ht="25.5" x14ac:dyDescent="0.25">
      <c r="A134" s="13">
        <v>1060101</v>
      </c>
      <c r="B134" s="13" t="s">
        <v>233</v>
      </c>
      <c r="C134" s="13"/>
      <c r="D134" s="14" t="s">
        <v>41</v>
      </c>
      <c r="E134" s="13" t="str">
        <f>IFERROR(INDEX('CENTROS DE COSTOS RESOLUCION'!$C:$C,MATCH(D134,'CENTROS DE COSTOS RESOLUCION'!$B:$B,0)),"CÓDIGO NO VÁLIDO")</f>
        <v>CONSULTA URGENCIAS</v>
      </c>
      <c r="F134" s="15" t="str">
        <f>IF(COUNTIF('CENTROS DE COSTOS UTILIZADOS'!$B:$B,D134)&gt;0,"SÍ","NO")</f>
        <v>SÍ</v>
      </c>
      <c r="G134" s="13" t="str">
        <f t="shared" si="2"/>
        <v>B01|HSJCN</v>
      </c>
      <c r="H134" s="13" t="s">
        <v>17</v>
      </c>
      <c r="I134" s="13" t="s">
        <v>234</v>
      </c>
      <c r="J134" s="15" t="s">
        <v>5</v>
      </c>
      <c r="K134" s="15" t="s">
        <v>43</v>
      </c>
      <c r="L134" s="16" t="s">
        <v>44</v>
      </c>
      <c r="M134" s="13" t="s">
        <v>45</v>
      </c>
    </row>
    <row r="135" spans="1:13" x14ac:dyDescent="0.25">
      <c r="A135" s="13">
        <v>1060102</v>
      </c>
      <c r="B135" s="13" t="s">
        <v>235</v>
      </c>
      <c r="C135" s="13"/>
      <c r="D135" s="14" t="s">
        <v>47</v>
      </c>
      <c r="E135" s="13" t="str">
        <f>IFERROR(INDEX('CENTROS DE COSTOS RESOLUCION'!$C:$C,MATCH(D135,'CENTROS DE COSTOS RESOLUCION'!$B:$B,0)),"CÓDIGO NO VÁLIDO")</f>
        <v>OBSERVACIÓN</v>
      </c>
      <c r="F135" s="15" t="str">
        <f>IF(COUNTIF('CENTROS DE COSTOS UTILIZADOS'!$B:$B,D135)&gt;0,"SÍ","NO")</f>
        <v>SÍ</v>
      </c>
      <c r="G135" s="13" t="str">
        <f t="shared" si="2"/>
        <v>B02|HSJCN</v>
      </c>
      <c r="H135" s="13" t="s">
        <v>17</v>
      </c>
      <c r="I135" s="13" t="s">
        <v>234</v>
      </c>
      <c r="J135" s="15" t="s">
        <v>5</v>
      </c>
      <c r="K135" s="15" t="s">
        <v>43</v>
      </c>
      <c r="L135" s="16" t="s">
        <v>48</v>
      </c>
      <c r="M135" s="13" t="s">
        <v>45</v>
      </c>
    </row>
    <row r="136" spans="1:13" x14ac:dyDescent="0.25">
      <c r="A136" s="13">
        <v>1060201</v>
      </c>
      <c r="B136" s="13" t="s">
        <v>236</v>
      </c>
      <c r="C136" s="13"/>
      <c r="D136" s="14" t="s">
        <v>50</v>
      </c>
      <c r="E136" s="13" t="str">
        <f>IFERROR(INDEX('CENTROS DE COSTOS RESOLUCION'!$C:$C,MATCH(D136,'CENTROS DE COSTOS RESOLUCION'!$B:$B,0)),"CÓDIGO NO VÁLIDO")</f>
        <v>MEDICINA GENERAL</v>
      </c>
      <c r="F136" s="15" t="str">
        <f>IF(COUNTIF('CENTROS DE COSTOS UTILIZADOS'!$B:$B,D136)&gt;0,"SÍ","NO")</f>
        <v>SÍ</v>
      </c>
      <c r="G136" s="13" t="str">
        <f t="shared" si="2"/>
        <v>A10|HSJCN</v>
      </c>
      <c r="H136" s="13" t="s">
        <v>17</v>
      </c>
      <c r="I136" s="13" t="s">
        <v>234</v>
      </c>
      <c r="J136" s="15" t="s">
        <v>5</v>
      </c>
      <c r="K136" s="15" t="s">
        <v>43</v>
      </c>
      <c r="L136" s="16" t="s">
        <v>51</v>
      </c>
      <c r="M136" s="13" t="s">
        <v>45</v>
      </c>
    </row>
    <row r="137" spans="1:13" ht="25.5" x14ac:dyDescent="0.25">
      <c r="A137" s="13">
        <v>1060202</v>
      </c>
      <c r="B137" s="13" t="s">
        <v>237</v>
      </c>
      <c r="C137" s="13"/>
      <c r="D137" s="14" t="s">
        <v>53</v>
      </c>
      <c r="E137" s="13" t="str">
        <f>IFERROR(INDEX('CENTROS DE COSTOS RESOLUCION'!$C:$C,MATCH(D137,'CENTROS DE COSTOS RESOLUCION'!$B:$B,0)),"CÓDIGO NO VÁLIDO")</f>
        <v>OTRAS CONSULTAS Y PROCEDIMIENTOS</v>
      </c>
      <c r="F137" s="15" t="str">
        <f>IF(COUNTIF('CENTROS DE COSTOS UTILIZADOS'!$B:$B,D137)&gt;0,"SÍ","NO")</f>
        <v>NO</v>
      </c>
      <c r="G137" s="13" t="str">
        <f t="shared" si="2"/>
        <v>A32|HSJCN</v>
      </c>
      <c r="H137" s="13" t="s">
        <v>17</v>
      </c>
      <c r="I137" s="13" t="s">
        <v>234</v>
      </c>
      <c r="J137" s="15" t="s">
        <v>5</v>
      </c>
      <c r="K137" s="15" t="s">
        <v>54</v>
      </c>
      <c r="L137" s="16" t="s">
        <v>55</v>
      </c>
      <c r="M137" s="13" t="s">
        <v>45</v>
      </c>
    </row>
    <row r="138" spans="1:13" x14ac:dyDescent="0.25">
      <c r="A138" s="13">
        <v>1060203</v>
      </c>
      <c r="B138" s="13" t="s">
        <v>238</v>
      </c>
      <c r="C138" s="13"/>
      <c r="D138" s="14" t="s">
        <v>57</v>
      </c>
      <c r="E138" s="13" t="str">
        <f>IFERROR(INDEX('CENTROS DE COSTOS RESOLUCION'!$C:$C,MATCH(D138,'CENTROS DE COSTOS RESOLUCION'!$B:$B,0)),"CÓDIGO NO VÁLIDO")</f>
        <v>ODONTOLOGÍA GENERAL</v>
      </c>
      <c r="F138" s="15" t="str">
        <f>IF(COUNTIF('CENTROS DE COSTOS UTILIZADOS'!$B:$B,D138)&gt;0,"SÍ","NO")</f>
        <v>SÍ</v>
      </c>
      <c r="G138" s="13" t="str">
        <f t="shared" si="2"/>
        <v>E01|HSJCN</v>
      </c>
      <c r="H138" s="13" t="s">
        <v>17</v>
      </c>
      <c r="I138" s="13" t="s">
        <v>234</v>
      </c>
      <c r="J138" s="15" t="s">
        <v>5</v>
      </c>
      <c r="K138" s="15" t="s">
        <v>43</v>
      </c>
      <c r="L138" s="16" t="s">
        <v>58</v>
      </c>
      <c r="M138" s="13" t="s">
        <v>45</v>
      </c>
    </row>
    <row r="139" spans="1:13" x14ac:dyDescent="0.25">
      <c r="A139" s="13">
        <v>1060204</v>
      </c>
      <c r="B139" s="13" t="s">
        <v>239</v>
      </c>
      <c r="C139" s="13"/>
      <c r="D139" s="14" t="s">
        <v>60</v>
      </c>
      <c r="E139" s="13" t="str">
        <f>IFERROR(INDEX('CENTROS DE COSTOS RESOLUCION'!$C:$C,MATCH(D139,'CENTROS DE COSTOS RESOLUCION'!$B:$B,0)),"CÓDIGO NO VÁLIDO")</f>
        <v>PROMOCIÓN Y PREVENCIÓN</v>
      </c>
      <c r="F139" s="15" t="str">
        <f>IF(COUNTIF('CENTROS DE COSTOS UTILIZADOS'!$B:$B,D139)&gt;0,"SÍ","NO")</f>
        <v>SÍ</v>
      </c>
      <c r="G139" s="13" t="str">
        <f t="shared" si="2"/>
        <v>N03|HSJCN</v>
      </c>
      <c r="H139" s="13" t="s">
        <v>17</v>
      </c>
      <c r="I139" s="13" t="s">
        <v>234</v>
      </c>
      <c r="J139" s="15" t="s">
        <v>5</v>
      </c>
      <c r="K139" s="15" t="s">
        <v>43</v>
      </c>
      <c r="L139" s="16" t="s">
        <v>61</v>
      </c>
      <c r="M139" s="13" t="s">
        <v>45</v>
      </c>
    </row>
    <row r="140" spans="1:13" x14ac:dyDescent="0.25">
      <c r="A140" s="13">
        <v>1060205</v>
      </c>
      <c r="B140" s="13" t="s">
        <v>240</v>
      </c>
      <c r="C140" s="13"/>
      <c r="D140" s="14" t="s">
        <v>63</v>
      </c>
      <c r="E140" s="13" t="str">
        <f>IFERROR(INDEX('CENTROS DE COSTOS RESOLUCION'!$C:$C,MATCH(D140,'CENTROS DE COSTOS RESOLUCION'!$B:$B,0)),"CÓDIGO NO VÁLIDO")</f>
        <v>SALUD PUBLICA</v>
      </c>
      <c r="F140" s="15" t="str">
        <f>IF(COUNTIF('CENTROS DE COSTOS UTILIZADOS'!$B:$B,D140)&gt;0,"SÍ","NO")</f>
        <v>SÍ</v>
      </c>
      <c r="G140" s="13" t="str">
        <f t="shared" si="2"/>
        <v>K25|HSJCN</v>
      </c>
      <c r="H140" s="13" t="s">
        <v>17</v>
      </c>
      <c r="I140" s="13" t="s">
        <v>234</v>
      </c>
      <c r="J140" s="15" t="s">
        <v>5</v>
      </c>
      <c r="K140" s="15" t="s">
        <v>54</v>
      </c>
      <c r="L140" s="16" t="s">
        <v>64</v>
      </c>
      <c r="M140" s="13" t="s">
        <v>45</v>
      </c>
    </row>
    <row r="141" spans="1:13" x14ac:dyDescent="0.25">
      <c r="A141" s="13">
        <v>1060301</v>
      </c>
      <c r="B141" s="13" t="s">
        <v>241</v>
      </c>
      <c r="C141" s="13"/>
      <c r="D141" s="14" t="s">
        <v>66</v>
      </c>
      <c r="E141" s="13" t="str">
        <f>IFERROR(INDEX('CENTROS DE COSTOS RESOLUCION'!$C:$C,MATCH(D141,'CENTROS DE COSTOS RESOLUCION'!$B:$B,0)),"CÓDIGO NO VÁLIDO")</f>
        <v>HOSPITALIZACIÓN GENERAL</v>
      </c>
      <c r="F141" s="15" t="str">
        <f>IF(COUNTIF('CENTROS DE COSTOS UTILIZADOS'!$B:$B,D141)&gt;0,"SÍ","NO")</f>
        <v>NO</v>
      </c>
      <c r="G141" s="13" t="str">
        <f t="shared" si="2"/>
        <v>I01|HSJCN</v>
      </c>
      <c r="H141" s="13" t="s">
        <v>17</v>
      </c>
      <c r="I141" s="13" t="s">
        <v>234</v>
      </c>
      <c r="J141" s="15" t="s">
        <v>5</v>
      </c>
      <c r="K141" s="15" t="s">
        <v>43</v>
      </c>
      <c r="L141" s="16" t="s">
        <v>67</v>
      </c>
      <c r="M141" s="13" t="s">
        <v>45</v>
      </c>
    </row>
    <row r="142" spans="1:13" ht="25.5" x14ac:dyDescent="0.25">
      <c r="A142" s="13">
        <v>1060302</v>
      </c>
      <c r="B142" s="13" t="s">
        <v>242</v>
      </c>
      <c r="C142" s="13"/>
      <c r="D142" s="14" t="s">
        <v>69</v>
      </c>
      <c r="E142" s="13" t="str">
        <f>IFERROR(INDEX('CENTROS DE COSTOS RESOLUCION'!$C:$C,MATCH(D142,'CENTROS DE COSTOS RESOLUCION'!$B:$B,0)),"CÓDIGO NO VÁLIDO")</f>
        <v>UCI ADULTOS</v>
      </c>
      <c r="F142" s="15" t="str">
        <f>IF(COUNTIF('CENTROS DE COSTOS UTILIZADOS'!$B:$B,D142)&gt;0,"SÍ","NO")</f>
        <v>NO</v>
      </c>
      <c r="G142" s="13" t="str">
        <f t="shared" si="2"/>
        <v>J02|HSJCN</v>
      </c>
      <c r="H142" s="13" t="s">
        <v>17</v>
      </c>
      <c r="I142" s="13" t="s">
        <v>234</v>
      </c>
      <c r="J142" s="15" t="s">
        <v>7</v>
      </c>
      <c r="K142" s="15" t="s">
        <v>43</v>
      </c>
      <c r="L142" s="16" t="s">
        <v>70</v>
      </c>
      <c r="M142" s="13" t="s">
        <v>45</v>
      </c>
    </row>
    <row r="143" spans="1:13" ht="25.5" x14ac:dyDescent="0.25">
      <c r="A143" s="13">
        <v>1060303</v>
      </c>
      <c r="B143" s="13" t="s">
        <v>243</v>
      </c>
      <c r="C143" s="13"/>
      <c r="D143" s="14" t="s">
        <v>72</v>
      </c>
      <c r="E143" s="13" t="str">
        <f>IFERROR(INDEX('CENTROS DE COSTOS RESOLUCION'!$C:$C,MATCH(D143,'CENTROS DE COSTOS RESOLUCION'!$B:$B,0)),"CÓDIGO NO VÁLIDO")</f>
        <v>UCI INTERMEDIOS ADULTOS</v>
      </c>
      <c r="F143" s="15" t="str">
        <f>IF(COUNTIF('CENTROS DE COSTOS UTILIZADOS'!$B:$B,D143)&gt;0,"SÍ","NO")</f>
        <v>NO</v>
      </c>
      <c r="G143" s="13" t="str">
        <f t="shared" si="2"/>
        <v>J05|HSJCN</v>
      </c>
      <c r="H143" s="13" t="s">
        <v>17</v>
      </c>
      <c r="I143" s="13" t="s">
        <v>234</v>
      </c>
      <c r="J143" s="15" t="s">
        <v>7</v>
      </c>
      <c r="K143" s="15" t="s">
        <v>43</v>
      </c>
      <c r="L143" s="16" t="s">
        <v>70</v>
      </c>
      <c r="M143" s="13" t="s">
        <v>45</v>
      </c>
    </row>
    <row r="144" spans="1:13" x14ac:dyDescent="0.25">
      <c r="A144" s="13">
        <v>1060304</v>
      </c>
      <c r="B144" s="13" t="s">
        <v>244</v>
      </c>
      <c r="C144" s="13"/>
      <c r="D144" s="14" t="s">
        <v>74</v>
      </c>
      <c r="E144" s="13" t="str">
        <f>IFERROR(INDEX('CENTROS DE COSTOS RESOLUCION'!$C:$C,MATCH(D144,'CENTROS DE COSTOS RESOLUCION'!$B:$B,0)),"CÓDIGO NO VÁLIDO")</f>
        <v>UNIDAD DE RECIÉN NACIDOS</v>
      </c>
      <c r="F144" s="15" t="str">
        <f>IF(COUNTIF('CENTROS DE COSTOS UTILIZADOS'!$B:$B,D144)&gt;0,"SÍ","NO")</f>
        <v>NO</v>
      </c>
      <c r="G144" s="13" t="str">
        <f t="shared" si="2"/>
        <v>J09|HSJCN</v>
      </c>
      <c r="H144" s="13" t="s">
        <v>17</v>
      </c>
      <c r="I144" s="13" t="s">
        <v>234</v>
      </c>
      <c r="J144" s="15" t="s">
        <v>6</v>
      </c>
      <c r="K144" s="15" t="s">
        <v>54</v>
      </c>
      <c r="L144" s="16" t="s">
        <v>75</v>
      </c>
      <c r="M144" s="13" t="s">
        <v>45</v>
      </c>
    </row>
    <row r="145" spans="1:13" ht="25.5" x14ac:dyDescent="0.25">
      <c r="A145" s="13">
        <v>1060305</v>
      </c>
      <c r="B145" s="13" t="s">
        <v>245</v>
      </c>
      <c r="C145" s="13"/>
      <c r="D145" s="14" t="s">
        <v>77</v>
      </c>
      <c r="E145" s="13" t="str">
        <f>IFERROR(INDEX('CENTROS DE COSTOS RESOLUCION'!$C:$C,MATCH(D145,'CENTROS DE COSTOS RESOLUCION'!$B:$B,0)),"CÓDIGO NO VÁLIDO")</f>
        <v>UNIDAD SALUD MENTAL Y DESINTOXICACIÓN (BAJA COMPLEJIDAD)</v>
      </c>
      <c r="F145" s="15" t="str">
        <f>IF(COUNTIF('CENTROS DE COSTOS UTILIZADOS'!$B:$B,D145)&gt;0,"SÍ","NO")</f>
        <v>NO</v>
      </c>
      <c r="G145" s="13" t="str">
        <f t="shared" si="2"/>
        <v>J10|HSJCN</v>
      </c>
      <c r="H145" s="13" t="s">
        <v>17</v>
      </c>
      <c r="I145" s="13" t="s">
        <v>234</v>
      </c>
      <c r="J145" s="15" t="s">
        <v>7</v>
      </c>
      <c r="K145" s="15" t="s">
        <v>43</v>
      </c>
      <c r="L145" s="16" t="s">
        <v>70</v>
      </c>
      <c r="M145" s="13" t="s">
        <v>45</v>
      </c>
    </row>
    <row r="146" spans="1:13" ht="25.5" x14ac:dyDescent="0.25">
      <c r="A146" s="13">
        <v>1060306</v>
      </c>
      <c r="B146" s="13" t="s">
        <v>246</v>
      </c>
      <c r="C146" s="13"/>
      <c r="D146" s="14" t="s">
        <v>79</v>
      </c>
      <c r="E146" s="13" t="str">
        <f>IFERROR(INDEX('CENTROS DE COSTOS RESOLUCION'!$C:$C,MATCH(D146,'CENTROS DE COSTOS RESOLUCION'!$B:$B,0)),"CÓDIGO NO VÁLIDO")</f>
        <v>UNIDAD DE QUEMADOS ADULTOS</v>
      </c>
      <c r="F146" s="15" t="str">
        <f>IF(COUNTIF('CENTROS DE COSTOS UTILIZADOS'!$B:$B,D146)&gt;0,"SÍ","NO")</f>
        <v>NO</v>
      </c>
      <c r="G146" s="13" t="str">
        <f t="shared" si="2"/>
        <v>J08|HSJCN</v>
      </c>
      <c r="H146" s="13" t="s">
        <v>17</v>
      </c>
      <c r="I146" s="13" t="s">
        <v>234</v>
      </c>
      <c r="J146" s="15" t="s">
        <v>7</v>
      </c>
      <c r="K146" s="15" t="s">
        <v>43</v>
      </c>
      <c r="L146" s="16" t="s">
        <v>70</v>
      </c>
      <c r="M146" s="13" t="s">
        <v>45</v>
      </c>
    </row>
    <row r="147" spans="1:13" ht="25.5" x14ac:dyDescent="0.25">
      <c r="A147" s="13">
        <v>1060307</v>
      </c>
      <c r="B147" s="13" t="s">
        <v>247</v>
      </c>
      <c r="C147" s="13"/>
      <c r="D147" s="14" t="s">
        <v>81</v>
      </c>
      <c r="E147" s="13" t="str">
        <f>IFERROR(INDEX('CENTROS DE COSTOS RESOLUCION'!$C:$C,MATCH(D147,'CENTROS DE COSTOS RESOLUCION'!$B:$B,0)),"CÓDIGO NO VÁLIDO")</f>
        <v>OTRAS UNIDADES ESPECIALES</v>
      </c>
      <c r="F147" s="15" t="str">
        <f>IF(COUNTIF('CENTROS DE COSTOS UTILIZADOS'!$B:$B,D147)&gt;0,"SÍ","NO")</f>
        <v>NO</v>
      </c>
      <c r="G147" s="13" t="str">
        <f t="shared" si="2"/>
        <v>J13|HSJCN</v>
      </c>
      <c r="H147" s="13" t="s">
        <v>17</v>
      </c>
      <c r="I147" s="13" t="s">
        <v>234</v>
      </c>
      <c r="J147" s="15" t="s">
        <v>7</v>
      </c>
      <c r="K147" s="15" t="s">
        <v>54</v>
      </c>
      <c r="L147" s="16" t="s">
        <v>70</v>
      </c>
      <c r="M147" s="13" t="s">
        <v>45</v>
      </c>
    </row>
    <row r="148" spans="1:13" x14ac:dyDescent="0.25">
      <c r="A148" s="13">
        <v>1060401</v>
      </c>
      <c r="B148" s="13" t="s">
        <v>248</v>
      </c>
      <c r="C148" s="13"/>
      <c r="D148" s="14" t="s">
        <v>83</v>
      </c>
      <c r="E148" s="13" t="str">
        <f>IFERROR(INDEX('CENTROS DE COSTOS RESOLUCION'!$C:$C,MATCH(D148,'CENTROS DE COSTOS RESOLUCION'!$B:$B,0)),"CÓDIGO NO VÁLIDO")</f>
        <v>CIRUGÍA GENERAL</v>
      </c>
      <c r="F148" s="15" t="str">
        <f>IF(COUNTIF('CENTROS DE COSTOS UTILIZADOS'!$B:$B,D148)&gt;0,"SÍ","NO")</f>
        <v>NO</v>
      </c>
      <c r="G148" s="13" t="str">
        <f t="shared" si="2"/>
        <v>C01|HSJCN</v>
      </c>
      <c r="H148" s="13" t="s">
        <v>17</v>
      </c>
      <c r="I148" s="13" t="s">
        <v>234</v>
      </c>
      <c r="J148" s="15" t="s">
        <v>6</v>
      </c>
      <c r="K148" s="15" t="s">
        <v>54</v>
      </c>
      <c r="L148" s="16" t="s">
        <v>84</v>
      </c>
      <c r="M148" s="13" t="s">
        <v>45</v>
      </c>
    </row>
    <row r="149" spans="1:13" x14ac:dyDescent="0.25">
      <c r="A149" s="13">
        <v>1060402</v>
      </c>
      <c r="B149" s="13" t="s">
        <v>249</v>
      </c>
      <c r="C149" s="13"/>
      <c r="D149" s="14" t="s">
        <v>86</v>
      </c>
      <c r="E149" s="13" t="str">
        <f>IFERROR(INDEX('CENTROS DE COSTOS RESOLUCION'!$C:$C,MATCH(D149,'CENTROS DE COSTOS RESOLUCION'!$B:$B,0)),"CÓDIGO NO VÁLIDO")</f>
        <v>ATENCIÓN DE PARTO BAJA COMPLEJIDAD</v>
      </c>
      <c r="F149" s="15" t="str">
        <f>IF(COUNTIF('CENTROS DE COSTOS UTILIZADOS'!$B:$B,D149)&gt;0,"SÍ","NO")</f>
        <v>NO</v>
      </c>
      <c r="G149" s="13" t="str">
        <f t="shared" si="2"/>
        <v>D02|HSJCN</v>
      </c>
      <c r="H149" s="13" t="s">
        <v>17</v>
      </c>
      <c r="I149" s="13" t="s">
        <v>234</v>
      </c>
      <c r="J149" s="15" t="s">
        <v>5</v>
      </c>
      <c r="K149" s="15" t="s">
        <v>43</v>
      </c>
      <c r="L149" s="16" t="s">
        <v>87</v>
      </c>
      <c r="M149" s="13" t="s">
        <v>45</v>
      </c>
    </row>
    <row r="150" spans="1:13" x14ac:dyDescent="0.25">
      <c r="A150" s="13">
        <v>1060501</v>
      </c>
      <c r="B150" s="13" t="s">
        <v>250</v>
      </c>
      <c r="C150" s="13"/>
      <c r="D150" s="14" t="s">
        <v>89</v>
      </c>
      <c r="E150" s="13" t="str">
        <f>IFERROR(INDEX('CENTROS DE COSTOS RESOLUCION'!$C:$C,MATCH(D150,'CENTROS DE COSTOS RESOLUCION'!$B:$B,0)),"CÓDIGO NO VÁLIDO")</f>
        <v>LABORATORIO Y ANÁLISIS CLÍNICO</v>
      </c>
      <c r="F150" s="15" t="str">
        <f>IF(COUNTIF('CENTROS DE COSTOS UTILIZADOS'!$B:$B,D150)&gt;0,"SÍ","NO")</f>
        <v>SÍ</v>
      </c>
      <c r="G150" s="13" t="str">
        <f t="shared" si="2"/>
        <v>L07|HSJCN</v>
      </c>
      <c r="H150" s="13" t="s">
        <v>18</v>
      </c>
      <c r="I150" s="13" t="s">
        <v>234</v>
      </c>
      <c r="J150" s="15" t="s">
        <v>5</v>
      </c>
      <c r="K150" s="15" t="s">
        <v>43</v>
      </c>
      <c r="L150" s="16" t="s">
        <v>90</v>
      </c>
      <c r="M150" s="13" t="s">
        <v>45</v>
      </c>
    </row>
    <row r="151" spans="1:13" x14ac:dyDescent="0.25">
      <c r="A151" s="13">
        <v>1060502</v>
      </c>
      <c r="B151" s="13" t="s">
        <v>251</v>
      </c>
      <c r="C151" s="13"/>
      <c r="D151" s="14" t="s">
        <v>92</v>
      </c>
      <c r="E151" s="13" t="str">
        <f>IFERROR(INDEX('CENTROS DE COSTOS RESOLUCION'!$C:$C,MATCH(D151,'CENTROS DE COSTOS RESOLUCION'!$B:$B,0)),"CÓDIGO NO VÁLIDO")</f>
        <v>IMAGENEOLOGÍA RADIOLÓGICA</v>
      </c>
      <c r="F151" s="15" t="str">
        <f>IF(COUNTIF('CENTROS DE COSTOS UTILIZADOS'!$B:$B,D151)&gt;0,"SÍ","NO")</f>
        <v>SÍ</v>
      </c>
      <c r="G151" s="13" t="str">
        <f t="shared" si="2"/>
        <v>L02|HSJCN</v>
      </c>
      <c r="H151" s="13" t="s">
        <v>18</v>
      </c>
      <c r="I151" s="13" t="s">
        <v>234</v>
      </c>
      <c r="J151" s="15" t="s">
        <v>5</v>
      </c>
      <c r="K151" s="15" t="s">
        <v>43</v>
      </c>
      <c r="L151" s="16" t="s">
        <v>93</v>
      </c>
      <c r="M151" s="13" t="s">
        <v>45</v>
      </c>
    </row>
    <row r="152" spans="1:13" ht="25.5" x14ac:dyDescent="0.25">
      <c r="A152" s="13">
        <v>1060503</v>
      </c>
      <c r="B152" s="13" t="s">
        <v>252</v>
      </c>
      <c r="C152" s="13"/>
      <c r="D152" s="14" t="s">
        <v>95</v>
      </c>
      <c r="E152" s="13" t="str">
        <f>IFERROR(INDEX('CENTROS DE COSTOS RESOLUCION'!$C:$C,MATCH(D152,'CENTROS DE COSTOS RESOLUCION'!$B:$B,0)),"CÓDIGO NO VÁLIDO")</f>
        <v>LABORATORIO ANATOMÍA PATOLÓGICA</v>
      </c>
      <c r="F152" s="15" t="str">
        <f>IF(COUNTIF('CENTROS DE COSTOS UTILIZADOS'!$B:$B,D152)&gt;0,"SÍ","NO")</f>
        <v>NO</v>
      </c>
      <c r="G152" s="13" t="str">
        <f t="shared" si="2"/>
        <v>L01|HSJCN</v>
      </c>
      <c r="H152" s="13" t="s">
        <v>18</v>
      </c>
      <c r="I152" s="13" t="s">
        <v>234</v>
      </c>
      <c r="J152" s="15" t="s">
        <v>7</v>
      </c>
      <c r="K152" s="15" t="s">
        <v>43</v>
      </c>
      <c r="L152" s="16" t="s">
        <v>70</v>
      </c>
      <c r="M152" s="13" t="s">
        <v>45</v>
      </c>
    </row>
    <row r="153" spans="1:13" ht="25.5" x14ac:dyDescent="0.25">
      <c r="A153" s="13">
        <v>1060504</v>
      </c>
      <c r="B153" s="13" t="s">
        <v>253</v>
      </c>
      <c r="C153" s="13"/>
      <c r="D153" s="14" t="s">
        <v>97</v>
      </c>
      <c r="E153" s="13" t="str">
        <f>IFERROR(INDEX('CENTROS DE COSTOS RESOLUCION'!$C:$C,MATCH(D153,'CENTROS DE COSTOS RESOLUCION'!$B:$B,0)),"CÓDIGO NO VÁLIDO")</f>
        <v>IMAGENOLOGÍA NO RADIOLÓGICA</v>
      </c>
      <c r="F153" s="15" t="str">
        <f>IF(COUNTIF('CENTROS DE COSTOS UTILIZADOS'!$B:$B,D153)&gt;0,"SÍ","NO")</f>
        <v>NO</v>
      </c>
      <c r="G153" s="13" t="str">
        <f t="shared" si="2"/>
        <v>L04|HSJCN</v>
      </c>
      <c r="H153" s="13" t="s">
        <v>18</v>
      </c>
      <c r="I153" s="13" t="s">
        <v>234</v>
      </c>
      <c r="J153" s="15" t="s">
        <v>6</v>
      </c>
      <c r="K153" s="15" t="s">
        <v>54</v>
      </c>
      <c r="L153" s="16" t="s">
        <v>98</v>
      </c>
      <c r="M153" s="13" t="s">
        <v>45</v>
      </c>
    </row>
    <row r="154" spans="1:13" x14ac:dyDescent="0.25">
      <c r="A154" s="13">
        <v>1060601</v>
      </c>
      <c r="B154" s="13" t="s">
        <v>254</v>
      </c>
      <c r="C154" s="13"/>
      <c r="D154" s="14" t="s">
        <v>100</v>
      </c>
      <c r="E154" s="13" t="str">
        <f>IFERROR(INDEX('CENTROS DE COSTOS RESOLUCION'!$C:$C,MATCH(D154,'CENTROS DE COSTOS RESOLUCION'!$B:$B,0)),"CÓDIGO NO VÁLIDO")</f>
        <v>FISIOTERAPIA Y REHABILITACIÓN</v>
      </c>
      <c r="F154" s="15" t="str">
        <f>IF(COUNTIF('CENTROS DE COSTOS UTILIZADOS'!$B:$B,D154)&gt;0,"SÍ","NO")</f>
        <v>SÍ</v>
      </c>
      <c r="G154" s="13" t="str">
        <f t="shared" si="2"/>
        <v>M06|HSJCN</v>
      </c>
      <c r="H154" s="13" t="s">
        <v>18</v>
      </c>
      <c r="I154" s="13" t="s">
        <v>234</v>
      </c>
      <c r="J154" s="15" t="s">
        <v>5</v>
      </c>
      <c r="K154" s="15" t="s">
        <v>43</v>
      </c>
      <c r="L154" s="16" t="s">
        <v>101</v>
      </c>
      <c r="M154" s="13" t="s">
        <v>45</v>
      </c>
    </row>
    <row r="155" spans="1:13" ht="25.5" x14ac:dyDescent="0.25">
      <c r="A155" s="13">
        <v>1060602</v>
      </c>
      <c r="B155" s="13" t="s">
        <v>255</v>
      </c>
      <c r="C155" s="13"/>
      <c r="D155" s="14" t="s">
        <v>103</v>
      </c>
      <c r="E155" s="13" t="str">
        <f>IFERROR(INDEX('CENTROS DE COSTOS RESOLUCION'!$C:$C,MATCH(D155,'CENTROS DE COSTOS RESOLUCION'!$B:$B,0)),"CÓDIGO NO VÁLIDO")</f>
        <v>BANCO DE SANGRE</v>
      </c>
      <c r="F155" s="15" t="str">
        <f>IF(COUNTIF('CENTROS DE COSTOS UTILIZADOS'!$B:$B,D155)&gt;0,"SÍ","NO")</f>
        <v>NO</v>
      </c>
      <c r="G155" s="13" t="str">
        <f t="shared" si="2"/>
        <v>M01|HSJCN</v>
      </c>
      <c r="H155" s="13" t="s">
        <v>18</v>
      </c>
      <c r="I155" s="13" t="s">
        <v>234</v>
      </c>
      <c r="J155" s="15" t="s">
        <v>7</v>
      </c>
      <c r="K155" s="15" t="s">
        <v>43</v>
      </c>
      <c r="L155" s="16" t="s">
        <v>70</v>
      </c>
      <c r="M155" s="13" t="s">
        <v>45</v>
      </c>
    </row>
    <row r="156" spans="1:13" ht="25.5" x14ac:dyDescent="0.25">
      <c r="A156" s="13">
        <v>1060603</v>
      </c>
      <c r="B156" s="13" t="s">
        <v>256</v>
      </c>
      <c r="C156" s="13"/>
      <c r="D156" s="14" t="s">
        <v>105</v>
      </c>
      <c r="E156" s="13" t="str">
        <f>IFERROR(INDEX('CENTROS DE COSTOS RESOLUCION'!$C:$C,MATCH(D156,'CENTROS DE COSTOS RESOLUCION'!$B:$B,0)),"CÓDIGO NO VÁLIDO")</f>
        <v>TERAPIA RENAL</v>
      </c>
      <c r="F156" s="15" t="str">
        <f>IF(COUNTIF('CENTROS DE COSTOS UTILIZADOS'!$B:$B,D156)&gt;0,"SÍ","NO")</f>
        <v>NO</v>
      </c>
      <c r="G156" s="13" t="str">
        <f t="shared" si="2"/>
        <v>M03|HSJCN</v>
      </c>
      <c r="H156" s="13" t="s">
        <v>18</v>
      </c>
      <c r="I156" s="13" t="s">
        <v>234</v>
      </c>
      <c r="J156" s="15" t="s">
        <v>7</v>
      </c>
      <c r="K156" s="15" t="s">
        <v>43</v>
      </c>
      <c r="L156" s="16" t="s">
        <v>70</v>
      </c>
      <c r="M156" s="13" t="s">
        <v>45</v>
      </c>
    </row>
    <row r="157" spans="1:13" ht="25.5" x14ac:dyDescent="0.25">
      <c r="A157" s="13">
        <v>1060604</v>
      </c>
      <c r="B157" s="13" t="s">
        <v>257</v>
      </c>
      <c r="C157" s="13"/>
      <c r="D157" s="14" t="s">
        <v>107</v>
      </c>
      <c r="E157" s="13" t="str">
        <f>IFERROR(INDEX('CENTROS DE COSTOS RESOLUCION'!$C:$C,MATCH(D157,'CENTROS DE COSTOS RESOLUCION'!$B:$B,0)),"CÓDIGO NO VÁLIDO")</f>
        <v>CARDIOVASCULAR</v>
      </c>
      <c r="F157" s="15" t="str">
        <f>IF(COUNTIF('CENTROS DE COSTOS UTILIZADOS'!$B:$B,D157)&gt;0,"SÍ","NO")</f>
        <v>NO</v>
      </c>
      <c r="G157" s="13" t="str">
        <f t="shared" si="2"/>
        <v>C05|HSJCN</v>
      </c>
      <c r="H157" s="13" t="s">
        <v>17</v>
      </c>
      <c r="I157" s="13" t="s">
        <v>234</v>
      </c>
      <c r="J157" s="15" t="s">
        <v>7</v>
      </c>
      <c r="K157" s="15" t="s">
        <v>43</v>
      </c>
      <c r="L157" s="16" t="s">
        <v>70</v>
      </c>
      <c r="M157" s="13" t="s">
        <v>45</v>
      </c>
    </row>
    <row r="158" spans="1:13" ht="25.5" x14ac:dyDescent="0.25">
      <c r="A158" s="13">
        <v>1060605</v>
      </c>
      <c r="B158" s="13" t="s">
        <v>258</v>
      </c>
      <c r="C158" s="13"/>
      <c r="D158" s="14" t="s">
        <v>109</v>
      </c>
      <c r="E158" s="13" t="str">
        <f>IFERROR(INDEX('CENTROS DE COSTOS RESOLUCION'!$C:$C,MATCH(D158,'CENTROS DE COSTOS RESOLUCION'!$B:$B,0)),"CÓDIGO NO VÁLIDO")</f>
        <v>OTRAS TERAPIAS</v>
      </c>
      <c r="F158" s="15" t="str">
        <f>IF(COUNTIF('CENTROS DE COSTOS UTILIZADOS'!$B:$B,D158)&gt;0,"SÍ","NO")</f>
        <v>NO</v>
      </c>
      <c r="G158" s="13" t="str">
        <f t="shared" si="2"/>
        <v>M07|HSJCN</v>
      </c>
      <c r="H158" s="13" t="s">
        <v>18</v>
      </c>
      <c r="I158" s="13" t="s">
        <v>234</v>
      </c>
      <c r="J158" s="15" t="s">
        <v>7</v>
      </c>
      <c r="K158" s="15" t="s">
        <v>43</v>
      </c>
      <c r="L158" s="16" t="s">
        <v>70</v>
      </c>
      <c r="M158" s="13" t="s">
        <v>45</v>
      </c>
    </row>
    <row r="159" spans="1:13" x14ac:dyDescent="0.25">
      <c r="A159" s="13">
        <v>1060606</v>
      </c>
      <c r="B159" s="13" t="s">
        <v>259</v>
      </c>
      <c r="C159" s="13"/>
      <c r="D159" s="14" t="s">
        <v>111</v>
      </c>
      <c r="E159" s="13" t="str">
        <f>IFERROR(INDEX('CENTROS DE COSTOS RESOLUCION'!$C:$C,MATCH(D159,'CENTROS DE COSTOS RESOLUCION'!$B:$B,0)),"CÓDIGO NO VÁLIDO")</f>
        <v>FARMACIA</v>
      </c>
      <c r="F159" s="15" t="str">
        <f>IF(COUNTIF('CENTROS DE COSTOS UTILIZADOS'!$B:$B,D159)&gt;0,"SÍ","NO")</f>
        <v>SÍ</v>
      </c>
      <c r="G159" s="13" t="str">
        <f t="shared" si="2"/>
        <v>M05|HSJCN</v>
      </c>
      <c r="H159" s="13" t="s">
        <v>18</v>
      </c>
      <c r="I159" s="13" t="s">
        <v>234</v>
      </c>
      <c r="J159" s="15" t="s">
        <v>5</v>
      </c>
      <c r="K159" s="15" t="s">
        <v>43</v>
      </c>
      <c r="L159" s="16" t="s">
        <v>112</v>
      </c>
      <c r="M159" s="13" t="s">
        <v>45</v>
      </c>
    </row>
    <row r="160" spans="1:13" x14ac:dyDescent="0.25">
      <c r="A160" s="13">
        <v>1060607</v>
      </c>
      <c r="B160" s="13" t="s">
        <v>260</v>
      </c>
      <c r="C160" s="13"/>
      <c r="D160" s="14" t="s">
        <v>109</v>
      </c>
      <c r="E160" s="13" t="str">
        <f>IFERROR(INDEX('CENTROS DE COSTOS RESOLUCION'!$C:$C,MATCH(D160,'CENTROS DE COSTOS RESOLUCION'!$B:$B,0)),"CÓDIGO NO VÁLIDO")</f>
        <v>OTRAS TERAPIAS</v>
      </c>
      <c r="F160" s="15" t="str">
        <f>IF(COUNTIF('CENTROS DE COSTOS UTILIZADOS'!$B:$B,D160)&gt;0,"SÍ","NO")</f>
        <v>NO</v>
      </c>
      <c r="G160" s="13" t="str">
        <f t="shared" si="2"/>
        <v>M07|HSJCN</v>
      </c>
      <c r="H160" s="13" t="s">
        <v>18</v>
      </c>
      <c r="I160" s="13" t="s">
        <v>234</v>
      </c>
      <c r="J160" s="15" t="s">
        <v>6</v>
      </c>
      <c r="K160" s="15" t="s">
        <v>54</v>
      </c>
      <c r="L160" s="16" t="s">
        <v>114</v>
      </c>
      <c r="M160" s="13" t="s">
        <v>45</v>
      </c>
    </row>
    <row r="161" spans="1:13" ht="25.5" x14ac:dyDescent="0.25">
      <c r="A161" s="13">
        <v>1060701</v>
      </c>
      <c r="B161" s="13" t="s">
        <v>261</v>
      </c>
      <c r="C161" s="13"/>
      <c r="D161" s="14" t="s">
        <v>116</v>
      </c>
      <c r="E161" s="13" t="str">
        <f>IFERROR(INDEX('CENTROS DE COSTOS RESOLUCION'!$C:$C,MATCH(D161,'CENTROS DE COSTOS RESOLUCION'!$B:$B,0)),"CÓDIGO NO VÁLIDO")</f>
        <v>ANCIANATOS Y ALBERGUES</v>
      </c>
      <c r="F161" s="15" t="str">
        <f>IF(COUNTIF('CENTROS DE COSTOS UTILIZADOS'!$B:$B,D161)&gt;0,"SÍ","NO")</f>
        <v>NO</v>
      </c>
      <c r="G161" s="13" t="str">
        <f t="shared" si="2"/>
        <v>J01|HSJCN</v>
      </c>
      <c r="H161" s="13" t="s">
        <v>17</v>
      </c>
      <c r="I161" s="13" t="s">
        <v>234</v>
      </c>
      <c r="J161" s="15" t="s">
        <v>7</v>
      </c>
      <c r="K161" s="15" t="s">
        <v>43</v>
      </c>
      <c r="L161" s="16" t="s">
        <v>70</v>
      </c>
      <c r="M161" s="13" t="s">
        <v>45</v>
      </c>
    </row>
    <row r="162" spans="1:13" x14ac:dyDescent="0.25">
      <c r="A162" s="13">
        <v>1060702</v>
      </c>
      <c r="B162" s="13" t="s">
        <v>262</v>
      </c>
      <c r="C162" s="13"/>
      <c r="D162" s="14" t="s">
        <v>118</v>
      </c>
      <c r="E162" s="13" t="str">
        <f>IFERROR(INDEX('CENTROS DE COSTOS RESOLUCION'!$C:$C,MATCH(D162,'CENTROS DE COSTOS RESOLUCION'!$B:$B,0)),"CÓDIGO NO VÁLIDO")</f>
        <v>CENTROS Y PUESTOS DE SALUD</v>
      </c>
      <c r="F162" s="15" t="str">
        <f>IF(COUNTIF('CENTROS DE COSTOS UTILIZADOS'!$B:$B,D162)&gt;0,"SÍ","NO")</f>
        <v>SÍ</v>
      </c>
      <c r="G162" s="13" t="str">
        <f t="shared" si="2"/>
        <v>J17|HSJCN</v>
      </c>
      <c r="H162" s="13" t="s">
        <v>17</v>
      </c>
      <c r="I162" s="13" t="s">
        <v>234</v>
      </c>
      <c r="J162" s="15" t="s">
        <v>5</v>
      </c>
      <c r="K162" s="15" t="s">
        <v>43</v>
      </c>
      <c r="L162" s="16" t="s">
        <v>119</v>
      </c>
      <c r="M162" s="13" t="s">
        <v>45</v>
      </c>
    </row>
    <row r="163" spans="1:13" ht="25.5" x14ac:dyDescent="0.25">
      <c r="A163" s="13">
        <v>1060703</v>
      </c>
      <c r="B163" s="13" t="s">
        <v>263</v>
      </c>
      <c r="C163" s="13"/>
      <c r="D163" s="14" t="s">
        <v>121</v>
      </c>
      <c r="E163" s="13" t="str">
        <f>IFERROR(INDEX('CENTROS DE COSTOS RESOLUCION'!$C:$C,MATCH(D163,'CENTROS DE COSTOS RESOLUCION'!$B:$B,0)),"CÓDIGO NO VÁLIDO")</f>
        <v>EDUCACIÓN MÉDICA</v>
      </c>
      <c r="F163" s="15" t="str">
        <f>IF(COUNTIF('CENTROS DE COSTOS UTILIZADOS'!$B:$B,D163)&gt;0,"SÍ","NO")</f>
        <v>NO</v>
      </c>
      <c r="G163" s="13" t="str">
        <f t="shared" si="2"/>
        <v>U03|HSJCN</v>
      </c>
      <c r="H163" s="13" t="s">
        <v>20</v>
      </c>
      <c r="I163" s="13" t="s">
        <v>234</v>
      </c>
      <c r="J163" s="15" t="s">
        <v>7</v>
      </c>
      <c r="K163" s="15" t="s">
        <v>43</v>
      </c>
      <c r="L163" s="16" t="s">
        <v>70</v>
      </c>
      <c r="M163" s="13" t="s">
        <v>45</v>
      </c>
    </row>
    <row r="164" spans="1:13" ht="25.5" x14ac:dyDescent="0.25">
      <c r="A164" s="13">
        <v>1060704</v>
      </c>
      <c r="B164" s="13" t="s">
        <v>264</v>
      </c>
      <c r="C164" s="13"/>
      <c r="D164" s="14" t="s">
        <v>53</v>
      </c>
      <c r="E164" s="13" t="str">
        <f>IFERROR(INDEX('CENTROS DE COSTOS RESOLUCION'!$C:$C,MATCH(D164,'CENTROS DE COSTOS RESOLUCION'!$B:$B,0)),"CÓDIGO NO VÁLIDO")</f>
        <v>OTRAS CONSULTAS Y PROCEDIMIENTOS</v>
      </c>
      <c r="F164" s="15" t="str">
        <f>IF(COUNTIF('CENTROS DE COSTOS UTILIZADOS'!$B:$B,D164)&gt;0,"SÍ","NO")</f>
        <v>NO</v>
      </c>
      <c r="G164" s="13" t="str">
        <f t="shared" si="2"/>
        <v>A32|HSJCN</v>
      </c>
      <c r="H164" s="13" t="s">
        <v>17</v>
      </c>
      <c r="I164" s="13" t="s">
        <v>234</v>
      </c>
      <c r="J164" s="15" t="s">
        <v>6</v>
      </c>
      <c r="K164" s="15" t="s">
        <v>123</v>
      </c>
      <c r="L164" s="16" t="s">
        <v>124</v>
      </c>
      <c r="M164" s="13" t="s">
        <v>45</v>
      </c>
    </row>
    <row r="165" spans="1:13" x14ac:dyDescent="0.25">
      <c r="A165" s="13">
        <v>1060705</v>
      </c>
      <c r="B165" s="13" t="s">
        <v>265</v>
      </c>
      <c r="C165" s="13"/>
      <c r="D165" s="14" t="s">
        <v>126</v>
      </c>
      <c r="E165" s="13" t="str">
        <f>IFERROR(INDEX('CENTROS DE COSTOS RESOLUCION'!$C:$C,MATCH(D165,'CENTROS DE COSTOS RESOLUCION'!$B:$B,0)),"CÓDIGO NO VÁLIDO")</f>
        <v>SERVICIO DE AMBULANCIAS</v>
      </c>
      <c r="F165" s="15" t="str">
        <f>IF(COUNTIF('CENTROS DE COSTOS UTILIZADOS'!$B:$B,D165)&gt;0,"SÍ","NO")</f>
        <v>SÍ</v>
      </c>
      <c r="G165" s="13" t="str">
        <f t="shared" si="2"/>
        <v>N08|HSJCN</v>
      </c>
      <c r="H165" s="13" t="s">
        <v>17</v>
      </c>
      <c r="I165" s="13" t="s">
        <v>234</v>
      </c>
      <c r="J165" s="15" t="s">
        <v>5</v>
      </c>
      <c r="K165" s="15" t="s">
        <v>43</v>
      </c>
      <c r="L165" s="16" t="s">
        <v>127</v>
      </c>
      <c r="M165" s="13" t="s">
        <v>45</v>
      </c>
    </row>
    <row r="166" spans="1:13" x14ac:dyDescent="0.25">
      <c r="A166" s="13">
        <v>1060706</v>
      </c>
      <c r="B166" s="13" t="s">
        <v>266</v>
      </c>
      <c r="C166" s="13"/>
      <c r="D166" s="14" t="s">
        <v>129</v>
      </c>
      <c r="E166" s="13" t="str">
        <f>IFERROR(INDEX('CENTROS DE COSTOS RESOLUCION'!$C:$C,MATCH(D166,'CENTROS DE COSTOS RESOLUCION'!$B:$B,0)),"CÓDIGO NO VÁLIDO")</f>
        <v>OTROS ENFERMERÍA</v>
      </c>
      <c r="F166" s="15" t="str">
        <f>IF(COUNTIF('CENTROS DE COSTOS UTILIZADOS'!$B:$B,D166)&gt;0,"SÍ","NO")</f>
        <v>NO</v>
      </c>
      <c r="G166" s="13" t="str">
        <f t="shared" si="2"/>
        <v>N04|HSJCN</v>
      </c>
      <c r="H166" s="13" t="s">
        <v>18</v>
      </c>
      <c r="I166" s="13" t="s">
        <v>234</v>
      </c>
      <c r="J166" s="15" t="s">
        <v>6</v>
      </c>
      <c r="K166" s="15" t="s">
        <v>123</v>
      </c>
      <c r="L166" s="16" t="s">
        <v>130</v>
      </c>
      <c r="M166" s="13" t="s">
        <v>45</v>
      </c>
    </row>
    <row r="167" spans="1:13" ht="25.5" x14ac:dyDescent="0.25">
      <c r="A167" s="13">
        <v>1070101</v>
      </c>
      <c r="B167" s="13" t="s">
        <v>267</v>
      </c>
      <c r="C167" s="13"/>
      <c r="D167" s="14" t="s">
        <v>41</v>
      </c>
      <c r="E167" s="13" t="str">
        <f>IFERROR(INDEX('CENTROS DE COSTOS RESOLUCION'!$C:$C,MATCH(D167,'CENTROS DE COSTOS RESOLUCION'!$B:$B,0)),"CÓDIGO NO VÁLIDO")</f>
        <v>CONSULTA URGENCIAS</v>
      </c>
      <c r="F167" s="15" t="str">
        <f>IF(COUNTIF('CENTROS DE COSTOS UTILIZADOS'!$B:$B,D167)&gt;0,"SÍ","NO")</f>
        <v>SÍ</v>
      </c>
      <c r="G167" s="13" t="str">
        <f t="shared" si="2"/>
        <v>B01|HSRP</v>
      </c>
      <c r="H167" s="13" t="s">
        <v>17</v>
      </c>
      <c r="I167" s="13" t="s">
        <v>268</v>
      </c>
      <c r="J167" s="15" t="s">
        <v>5</v>
      </c>
      <c r="K167" s="15" t="s">
        <v>43</v>
      </c>
      <c r="L167" s="16" t="s">
        <v>44</v>
      </c>
      <c r="M167" s="13" t="s">
        <v>45</v>
      </c>
    </row>
    <row r="168" spans="1:13" x14ac:dyDescent="0.25">
      <c r="A168" s="13">
        <v>1070102</v>
      </c>
      <c r="B168" s="13" t="s">
        <v>269</v>
      </c>
      <c r="C168" s="13"/>
      <c r="D168" s="14" t="s">
        <v>47</v>
      </c>
      <c r="E168" s="13" t="str">
        <f>IFERROR(INDEX('CENTROS DE COSTOS RESOLUCION'!$C:$C,MATCH(D168,'CENTROS DE COSTOS RESOLUCION'!$B:$B,0)),"CÓDIGO NO VÁLIDO")</f>
        <v>OBSERVACIÓN</v>
      </c>
      <c r="F168" s="15" t="str">
        <f>IF(COUNTIF('CENTROS DE COSTOS UTILIZADOS'!$B:$B,D168)&gt;0,"SÍ","NO")</f>
        <v>SÍ</v>
      </c>
      <c r="G168" s="13" t="str">
        <f t="shared" si="2"/>
        <v>B02|HSRP</v>
      </c>
      <c r="H168" s="13" t="s">
        <v>17</v>
      </c>
      <c r="I168" s="13" t="s">
        <v>268</v>
      </c>
      <c r="J168" s="15" t="s">
        <v>5</v>
      </c>
      <c r="K168" s="15" t="s">
        <v>43</v>
      </c>
      <c r="L168" s="16" t="s">
        <v>48</v>
      </c>
      <c r="M168" s="13" t="s">
        <v>45</v>
      </c>
    </row>
    <row r="169" spans="1:13" x14ac:dyDescent="0.25">
      <c r="A169" s="13">
        <v>1070201</v>
      </c>
      <c r="B169" s="13" t="s">
        <v>270</v>
      </c>
      <c r="C169" s="13"/>
      <c r="D169" s="14" t="s">
        <v>50</v>
      </c>
      <c r="E169" s="13" t="str">
        <f>IFERROR(INDEX('CENTROS DE COSTOS RESOLUCION'!$C:$C,MATCH(D169,'CENTROS DE COSTOS RESOLUCION'!$B:$B,0)),"CÓDIGO NO VÁLIDO")</f>
        <v>MEDICINA GENERAL</v>
      </c>
      <c r="F169" s="15" t="str">
        <f>IF(COUNTIF('CENTROS DE COSTOS UTILIZADOS'!$B:$B,D169)&gt;0,"SÍ","NO")</f>
        <v>SÍ</v>
      </c>
      <c r="G169" s="13" t="str">
        <f t="shared" si="2"/>
        <v>A10|HSRP</v>
      </c>
      <c r="H169" s="13" t="s">
        <v>17</v>
      </c>
      <c r="I169" s="13" t="s">
        <v>268</v>
      </c>
      <c r="J169" s="15" t="s">
        <v>5</v>
      </c>
      <c r="K169" s="15" t="s">
        <v>43</v>
      </c>
      <c r="L169" s="16" t="s">
        <v>51</v>
      </c>
      <c r="M169" s="13" t="s">
        <v>45</v>
      </c>
    </row>
    <row r="170" spans="1:13" ht="25.5" x14ac:dyDescent="0.25">
      <c r="A170" s="13">
        <v>1070202</v>
      </c>
      <c r="B170" s="13" t="s">
        <v>271</v>
      </c>
      <c r="C170" s="13"/>
      <c r="D170" s="14" t="s">
        <v>53</v>
      </c>
      <c r="E170" s="13" t="str">
        <f>IFERROR(INDEX('CENTROS DE COSTOS RESOLUCION'!$C:$C,MATCH(D170,'CENTROS DE COSTOS RESOLUCION'!$B:$B,0)),"CÓDIGO NO VÁLIDO")</f>
        <v>OTRAS CONSULTAS Y PROCEDIMIENTOS</v>
      </c>
      <c r="F170" s="15" t="str">
        <f>IF(COUNTIF('CENTROS DE COSTOS UTILIZADOS'!$B:$B,D170)&gt;0,"SÍ","NO")</f>
        <v>NO</v>
      </c>
      <c r="G170" s="13" t="str">
        <f t="shared" si="2"/>
        <v>A32|HSRP</v>
      </c>
      <c r="H170" s="13" t="s">
        <v>17</v>
      </c>
      <c r="I170" s="13" t="s">
        <v>268</v>
      </c>
      <c r="J170" s="15" t="s">
        <v>5</v>
      </c>
      <c r="K170" s="15" t="s">
        <v>54</v>
      </c>
      <c r="L170" s="16" t="s">
        <v>55</v>
      </c>
      <c r="M170" s="13" t="s">
        <v>45</v>
      </c>
    </row>
    <row r="171" spans="1:13" x14ac:dyDescent="0.25">
      <c r="A171" s="13">
        <v>1070203</v>
      </c>
      <c r="B171" s="13" t="s">
        <v>272</v>
      </c>
      <c r="C171" s="13"/>
      <c r="D171" s="14" t="s">
        <v>57</v>
      </c>
      <c r="E171" s="13" t="str">
        <f>IFERROR(INDEX('CENTROS DE COSTOS RESOLUCION'!$C:$C,MATCH(D171,'CENTROS DE COSTOS RESOLUCION'!$B:$B,0)),"CÓDIGO NO VÁLIDO")</f>
        <v>ODONTOLOGÍA GENERAL</v>
      </c>
      <c r="F171" s="15" t="str">
        <f>IF(COUNTIF('CENTROS DE COSTOS UTILIZADOS'!$B:$B,D171)&gt;0,"SÍ","NO")</f>
        <v>SÍ</v>
      </c>
      <c r="G171" s="13" t="str">
        <f t="shared" si="2"/>
        <v>E01|HSRP</v>
      </c>
      <c r="H171" s="13" t="s">
        <v>17</v>
      </c>
      <c r="I171" s="13" t="s">
        <v>268</v>
      </c>
      <c r="J171" s="15" t="s">
        <v>5</v>
      </c>
      <c r="K171" s="15" t="s">
        <v>43</v>
      </c>
      <c r="L171" s="16" t="s">
        <v>58</v>
      </c>
      <c r="M171" s="13" t="s">
        <v>45</v>
      </c>
    </row>
    <row r="172" spans="1:13" x14ac:dyDescent="0.25">
      <c r="A172" s="13">
        <v>1070204</v>
      </c>
      <c r="B172" s="13" t="s">
        <v>273</v>
      </c>
      <c r="C172" s="13"/>
      <c r="D172" s="14" t="s">
        <v>60</v>
      </c>
      <c r="E172" s="13" t="str">
        <f>IFERROR(INDEX('CENTROS DE COSTOS RESOLUCION'!$C:$C,MATCH(D172,'CENTROS DE COSTOS RESOLUCION'!$B:$B,0)),"CÓDIGO NO VÁLIDO")</f>
        <v>PROMOCIÓN Y PREVENCIÓN</v>
      </c>
      <c r="F172" s="15" t="str">
        <f>IF(COUNTIF('CENTROS DE COSTOS UTILIZADOS'!$B:$B,D172)&gt;0,"SÍ","NO")</f>
        <v>SÍ</v>
      </c>
      <c r="G172" s="13" t="str">
        <f t="shared" si="2"/>
        <v>N03|HSRP</v>
      </c>
      <c r="H172" s="13" t="s">
        <v>17</v>
      </c>
      <c r="I172" s="13" t="s">
        <v>268</v>
      </c>
      <c r="J172" s="15" t="s">
        <v>5</v>
      </c>
      <c r="K172" s="15" t="s">
        <v>43</v>
      </c>
      <c r="L172" s="16" t="s">
        <v>61</v>
      </c>
      <c r="M172" s="13" t="s">
        <v>45</v>
      </c>
    </row>
    <row r="173" spans="1:13" x14ac:dyDescent="0.25">
      <c r="A173" s="13">
        <v>1070205</v>
      </c>
      <c r="B173" s="13" t="s">
        <v>274</v>
      </c>
      <c r="C173" s="13"/>
      <c r="D173" s="14" t="s">
        <v>63</v>
      </c>
      <c r="E173" s="13" t="str">
        <f>IFERROR(INDEX('CENTROS DE COSTOS RESOLUCION'!$C:$C,MATCH(D173,'CENTROS DE COSTOS RESOLUCION'!$B:$B,0)),"CÓDIGO NO VÁLIDO")</f>
        <v>SALUD PUBLICA</v>
      </c>
      <c r="F173" s="15" t="str">
        <f>IF(COUNTIF('CENTROS DE COSTOS UTILIZADOS'!$B:$B,D173)&gt;0,"SÍ","NO")</f>
        <v>SÍ</v>
      </c>
      <c r="G173" s="13" t="str">
        <f t="shared" si="2"/>
        <v>K25|HSRP</v>
      </c>
      <c r="H173" s="13" t="s">
        <v>17</v>
      </c>
      <c r="I173" s="13" t="s">
        <v>268</v>
      </c>
      <c r="J173" s="15" t="s">
        <v>5</v>
      </c>
      <c r="K173" s="15" t="s">
        <v>54</v>
      </c>
      <c r="L173" s="16" t="s">
        <v>64</v>
      </c>
      <c r="M173" s="13" t="s">
        <v>45</v>
      </c>
    </row>
    <row r="174" spans="1:13" x14ac:dyDescent="0.25">
      <c r="A174" s="13">
        <v>1070301</v>
      </c>
      <c r="B174" s="13" t="s">
        <v>275</v>
      </c>
      <c r="C174" s="13"/>
      <c r="D174" s="14" t="s">
        <v>66</v>
      </c>
      <c r="E174" s="13" t="str">
        <f>IFERROR(INDEX('CENTROS DE COSTOS RESOLUCION'!$C:$C,MATCH(D174,'CENTROS DE COSTOS RESOLUCION'!$B:$B,0)),"CÓDIGO NO VÁLIDO")</f>
        <v>HOSPITALIZACIÓN GENERAL</v>
      </c>
      <c r="F174" s="15" t="str">
        <f>IF(COUNTIF('CENTROS DE COSTOS UTILIZADOS'!$B:$B,D174)&gt;0,"SÍ","NO")</f>
        <v>NO</v>
      </c>
      <c r="G174" s="13" t="str">
        <f t="shared" si="2"/>
        <v>I01|HSRP</v>
      </c>
      <c r="H174" s="13" t="s">
        <v>17</v>
      </c>
      <c r="I174" s="13" t="s">
        <v>268</v>
      </c>
      <c r="J174" s="15" t="s">
        <v>5</v>
      </c>
      <c r="K174" s="15" t="s">
        <v>43</v>
      </c>
      <c r="L174" s="16" t="s">
        <v>67</v>
      </c>
      <c r="M174" s="13" t="s">
        <v>45</v>
      </c>
    </row>
    <row r="175" spans="1:13" ht="25.5" x14ac:dyDescent="0.25">
      <c r="A175" s="13">
        <v>1070302</v>
      </c>
      <c r="B175" s="13" t="s">
        <v>276</v>
      </c>
      <c r="C175" s="13"/>
      <c r="D175" s="14" t="s">
        <v>69</v>
      </c>
      <c r="E175" s="13" t="str">
        <f>IFERROR(INDEX('CENTROS DE COSTOS RESOLUCION'!$C:$C,MATCH(D175,'CENTROS DE COSTOS RESOLUCION'!$B:$B,0)),"CÓDIGO NO VÁLIDO")</f>
        <v>UCI ADULTOS</v>
      </c>
      <c r="F175" s="15" t="str">
        <f>IF(COUNTIF('CENTROS DE COSTOS UTILIZADOS'!$B:$B,D175)&gt;0,"SÍ","NO")</f>
        <v>NO</v>
      </c>
      <c r="G175" s="13" t="str">
        <f t="shared" si="2"/>
        <v>J02|HSRP</v>
      </c>
      <c r="H175" s="13" t="s">
        <v>17</v>
      </c>
      <c r="I175" s="13" t="s">
        <v>268</v>
      </c>
      <c r="J175" s="15" t="s">
        <v>7</v>
      </c>
      <c r="K175" s="15" t="s">
        <v>43</v>
      </c>
      <c r="L175" s="16" t="s">
        <v>70</v>
      </c>
      <c r="M175" s="13" t="s">
        <v>45</v>
      </c>
    </row>
    <row r="176" spans="1:13" ht="25.5" x14ac:dyDescent="0.25">
      <c r="A176" s="13">
        <v>1070303</v>
      </c>
      <c r="B176" s="13" t="s">
        <v>277</v>
      </c>
      <c r="C176" s="13"/>
      <c r="D176" s="14" t="s">
        <v>72</v>
      </c>
      <c r="E176" s="13" t="str">
        <f>IFERROR(INDEX('CENTROS DE COSTOS RESOLUCION'!$C:$C,MATCH(D176,'CENTROS DE COSTOS RESOLUCION'!$B:$B,0)),"CÓDIGO NO VÁLIDO")</f>
        <v>UCI INTERMEDIOS ADULTOS</v>
      </c>
      <c r="F176" s="15" t="str">
        <f>IF(COUNTIF('CENTROS DE COSTOS UTILIZADOS'!$B:$B,D176)&gt;0,"SÍ","NO")</f>
        <v>NO</v>
      </c>
      <c r="G176" s="13" t="str">
        <f t="shared" si="2"/>
        <v>J05|HSRP</v>
      </c>
      <c r="H176" s="13" t="s">
        <v>17</v>
      </c>
      <c r="I176" s="13" t="s">
        <v>268</v>
      </c>
      <c r="J176" s="15" t="s">
        <v>7</v>
      </c>
      <c r="K176" s="15" t="s">
        <v>43</v>
      </c>
      <c r="L176" s="16" t="s">
        <v>70</v>
      </c>
      <c r="M176" s="13" t="s">
        <v>45</v>
      </c>
    </row>
    <row r="177" spans="1:13" x14ac:dyDescent="0.25">
      <c r="A177" s="13">
        <v>1070304</v>
      </c>
      <c r="B177" s="13" t="s">
        <v>278</v>
      </c>
      <c r="C177" s="13"/>
      <c r="D177" s="14" t="s">
        <v>74</v>
      </c>
      <c r="E177" s="13" t="str">
        <f>IFERROR(INDEX('CENTROS DE COSTOS RESOLUCION'!$C:$C,MATCH(D177,'CENTROS DE COSTOS RESOLUCION'!$B:$B,0)),"CÓDIGO NO VÁLIDO")</f>
        <v>UNIDAD DE RECIÉN NACIDOS</v>
      </c>
      <c r="F177" s="15" t="str">
        <f>IF(COUNTIF('CENTROS DE COSTOS UTILIZADOS'!$B:$B,D177)&gt;0,"SÍ","NO")</f>
        <v>NO</v>
      </c>
      <c r="G177" s="13" t="str">
        <f t="shared" si="2"/>
        <v>J09|HSRP</v>
      </c>
      <c r="H177" s="13" t="s">
        <v>17</v>
      </c>
      <c r="I177" s="13" t="s">
        <v>268</v>
      </c>
      <c r="J177" s="15" t="s">
        <v>6</v>
      </c>
      <c r="K177" s="15" t="s">
        <v>54</v>
      </c>
      <c r="L177" s="16" t="s">
        <v>75</v>
      </c>
      <c r="M177" s="13" t="s">
        <v>45</v>
      </c>
    </row>
    <row r="178" spans="1:13" ht="25.5" x14ac:dyDescent="0.25">
      <c r="A178" s="13">
        <v>1070305</v>
      </c>
      <c r="B178" s="13" t="s">
        <v>279</v>
      </c>
      <c r="C178" s="13"/>
      <c r="D178" s="14" t="s">
        <v>77</v>
      </c>
      <c r="E178" s="13" t="str">
        <f>IFERROR(INDEX('CENTROS DE COSTOS RESOLUCION'!$C:$C,MATCH(D178,'CENTROS DE COSTOS RESOLUCION'!$B:$B,0)),"CÓDIGO NO VÁLIDO")</f>
        <v>UNIDAD SALUD MENTAL Y DESINTOXICACIÓN (BAJA COMPLEJIDAD)</v>
      </c>
      <c r="F178" s="15" t="str">
        <f>IF(COUNTIF('CENTROS DE COSTOS UTILIZADOS'!$B:$B,D178)&gt;0,"SÍ","NO")</f>
        <v>NO</v>
      </c>
      <c r="G178" s="13" t="str">
        <f t="shared" si="2"/>
        <v>J10|HSRP</v>
      </c>
      <c r="H178" s="13" t="s">
        <v>17</v>
      </c>
      <c r="I178" s="13" t="s">
        <v>268</v>
      </c>
      <c r="J178" s="15" t="s">
        <v>7</v>
      </c>
      <c r="K178" s="15" t="s">
        <v>43</v>
      </c>
      <c r="L178" s="16" t="s">
        <v>70</v>
      </c>
      <c r="M178" s="13" t="s">
        <v>45</v>
      </c>
    </row>
    <row r="179" spans="1:13" ht="25.5" x14ac:dyDescent="0.25">
      <c r="A179" s="13">
        <v>1070306</v>
      </c>
      <c r="B179" s="13" t="s">
        <v>280</v>
      </c>
      <c r="C179" s="13"/>
      <c r="D179" s="14" t="s">
        <v>79</v>
      </c>
      <c r="E179" s="13" t="str">
        <f>IFERROR(INDEX('CENTROS DE COSTOS RESOLUCION'!$C:$C,MATCH(D179,'CENTROS DE COSTOS RESOLUCION'!$B:$B,0)),"CÓDIGO NO VÁLIDO")</f>
        <v>UNIDAD DE QUEMADOS ADULTOS</v>
      </c>
      <c r="F179" s="15" t="str">
        <f>IF(COUNTIF('CENTROS DE COSTOS UTILIZADOS'!$B:$B,D179)&gt;0,"SÍ","NO")</f>
        <v>NO</v>
      </c>
      <c r="G179" s="13" t="str">
        <f t="shared" si="2"/>
        <v>J08|HSRP</v>
      </c>
      <c r="H179" s="13" t="s">
        <v>17</v>
      </c>
      <c r="I179" s="13" t="s">
        <v>268</v>
      </c>
      <c r="J179" s="15" t="s">
        <v>7</v>
      </c>
      <c r="K179" s="15" t="s">
        <v>43</v>
      </c>
      <c r="L179" s="16" t="s">
        <v>70</v>
      </c>
      <c r="M179" s="13" t="s">
        <v>45</v>
      </c>
    </row>
    <row r="180" spans="1:13" ht="25.5" x14ac:dyDescent="0.25">
      <c r="A180" s="13">
        <v>1070307</v>
      </c>
      <c r="B180" s="13" t="s">
        <v>281</v>
      </c>
      <c r="C180" s="13"/>
      <c r="D180" s="14" t="s">
        <v>81</v>
      </c>
      <c r="E180" s="13" t="str">
        <f>IFERROR(INDEX('CENTROS DE COSTOS RESOLUCION'!$C:$C,MATCH(D180,'CENTROS DE COSTOS RESOLUCION'!$B:$B,0)),"CÓDIGO NO VÁLIDO")</f>
        <v>OTRAS UNIDADES ESPECIALES</v>
      </c>
      <c r="F180" s="15" t="str">
        <f>IF(COUNTIF('CENTROS DE COSTOS UTILIZADOS'!$B:$B,D180)&gt;0,"SÍ","NO")</f>
        <v>NO</v>
      </c>
      <c r="G180" s="13" t="str">
        <f t="shared" si="2"/>
        <v>J13|HSRP</v>
      </c>
      <c r="H180" s="13" t="s">
        <v>17</v>
      </c>
      <c r="I180" s="13" t="s">
        <v>268</v>
      </c>
      <c r="J180" s="15" t="s">
        <v>7</v>
      </c>
      <c r="K180" s="15" t="s">
        <v>54</v>
      </c>
      <c r="L180" s="16" t="s">
        <v>70</v>
      </c>
      <c r="M180" s="13" t="s">
        <v>45</v>
      </c>
    </row>
    <row r="181" spans="1:13" x14ac:dyDescent="0.25">
      <c r="A181" s="13">
        <v>1070401</v>
      </c>
      <c r="B181" s="13" t="s">
        <v>282</v>
      </c>
      <c r="C181" s="13"/>
      <c r="D181" s="14" t="s">
        <v>83</v>
      </c>
      <c r="E181" s="13" t="str">
        <f>IFERROR(INDEX('CENTROS DE COSTOS RESOLUCION'!$C:$C,MATCH(D181,'CENTROS DE COSTOS RESOLUCION'!$B:$B,0)),"CÓDIGO NO VÁLIDO")</f>
        <v>CIRUGÍA GENERAL</v>
      </c>
      <c r="F181" s="15" t="str">
        <f>IF(COUNTIF('CENTROS DE COSTOS UTILIZADOS'!$B:$B,D181)&gt;0,"SÍ","NO")</f>
        <v>NO</v>
      </c>
      <c r="G181" s="13" t="str">
        <f t="shared" si="2"/>
        <v>C01|HSRP</v>
      </c>
      <c r="H181" s="13" t="s">
        <v>17</v>
      </c>
      <c r="I181" s="13" t="s">
        <v>268</v>
      </c>
      <c r="J181" s="15" t="s">
        <v>6</v>
      </c>
      <c r="K181" s="15" t="s">
        <v>54</v>
      </c>
      <c r="L181" s="16" t="s">
        <v>84</v>
      </c>
      <c r="M181" s="13" t="s">
        <v>45</v>
      </c>
    </row>
    <row r="182" spans="1:13" x14ac:dyDescent="0.25">
      <c r="A182" s="13">
        <v>1070402</v>
      </c>
      <c r="B182" s="13" t="s">
        <v>283</v>
      </c>
      <c r="C182" s="13"/>
      <c r="D182" s="14" t="s">
        <v>86</v>
      </c>
      <c r="E182" s="13" t="str">
        <f>IFERROR(INDEX('CENTROS DE COSTOS RESOLUCION'!$C:$C,MATCH(D182,'CENTROS DE COSTOS RESOLUCION'!$B:$B,0)),"CÓDIGO NO VÁLIDO")</f>
        <v>ATENCIÓN DE PARTO BAJA COMPLEJIDAD</v>
      </c>
      <c r="F182" s="15" t="str">
        <f>IF(COUNTIF('CENTROS DE COSTOS UTILIZADOS'!$B:$B,D182)&gt;0,"SÍ","NO")</f>
        <v>NO</v>
      </c>
      <c r="G182" s="13" t="str">
        <f t="shared" si="2"/>
        <v>D02|HSRP</v>
      </c>
      <c r="H182" s="13" t="s">
        <v>17</v>
      </c>
      <c r="I182" s="13" t="s">
        <v>268</v>
      </c>
      <c r="J182" s="15" t="s">
        <v>5</v>
      </c>
      <c r="K182" s="15" t="s">
        <v>43</v>
      </c>
      <c r="L182" s="16" t="s">
        <v>87</v>
      </c>
      <c r="M182" s="13" t="s">
        <v>45</v>
      </c>
    </row>
    <row r="183" spans="1:13" x14ac:dyDescent="0.25">
      <c r="A183" s="13">
        <v>1070501</v>
      </c>
      <c r="B183" s="13" t="s">
        <v>284</v>
      </c>
      <c r="C183" s="13"/>
      <c r="D183" s="14" t="s">
        <v>89</v>
      </c>
      <c r="E183" s="13" t="str">
        <f>IFERROR(INDEX('CENTROS DE COSTOS RESOLUCION'!$C:$C,MATCH(D183,'CENTROS DE COSTOS RESOLUCION'!$B:$B,0)),"CÓDIGO NO VÁLIDO")</f>
        <v>LABORATORIO Y ANÁLISIS CLÍNICO</v>
      </c>
      <c r="F183" s="15" t="str">
        <f>IF(COUNTIF('CENTROS DE COSTOS UTILIZADOS'!$B:$B,D183)&gt;0,"SÍ","NO")</f>
        <v>SÍ</v>
      </c>
      <c r="G183" s="13" t="str">
        <f t="shared" si="2"/>
        <v>L07|HSRP</v>
      </c>
      <c r="H183" s="13" t="s">
        <v>18</v>
      </c>
      <c r="I183" s="13" t="s">
        <v>268</v>
      </c>
      <c r="J183" s="15" t="s">
        <v>5</v>
      </c>
      <c r="K183" s="15" t="s">
        <v>43</v>
      </c>
      <c r="L183" s="16" t="s">
        <v>90</v>
      </c>
      <c r="M183" s="13" t="s">
        <v>45</v>
      </c>
    </row>
    <row r="184" spans="1:13" x14ac:dyDescent="0.25">
      <c r="A184" s="13">
        <v>1070502</v>
      </c>
      <c r="B184" s="13" t="s">
        <v>285</v>
      </c>
      <c r="C184" s="13"/>
      <c r="D184" s="14" t="s">
        <v>92</v>
      </c>
      <c r="E184" s="13" t="str">
        <f>IFERROR(INDEX('CENTROS DE COSTOS RESOLUCION'!$C:$C,MATCH(D184,'CENTROS DE COSTOS RESOLUCION'!$B:$B,0)),"CÓDIGO NO VÁLIDO")</f>
        <v>IMAGENEOLOGÍA RADIOLÓGICA</v>
      </c>
      <c r="F184" s="15" t="str">
        <f>IF(COUNTIF('CENTROS DE COSTOS UTILIZADOS'!$B:$B,D184)&gt;0,"SÍ","NO")</f>
        <v>SÍ</v>
      </c>
      <c r="G184" s="13" t="str">
        <f t="shared" si="2"/>
        <v>L02|HSRP</v>
      </c>
      <c r="H184" s="13" t="s">
        <v>18</v>
      </c>
      <c r="I184" s="13" t="s">
        <v>268</v>
      </c>
      <c r="J184" s="15" t="s">
        <v>5</v>
      </c>
      <c r="K184" s="15" t="s">
        <v>43</v>
      </c>
      <c r="L184" s="16" t="s">
        <v>93</v>
      </c>
      <c r="M184" s="13" t="s">
        <v>45</v>
      </c>
    </row>
    <row r="185" spans="1:13" ht="25.5" x14ac:dyDescent="0.25">
      <c r="A185" s="13">
        <v>1070503</v>
      </c>
      <c r="B185" s="13" t="s">
        <v>286</v>
      </c>
      <c r="C185" s="13"/>
      <c r="D185" s="14" t="s">
        <v>95</v>
      </c>
      <c r="E185" s="13" t="str">
        <f>IFERROR(INDEX('CENTROS DE COSTOS RESOLUCION'!$C:$C,MATCH(D185,'CENTROS DE COSTOS RESOLUCION'!$B:$B,0)),"CÓDIGO NO VÁLIDO")</f>
        <v>LABORATORIO ANATOMÍA PATOLÓGICA</v>
      </c>
      <c r="F185" s="15" t="str">
        <f>IF(COUNTIF('CENTROS DE COSTOS UTILIZADOS'!$B:$B,D185)&gt;0,"SÍ","NO")</f>
        <v>NO</v>
      </c>
      <c r="G185" s="13" t="str">
        <f t="shared" si="2"/>
        <v>L01|HSRP</v>
      </c>
      <c r="H185" s="13" t="s">
        <v>18</v>
      </c>
      <c r="I185" s="13" t="s">
        <v>268</v>
      </c>
      <c r="J185" s="15" t="s">
        <v>7</v>
      </c>
      <c r="K185" s="15" t="s">
        <v>43</v>
      </c>
      <c r="L185" s="16" t="s">
        <v>70</v>
      </c>
      <c r="M185" s="13" t="s">
        <v>45</v>
      </c>
    </row>
    <row r="186" spans="1:13" ht="25.5" x14ac:dyDescent="0.25">
      <c r="A186" s="13">
        <v>1070504</v>
      </c>
      <c r="B186" s="13" t="s">
        <v>287</v>
      </c>
      <c r="C186" s="13"/>
      <c r="D186" s="14" t="s">
        <v>97</v>
      </c>
      <c r="E186" s="13" t="str">
        <f>IFERROR(INDEX('CENTROS DE COSTOS RESOLUCION'!$C:$C,MATCH(D186,'CENTROS DE COSTOS RESOLUCION'!$B:$B,0)),"CÓDIGO NO VÁLIDO")</f>
        <v>IMAGENOLOGÍA NO RADIOLÓGICA</v>
      </c>
      <c r="F186" s="15" t="str">
        <f>IF(COUNTIF('CENTROS DE COSTOS UTILIZADOS'!$B:$B,D186)&gt;0,"SÍ","NO")</f>
        <v>NO</v>
      </c>
      <c r="G186" s="13" t="str">
        <f t="shared" si="2"/>
        <v>L04|HSRP</v>
      </c>
      <c r="H186" s="13" t="s">
        <v>18</v>
      </c>
      <c r="I186" s="13" t="s">
        <v>268</v>
      </c>
      <c r="J186" s="15" t="s">
        <v>6</v>
      </c>
      <c r="K186" s="15" t="s">
        <v>54</v>
      </c>
      <c r="L186" s="16" t="s">
        <v>98</v>
      </c>
      <c r="M186" s="13" t="s">
        <v>45</v>
      </c>
    </row>
    <row r="187" spans="1:13" x14ac:dyDescent="0.25">
      <c r="A187" s="13">
        <v>1070601</v>
      </c>
      <c r="B187" s="13" t="s">
        <v>288</v>
      </c>
      <c r="C187" s="13"/>
      <c r="D187" s="14" t="s">
        <v>100</v>
      </c>
      <c r="E187" s="13" t="str">
        <f>IFERROR(INDEX('CENTROS DE COSTOS RESOLUCION'!$C:$C,MATCH(D187,'CENTROS DE COSTOS RESOLUCION'!$B:$B,0)),"CÓDIGO NO VÁLIDO")</f>
        <v>FISIOTERAPIA Y REHABILITACIÓN</v>
      </c>
      <c r="F187" s="15" t="str">
        <f>IF(COUNTIF('CENTROS DE COSTOS UTILIZADOS'!$B:$B,D187)&gt;0,"SÍ","NO")</f>
        <v>SÍ</v>
      </c>
      <c r="G187" s="13" t="str">
        <f t="shared" si="2"/>
        <v>M06|HSRP</v>
      </c>
      <c r="H187" s="13" t="s">
        <v>18</v>
      </c>
      <c r="I187" s="13" t="s">
        <v>268</v>
      </c>
      <c r="J187" s="15" t="s">
        <v>5</v>
      </c>
      <c r="K187" s="15" t="s">
        <v>43</v>
      </c>
      <c r="L187" s="16" t="s">
        <v>101</v>
      </c>
      <c r="M187" s="13" t="s">
        <v>45</v>
      </c>
    </row>
    <row r="188" spans="1:13" ht="25.5" x14ac:dyDescent="0.25">
      <c r="A188" s="13">
        <v>1070602</v>
      </c>
      <c r="B188" s="13" t="s">
        <v>289</v>
      </c>
      <c r="C188" s="13"/>
      <c r="D188" s="14" t="s">
        <v>103</v>
      </c>
      <c r="E188" s="13" t="str">
        <f>IFERROR(INDEX('CENTROS DE COSTOS RESOLUCION'!$C:$C,MATCH(D188,'CENTROS DE COSTOS RESOLUCION'!$B:$B,0)),"CÓDIGO NO VÁLIDO")</f>
        <v>BANCO DE SANGRE</v>
      </c>
      <c r="F188" s="15" t="str">
        <f>IF(COUNTIF('CENTROS DE COSTOS UTILIZADOS'!$B:$B,D188)&gt;0,"SÍ","NO")</f>
        <v>NO</v>
      </c>
      <c r="G188" s="13" t="str">
        <f t="shared" si="2"/>
        <v>M01|HSRP</v>
      </c>
      <c r="H188" s="13" t="s">
        <v>18</v>
      </c>
      <c r="I188" s="13" t="s">
        <v>268</v>
      </c>
      <c r="J188" s="15" t="s">
        <v>7</v>
      </c>
      <c r="K188" s="15" t="s">
        <v>43</v>
      </c>
      <c r="L188" s="16" t="s">
        <v>70</v>
      </c>
      <c r="M188" s="13" t="s">
        <v>45</v>
      </c>
    </row>
    <row r="189" spans="1:13" ht="25.5" x14ac:dyDescent="0.25">
      <c r="A189" s="13">
        <v>1070603</v>
      </c>
      <c r="B189" s="13" t="s">
        <v>290</v>
      </c>
      <c r="C189" s="13"/>
      <c r="D189" s="14" t="s">
        <v>105</v>
      </c>
      <c r="E189" s="13" t="str">
        <f>IFERROR(INDEX('CENTROS DE COSTOS RESOLUCION'!$C:$C,MATCH(D189,'CENTROS DE COSTOS RESOLUCION'!$B:$B,0)),"CÓDIGO NO VÁLIDO")</f>
        <v>TERAPIA RENAL</v>
      </c>
      <c r="F189" s="15" t="str">
        <f>IF(COUNTIF('CENTROS DE COSTOS UTILIZADOS'!$B:$B,D189)&gt;0,"SÍ","NO")</f>
        <v>NO</v>
      </c>
      <c r="G189" s="13" t="str">
        <f t="shared" si="2"/>
        <v>M03|HSRP</v>
      </c>
      <c r="H189" s="13" t="s">
        <v>18</v>
      </c>
      <c r="I189" s="13" t="s">
        <v>268</v>
      </c>
      <c r="J189" s="15" t="s">
        <v>7</v>
      </c>
      <c r="K189" s="15" t="s">
        <v>43</v>
      </c>
      <c r="L189" s="16" t="s">
        <v>70</v>
      </c>
      <c r="M189" s="13" t="s">
        <v>45</v>
      </c>
    </row>
    <row r="190" spans="1:13" ht="25.5" x14ac:dyDescent="0.25">
      <c r="A190" s="13">
        <v>1070604</v>
      </c>
      <c r="B190" s="13" t="s">
        <v>291</v>
      </c>
      <c r="C190" s="13"/>
      <c r="D190" s="14" t="s">
        <v>107</v>
      </c>
      <c r="E190" s="13" t="str">
        <f>IFERROR(INDEX('CENTROS DE COSTOS RESOLUCION'!$C:$C,MATCH(D190,'CENTROS DE COSTOS RESOLUCION'!$B:$B,0)),"CÓDIGO NO VÁLIDO")</f>
        <v>CARDIOVASCULAR</v>
      </c>
      <c r="F190" s="15" t="str">
        <f>IF(COUNTIF('CENTROS DE COSTOS UTILIZADOS'!$B:$B,D190)&gt;0,"SÍ","NO")</f>
        <v>NO</v>
      </c>
      <c r="G190" s="13" t="str">
        <f t="shared" si="2"/>
        <v>C05|HSRP</v>
      </c>
      <c r="H190" s="13" t="s">
        <v>17</v>
      </c>
      <c r="I190" s="13" t="s">
        <v>268</v>
      </c>
      <c r="J190" s="15" t="s">
        <v>7</v>
      </c>
      <c r="K190" s="15" t="s">
        <v>43</v>
      </c>
      <c r="L190" s="16" t="s">
        <v>70</v>
      </c>
      <c r="M190" s="13" t="s">
        <v>45</v>
      </c>
    </row>
    <row r="191" spans="1:13" ht="25.5" x14ac:dyDescent="0.25">
      <c r="A191" s="13">
        <v>1070605</v>
      </c>
      <c r="B191" s="13" t="s">
        <v>292</v>
      </c>
      <c r="C191" s="13"/>
      <c r="D191" s="14" t="s">
        <v>109</v>
      </c>
      <c r="E191" s="13" t="str">
        <f>IFERROR(INDEX('CENTROS DE COSTOS RESOLUCION'!$C:$C,MATCH(D191,'CENTROS DE COSTOS RESOLUCION'!$B:$B,0)),"CÓDIGO NO VÁLIDO")</f>
        <v>OTRAS TERAPIAS</v>
      </c>
      <c r="F191" s="15" t="str">
        <f>IF(COUNTIF('CENTROS DE COSTOS UTILIZADOS'!$B:$B,D191)&gt;0,"SÍ","NO")</f>
        <v>NO</v>
      </c>
      <c r="G191" s="13" t="str">
        <f t="shared" si="2"/>
        <v>M07|HSRP</v>
      </c>
      <c r="H191" s="13" t="s">
        <v>18</v>
      </c>
      <c r="I191" s="13" t="s">
        <v>268</v>
      </c>
      <c r="J191" s="15" t="s">
        <v>7</v>
      </c>
      <c r="K191" s="15" t="s">
        <v>43</v>
      </c>
      <c r="L191" s="16" t="s">
        <v>70</v>
      </c>
      <c r="M191" s="13" t="s">
        <v>45</v>
      </c>
    </row>
    <row r="192" spans="1:13" x14ac:dyDescent="0.25">
      <c r="A192" s="13">
        <v>1070606</v>
      </c>
      <c r="B192" s="13" t="s">
        <v>293</v>
      </c>
      <c r="C192" s="13"/>
      <c r="D192" s="14" t="s">
        <v>111</v>
      </c>
      <c r="E192" s="13" t="str">
        <f>IFERROR(INDEX('CENTROS DE COSTOS RESOLUCION'!$C:$C,MATCH(D192,'CENTROS DE COSTOS RESOLUCION'!$B:$B,0)),"CÓDIGO NO VÁLIDO")</f>
        <v>FARMACIA</v>
      </c>
      <c r="F192" s="15" t="str">
        <f>IF(COUNTIF('CENTROS DE COSTOS UTILIZADOS'!$B:$B,D192)&gt;0,"SÍ","NO")</f>
        <v>SÍ</v>
      </c>
      <c r="G192" s="13" t="str">
        <f t="shared" si="2"/>
        <v>M05|HSRP</v>
      </c>
      <c r="H192" s="13" t="s">
        <v>18</v>
      </c>
      <c r="I192" s="13" t="s">
        <v>268</v>
      </c>
      <c r="J192" s="15" t="s">
        <v>5</v>
      </c>
      <c r="K192" s="15" t="s">
        <v>43</v>
      </c>
      <c r="L192" s="16" t="s">
        <v>112</v>
      </c>
      <c r="M192" s="13" t="s">
        <v>45</v>
      </c>
    </row>
    <row r="193" spans="1:13" x14ac:dyDescent="0.25">
      <c r="A193" s="13">
        <v>1070607</v>
      </c>
      <c r="B193" s="13" t="s">
        <v>294</v>
      </c>
      <c r="C193" s="13"/>
      <c r="D193" s="14" t="s">
        <v>109</v>
      </c>
      <c r="E193" s="13" t="str">
        <f>IFERROR(INDEX('CENTROS DE COSTOS RESOLUCION'!$C:$C,MATCH(D193,'CENTROS DE COSTOS RESOLUCION'!$B:$B,0)),"CÓDIGO NO VÁLIDO")</f>
        <v>OTRAS TERAPIAS</v>
      </c>
      <c r="F193" s="15" t="str">
        <f>IF(COUNTIF('CENTROS DE COSTOS UTILIZADOS'!$B:$B,D193)&gt;0,"SÍ","NO")</f>
        <v>NO</v>
      </c>
      <c r="G193" s="13" t="str">
        <f t="shared" si="2"/>
        <v>M07|HSRP</v>
      </c>
      <c r="H193" s="13" t="s">
        <v>18</v>
      </c>
      <c r="I193" s="13" t="s">
        <v>268</v>
      </c>
      <c r="J193" s="15" t="s">
        <v>6</v>
      </c>
      <c r="K193" s="15" t="s">
        <v>54</v>
      </c>
      <c r="L193" s="16" t="s">
        <v>114</v>
      </c>
      <c r="M193" s="13" t="s">
        <v>45</v>
      </c>
    </row>
    <row r="194" spans="1:13" ht="25.5" x14ac:dyDescent="0.25">
      <c r="A194" s="13">
        <v>1070701</v>
      </c>
      <c r="B194" s="13" t="s">
        <v>295</v>
      </c>
      <c r="C194" s="13"/>
      <c r="D194" s="14" t="s">
        <v>116</v>
      </c>
      <c r="E194" s="13" t="str">
        <f>IFERROR(INDEX('CENTROS DE COSTOS RESOLUCION'!$C:$C,MATCH(D194,'CENTROS DE COSTOS RESOLUCION'!$B:$B,0)),"CÓDIGO NO VÁLIDO")</f>
        <v>ANCIANATOS Y ALBERGUES</v>
      </c>
      <c r="F194" s="15" t="str">
        <f>IF(COUNTIF('CENTROS DE COSTOS UTILIZADOS'!$B:$B,D194)&gt;0,"SÍ","NO")</f>
        <v>NO</v>
      </c>
      <c r="G194" s="13" t="str">
        <f t="shared" ref="G194:G257" si="3">D194&amp;"|"&amp;LEFT(I194,FIND(" ",I194&amp;" ")-1)</f>
        <v>J01|HSRP</v>
      </c>
      <c r="H194" s="13" t="s">
        <v>17</v>
      </c>
      <c r="I194" s="13" t="s">
        <v>268</v>
      </c>
      <c r="J194" s="15" t="s">
        <v>7</v>
      </c>
      <c r="K194" s="15" t="s">
        <v>43</v>
      </c>
      <c r="L194" s="16" t="s">
        <v>70</v>
      </c>
      <c r="M194" s="13" t="s">
        <v>45</v>
      </c>
    </row>
    <row r="195" spans="1:13" x14ac:dyDescent="0.25">
      <c r="A195" s="13">
        <v>1070702</v>
      </c>
      <c r="B195" s="13" t="s">
        <v>296</v>
      </c>
      <c r="C195" s="13"/>
      <c r="D195" s="14" t="s">
        <v>118</v>
      </c>
      <c r="E195" s="13" t="str">
        <f>IFERROR(INDEX('CENTROS DE COSTOS RESOLUCION'!$C:$C,MATCH(D195,'CENTROS DE COSTOS RESOLUCION'!$B:$B,0)),"CÓDIGO NO VÁLIDO")</f>
        <v>CENTROS Y PUESTOS DE SALUD</v>
      </c>
      <c r="F195" s="15" t="str">
        <f>IF(COUNTIF('CENTROS DE COSTOS UTILIZADOS'!$B:$B,D195)&gt;0,"SÍ","NO")</f>
        <v>SÍ</v>
      </c>
      <c r="G195" s="13" t="str">
        <f t="shared" si="3"/>
        <v>J17|HSRP</v>
      </c>
      <c r="H195" s="13" t="s">
        <v>17</v>
      </c>
      <c r="I195" s="13" t="s">
        <v>268</v>
      </c>
      <c r="J195" s="15" t="s">
        <v>5</v>
      </c>
      <c r="K195" s="15" t="s">
        <v>43</v>
      </c>
      <c r="L195" s="16" t="s">
        <v>119</v>
      </c>
      <c r="M195" s="13" t="s">
        <v>45</v>
      </c>
    </row>
    <row r="196" spans="1:13" ht="25.5" x14ac:dyDescent="0.25">
      <c r="A196" s="13">
        <v>1070703</v>
      </c>
      <c r="B196" s="13" t="s">
        <v>297</v>
      </c>
      <c r="C196" s="13"/>
      <c r="D196" s="14" t="s">
        <v>121</v>
      </c>
      <c r="E196" s="13" t="str">
        <f>IFERROR(INDEX('CENTROS DE COSTOS RESOLUCION'!$C:$C,MATCH(D196,'CENTROS DE COSTOS RESOLUCION'!$B:$B,0)),"CÓDIGO NO VÁLIDO")</f>
        <v>EDUCACIÓN MÉDICA</v>
      </c>
      <c r="F196" s="15" t="str">
        <f>IF(COUNTIF('CENTROS DE COSTOS UTILIZADOS'!$B:$B,D196)&gt;0,"SÍ","NO")</f>
        <v>NO</v>
      </c>
      <c r="G196" s="13" t="str">
        <f t="shared" si="3"/>
        <v>U03|HSRP</v>
      </c>
      <c r="H196" s="13" t="s">
        <v>20</v>
      </c>
      <c r="I196" s="13" t="s">
        <v>268</v>
      </c>
      <c r="J196" s="15" t="s">
        <v>7</v>
      </c>
      <c r="K196" s="15" t="s">
        <v>43</v>
      </c>
      <c r="L196" s="16" t="s">
        <v>70</v>
      </c>
      <c r="M196" s="13" t="s">
        <v>45</v>
      </c>
    </row>
    <row r="197" spans="1:13" ht="25.5" x14ac:dyDescent="0.25">
      <c r="A197" s="13">
        <v>1070704</v>
      </c>
      <c r="B197" s="13" t="s">
        <v>298</v>
      </c>
      <c r="C197" s="13"/>
      <c r="D197" s="14" t="s">
        <v>53</v>
      </c>
      <c r="E197" s="13" t="str">
        <f>IFERROR(INDEX('CENTROS DE COSTOS RESOLUCION'!$C:$C,MATCH(D197,'CENTROS DE COSTOS RESOLUCION'!$B:$B,0)),"CÓDIGO NO VÁLIDO")</f>
        <v>OTRAS CONSULTAS Y PROCEDIMIENTOS</v>
      </c>
      <c r="F197" s="15" t="str">
        <f>IF(COUNTIF('CENTROS DE COSTOS UTILIZADOS'!$B:$B,D197)&gt;0,"SÍ","NO")</f>
        <v>NO</v>
      </c>
      <c r="G197" s="13" t="str">
        <f t="shared" si="3"/>
        <v>A32|HSRP</v>
      </c>
      <c r="H197" s="13" t="s">
        <v>17</v>
      </c>
      <c r="I197" s="13" t="s">
        <v>268</v>
      </c>
      <c r="J197" s="15" t="s">
        <v>6</v>
      </c>
      <c r="K197" s="15" t="s">
        <v>123</v>
      </c>
      <c r="L197" s="16" t="s">
        <v>124</v>
      </c>
      <c r="M197" s="13" t="s">
        <v>45</v>
      </c>
    </row>
    <row r="198" spans="1:13" x14ac:dyDescent="0.25">
      <c r="A198" s="13">
        <v>1070705</v>
      </c>
      <c r="B198" s="13" t="s">
        <v>299</v>
      </c>
      <c r="C198" s="13"/>
      <c r="D198" s="14" t="s">
        <v>126</v>
      </c>
      <c r="E198" s="13" t="str">
        <f>IFERROR(INDEX('CENTROS DE COSTOS RESOLUCION'!$C:$C,MATCH(D198,'CENTROS DE COSTOS RESOLUCION'!$B:$B,0)),"CÓDIGO NO VÁLIDO")</f>
        <v>SERVICIO DE AMBULANCIAS</v>
      </c>
      <c r="F198" s="15" t="str">
        <f>IF(COUNTIF('CENTROS DE COSTOS UTILIZADOS'!$B:$B,D198)&gt;0,"SÍ","NO")</f>
        <v>SÍ</v>
      </c>
      <c r="G198" s="13" t="str">
        <f t="shared" si="3"/>
        <v>N08|HSRP</v>
      </c>
      <c r="H198" s="13" t="s">
        <v>17</v>
      </c>
      <c r="I198" s="13" t="s">
        <v>268</v>
      </c>
      <c r="J198" s="15" t="s">
        <v>5</v>
      </c>
      <c r="K198" s="15" t="s">
        <v>43</v>
      </c>
      <c r="L198" s="16" t="s">
        <v>127</v>
      </c>
      <c r="M198" s="13" t="s">
        <v>45</v>
      </c>
    </row>
    <row r="199" spans="1:13" x14ac:dyDescent="0.25">
      <c r="A199" s="13">
        <v>1070706</v>
      </c>
      <c r="B199" s="13" t="s">
        <v>300</v>
      </c>
      <c r="C199" s="13"/>
      <c r="D199" s="14" t="s">
        <v>129</v>
      </c>
      <c r="E199" s="13" t="str">
        <f>IFERROR(INDEX('CENTROS DE COSTOS RESOLUCION'!$C:$C,MATCH(D199,'CENTROS DE COSTOS RESOLUCION'!$B:$B,0)),"CÓDIGO NO VÁLIDO")</f>
        <v>OTROS ENFERMERÍA</v>
      </c>
      <c r="F199" s="15" t="str">
        <f>IF(COUNTIF('CENTROS DE COSTOS UTILIZADOS'!$B:$B,D199)&gt;0,"SÍ","NO")</f>
        <v>NO</v>
      </c>
      <c r="G199" s="13" t="str">
        <f t="shared" si="3"/>
        <v>N04|HSRP</v>
      </c>
      <c r="H199" s="13" t="s">
        <v>18</v>
      </c>
      <c r="I199" s="13" t="s">
        <v>268</v>
      </c>
      <c r="J199" s="15" t="s">
        <v>6</v>
      </c>
      <c r="K199" s="15" t="s">
        <v>123</v>
      </c>
      <c r="L199" s="16" t="s">
        <v>130</v>
      </c>
      <c r="M199" s="13" t="s">
        <v>45</v>
      </c>
    </row>
    <row r="200" spans="1:13" ht="25.5" x14ac:dyDescent="0.25">
      <c r="A200" s="13">
        <v>1080101</v>
      </c>
      <c r="B200" s="13" t="s">
        <v>301</v>
      </c>
      <c r="C200" s="13"/>
      <c r="D200" s="14" t="s">
        <v>41</v>
      </c>
      <c r="E200" s="13" t="str">
        <f>IFERROR(INDEX('CENTROS DE COSTOS RESOLUCION'!$C:$C,MATCH(D200,'CENTROS DE COSTOS RESOLUCION'!$B:$B,0)),"CÓDIGO NO VÁLIDO")</f>
        <v>CONSULTA URGENCIAS</v>
      </c>
      <c r="F200" s="15" t="str">
        <f>IF(COUNTIF('CENTROS DE COSTOS UTILIZADOS'!$B:$B,D200)&gt;0,"SÍ","NO")</f>
        <v>SÍ</v>
      </c>
      <c r="G200" s="13" t="str">
        <f t="shared" si="3"/>
        <v>B01|CSPA</v>
      </c>
      <c r="H200" s="13" t="s">
        <v>17</v>
      </c>
      <c r="I200" s="13" t="s">
        <v>302</v>
      </c>
      <c r="J200" s="15" t="s">
        <v>5</v>
      </c>
      <c r="K200" s="15" t="s">
        <v>43</v>
      </c>
      <c r="L200" s="16" t="s">
        <v>44</v>
      </c>
      <c r="M200" s="13" t="s">
        <v>45</v>
      </c>
    </row>
    <row r="201" spans="1:13" x14ac:dyDescent="0.25">
      <c r="A201" s="13">
        <v>1080102</v>
      </c>
      <c r="B201" s="13" t="s">
        <v>303</v>
      </c>
      <c r="C201" s="13"/>
      <c r="D201" s="14" t="s">
        <v>47</v>
      </c>
      <c r="E201" s="13" t="str">
        <f>IFERROR(INDEX('CENTROS DE COSTOS RESOLUCION'!$C:$C,MATCH(D201,'CENTROS DE COSTOS RESOLUCION'!$B:$B,0)),"CÓDIGO NO VÁLIDO")</f>
        <v>OBSERVACIÓN</v>
      </c>
      <c r="F201" s="15" t="str">
        <f>IF(COUNTIF('CENTROS DE COSTOS UTILIZADOS'!$B:$B,D201)&gt;0,"SÍ","NO")</f>
        <v>SÍ</v>
      </c>
      <c r="G201" s="13" t="str">
        <f t="shared" si="3"/>
        <v>B02|CSPA</v>
      </c>
      <c r="H201" s="13" t="s">
        <v>17</v>
      </c>
      <c r="I201" s="13" t="s">
        <v>302</v>
      </c>
      <c r="J201" s="15" t="s">
        <v>5</v>
      </c>
      <c r="K201" s="15" t="s">
        <v>43</v>
      </c>
      <c r="L201" s="16" t="s">
        <v>48</v>
      </c>
      <c r="M201" s="13" t="s">
        <v>45</v>
      </c>
    </row>
    <row r="202" spans="1:13" x14ac:dyDescent="0.25">
      <c r="A202" s="13">
        <v>1080201</v>
      </c>
      <c r="B202" s="13" t="s">
        <v>304</v>
      </c>
      <c r="C202" s="13"/>
      <c r="D202" s="14" t="s">
        <v>50</v>
      </c>
      <c r="E202" s="13" t="str">
        <f>IFERROR(INDEX('CENTROS DE COSTOS RESOLUCION'!$C:$C,MATCH(D202,'CENTROS DE COSTOS RESOLUCION'!$B:$B,0)),"CÓDIGO NO VÁLIDO")</f>
        <v>MEDICINA GENERAL</v>
      </c>
      <c r="F202" s="15" t="str">
        <f>IF(COUNTIF('CENTROS DE COSTOS UTILIZADOS'!$B:$B,D202)&gt;0,"SÍ","NO")</f>
        <v>SÍ</v>
      </c>
      <c r="G202" s="13" t="str">
        <f t="shared" si="3"/>
        <v>A10|CSPA</v>
      </c>
      <c r="H202" s="13" t="s">
        <v>17</v>
      </c>
      <c r="I202" s="13" t="s">
        <v>302</v>
      </c>
      <c r="J202" s="15" t="s">
        <v>5</v>
      </c>
      <c r="K202" s="15" t="s">
        <v>43</v>
      </c>
      <c r="L202" s="16" t="s">
        <v>51</v>
      </c>
      <c r="M202" s="13" t="s">
        <v>45</v>
      </c>
    </row>
    <row r="203" spans="1:13" ht="25.5" x14ac:dyDescent="0.25">
      <c r="A203" s="13">
        <v>1080202</v>
      </c>
      <c r="B203" s="13" t="s">
        <v>305</v>
      </c>
      <c r="C203" s="13"/>
      <c r="D203" s="14" t="s">
        <v>53</v>
      </c>
      <c r="E203" s="13" t="str">
        <f>IFERROR(INDEX('CENTROS DE COSTOS RESOLUCION'!$C:$C,MATCH(D203,'CENTROS DE COSTOS RESOLUCION'!$B:$B,0)),"CÓDIGO NO VÁLIDO")</f>
        <v>OTRAS CONSULTAS Y PROCEDIMIENTOS</v>
      </c>
      <c r="F203" s="15" t="str">
        <f>IF(COUNTIF('CENTROS DE COSTOS UTILIZADOS'!$B:$B,D203)&gt;0,"SÍ","NO")</f>
        <v>NO</v>
      </c>
      <c r="G203" s="13" t="str">
        <f t="shared" si="3"/>
        <v>A32|CSPA</v>
      </c>
      <c r="H203" s="13" t="s">
        <v>17</v>
      </c>
      <c r="I203" s="13" t="s">
        <v>302</v>
      </c>
      <c r="J203" s="15" t="s">
        <v>5</v>
      </c>
      <c r="K203" s="15" t="s">
        <v>54</v>
      </c>
      <c r="L203" s="16" t="s">
        <v>55</v>
      </c>
      <c r="M203" s="13" t="s">
        <v>45</v>
      </c>
    </row>
    <row r="204" spans="1:13" x14ac:dyDescent="0.25">
      <c r="A204" s="13">
        <v>1080203</v>
      </c>
      <c r="B204" s="13" t="s">
        <v>306</v>
      </c>
      <c r="C204" s="13"/>
      <c r="D204" s="14" t="s">
        <v>57</v>
      </c>
      <c r="E204" s="13" t="str">
        <f>IFERROR(INDEX('CENTROS DE COSTOS RESOLUCION'!$C:$C,MATCH(D204,'CENTROS DE COSTOS RESOLUCION'!$B:$B,0)),"CÓDIGO NO VÁLIDO")</f>
        <v>ODONTOLOGÍA GENERAL</v>
      </c>
      <c r="F204" s="15" t="str">
        <f>IF(COUNTIF('CENTROS DE COSTOS UTILIZADOS'!$B:$B,D204)&gt;0,"SÍ","NO")</f>
        <v>SÍ</v>
      </c>
      <c r="G204" s="13" t="str">
        <f t="shared" si="3"/>
        <v>E01|CSPA</v>
      </c>
      <c r="H204" s="13" t="s">
        <v>17</v>
      </c>
      <c r="I204" s="13" t="s">
        <v>302</v>
      </c>
      <c r="J204" s="15" t="s">
        <v>5</v>
      </c>
      <c r="K204" s="15" t="s">
        <v>43</v>
      </c>
      <c r="L204" s="16" t="s">
        <v>58</v>
      </c>
      <c r="M204" s="13" t="s">
        <v>45</v>
      </c>
    </row>
    <row r="205" spans="1:13" x14ac:dyDescent="0.25">
      <c r="A205" s="13">
        <v>1080204</v>
      </c>
      <c r="B205" s="13" t="s">
        <v>307</v>
      </c>
      <c r="C205" s="13"/>
      <c r="D205" s="14" t="s">
        <v>60</v>
      </c>
      <c r="E205" s="13" t="str">
        <f>IFERROR(INDEX('CENTROS DE COSTOS RESOLUCION'!$C:$C,MATCH(D205,'CENTROS DE COSTOS RESOLUCION'!$B:$B,0)),"CÓDIGO NO VÁLIDO")</f>
        <v>PROMOCIÓN Y PREVENCIÓN</v>
      </c>
      <c r="F205" s="15" t="str">
        <f>IF(COUNTIF('CENTROS DE COSTOS UTILIZADOS'!$B:$B,D205)&gt;0,"SÍ","NO")</f>
        <v>SÍ</v>
      </c>
      <c r="G205" s="13" t="str">
        <f t="shared" si="3"/>
        <v>N03|CSPA</v>
      </c>
      <c r="H205" s="13" t="s">
        <v>17</v>
      </c>
      <c r="I205" s="13" t="s">
        <v>302</v>
      </c>
      <c r="J205" s="15" t="s">
        <v>5</v>
      </c>
      <c r="K205" s="15" t="s">
        <v>43</v>
      </c>
      <c r="L205" s="16" t="s">
        <v>61</v>
      </c>
      <c r="M205" s="13" t="s">
        <v>45</v>
      </c>
    </row>
    <row r="206" spans="1:13" x14ac:dyDescent="0.25">
      <c r="A206" s="13">
        <v>1080205</v>
      </c>
      <c r="B206" s="13" t="s">
        <v>308</v>
      </c>
      <c r="C206" s="13"/>
      <c r="D206" s="14" t="s">
        <v>63</v>
      </c>
      <c r="E206" s="13" t="str">
        <f>IFERROR(INDEX('CENTROS DE COSTOS RESOLUCION'!$C:$C,MATCH(D206,'CENTROS DE COSTOS RESOLUCION'!$B:$B,0)),"CÓDIGO NO VÁLIDO")</f>
        <v>SALUD PUBLICA</v>
      </c>
      <c r="F206" s="15" t="str">
        <f>IF(COUNTIF('CENTROS DE COSTOS UTILIZADOS'!$B:$B,D206)&gt;0,"SÍ","NO")</f>
        <v>SÍ</v>
      </c>
      <c r="G206" s="13" t="str">
        <f t="shared" si="3"/>
        <v>K25|CSPA</v>
      </c>
      <c r="H206" s="13" t="s">
        <v>17</v>
      </c>
      <c r="I206" s="13" t="s">
        <v>302</v>
      </c>
      <c r="J206" s="15" t="s">
        <v>5</v>
      </c>
      <c r="K206" s="15" t="s">
        <v>54</v>
      </c>
      <c r="L206" s="16" t="s">
        <v>64</v>
      </c>
      <c r="M206" s="13" t="s">
        <v>45</v>
      </c>
    </row>
    <row r="207" spans="1:13" x14ac:dyDescent="0.25">
      <c r="A207" s="13">
        <v>1080301</v>
      </c>
      <c r="B207" s="13" t="s">
        <v>309</v>
      </c>
      <c r="C207" s="13"/>
      <c r="D207" s="14" t="s">
        <v>66</v>
      </c>
      <c r="E207" s="13" t="str">
        <f>IFERROR(INDEX('CENTROS DE COSTOS RESOLUCION'!$C:$C,MATCH(D207,'CENTROS DE COSTOS RESOLUCION'!$B:$B,0)),"CÓDIGO NO VÁLIDO")</f>
        <v>HOSPITALIZACIÓN GENERAL</v>
      </c>
      <c r="F207" s="15" t="str">
        <f>IF(COUNTIF('CENTROS DE COSTOS UTILIZADOS'!$B:$B,D207)&gt;0,"SÍ","NO")</f>
        <v>NO</v>
      </c>
      <c r="G207" s="13" t="str">
        <f t="shared" si="3"/>
        <v>I01|CSPA</v>
      </c>
      <c r="H207" s="13" t="s">
        <v>17</v>
      </c>
      <c r="I207" s="13" t="s">
        <v>302</v>
      </c>
      <c r="J207" s="15" t="s">
        <v>5</v>
      </c>
      <c r="K207" s="15" t="s">
        <v>43</v>
      </c>
      <c r="L207" s="16" t="s">
        <v>67</v>
      </c>
      <c r="M207" s="13" t="s">
        <v>45</v>
      </c>
    </row>
    <row r="208" spans="1:13" ht="25.5" x14ac:dyDescent="0.25">
      <c r="A208" s="13">
        <v>1080302</v>
      </c>
      <c r="B208" s="13" t="s">
        <v>310</v>
      </c>
      <c r="C208" s="13"/>
      <c r="D208" s="14" t="s">
        <v>69</v>
      </c>
      <c r="E208" s="13" t="str">
        <f>IFERROR(INDEX('CENTROS DE COSTOS RESOLUCION'!$C:$C,MATCH(D208,'CENTROS DE COSTOS RESOLUCION'!$B:$B,0)),"CÓDIGO NO VÁLIDO")</f>
        <v>UCI ADULTOS</v>
      </c>
      <c r="F208" s="15" t="str">
        <f>IF(COUNTIF('CENTROS DE COSTOS UTILIZADOS'!$B:$B,D208)&gt;0,"SÍ","NO")</f>
        <v>NO</v>
      </c>
      <c r="G208" s="13" t="str">
        <f t="shared" si="3"/>
        <v>J02|CSPA</v>
      </c>
      <c r="H208" s="13" t="s">
        <v>17</v>
      </c>
      <c r="I208" s="13" t="s">
        <v>302</v>
      </c>
      <c r="J208" s="15" t="s">
        <v>7</v>
      </c>
      <c r="K208" s="15" t="s">
        <v>43</v>
      </c>
      <c r="L208" s="16" t="s">
        <v>70</v>
      </c>
      <c r="M208" s="13" t="s">
        <v>45</v>
      </c>
    </row>
    <row r="209" spans="1:13" ht="25.5" x14ac:dyDescent="0.25">
      <c r="A209" s="13">
        <v>1080303</v>
      </c>
      <c r="B209" s="13" t="s">
        <v>311</v>
      </c>
      <c r="C209" s="13"/>
      <c r="D209" s="14" t="s">
        <v>72</v>
      </c>
      <c r="E209" s="13" t="str">
        <f>IFERROR(INDEX('CENTROS DE COSTOS RESOLUCION'!$C:$C,MATCH(D209,'CENTROS DE COSTOS RESOLUCION'!$B:$B,0)),"CÓDIGO NO VÁLIDO")</f>
        <v>UCI INTERMEDIOS ADULTOS</v>
      </c>
      <c r="F209" s="15" t="str">
        <f>IF(COUNTIF('CENTROS DE COSTOS UTILIZADOS'!$B:$B,D209)&gt;0,"SÍ","NO")</f>
        <v>NO</v>
      </c>
      <c r="G209" s="13" t="str">
        <f t="shared" si="3"/>
        <v>J05|CSPA</v>
      </c>
      <c r="H209" s="13" t="s">
        <v>17</v>
      </c>
      <c r="I209" s="13" t="s">
        <v>302</v>
      </c>
      <c r="J209" s="15" t="s">
        <v>7</v>
      </c>
      <c r="K209" s="15" t="s">
        <v>43</v>
      </c>
      <c r="L209" s="16" t="s">
        <v>70</v>
      </c>
      <c r="M209" s="13" t="s">
        <v>45</v>
      </c>
    </row>
    <row r="210" spans="1:13" x14ac:dyDescent="0.25">
      <c r="A210" s="13">
        <v>1080304</v>
      </c>
      <c r="B210" s="13" t="s">
        <v>312</v>
      </c>
      <c r="C210" s="13"/>
      <c r="D210" s="14" t="s">
        <v>74</v>
      </c>
      <c r="E210" s="13" t="str">
        <f>IFERROR(INDEX('CENTROS DE COSTOS RESOLUCION'!$C:$C,MATCH(D210,'CENTROS DE COSTOS RESOLUCION'!$B:$B,0)),"CÓDIGO NO VÁLIDO")</f>
        <v>UNIDAD DE RECIÉN NACIDOS</v>
      </c>
      <c r="F210" s="15" t="str">
        <f>IF(COUNTIF('CENTROS DE COSTOS UTILIZADOS'!$B:$B,D210)&gt;0,"SÍ","NO")</f>
        <v>NO</v>
      </c>
      <c r="G210" s="13" t="str">
        <f t="shared" si="3"/>
        <v>J09|CSPA</v>
      </c>
      <c r="H210" s="13" t="s">
        <v>17</v>
      </c>
      <c r="I210" s="13" t="s">
        <v>302</v>
      </c>
      <c r="J210" s="15" t="s">
        <v>6</v>
      </c>
      <c r="K210" s="15" t="s">
        <v>54</v>
      </c>
      <c r="L210" s="16" t="s">
        <v>75</v>
      </c>
      <c r="M210" s="13" t="s">
        <v>45</v>
      </c>
    </row>
    <row r="211" spans="1:13" ht="25.5" x14ac:dyDescent="0.25">
      <c r="A211" s="13">
        <v>1080305</v>
      </c>
      <c r="B211" s="13" t="s">
        <v>313</v>
      </c>
      <c r="C211" s="13"/>
      <c r="D211" s="14" t="s">
        <v>77</v>
      </c>
      <c r="E211" s="13" t="str">
        <f>IFERROR(INDEX('CENTROS DE COSTOS RESOLUCION'!$C:$C,MATCH(D211,'CENTROS DE COSTOS RESOLUCION'!$B:$B,0)),"CÓDIGO NO VÁLIDO")</f>
        <v>UNIDAD SALUD MENTAL Y DESINTOXICACIÓN (BAJA COMPLEJIDAD)</v>
      </c>
      <c r="F211" s="15" t="str">
        <f>IF(COUNTIF('CENTROS DE COSTOS UTILIZADOS'!$B:$B,D211)&gt;0,"SÍ","NO")</f>
        <v>NO</v>
      </c>
      <c r="G211" s="13" t="str">
        <f t="shared" si="3"/>
        <v>J10|CSPA</v>
      </c>
      <c r="H211" s="13" t="s">
        <v>17</v>
      </c>
      <c r="I211" s="13" t="s">
        <v>302</v>
      </c>
      <c r="J211" s="15" t="s">
        <v>7</v>
      </c>
      <c r="K211" s="15" t="s">
        <v>43</v>
      </c>
      <c r="L211" s="16" t="s">
        <v>70</v>
      </c>
      <c r="M211" s="13" t="s">
        <v>45</v>
      </c>
    </row>
    <row r="212" spans="1:13" ht="25.5" x14ac:dyDescent="0.25">
      <c r="A212" s="13">
        <v>1080306</v>
      </c>
      <c r="B212" s="13" t="s">
        <v>314</v>
      </c>
      <c r="C212" s="13"/>
      <c r="D212" s="14" t="s">
        <v>79</v>
      </c>
      <c r="E212" s="13" t="str">
        <f>IFERROR(INDEX('CENTROS DE COSTOS RESOLUCION'!$C:$C,MATCH(D212,'CENTROS DE COSTOS RESOLUCION'!$B:$B,0)),"CÓDIGO NO VÁLIDO")</f>
        <v>UNIDAD DE QUEMADOS ADULTOS</v>
      </c>
      <c r="F212" s="15" t="str">
        <f>IF(COUNTIF('CENTROS DE COSTOS UTILIZADOS'!$B:$B,D212)&gt;0,"SÍ","NO")</f>
        <v>NO</v>
      </c>
      <c r="G212" s="13" t="str">
        <f t="shared" si="3"/>
        <v>J08|CSPA</v>
      </c>
      <c r="H212" s="13" t="s">
        <v>17</v>
      </c>
      <c r="I212" s="13" t="s">
        <v>302</v>
      </c>
      <c r="J212" s="15" t="s">
        <v>7</v>
      </c>
      <c r="K212" s="15" t="s">
        <v>43</v>
      </c>
      <c r="L212" s="16" t="s">
        <v>70</v>
      </c>
      <c r="M212" s="13" t="s">
        <v>45</v>
      </c>
    </row>
    <row r="213" spans="1:13" ht="25.5" x14ac:dyDescent="0.25">
      <c r="A213" s="13">
        <v>1080307</v>
      </c>
      <c r="B213" s="13" t="s">
        <v>315</v>
      </c>
      <c r="C213" s="13"/>
      <c r="D213" s="14" t="s">
        <v>81</v>
      </c>
      <c r="E213" s="13" t="str">
        <f>IFERROR(INDEX('CENTROS DE COSTOS RESOLUCION'!$C:$C,MATCH(D213,'CENTROS DE COSTOS RESOLUCION'!$B:$B,0)),"CÓDIGO NO VÁLIDO")</f>
        <v>OTRAS UNIDADES ESPECIALES</v>
      </c>
      <c r="F213" s="15" t="str">
        <f>IF(COUNTIF('CENTROS DE COSTOS UTILIZADOS'!$B:$B,D213)&gt;0,"SÍ","NO")</f>
        <v>NO</v>
      </c>
      <c r="G213" s="13" t="str">
        <f t="shared" si="3"/>
        <v>J13|CSPA</v>
      </c>
      <c r="H213" s="13" t="s">
        <v>17</v>
      </c>
      <c r="I213" s="13" t="s">
        <v>302</v>
      </c>
      <c r="J213" s="15" t="s">
        <v>7</v>
      </c>
      <c r="K213" s="15" t="s">
        <v>54</v>
      </c>
      <c r="L213" s="16" t="s">
        <v>70</v>
      </c>
      <c r="M213" s="13" t="s">
        <v>45</v>
      </c>
    </row>
    <row r="214" spans="1:13" x14ac:dyDescent="0.25">
      <c r="A214" s="13">
        <v>1080401</v>
      </c>
      <c r="B214" s="13" t="s">
        <v>316</v>
      </c>
      <c r="C214" s="13"/>
      <c r="D214" s="14" t="s">
        <v>83</v>
      </c>
      <c r="E214" s="13" t="str">
        <f>IFERROR(INDEX('CENTROS DE COSTOS RESOLUCION'!$C:$C,MATCH(D214,'CENTROS DE COSTOS RESOLUCION'!$B:$B,0)),"CÓDIGO NO VÁLIDO")</f>
        <v>CIRUGÍA GENERAL</v>
      </c>
      <c r="F214" s="15" t="str">
        <f>IF(COUNTIF('CENTROS DE COSTOS UTILIZADOS'!$B:$B,D214)&gt;0,"SÍ","NO")</f>
        <v>NO</v>
      </c>
      <c r="G214" s="13" t="str">
        <f t="shared" si="3"/>
        <v>C01|CSPA</v>
      </c>
      <c r="H214" s="13" t="s">
        <v>17</v>
      </c>
      <c r="I214" s="13" t="s">
        <v>302</v>
      </c>
      <c r="J214" s="15" t="s">
        <v>6</v>
      </c>
      <c r="K214" s="15" t="s">
        <v>54</v>
      </c>
      <c r="L214" s="16" t="s">
        <v>84</v>
      </c>
      <c r="M214" s="13" t="s">
        <v>45</v>
      </c>
    </row>
    <row r="215" spans="1:13" x14ac:dyDescent="0.25">
      <c r="A215" s="13">
        <v>1080402</v>
      </c>
      <c r="B215" s="13" t="s">
        <v>317</v>
      </c>
      <c r="C215" s="13"/>
      <c r="D215" s="14" t="s">
        <v>86</v>
      </c>
      <c r="E215" s="13" t="str">
        <f>IFERROR(INDEX('CENTROS DE COSTOS RESOLUCION'!$C:$C,MATCH(D215,'CENTROS DE COSTOS RESOLUCION'!$B:$B,0)),"CÓDIGO NO VÁLIDO")</f>
        <v>ATENCIÓN DE PARTO BAJA COMPLEJIDAD</v>
      </c>
      <c r="F215" s="15" t="str">
        <f>IF(COUNTIF('CENTROS DE COSTOS UTILIZADOS'!$B:$B,D215)&gt;0,"SÍ","NO")</f>
        <v>NO</v>
      </c>
      <c r="G215" s="13" t="str">
        <f t="shared" si="3"/>
        <v>D02|CSPA</v>
      </c>
      <c r="H215" s="13" t="s">
        <v>17</v>
      </c>
      <c r="I215" s="13" t="s">
        <v>302</v>
      </c>
      <c r="J215" s="15" t="s">
        <v>5</v>
      </c>
      <c r="K215" s="15" t="s">
        <v>43</v>
      </c>
      <c r="L215" s="16" t="s">
        <v>87</v>
      </c>
      <c r="M215" s="13" t="s">
        <v>45</v>
      </c>
    </row>
    <row r="216" spans="1:13" x14ac:dyDescent="0.25">
      <c r="A216" s="13">
        <v>1080501</v>
      </c>
      <c r="B216" s="13" t="s">
        <v>318</v>
      </c>
      <c r="C216" s="13"/>
      <c r="D216" s="14" t="s">
        <v>89</v>
      </c>
      <c r="E216" s="13" t="str">
        <f>IFERROR(INDEX('CENTROS DE COSTOS RESOLUCION'!$C:$C,MATCH(D216,'CENTROS DE COSTOS RESOLUCION'!$B:$B,0)),"CÓDIGO NO VÁLIDO")</f>
        <v>LABORATORIO Y ANÁLISIS CLÍNICO</v>
      </c>
      <c r="F216" s="15" t="str">
        <f>IF(COUNTIF('CENTROS DE COSTOS UTILIZADOS'!$B:$B,D216)&gt;0,"SÍ","NO")</f>
        <v>SÍ</v>
      </c>
      <c r="G216" s="13" t="str">
        <f t="shared" si="3"/>
        <v>L07|CSPA</v>
      </c>
      <c r="H216" s="13" t="s">
        <v>18</v>
      </c>
      <c r="I216" s="13" t="s">
        <v>302</v>
      </c>
      <c r="J216" s="15" t="s">
        <v>5</v>
      </c>
      <c r="K216" s="15" t="s">
        <v>43</v>
      </c>
      <c r="L216" s="16" t="s">
        <v>90</v>
      </c>
      <c r="M216" s="13" t="s">
        <v>45</v>
      </c>
    </row>
    <row r="217" spans="1:13" x14ac:dyDescent="0.25">
      <c r="A217" s="13">
        <v>1080502</v>
      </c>
      <c r="B217" s="13" t="s">
        <v>319</v>
      </c>
      <c r="C217" s="13"/>
      <c r="D217" s="14" t="s">
        <v>92</v>
      </c>
      <c r="E217" s="13" t="str">
        <f>IFERROR(INDEX('CENTROS DE COSTOS RESOLUCION'!$C:$C,MATCH(D217,'CENTROS DE COSTOS RESOLUCION'!$B:$B,0)),"CÓDIGO NO VÁLIDO")</f>
        <v>IMAGENEOLOGÍA RADIOLÓGICA</v>
      </c>
      <c r="F217" s="15" t="str">
        <f>IF(COUNTIF('CENTROS DE COSTOS UTILIZADOS'!$B:$B,D217)&gt;0,"SÍ","NO")</f>
        <v>SÍ</v>
      </c>
      <c r="G217" s="13" t="str">
        <f t="shared" si="3"/>
        <v>L02|CSPA</v>
      </c>
      <c r="H217" s="13" t="s">
        <v>18</v>
      </c>
      <c r="I217" s="13" t="s">
        <v>302</v>
      </c>
      <c r="J217" s="15" t="s">
        <v>5</v>
      </c>
      <c r="K217" s="15" t="s">
        <v>43</v>
      </c>
      <c r="L217" s="16" t="s">
        <v>93</v>
      </c>
      <c r="M217" s="13" t="s">
        <v>45</v>
      </c>
    </row>
    <row r="218" spans="1:13" ht="25.5" x14ac:dyDescent="0.25">
      <c r="A218" s="13">
        <v>1080503</v>
      </c>
      <c r="B218" s="13" t="s">
        <v>320</v>
      </c>
      <c r="C218" s="13"/>
      <c r="D218" s="14" t="s">
        <v>95</v>
      </c>
      <c r="E218" s="13" t="str">
        <f>IFERROR(INDEX('CENTROS DE COSTOS RESOLUCION'!$C:$C,MATCH(D218,'CENTROS DE COSTOS RESOLUCION'!$B:$B,0)),"CÓDIGO NO VÁLIDO")</f>
        <v>LABORATORIO ANATOMÍA PATOLÓGICA</v>
      </c>
      <c r="F218" s="15" t="str">
        <f>IF(COUNTIF('CENTROS DE COSTOS UTILIZADOS'!$B:$B,D218)&gt;0,"SÍ","NO")</f>
        <v>NO</v>
      </c>
      <c r="G218" s="13" t="str">
        <f t="shared" si="3"/>
        <v>L01|CSPA</v>
      </c>
      <c r="H218" s="13" t="s">
        <v>18</v>
      </c>
      <c r="I218" s="13" t="s">
        <v>302</v>
      </c>
      <c r="J218" s="15" t="s">
        <v>7</v>
      </c>
      <c r="K218" s="15" t="s">
        <v>43</v>
      </c>
      <c r="L218" s="16" t="s">
        <v>70</v>
      </c>
      <c r="M218" s="13" t="s">
        <v>45</v>
      </c>
    </row>
    <row r="219" spans="1:13" ht="25.5" x14ac:dyDescent="0.25">
      <c r="A219" s="13">
        <v>1080504</v>
      </c>
      <c r="B219" s="13" t="s">
        <v>321</v>
      </c>
      <c r="C219" s="13"/>
      <c r="D219" s="14" t="s">
        <v>97</v>
      </c>
      <c r="E219" s="13" t="str">
        <f>IFERROR(INDEX('CENTROS DE COSTOS RESOLUCION'!$C:$C,MATCH(D219,'CENTROS DE COSTOS RESOLUCION'!$B:$B,0)),"CÓDIGO NO VÁLIDO")</f>
        <v>IMAGENOLOGÍA NO RADIOLÓGICA</v>
      </c>
      <c r="F219" s="15" t="str">
        <f>IF(COUNTIF('CENTROS DE COSTOS UTILIZADOS'!$B:$B,D219)&gt;0,"SÍ","NO")</f>
        <v>NO</v>
      </c>
      <c r="G219" s="13" t="str">
        <f t="shared" si="3"/>
        <v>L04|CSPA</v>
      </c>
      <c r="H219" s="13" t="s">
        <v>18</v>
      </c>
      <c r="I219" s="13" t="s">
        <v>302</v>
      </c>
      <c r="J219" s="15" t="s">
        <v>6</v>
      </c>
      <c r="K219" s="15" t="s">
        <v>54</v>
      </c>
      <c r="L219" s="16" t="s">
        <v>98</v>
      </c>
      <c r="M219" s="13" t="s">
        <v>45</v>
      </c>
    </row>
    <row r="220" spans="1:13" x14ac:dyDescent="0.25">
      <c r="A220" s="13">
        <v>1080601</v>
      </c>
      <c r="B220" s="13" t="s">
        <v>322</v>
      </c>
      <c r="C220" s="13"/>
      <c r="D220" s="14" t="s">
        <v>100</v>
      </c>
      <c r="E220" s="13" t="str">
        <f>IFERROR(INDEX('CENTROS DE COSTOS RESOLUCION'!$C:$C,MATCH(D220,'CENTROS DE COSTOS RESOLUCION'!$B:$B,0)),"CÓDIGO NO VÁLIDO")</f>
        <v>FISIOTERAPIA Y REHABILITACIÓN</v>
      </c>
      <c r="F220" s="15" t="str">
        <f>IF(COUNTIF('CENTROS DE COSTOS UTILIZADOS'!$B:$B,D220)&gt;0,"SÍ","NO")</f>
        <v>SÍ</v>
      </c>
      <c r="G220" s="13" t="str">
        <f t="shared" si="3"/>
        <v>M06|CSPA</v>
      </c>
      <c r="H220" s="13" t="s">
        <v>18</v>
      </c>
      <c r="I220" s="13" t="s">
        <v>302</v>
      </c>
      <c r="J220" s="15" t="s">
        <v>5</v>
      </c>
      <c r="K220" s="15" t="s">
        <v>43</v>
      </c>
      <c r="L220" s="16" t="s">
        <v>101</v>
      </c>
      <c r="M220" s="13" t="s">
        <v>45</v>
      </c>
    </row>
    <row r="221" spans="1:13" ht="25.5" x14ac:dyDescent="0.25">
      <c r="A221" s="13">
        <v>1080602</v>
      </c>
      <c r="B221" s="13" t="s">
        <v>323</v>
      </c>
      <c r="C221" s="13"/>
      <c r="D221" s="14" t="s">
        <v>103</v>
      </c>
      <c r="E221" s="13" t="str">
        <f>IFERROR(INDEX('CENTROS DE COSTOS RESOLUCION'!$C:$C,MATCH(D221,'CENTROS DE COSTOS RESOLUCION'!$B:$B,0)),"CÓDIGO NO VÁLIDO")</f>
        <v>BANCO DE SANGRE</v>
      </c>
      <c r="F221" s="15" t="str">
        <f>IF(COUNTIF('CENTROS DE COSTOS UTILIZADOS'!$B:$B,D221)&gt;0,"SÍ","NO")</f>
        <v>NO</v>
      </c>
      <c r="G221" s="13" t="str">
        <f t="shared" si="3"/>
        <v>M01|CSPA</v>
      </c>
      <c r="H221" s="13" t="s">
        <v>18</v>
      </c>
      <c r="I221" s="13" t="s">
        <v>302</v>
      </c>
      <c r="J221" s="15" t="s">
        <v>7</v>
      </c>
      <c r="K221" s="15" t="s">
        <v>43</v>
      </c>
      <c r="L221" s="16" t="s">
        <v>70</v>
      </c>
      <c r="M221" s="13" t="s">
        <v>45</v>
      </c>
    </row>
    <row r="222" spans="1:13" ht="25.5" x14ac:dyDescent="0.25">
      <c r="A222" s="13">
        <v>1080603</v>
      </c>
      <c r="B222" s="13" t="s">
        <v>324</v>
      </c>
      <c r="C222" s="13"/>
      <c r="D222" s="14" t="s">
        <v>105</v>
      </c>
      <c r="E222" s="13" t="str">
        <f>IFERROR(INDEX('CENTROS DE COSTOS RESOLUCION'!$C:$C,MATCH(D222,'CENTROS DE COSTOS RESOLUCION'!$B:$B,0)),"CÓDIGO NO VÁLIDO")</f>
        <v>TERAPIA RENAL</v>
      </c>
      <c r="F222" s="15" t="str">
        <f>IF(COUNTIF('CENTROS DE COSTOS UTILIZADOS'!$B:$B,D222)&gt;0,"SÍ","NO")</f>
        <v>NO</v>
      </c>
      <c r="G222" s="13" t="str">
        <f t="shared" si="3"/>
        <v>M03|CSPA</v>
      </c>
      <c r="H222" s="13" t="s">
        <v>18</v>
      </c>
      <c r="I222" s="13" t="s">
        <v>302</v>
      </c>
      <c r="J222" s="15" t="s">
        <v>7</v>
      </c>
      <c r="K222" s="15" t="s">
        <v>43</v>
      </c>
      <c r="L222" s="16" t="s">
        <v>70</v>
      </c>
      <c r="M222" s="13" t="s">
        <v>45</v>
      </c>
    </row>
    <row r="223" spans="1:13" ht="25.5" x14ac:dyDescent="0.25">
      <c r="A223" s="13">
        <v>1080604</v>
      </c>
      <c r="B223" s="13" t="s">
        <v>325</v>
      </c>
      <c r="C223" s="13"/>
      <c r="D223" s="14" t="s">
        <v>107</v>
      </c>
      <c r="E223" s="13" t="str">
        <f>IFERROR(INDEX('CENTROS DE COSTOS RESOLUCION'!$C:$C,MATCH(D223,'CENTROS DE COSTOS RESOLUCION'!$B:$B,0)),"CÓDIGO NO VÁLIDO")</f>
        <v>CARDIOVASCULAR</v>
      </c>
      <c r="F223" s="15" t="str">
        <f>IF(COUNTIF('CENTROS DE COSTOS UTILIZADOS'!$B:$B,D223)&gt;0,"SÍ","NO")</f>
        <v>NO</v>
      </c>
      <c r="G223" s="13" t="str">
        <f t="shared" si="3"/>
        <v>C05|CSPA</v>
      </c>
      <c r="H223" s="13" t="s">
        <v>17</v>
      </c>
      <c r="I223" s="13" t="s">
        <v>302</v>
      </c>
      <c r="J223" s="15" t="s">
        <v>7</v>
      </c>
      <c r="K223" s="15" t="s">
        <v>43</v>
      </c>
      <c r="L223" s="16" t="s">
        <v>70</v>
      </c>
      <c r="M223" s="13" t="s">
        <v>45</v>
      </c>
    </row>
    <row r="224" spans="1:13" ht="25.5" x14ac:dyDescent="0.25">
      <c r="A224" s="13">
        <v>1080605</v>
      </c>
      <c r="B224" s="13" t="s">
        <v>326</v>
      </c>
      <c r="C224" s="13"/>
      <c r="D224" s="14" t="s">
        <v>109</v>
      </c>
      <c r="E224" s="13" t="str">
        <f>IFERROR(INDEX('CENTROS DE COSTOS RESOLUCION'!$C:$C,MATCH(D224,'CENTROS DE COSTOS RESOLUCION'!$B:$B,0)),"CÓDIGO NO VÁLIDO")</f>
        <v>OTRAS TERAPIAS</v>
      </c>
      <c r="F224" s="15" t="str">
        <f>IF(COUNTIF('CENTROS DE COSTOS UTILIZADOS'!$B:$B,D224)&gt;0,"SÍ","NO")</f>
        <v>NO</v>
      </c>
      <c r="G224" s="13" t="str">
        <f t="shared" si="3"/>
        <v>M07|CSPA</v>
      </c>
      <c r="H224" s="13" t="s">
        <v>18</v>
      </c>
      <c r="I224" s="13" t="s">
        <v>302</v>
      </c>
      <c r="J224" s="15" t="s">
        <v>7</v>
      </c>
      <c r="K224" s="15" t="s">
        <v>43</v>
      </c>
      <c r="L224" s="16" t="s">
        <v>70</v>
      </c>
      <c r="M224" s="13" t="s">
        <v>45</v>
      </c>
    </row>
    <row r="225" spans="1:13" x14ac:dyDescent="0.25">
      <c r="A225" s="13">
        <v>1080606</v>
      </c>
      <c r="B225" s="13" t="s">
        <v>327</v>
      </c>
      <c r="C225" s="13"/>
      <c r="D225" s="14" t="s">
        <v>111</v>
      </c>
      <c r="E225" s="13" t="str">
        <f>IFERROR(INDEX('CENTROS DE COSTOS RESOLUCION'!$C:$C,MATCH(D225,'CENTROS DE COSTOS RESOLUCION'!$B:$B,0)),"CÓDIGO NO VÁLIDO")</f>
        <v>FARMACIA</v>
      </c>
      <c r="F225" s="15" t="str">
        <f>IF(COUNTIF('CENTROS DE COSTOS UTILIZADOS'!$B:$B,D225)&gt;0,"SÍ","NO")</f>
        <v>SÍ</v>
      </c>
      <c r="G225" s="13" t="str">
        <f t="shared" si="3"/>
        <v>M05|CSPA</v>
      </c>
      <c r="H225" s="13" t="s">
        <v>18</v>
      </c>
      <c r="I225" s="13" t="s">
        <v>302</v>
      </c>
      <c r="J225" s="15" t="s">
        <v>5</v>
      </c>
      <c r="K225" s="15" t="s">
        <v>43</v>
      </c>
      <c r="L225" s="16" t="s">
        <v>112</v>
      </c>
      <c r="M225" s="13" t="s">
        <v>45</v>
      </c>
    </row>
    <row r="226" spans="1:13" x14ac:dyDescent="0.25">
      <c r="A226" s="13">
        <v>1080607</v>
      </c>
      <c r="B226" s="13" t="s">
        <v>328</v>
      </c>
      <c r="C226" s="13"/>
      <c r="D226" s="14" t="s">
        <v>109</v>
      </c>
      <c r="E226" s="13" t="str">
        <f>IFERROR(INDEX('CENTROS DE COSTOS RESOLUCION'!$C:$C,MATCH(D226,'CENTROS DE COSTOS RESOLUCION'!$B:$B,0)),"CÓDIGO NO VÁLIDO")</f>
        <v>OTRAS TERAPIAS</v>
      </c>
      <c r="F226" s="15" t="str">
        <f>IF(COUNTIF('CENTROS DE COSTOS UTILIZADOS'!$B:$B,D226)&gt;0,"SÍ","NO")</f>
        <v>NO</v>
      </c>
      <c r="G226" s="13" t="str">
        <f t="shared" si="3"/>
        <v>M07|CSPA</v>
      </c>
      <c r="H226" s="13" t="s">
        <v>18</v>
      </c>
      <c r="I226" s="13" t="s">
        <v>302</v>
      </c>
      <c r="J226" s="15" t="s">
        <v>6</v>
      </c>
      <c r="K226" s="15" t="s">
        <v>54</v>
      </c>
      <c r="L226" s="16" t="s">
        <v>114</v>
      </c>
      <c r="M226" s="13" t="s">
        <v>45</v>
      </c>
    </row>
    <row r="227" spans="1:13" ht="25.5" x14ac:dyDescent="0.25">
      <c r="A227" s="13">
        <v>1080701</v>
      </c>
      <c r="B227" s="13" t="s">
        <v>329</v>
      </c>
      <c r="C227" s="13"/>
      <c r="D227" s="14" t="s">
        <v>116</v>
      </c>
      <c r="E227" s="13" t="str">
        <f>IFERROR(INDEX('CENTROS DE COSTOS RESOLUCION'!$C:$C,MATCH(D227,'CENTROS DE COSTOS RESOLUCION'!$B:$B,0)),"CÓDIGO NO VÁLIDO")</f>
        <v>ANCIANATOS Y ALBERGUES</v>
      </c>
      <c r="F227" s="15" t="str">
        <f>IF(COUNTIF('CENTROS DE COSTOS UTILIZADOS'!$B:$B,D227)&gt;0,"SÍ","NO")</f>
        <v>NO</v>
      </c>
      <c r="G227" s="13" t="str">
        <f t="shared" si="3"/>
        <v>J01|CSPA</v>
      </c>
      <c r="H227" s="13" t="s">
        <v>17</v>
      </c>
      <c r="I227" s="13" t="s">
        <v>302</v>
      </c>
      <c r="J227" s="15" t="s">
        <v>7</v>
      </c>
      <c r="K227" s="15" t="s">
        <v>43</v>
      </c>
      <c r="L227" s="16" t="s">
        <v>70</v>
      </c>
      <c r="M227" s="13" t="s">
        <v>45</v>
      </c>
    </row>
    <row r="228" spans="1:13" x14ac:dyDescent="0.25">
      <c r="A228" s="13">
        <v>1080702</v>
      </c>
      <c r="B228" s="13" t="s">
        <v>330</v>
      </c>
      <c r="C228" s="13"/>
      <c r="D228" s="14" t="s">
        <v>118</v>
      </c>
      <c r="E228" s="13" t="str">
        <f>IFERROR(INDEX('CENTROS DE COSTOS RESOLUCION'!$C:$C,MATCH(D228,'CENTROS DE COSTOS RESOLUCION'!$B:$B,0)),"CÓDIGO NO VÁLIDO")</f>
        <v>CENTROS Y PUESTOS DE SALUD</v>
      </c>
      <c r="F228" s="15" t="str">
        <f>IF(COUNTIF('CENTROS DE COSTOS UTILIZADOS'!$B:$B,D228)&gt;0,"SÍ","NO")</f>
        <v>SÍ</v>
      </c>
      <c r="G228" s="13" t="str">
        <f t="shared" si="3"/>
        <v>J17|CSPA</v>
      </c>
      <c r="H228" s="13" t="s">
        <v>17</v>
      </c>
      <c r="I228" s="13" t="s">
        <v>302</v>
      </c>
      <c r="J228" s="15" t="s">
        <v>5</v>
      </c>
      <c r="K228" s="15" t="s">
        <v>43</v>
      </c>
      <c r="L228" s="16" t="s">
        <v>119</v>
      </c>
      <c r="M228" s="13" t="s">
        <v>45</v>
      </c>
    </row>
    <row r="229" spans="1:13" ht="25.5" x14ac:dyDescent="0.25">
      <c r="A229" s="13">
        <v>1080703</v>
      </c>
      <c r="B229" s="13" t="s">
        <v>331</v>
      </c>
      <c r="C229" s="13"/>
      <c r="D229" s="14" t="s">
        <v>121</v>
      </c>
      <c r="E229" s="13" t="str">
        <f>IFERROR(INDEX('CENTROS DE COSTOS RESOLUCION'!$C:$C,MATCH(D229,'CENTROS DE COSTOS RESOLUCION'!$B:$B,0)),"CÓDIGO NO VÁLIDO")</f>
        <v>EDUCACIÓN MÉDICA</v>
      </c>
      <c r="F229" s="15" t="str">
        <f>IF(COUNTIF('CENTROS DE COSTOS UTILIZADOS'!$B:$B,D229)&gt;0,"SÍ","NO")</f>
        <v>NO</v>
      </c>
      <c r="G229" s="13" t="str">
        <f t="shared" si="3"/>
        <v>U03|CSPA</v>
      </c>
      <c r="H229" s="13" t="s">
        <v>20</v>
      </c>
      <c r="I229" s="13" t="s">
        <v>302</v>
      </c>
      <c r="J229" s="15" t="s">
        <v>7</v>
      </c>
      <c r="K229" s="15" t="s">
        <v>43</v>
      </c>
      <c r="L229" s="16" t="s">
        <v>70</v>
      </c>
      <c r="M229" s="13" t="s">
        <v>45</v>
      </c>
    </row>
    <row r="230" spans="1:13" ht="25.5" x14ac:dyDescent="0.25">
      <c r="A230" s="13">
        <v>1080704</v>
      </c>
      <c r="B230" s="13" t="s">
        <v>332</v>
      </c>
      <c r="C230" s="13"/>
      <c r="D230" s="14" t="s">
        <v>53</v>
      </c>
      <c r="E230" s="13" t="str">
        <f>IFERROR(INDEX('CENTROS DE COSTOS RESOLUCION'!$C:$C,MATCH(D230,'CENTROS DE COSTOS RESOLUCION'!$B:$B,0)),"CÓDIGO NO VÁLIDO")</f>
        <v>OTRAS CONSULTAS Y PROCEDIMIENTOS</v>
      </c>
      <c r="F230" s="15" t="str">
        <f>IF(COUNTIF('CENTROS DE COSTOS UTILIZADOS'!$B:$B,D230)&gt;0,"SÍ","NO")</f>
        <v>NO</v>
      </c>
      <c r="G230" s="13" t="str">
        <f t="shared" si="3"/>
        <v>A32|CSPA</v>
      </c>
      <c r="H230" s="13" t="s">
        <v>17</v>
      </c>
      <c r="I230" s="13" t="s">
        <v>302</v>
      </c>
      <c r="J230" s="15" t="s">
        <v>6</v>
      </c>
      <c r="K230" s="15" t="s">
        <v>123</v>
      </c>
      <c r="L230" s="16" t="s">
        <v>124</v>
      </c>
      <c r="M230" s="13" t="s">
        <v>45</v>
      </c>
    </row>
    <row r="231" spans="1:13" x14ac:dyDescent="0.25">
      <c r="A231" s="13">
        <v>1080705</v>
      </c>
      <c r="B231" s="13" t="s">
        <v>333</v>
      </c>
      <c r="C231" s="13"/>
      <c r="D231" s="14" t="s">
        <v>126</v>
      </c>
      <c r="E231" s="13" t="str">
        <f>IFERROR(INDEX('CENTROS DE COSTOS RESOLUCION'!$C:$C,MATCH(D231,'CENTROS DE COSTOS RESOLUCION'!$B:$B,0)),"CÓDIGO NO VÁLIDO")</f>
        <v>SERVICIO DE AMBULANCIAS</v>
      </c>
      <c r="F231" s="15" t="str">
        <f>IF(COUNTIF('CENTROS DE COSTOS UTILIZADOS'!$B:$B,D231)&gt;0,"SÍ","NO")</f>
        <v>SÍ</v>
      </c>
      <c r="G231" s="13" t="str">
        <f t="shared" si="3"/>
        <v>N08|CSPA</v>
      </c>
      <c r="H231" s="13" t="s">
        <v>17</v>
      </c>
      <c r="I231" s="13" t="s">
        <v>302</v>
      </c>
      <c r="J231" s="15" t="s">
        <v>5</v>
      </c>
      <c r="K231" s="15" t="s">
        <v>43</v>
      </c>
      <c r="L231" s="16" t="s">
        <v>127</v>
      </c>
      <c r="M231" s="13" t="s">
        <v>45</v>
      </c>
    </row>
    <row r="232" spans="1:13" x14ac:dyDescent="0.25">
      <c r="A232" s="13">
        <v>1080706</v>
      </c>
      <c r="B232" s="13" t="s">
        <v>334</v>
      </c>
      <c r="C232" s="13"/>
      <c r="D232" s="14" t="s">
        <v>129</v>
      </c>
      <c r="E232" s="13" t="str">
        <f>IFERROR(INDEX('CENTROS DE COSTOS RESOLUCION'!$C:$C,MATCH(D232,'CENTROS DE COSTOS RESOLUCION'!$B:$B,0)),"CÓDIGO NO VÁLIDO")</f>
        <v>OTROS ENFERMERÍA</v>
      </c>
      <c r="F232" s="15" t="str">
        <f>IF(COUNTIF('CENTROS DE COSTOS UTILIZADOS'!$B:$B,D232)&gt;0,"SÍ","NO")</f>
        <v>NO</v>
      </c>
      <c r="G232" s="13" t="str">
        <f t="shared" si="3"/>
        <v>N04|CSPA</v>
      </c>
      <c r="H232" s="13" t="s">
        <v>18</v>
      </c>
      <c r="I232" s="13" t="s">
        <v>302</v>
      </c>
      <c r="J232" s="15" t="s">
        <v>6</v>
      </c>
      <c r="K232" s="15" t="s">
        <v>123</v>
      </c>
      <c r="L232" s="16" t="s">
        <v>130</v>
      </c>
      <c r="M232" s="13" t="s">
        <v>45</v>
      </c>
    </row>
    <row r="233" spans="1:13" ht="25.5" x14ac:dyDescent="0.25">
      <c r="A233" s="13">
        <v>1090101</v>
      </c>
      <c r="B233" s="13" t="s">
        <v>335</v>
      </c>
      <c r="C233" s="13"/>
      <c r="D233" s="14" t="s">
        <v>41</v>
      </c>
      <c r="E233" s="13" t="str">
        <f>IFERROR(INDEX('CENTROS DE COSTOS RESOLUCION'!$C:$C,MATCH(D233,'CENTROS DE COSTOS RESOLUCION'!$B:$B,0)),"CÓDIGO NO VÁLIDO")</f>
        <v>CONSULTA URGENCIAS</v>
      </c>
      <c r="F233" s="15" t="str">
        <f>IF(COUNTIF('CENTROS DE COSTOS UTILIZADOS'!$B:$B,D233)&gt;0,"SÍ","NO")</f>
        <v>SÍ</v>
      </c>
      <c r="G233" s="13" t="str">
        <f t="shared" si="3"/>
        <v>B01|CSJSC</v>
      </c>
      <c r="H233" s="13" t="s">
        <v>17</v>
      </c>
      <c r="I233" s="13" t="s">
        <v>336</v>
      </c>
      <c r="J233" s="15" t="s">
        <v>5</v>
      </c>
      <c r="K233" s="15" t="s">
        <v>43</v>
      </c>
      <c r="L233" s="16" t="s">
        <v>44</v>
      </c>
      <c r="M233" s="13" t="s">
        <v>45</v>
      </c>
    </row>
    <row r="234" spans="1:13" x14ac:dyDescent="0.25">
      <c r="A234" s="13">
        <v>1090102</v>
      </c>
      <c r="B234" s="13" t="s">
        <v>337</v>
      </c>
      <c r="C234" s="13"/>
      <c r="D234" s="14" t="s">
        <v>47</v>
      </c>
      <c r="E234" s="13" t="str">
        <f>IFERROR(INDEX('CENTROS DE COSTOS RESOLUCION'!$C:$C,MATCH(D234,'CENTROS DE COSTOS RESOLUCION'!$B:$B,0)),"CÓDIGO NO VÁLIDO")</f>
        <v>OBSERVACIÓN</v>
      </c>
      <c r="F234" s="15" t="str">
        <f>IF(COUNTIF('CENTROS DE COSTOS UTILIZADOS'!$B:$B,D234)&gt;0,"SÍ","NO")</f>
        <v>SÍ</v>
      </c>
      <c r="G234" s="13" t="str">
        <f t="shared" si="3"/>
        <v>B02|CSJSC</v>
      </c>
      <c r="H234" s="13" t="s">
        <v>17</v>
      </c>
      <c r="I234" s="13" t="s">
        <v>336</v>
      </c>
      <c r="J234" s="15" t="s">
        <v>5</v>
      </c>
      <c r="K234" s="15" t="s">
        <v>43</v>
      </c>
      <c r="L234" s="16" t="s">
        <v>48</v>
      </c>
      <c r="M234" s="13" t="s">
        <v>45</v>
      </c>
    </row>
    <row r="235" spans="1:13" x14ac:dyDescent="0.25">
      <c r="A235" s="13">
        <v>1090201</v>
      </c>
      <c r="B235" s="13" t="s">
        <v>338</v>
      </c>
      <c r="C235" s="13"/>
      <c r="D235" s="14" t="s">
        <v>50</v>
      </c>
      <c r="E235" s="13" t="str">
        <f>IFERROR(INDEX('CENTROS DE COSTOS RESOLUCION'!$C:$C,MATCH(D235,'CENTROS DE COSTOS RESOLUCION'!$B:$B,0)),"CÓDIGO NO VÁLIDO")</f>
        <v>MEDICINA GENERAL</v>
      </c>
      <c r="F235" s="15" t="str">
        <f>IF(COUNTIF('CENTROS DE COSTOS UTILIZADOS'!$B:$B,D235)&gt;0,"SÍ","NO")</f>
        <v>SÍ</v>
      </c>
      <c r="G235" s="13" t="str">
        <f t="shared" si="3"/>
        <v>A10|CSJSC</v>
      </c>
      <c r="H235" s="13" t="s">
        <v>17</v>
      </c>
      <c r="I235" s="13" t="s">
        <v>336</v>
      </c>
      <c r="J235" s="15" t="s">
        <v>5</v>
      </c>
      <c r="K235" s="15" t="s">
        <v>43</v>
      </c>
      <c r="L235" s="16" t="s">
        <v>51</v>
      </c>
      <c r="M235" s="13" t="s">
        <v>45</v>
      </c>
    </row>
    <row r="236" spans="1:13" ht="25.5" x14ac:dyDescent="0.25">
      <c r="A236" s="13">
        <v>1090202</v>
      </c>
      <c r="B236" s="13" t="s">
        <v>339</v>
      </c>
      <c r="C236" s="13"/>
      <c r="D236" s="14" t="s">
        <v>53</v>
      </c>
      <c r="E236" s="13" t="str">
        <f>IFERROR(INDEX('CENTROS DE COSTOS RESOLUCION'!$C:$C,MATCH(D236,'CENTROS DE COSTOS RESOLUCION'!$B:$B,0)),"CÓDIGO NO VÁLIDO")</f>
        <v>OTRAS CONSULTAS Y PROCEDIMIENTOS</v>
      </c>
      <c r="F236" s="15" t="str">
        <f>IF(COUNTIF('CENTROS DE COSTOS UTILIZADOS'!$B:$B,D236)&gt;0,"SÍ","NO")</f>
        <v>NO</v>
      </c>
      <c r="G236" s="13" t="str">
        <f t="shared" si="3"/>
        <v>A32|CSJSC</v>
      </c>
      <c r="H236" s="13" t="s">
        <v>17</v>
      </c>
      <c r="I236" s="13" t="s">
        <v>336</v>
      </c>
      <c r="J236" s="15" t="s">
        <v>5</v>
      </c>
      <c r="K236" s="15" t="s">
        <v>54</v>
      </c>
      <c r="L236" s="16" t="s">
        <v>55</v>
      </c>
      <c r="M236" s="13" t="s">
        <v>45</v>
      </c>
    </row>
    <row r="237" spans="1:13" x14ac:dyDescent="0.25">
      <c r="A237" s="13">
        <v>1090203</v>
      </c>
      <c r="B237" s="13" t="s">
        <v>340</v>
      </c>
      <c r="C237" s="13"/>
      <c r="D237" s="14" t="s">
        <v>57</v>
      </c>
      <c r="E237" s="13" t="str">
        <f>IFERROR(INDEX('CENTROS DE COSTOS RESOLUCION'!$C:$C,MATCH(D237,'CENTROS DE COSTOS RESOLUCION'!$B:$B,0)),"CÓDIGO NO VÁLIDO")</f>
        <v>ODONTOLOGÍA GENERAL</v>
      </c>
      <c r="F237" s="15" t="str">
        <f>IF(COUNTIF('CENTROS DE COSTOS UTILIZADOS'!$B:$B,D237)&gt;0,"SÍ","NO")</f>
        <v>SÍ</v>
      </c>
      <c r="G237" s="13" t="str">
        <f t="shared" si="3"/>
        <v>E01|CSJSC</v>
      </c>
      <c r="H237" s="13" t="s">
        <v>17</v>
      </c>
      <c r="I237" s="13" t="s">
        <v>336</v>
      </c>
      <c r="J237" s="15" t="s">
        <v>5</v>
      </c>
      <c r="K237" s="15" t="s">
        <v>43</v>
      </c>
      <c r="L237" s="16" t="s">
        <v>58</v>
      </c>
      <c r="M237" s="13" t="s">
        <v>45</v>
      </c>
    </row>
    <row r="238" spans="1:13" x14ac:dyDescent="0.25">
      <c r="A238" s="13">
        <v>1090204</v>
      </c>
      <c r="B238" s="13" t="s">
        <v>341</v>
      </c>
      <c r="C238" s="13"/>
      <c r="D238" s="14" t="s">
        <v>60</v>
      </c>
      <c r="E238" s="13" t="str">
        <f>IFERROR(INDEX('CENTROS DE COSTOS RESOLUCION'!$C:$C,MATCH(D238,'CENTROS DE COSTOS RESOLUCION'!$B:$B,0)),"CÓDIGO NO VÁLIDO")</f>
        <v>PROMOCIÓN Y PREVENCIÓN</v>
      </c>
      <c r="F238" s="15" t="str">
        <f>IF(COUNTIF('CENTROS DE COSTOS UTILIZADOS'!$B:$B,D238)&gt;0,"SÍ","NO")</f>
        <v>SÍ</v>
      </c>
      <c r="G238" s="13" t="str">
        <f t="shared" si="3"/>
        <v>N03|CSJSC</v>
      </c>
      <c r="H238" s="13" t="s">
        <v>17</v>
      </c>
      <c r="I238" s="13" t="s">
        <v>336</v>
      </c>
      <c r="J238" s="15" t="s">
        <v>5</v>
      </c>
      <c r="K238" s="15" t="s">
        <v>43</v>
      </c>
      <c r="L238" s="16" t="s">
        <v>61</v>
      </c>
      <c r="M238" s="13" t="s">
        <v>45</v>
      </c>
    </row>
    <row r="239" spans="1:13" x14ac:dyDescent="0.25">
      <c r="A239" s="13">
        <v>1090205</v>
      </c>
      <c r="B239" s="13" t="s">
        <v>342</v>
      </c>
      <c r="C239" s="13"/>
      <c r="D239" s="14" t="s">
        <v>63</v>
      </c>
      <c r="E239" s="13" t="str">
        <f>IFERROR(INDEX('CENTROS DE COSTOS RESOLUCION'!$C:$C,MATCH(D239,'CENTROS DE COSTOS RESOLUCION'!$B:$B,0)),"CÓDIGO NO VÁLIDO")</f>
        <v>SALUD PUBLICA</v>
      </c>
      <c r="F239" s="15" t="str">
        <f>IF(COUNTIF('CENTROS DE COSTOS UTILIZADOS'!$B:$B,D239)&gt;0,"SÍ","NO")</f>
        <v>SÍ</v>
      </c>
      <c r="G239" s="13" t="str">
        <f t="shared" si="3"/>
        <v>K25|CSJSC</v>
      </c>
      <c r="H239" s="13" t="s">
        <v>17</v>
      </c>
      <c r="I239" s="13" t="s">
        <v>336</v>
      </c>
      <c r="J239" s="15" t="s">
        <v>5</v>
      </c>
      <c r="K239" s="15" t="s">
        <v>54</v>
      </c>
      <c r="L239" s="16" t="s">
        <v>64</v>
      </c>
      <c r="M239" s="13" t="s">
        <v>45</v>
      </c>
    </row>
    <row r="240" spans="1:13" x14ac:dyDescent="0.25">
      <c r="A240" s="13">
        <v>1090301</v>
      </c>
      <c r="B240" s="13" t="s">
        <v>343</v>
      </c>
      <c r="C240" s="13"/>
      <c r="D240" s="14" t="s">
        <v>66</v>
      </c>
      <c r="E240" s="13" t="str">
        <f>IFERROR(INDEX('CENTROS DE COSTOS RESOLUCION'!$C:$C,MATCH(D240,'CENTROS DE COSTOS RESOLUCION'!$B:$B,0)),"CÓDIGO NO VÁLIDO")</f>
        <v>HOSPITALIZACIÓN GENERAL</v>
      </c>
      <c r="F240" s="15" t="str">
        <f>IF(COUNTIF('CENTROS DE COSTOS UTILIZADOS'!$B:$B,D240)&gt;0,"SÍ","NO")</f>
        <v>NO</v>
      </c>
      <c r="G240" s="13" t="str">
        <f t="shared" si="3"/>
        <v>I01|CSJSC</v>
      </c>
      <c r="H240" s="13" t="s">
        <v>17</v>
      </c>
      <c r="I240" s="13" t="s">
        <v>336</v>
      </c>
      <c r="J240" s="15" t="s">
        <v>5</v>
      </c>
      <c r="K240" s="15" t="s">
        <v>43</v>
      </c>
      <c r="L240" s="16" t="s">
        <v>67</v>
      </c>
      <c r="M240" s="13" t="s">
        <v>45</v>
      </c>
    </row>
    <row r="241" spans="1:13" ht="25.5" x14ac:dyDescent="0.25">
      <c r="A241" s="13">
        <v>1090302</v>
      </c>
      <c r="B241" s="13" t="s">
        <v>344</v>
      </c>
      <c r="C241" s="13"/>
      <c r="D241" s="14" t="s">
        <v>69</v>
      </c>
      <c r="E241" s="13" t="str">
        <f>IFERROR(INDEX('CENTROS DE COSTOS RESOLUCION'!$C:$C,MATCH(D241,'CENTROS DE COSTOS RESOLUCION'!$B:$B,0)),"CÓDIGO NO VÁLIDO")</f>
        <v>UCI ADULTOS</v>
      </c>
      <c r="F241" s="15" t="str">
        <f>IF(COUNTIF('CENTROS DE COSTOS UTILIZADOS'!$B:$B,D241)&gt;0,"SÍ","NO")</f>
        <v>NO</v>
      </c>
      <c r="G241" s="13" t="str">
        <f t="shared" si="3"/>
        <v>J02|CSJSC</v>
      </c>
      <c r="H241" s="13" t="s">
        <v>17</v>
      </c>
      <c r="I241" s="13" t="s">
        <v>336</v>
      </c>
      <c r="J241" s="15" t="s">
        <v>7</v>
      </c>
      <c r="K241" s="15" t="s">
        <v>43</v>
      </c>
      <c r="L241" s="16" t="s">
        <v>70</v>
      </c>
      <c r="M241" s="13" t="s">
        <v>45</v>
      </c>
    </row>
    <row r="242" spans="1:13" ht="25.5" x14ac:dyDescent="0.25">
      <c r="A242" s="13">
        <v>1090303</v>
      </c>
      <c r="B242" s="13" t="s">
        <v>345</v>
      </c>
      <c r="C242" s="13"/>
      <c r="D242" s="14" t="s">
        <v>72</v>
      </c>
      <c r="E242" s="13" t="str">
        <f>IFERROR(INDEX('CENTROS DE COSTOS RESOLUCION'!$C:$C,MATCH(D242,'CENTROS DE COSTOS RESOLUCION'!$B:$B,0)),"CÓDIGO NO VÁLIDO")</f>
        <v>UCI INTERMEDIOS ADULTOS</v>
      </c>
      <c r="F242" s="15" t="str">
        <f>IF(COUNTIF('CENTROS DE COSTOS UTILIZADOS'!$B:$B,D242)&gt;0,"SÍ","NO")</f>
        <v>NO</v>
      </c>
      <c r="G242" s="13" t="str">
        <f t="shared" si="3"/>
        <v>J05|CSJSC</v>
      </c>
      <c r="H242" s="13" t="s">
        <v>17</v>
      </c>
      <c r="I242" s="13" t="s">
        <v>336</v>
      </c>
      <c r="J242" s="15" t="s">
        <v>7</v>
      </c>
      <c r="K242" s="15" t="s">
        <v>43</v>
      </c>
      <c r="L242" s="16" t="s">
        <v>70</v>
      </c>
      <c r="M242" s="13" t="s">
        <v>45</v>
      </c>
    </row>
    <row r="243" spans="1:13" x14ac:dyDescent="0.25">
      <c r="A243" s="13">
        <v>1090304</v>
      </c>
      <c r="B243" s="13" t="s">
        <v>346</v>
      </c>
      <c r="C243" s="13"/>
      <c r="D243" s="14" t="s">
        <v>74</v>
      </c>
      <c r="E243" s="13" t="str">
        <f>IFERROR(INDEX('CENTROS DE COSTOS RESOLUCION'!$C:$C,MATCH(D243,'CENTROS DE COSTOS RESOLUCION'!$B:$B,0)),"CÓDIGO NO VÁLIDO")</f>
        <v>UNIDAD DE RECIÉN NACIDOS</v>
      </c>
      <c r="F243" s="15" t="str">
        <f>IF(COUNTIF('CENTROS DE COSTOS UTILIZADOS'!$B:$B,D243)&gt;0,"SÍ","NO")</f>
        <v>NO</v>
      </c>
      <c r="G243" s="13" t="str">
        <f t="shared" si="3"/>
        <v>J09|CSJSC</v>
      </c>
      <c r="H243" s="13" t="s">
        <v>17</v>
      </c>
      <c r="I243" s="13" t="s">
        <v>336</v>
      </c>
      <c r="J243" s="15" t="s">
        <v>6</v>
      </c>
      <c r="K243" s="15" t="s">
        <v>54</v>
      </c>
      <c r="L243" s="16" t="s">
        <v>75</v>
      </c>
      <c r="M243" s="13" t="s">
        <v>45</v>
      </c>
    </row>
    <row r="244" spans="1:13" ht="25.5" x14ac:dyDescent="0.25">
      <c r="A244" s="13">
        <v>1090305</v>
      </c>
      <c r="B244" s="13" t="s">
        <v>347</v>
      </c>
      <c r="C244" s="13"/>
      <c r="D244" s="14" t="s">
        <v>77</v>
      </c>
      <c r="E244" s="13" t="str">
        <f>IFERROR(INDEX('CENTROS DE COSTOS RESOLUCION'!$C:$C,MATCH(D244,'CENTROS DE COSTOS RESOLUCION'!$B:$B,0)),"CÓDIGO NO VÁLIDO")</f>
        <v>UNIDAD SALUD MENTAL Y DESINTOXICACIÓN (BAJA COMPLEJIDAD)</v>
      </c>
      <c r="F244" s="15" t="str">
        <f>IF(COUNTIF('CENTROS DE COSTOS UTILIZADOS'!$B:$B,D244)&gt;0,"SÍ","NO")</f>
        <v>NO</v>
      </c>
      <c r="G244" s="13" t="str">
        <f t="shared" si="3"/>
        <v>J10|CSJSC</v>
      </c>
      <c r="H244" s="13" t="s">
        <v>17</v>
      </c>
      <c r="I244" s="13" t="s">
        <v>336</v>
      </c>
      <c r="J244" s="15" t="s">
        <v>7</v>
      </c>
      <c r="K244" s="15" t="s">
        <v>43</v>
      </c>
      <c r="L244" s="16" t="s">
        <v>70</v>
      </c>
      <c r="M244" s="13" t="s">
        <v>45</v>
      </c>
    </row>
    <row r="245" spans="1:13" ht="25.5" x14ac:dyDescent="0.25">
      <c r="A245" s="13">
        <v>1090306</v>
      </c>
      <c r="B245" s="13" t="s">
        <v>348</v>
      </c>
      <c r="C245" s="13"/>
      <c r="D245" s="14" t="s">
        <v>79</v>
      </c>
      <c r="E245" s="13" t="str">
        <f>IFERROR(INDEX('CENTROS DE COSTOS RESOLUCION'!$C:$C,MATCH(D245,'CENTROS DE COSTOS RESOLUCION'!$B:$B,0)),"CÓDIGO NO VÁLIDO")</f>
        <v>UNIDAD DE QUEMADOS ADULTOS</v>
      </c>
      <c r="F245" s="15" t="str">
        <f>IF(COUNTIF('CENTROS DE COSTOS UTILIZADOS'!$B:$B,D245)&gt;0,"SÍ","NO")</f>
        <v>NO</v>
      </c>
      <c r="G245" s="13" t="str">
        <f t="shared" si="3"/>
        <v>J08|CSJSC</v>
      </c>
      <c r="H245" s="13" t="s">
        <v>17</v>
      </c>
      <c r="I245" s="13" t="s">
        <v>336</v>
      </c>
      <c r="J245" s="15" t="s">
        <v>7</v>
      </c>
      <c r="K245" s="15" t="s">
        <v>43</v>
      </c>
      <c r="L245" s="16" t="s">
        <v>70</v>
      </c>
      <c r="M245" s="13" t="s">
        <v>45</v>
      </c>
    </row>
    <row r="246" spans="1:13" ht="25.5" x14ac:dyDescent="0.25">
      <c r="A246" s="13">
        <v>1090307</v>
      </c>
      <c r="B246" s="13" t="s">
        <v>349</v>
      </c>
      <c r="C246" s="13"/>
      <c r="D246" s="14" t="s">
        <v>81</v>
      </c>
      <c r="E246" s="13" t="str">
        <f>IFERROR(INDEX('CENTROS DE COSTOS RESOLUCION'!$C:$C,MATCH(D246,'CENTROS DE COSTOS RESOLUCION'!$B:$B,0)),"CÓDIGO NO VÁLIDO")</f>
        <v>OTRAS UNIDADES ESPECIALES</v>
      </c>
      <c r="F246" s="15" t="str">
        <f>IF(COUNTIF('CENTROS DE COSTOS UTILIZADOS'!$B:$B,D246)&gt;0,"SÍ","NO")</f>
        <v>NO</v>
      </c>
      <c r="G246" s="13" t="str">
        <f t="shared" si="3"/>
        <v>J13|CSJSC</v>
      </c>
      <c r="H246" s="13" t="s">
        <v>17</v>
      </c>
      <c r="I246" s="13" t="s">
        <v>336</v>
      </c>
      <c r="J246" s="15" t="s">
        <v>7</v>
      </c>
      <c r="K246" s="15" t="s">
        <v>54</v>
      </c>
      <c r="L246" s="16" t="s">
        <v>70</v>
      </c>
      <c r="M246" s="13" t="s">
        <v>45</v>
      </c>
    </row>
    <row r="247" spans="1:13" x14ac:dyDescent="0.25">
      <c r="A247" s="13">
        <v>1090401</v>
      </c>
      <c r="B247" s="13" t="s">
        <v>350</v>
      </c>
      <c r="C247" s="13"/>
      <c r="D247" s="14" t="s">
        <v>83</v>
      </c>
      <c r="E247" s="13" t="str">
        <f>IFERROR(INDEX('CENTROS DE COSTOS RESOLUCION'!$C:$C,MATCH(D247,'CENTROS DE COSTOS RESOLUCION'!$B:$B,0)),"CÓDIGO NO VÁLIDO")</f>
        <v>CIRUGÍA GENERAL</v>
      </c>
      <c r="F247" s="15" t="str">
        <f>IF(COUNTIF('CENTROS DE COSTOS UTILIZADOS'!$B:$B,D247)&gt;0,"SÍ","NO")</f>
        <v>NO</v>
      </c>
      <c r="G247" s="13" t="str">
        <f t="shared" si="3"/>
        <v>C01|CSJSC</v>
      </c>
      <c r="H247" s="13" t="s">
        <v>17</v>
      </c>
      <c r="I247" s="13" t="s">
        <v>336</v>
      </c>
      <c r="J247" s="15" t="s">
        <v>6</v>
      </c>
      <c r="K247" s="15" t="s">
        <v>54</v>
      </c>
      <c r="L247" s="16" t="s">
        <v>84</v>
      </c>
      <c r="M247" s="13" t="s">
        <v>45</v>
      </c>
    </row>
    <row r="248" spans="1:13" x14ac:dyDescent="0.25">
      <c r="A248" s="13">
        <v>1090402</v>
      </c>
      <c r="B248" s="13" t="s">
        <v>351</v>
      </c>
      <c r="C248" s="13"/>
      <c r="D248" s="14" t="s">
        <v>86</v>
      </c>
      <c r="E248" s="13" t="str">
        <f>IFERROR(INDEX('CENTROS DE COSTOS RESOLUCION'!$C:$C,MATCH(D248,'CENTROS DE COSTOS RESOLUCION'!$B:$B,0)),"CÓDIGO NO VÁLIDO")</f>
        <v>ATENCIÓN DE PARTO BAJA COMPLEJIDAD</v>
      </c>
      <c r="F248" s="15" t="str">
        <f>IF(COUNTIF('CENTROS DE COSTOS UTILIZADOS'!$B:$B,D248)&gt;0,"SÍ","NO")</f>
        <v>NO</v>
      </c>
      <c r="G248" s="13" t="str">
        <f t="shared" si="3"/>
        <v>D02|CSJSC</v>
      </c>
      <c r="H248" s="13" t="s">
        <v>17</v>
      </c>
      <c r="I248" s="13" t="s">
        <v>336</v>
      </c>
      <c r="J248" s="15" t="s">
        <v>5</v>
      </c>
      <c r="K248" s="15" t="s">
        <v>43</v>
      </c>
      <c r="L248" s="16" t="s">
        <v>87</v>
      </c>
      <c r="M248" s="13" t="s">
        <v>45</v>
      </c>
    </row>
    <row r="249" spans="1:13" x14ac:dyDescent="0.25">
      <c r="A249" s="13">
        <v>1090501</v>
      </c>
      <c r="B249" s="13" t="s">
        <v>352</v>
      </c>
      <c r="C249" s="13"/>
      <c r="D249" s="14" t="s">
        <v>89</v>
      </c>
      <c r="E249" s="13" t="str">
        <f>IFERROR(INDEX('CENTROS DE COSTOS RESOLUCION'!$C:$C,MATCH(D249,'CENTROS DE COSTOS RESOLUCION'!$B:$B,0)),"CÓDIGO NO VÁLIDO")</f>
        <v>LABORATORIO Y ANÁLISIS CLÍNICO</v>
      </c>
      <c r="F249" s="15" t="str">
        <f>IF(COUNTIF('CENTROS DE COSTOS UTILIZADOS'!$B:$B,D249)&gt;0,"SÍ","NO")</f>
        <v>SÍ</v>
      </c>
      <c r="G249" s="13" t="str">
        <f t="shared" si="3"/>
        <v>L07|CSJSC</v>
      </c>
      <c r="H249" s="13" t="s">
        <v>18</v>
      </c>
      <c r="I249" s="13" t="s">
        <v>336</v>
      </c>
      <c r="J249" s="15" t="s">
        <v>5</v>
      </c>
      <c r="K249" s="15" t="s">
        <v>43</v>
      </c>
      <c r="L249" s="16" t="s">
        <v>90</v>
      </c>
      <c r="M249" s="13" t="s">
        <v>45</v>
      </c>
    </row>
    <row r="250" spans="1:13" x14ac:dyDescent="0.25">
      <c r="A250" s="13">
        <v>1090502</v>
      </c>
      <c r="B250" s="13" t="s">
        <v>353</v>
      </c>
      <c r="C250" s="13"/>
      <c r="D250" s="14" t="s">
        <v>92</v>
      </c>
      <c r="E250" s="13" t="str">
        <f>IFERROR(INDEX('CENTROS DE COSTOS RESOLUCION'!$C:$C,MATCH(D250,'CENTROS DE COSTOS RESOLUCION'!$B:$B,0)),"CÓDIGO NO VÁLIDO")</f>
        <v>IMAGENEOLOGÍA RADIOLÓGICA</v>
      </c>
      <c r="F250" s="15" t="str">
        <f>IF(COUNTIF('CENTROS DE COSTOS UTILIZADOS'!$B:$B,D250)&gt;0,"SÍ","NO")</f>
        <v>SÍ</v>
      </c>
      <c r="G250" s="13" t="str">
        <f t="shared" si="3"/>
        <v>L02|CSJSC</v>
      </c>
      <c r="H250" s="13" t="s">
        <v>18</v>
      </c>
      <c r="I250" s="13" t="s">
        <v>336</v>
      </c>
      <c r="J250" s="15" t="s">
        <v>5</v>
      </c>
      <c r="K250" s="15" t="s">
        <v>43</v>
      </c>
      <c r="L250" s="16" t="s">
        <v>93</v>
      </c>
      <c r="M250" s="13" t="s">
        <v>45</v>
      </c>
    </row>
    <row r="251" spans="1:13" ht="25.5" x14ac:dyDescent="0.25">
      <c r="A251" s="13">
        <v>1090503</v>
      </c>
      <c r="B251" s="13" t="s">
        <v>354</v>
      </c>
      <c r="C251" s="13"/>
      <c r="D251" s="14" t="s">
        <v>95</v>
      </c>
      <c r="E251" s="13" t="str">
        <f>IFERROR(INDEX('CENTROS DE COSTOS RESOLUCION'!$C:$C,MATCH(D251,'CENTROS DE COSTOS RESOLUCION'!$B:$B,0)),"CÓDIGO NO VÁLIDO")</f>
        <v>LABORATORIO ANATOMÍA PATOLÓGICA</v>
      </c>
      <c r="F251" s="15" t="str">
        <f>IF(COUNTIF('CENTROS DE COSTOS UTILIZADOS'!$B:$B,D251)&gt;0,"SÍ","NO")</f>
        <v>NO</v>
      </c>
      <c r="G251" s="13" t="str">
        <f t="shared" si="3"/>
        <v>L01|CSJSC</v>
      </c>
      <c r="H251" s="13" t="s">
        <v>18</v>
      </c>
      <c r="I251" s="13" t="s">
        <v>336</v>
      </c>
      <c r="J251" s="15" t="s">
        <v>7</v>
      </c>
      <c r="K251" s="15" t="s">
        <v>43</v>
      </c>
      <c r="L251" s="16" t="s">
        <v>70</v>
      </c>
      <c r="M251" s="13" t="s">
        <v>45</v>
      </c>
    </row>
    <row r="252" spans="1:13" ht="25.5" x14ac:dyDescent="0.25">
      <c r="A252" s="13">
        <v>1090504</v>
      </c>
      <c r="B252" s="13" t="s">
        <v>355</v>
      </c>
      <c r="C252" s="13"/>
      <c r="D252" s="14" t="s">
        <v>97</v>
      </c>
      <c r="E252" s="13" t="str">
        <f>IFERROR(INDEX('CENTROS DE COSTOS RESOLUCION'!$C:$C,MATCH(D252,'CENTROS DE COSTOS RESOLUCION'!$B:$B,0)),"CÓDIGO NO VÁLIDO")</f>
        <v>IMAGENOLOGÍA NO RADIOLÓGICA</v>
      </c>
      <c r="F252" s="15" t="str">
        <f>IF(COUNTIF('CENTROS DE COSTOS UTILIZADOS'!$B:$B,D252)&gt;0,"SÍ","NO")</f>
        <v>NO</v>
      </c>
      <c r="G252" s="13" t="str">
        <f t="shared" si="3"/>
        <v>L04|CSJSC</v>
      </c>
      <c r="H252" s="13" t="s">
        <v>18</v>
      </c>
      <c r="I252" s="13" t="s">
        <v>336</v>
      </c>
      <c r="J252" s="15" t="s">
        <v>6</v>
      </c>
      <c r="K252" s="15" t="s">
        <v>54</v>
      </c>
      <c r="L252" s="16" t="s">
        <v>98</v>
      </c>
      <c r="M252" s="13" t="s">
        <v>45</v>
      </c>
    </row>
    <row r="253" spans="1:13" x14ac:dyDescent="0.25">
      <c r="A253" s="13">
        <v>1090601</v>
      </c>
      <c r="B253" s="13" t="s">
        <v>356</v>
      </c>
      <c r="C253" s="13"/>
      <c r="D253" s="14" t="s">
        <v>100</v>
      </c>
      <c r="E253" s="13" t="str">
        <f>IFERROR(INDEX('CENTROS DE COSTOS RESOLUCION'!$C:$C,MATCH(D253,'CENTROS DE COSTOS RESOLUCION'!$B:$B,0)),"CÓDIGO NO VÁLIDO")</f>
        <v>FISIOTERAPIA Y REHABILITACIÓN</v>
      </c>
      <c r="F253" s="15" t="str">
        <f>IF(COUNTIF('CENTROS DE COSTOS UTILIZADOS'!$B:$B,D253)&gt;0,"SÍ","NO")</f>
        <v>SÍ</v>
      </c>
      <c r="G253" s="13" t="str">
        <f t="shared" si="3"/>
        <v>M06|CSJSC</v>
      </c>
      <c r="H253" s="13" t="s">
        <v>18</v>
      </c>
      <c r="I253" s="13" t="s">
        <v>336</v>
      </c>
      <c r="J253" s="15" t="s">
        <v>5</v>
      </c>
      <c r="K253" s="15" t="s">
        <v>43</v>
      </c>
      <c r="L253" s="16" t="s">
        <v>101</v>
      </c>
      <c r="M253" s="13" t="s">
        <v>45</v>
      </c>
    </row>
    <row r="254" spans="1:13" ht="25.5" x14ac:dyDescent="0.25">
      <c r="A254" s="13">
        <v>1090602</v>
      </c>
      <c r="B254" s="13" t="s">
        <v>357</v>
      </c>
      <c r="C254" s="13"/>
      <c r="D254" s="14" t="s">
        <v>103</v>
      </c>
      <c r="E254" s="13" t="str">
        <f>IFERROR(INDEX('CENTROS DE COSTOS RESOLUCION'!$C:$C,MATCH(D254,'CENTROS DE COSTOS RESOLUCION'!$B:$B,0)),"CÓDIGO NO VÁLIDO")</f>
        <v>BANCO DE SANGRE</v>
      </c>
      <c r="F254" s="15" t="str">
        <f>IF(COUNTIF('CENTROS DE COSTOS UTILIZADOS'!$B:$B,D254)&gt;0,"SÍ","NO")</f>
        <v>NO</v>
      </c>
      <c r="G254" s="13" t="str">
        <f t="shared" si="3"/>
        <v>M01|CSJSC</v>
      </c>
      <c r="H254" s="13" t="s">
        <v>18</v>
      </c>
      <c r="I254" s="13" t="s">
        <v>336</v>
      </c>
      <c r="J254" s="15" t="s">
        <v>7</v>
      </c>
      <c r="K254" s="15" t="s">
        <v>43</v>
      </c>
      <c r="L254" s="16" t="s">
        <v>70</v>
      </c>
      <c r="M254" s="13" t="s">
        <v>45</v>
      </c>
    </row>
    <row r="255" spans="1:13" ht="25.5" x14ac:dyDescent="0.25">
      <c r="A255" s="13">
        <v>1090603</v>
      </c>
      <c r="B255" s="13" t="s">
        <v>358</v>
      </c>
      <c r="C255" s="13"/>
      <c r="D255" s="14" t="s">
        <v>105</v>
      </c>
      <c r="E255" s="13" t="str">
        <f>IFERROR(INDEX('CENTROS DE COSTOS RESOLUCION'!$C:$C,MATCH(D255,'CENTROS DE COSTOS RESOLUCION'!$B:$B,0)),"CÓDIGO NO VÁLIDO")</f>
        <v>TERAPIA RENAL</v>
      </c>
      <c r="F255" s="15" t="str">
        <f>IF(COUNTIF('CENTROS DE COSTOS UTILIZADOS'!$B:$B,D255)&gt;0,"SÍ","NO")</f>
        <v>NO</v>
      </c>
      <c r="G255" s="13" t="str">
        <f t="shared" si="3"/>
        <v>M03|CSJSC</v>
      </c>
      <c r="H255" s="13" t="s">
        <v>18</v>
      </c>
      <c r="I255" s="13" t="s">
        <v>336</v>
      </c>
      <c r="J255" s="15" t="s">
        <v>7</v>
      </c>
      <c r="K255" s="15" t="s">
        <v>43</v>
      </c>
      <c r="L255" s="16" t="s">
        <v>70</v>
      </c>
      <c r="M255" s="13" t="s">
        <v>45</v>
      </c>
    </row>
    <row r="256" spans="1:13" ht="25.5" x14ac:dyDescent="0.25">
      <c r="A256" s="13">
        <v>1090604</v>
      </c>
      <c r="B256" s="13" t="s">
        <v>359</v>
      </c>
      <c r="C256" s="13"/>
      <c r="D256" s="14" t="s">
        <v>107</v>
      </c>
      <c r="E256" s="13" t="str">
        <f>IFERROR(INDEX('CENTROS DE COSTOS RESOLUCION'!$C:$C,MATCH(D256,'CENTROS DE COSTOS RESOLUCION'!$B:$B,0)),"CÓDIGO NO VÁLIDO")</f>
        <v>CARDIOVASCULAR</v>
      </c>
      <c r="F256" s="15" t="str">
        <f>IF(COUNTIF('CENTROS DE COSTOS UTILIZADOS'!$B:$B,D256)&gt;0,"SÍ","NO")</f>
        <v>NO</v>
      </c>
      <c r="G256" s="13" t="str">
        <f t="shared" si="3"/>
        <v>C05|CSJSC</v>
      </c>
      <c r="H256" s="13" t="s">
        <v>17</v>
      </c>
      <c r="I256" s="13" t="s">
        <v>336</v>
      </c>
      <c r="J256" s="15" t="s">
        <v>7</v>
      </c>
      <c r="K256" s="15" t="s">
        <v>43</v>
      </c>
      <c r="L256" s="16" t="s">
        <v>70</v>
      </c>
      <c r="M256" s="13" t="s">
        <v>45</v>
      </c>
    </row>
    <row r="257" spans="1:13" ht="25.5" x14ac:dyDescent="0.25">
      <c r="A257" s="13">
        <v>1090605</v>
      </c>
      <c r="B257" s="13" t="s">
        <v>360</v>
      </c>
      <c r="C257" s="13"/>
      <c r="D257" s="14" t="s">
        <v>109</v>
      </c>
      <c r="E257" s="13" t="str">
        <f>IFERROR(INDEX('CENTROS DE COSTOS RESOLUCION'!$C:$C,MATCH(D257,'CENTROS DE COSTOS RESOLUCION'!$B:$B,0)),"CÓDIGO NO VÁLIDO")</f>
        <v>OTRAS TERAPIAS</v>
      </c>
      <c r="F257" s="15" t="str">
        <f>IF(COUNTIF('CENTROS DE COSTOS UTILIZADOS'!$B:$B,D257)&gt;0,"SÍ","NO")</f>
        <v>NO</v>
      </c>
      <c r="G257" s="13" t="str">
        <f t="shared" si="3"/>
        <v>M07|CSJSC</v>
      </c>
      <c r="H257" s="13" t="s">
        <v>18</v>
      </c>
      <c r="I257" s="13" t="s">
        <v>336</v>
      </c>
      <c r="J257" s="15" t="s">
        <v>7</v>
      </c>
      <c r="K257" s="15" t="s">
        <v>43</v>
      </c>
      <c r="L257" s="16" t="s">
        <v>70</v>
      </c>
      <c r="M257" s="13" t="s">
        <v>45</v>
      </c>
    </row>
    <row r="258" spans="1:13" x14ac:dyDescent="0.25">
      <c r="A258" s="13">
        <v>1090606</v>
      </c>
      <c r="B258" s="13" t="s">
        <v>361</v>
      </c>
      <c r="C258" s="13"/>
      <c r="D258" s="14" t="s">
        <v>111</v>
      </c>
      <c r="E258" s="13" t="str">
        <f>IFERROR(INDEX('CENTROS DE COSTOS RESOLUCION'!$C:$C,MATCH(D258,'CENTROS DE COSTOS RESOLUCION'!$B:$B,0)),"CÓDIGO NO VÁLIDO")</f>
        <v>FARMACIA</v>
      </c>
      <c r="F258" s="15" t="str">
        <f>IF(COUNTIF('CENTROS DE COSTOS UTILIZADOS'!$B:$B,D258)&gt;0,"SÍ","NO")</f>
        <v>SÍ</v>
      </c>
      <c r="G258" s="13" t="str">
        <f t="shared" ref="G258:G321" si="4">D258&amp;"|"&amp;LEFT(I258,FIND(" ",I258&amp;" ")-1)</f>
        <v>M05|CSJSC</v>
      </c>
      <c r="H258" s="13" t="s">
        <v>18</v>
      </c>
      <c r="I258" s="13" t="s">
        <v>336</v>
      </c>
      <c r="J258" s="15" t="s">
        <v>5</v>
      </c>
      <c r="K258" s="15" t="s">
        <v>43</v>
      </c>
      <c r="L258" s="16" t="s">
        <v>112</v>
      </c>
      <c r="M258" s="13" t="s">
        <v>45</v>
      </c>
    </row>
    <row r="259" spans="1:13" x14ac:dyDescent="0.25">
      <c r="A259" s="13">
        <v>1090607</v>
      </c>
      <c r="B259" s="13" t="s">
        <v>362</v>
      </c>
      <c r="C259" s="13"/>
      <c r="D259" s="14" t="s">
        <v>109</v>
      </c>
      <c r="E259" s="13" t="str">
        <f>IFERROR(INDEX('CENTROS DE COSTOS RESOLUCION'!$C:$C,MATCH(D259,'CENTROS DE COSTOS RESOLUCION'!$B:$B,0)),"CÓDIGO NO VÁLIDO")</f>
        <v>OTRAS TERAPIAS</v>
      </c>
      <c r="F259" s="15" t="str">
        <f>IF(COUNTIF('CENTROS DE COSTOS UTILIZADOS'!$B:$B,D259)&gt;0,"SÍ","NO")</f>
        <v>NO</v>
      </c>
      <c r="G259" s="13" t="str">
        <f t="shared" si="4"/>
        <v>M07|CSJSC</v>
      </c>
      <c r="H259" s="13" t="s">
        <v>18</v>
      </c>
      <c r="I259" s="13" t="s">
        <v>336</v>
      </c>
      <c r="J259" s="15" t="s">
        <v>6</v>
      </c>
      <c r="K259" s="15" t="s">
        <v>54</v>
      </c>
      <c r="L259" s="16" t="s">
        <v>114</v>
      </c>
      <c r="M259" s="13" t="s">
        <v>45</v>
      </c>
    </row>
    <row r="260" spans="1:13" ht="25.5" x14ac:dyDescent="0.25">
      <c r="A260" s="13">
        <v>1090701</v>
      </c>
      <c r="B260" s="13" t="s">
        <v>363</v>
      </c>
      <c r="C260" s="13"/>
      <c r="D260" s="14" t="s">
        <v>116</v>
      </c>
      <c r="E260" s="13" t="str">
        <f>IFERROR(INDEX('CENTROS DE COSTOS RESOLUCION'!$C:$C,MATCH(D260,'CENTROS DE COSTOS RESOLUCION'!$B:$B,0)),"CÓDIGO NO VÁLIDO")</f>
        <v>ANCIANATOS Y ALBERGUES</v>
      </c>
      <c r="F260" s="15" t="str">
        <f>IF(COUNTIF('CENTROS DE COSTOS UTILIZADOS'!$B:$B,D260)&gt;0,"SÍ","NO")</f>
        <v>NO</v>
      </c>
      <c r="G260" s="13" t="str">
        <f t="shared" si="4"/>
        <v>J01|CSJSC</v>
      </c>
      <c r="H260" s="13" t="s">
        <v>17</v>
      </c>
      <c r="I260" s="13" t="s">
        <v>336</v>
      </c>
      <c r="J260" s="15" t="s">
        <v>7</v>
      </c>
      <c r="K260" s="15" t="s">
        <v>43</v>
      </c>
      <c r="L260" s="16" t="s">
        <v>70</v>
      </c>
      <c r="M260" s="13" t="s">
        <v>45</v>
      </c>
    </row>
    <row r="261" spans="1:13" x14ac:dyDescent="0.25">
      <c r="A261" s="13">
        <v>1090702</v>
      </c>
      <c r="B261" s="13" t="s">
        <v>364</v>
      </c>
      <c r="C261" s="13"/>
      <c r="D261" s="14" t="s">
        <v>118</v>
      </c>
      <c r="E261" s="13" t="str">
        <f>IFERROR(INDEX('CENTROS DE COSTOS RESOLUCION'!$C:$C,MATCH(D261,'CENTROS DE COSTOS RESOLUCION'!$B:$B,0)),"CÓDIGO NO VÁLIDO")</f>
        <v>CENTROS Y PUESTOS DE SALUD</v>
      </c>
      <c r="F261" s="15" t="str">
        <f>IF(COUNTIF('CENTROS DE COSTOS UTILIZADOS'!$B:$B,D261)&gt;0,"SÍ","NO")</f>
        <v>SÍ</v>
      </c>
      <c r="G261" s="13" t="str">
        <f t="shared" si="4"/>
        <v>J17|CSJSC</v>
      </c>
      <c r="H261" s="13" t="s">
        <v>17</v>
      </c>
      <c r="I261" s="13" t="s">
        <v>336</v>
      </c>
      <c r="J261" s="15" t="s">
        <v>5</v>
      </c>
      <c r="K261" s="15" t="s">
        <v>43</v>
      </c>
      <c r="L261" s="16" t="s">
        <v>119</v>
      </c>
      <c r="M261" s="13" t="s">
        <v>45</v>
      </c>
    </row>
    <row r="262" spans="1:13" ht="25.5" x14ac:dyDescent="0.25">
      <c r="A262" s="13">
        <v>1090703</v>
      </c>
      <c r="B262" s="13" t="s">
        <v>365</v>
      </c>
      <c r="C262" s="13"/>
      <c r="D262" s="14" t="s">
        <v>121</v>
      </c>
      <c r="E262" s="13" t="str">
        <f>IFERROR(INDEX('CENTROS DE COSTOS RESOLUCION'!$C:$C,MATCH(D262,'CENTROS DE COSTOS RESOLUCION'!$B:$B,0)),"CÓDIGO NO VÁLIDO")</f>
        <v>EDUCACIÓN MÉDICA</v>
      </c>
      <c r="F262" s="15" t="str">
        <f>IF(COUNTIF('CENTROS DE COSTOS UTILIZADOS'!$B:$B,D262)&gt;0,"SÍ","NO")</f>
        <v>NO</v>
      </c>
      <c r="G262" s="13" t="str">
        <f t="shared" si="4"/>
        <v>U03|CSJSC</v>
      </c>
      <c r="H262" s="13" t="s">
        <v>20</v>
      </c>
      <c r="I262" s="13" t="s">
        <v>336</v>
      </c>
      <c r="J262" s="15" t="s">
        <v>7</v>
      </c>
      <c r="K262" s="15" t="s">
        <v>43</v>
      </c>
      <c r="L262" s="16" t="s">
        <v>70</v>
      </c>
      <c r="M262" s="13" t="s">
        <v>45</v>
      </c>
    </row>
    <row r="263" spans="1:13" ht="25.5" x14ac:dyDescent="0.25">
      <c r="A263" s="13">
        <v>1090704</v>
      </c>
      <c r="B263" s="13" t="s">
        <v>366</v>
      </c>
      <c r="C263" s="13"/>
      <c r="D263" s="14" t="s">
        <v>53</v>
      </c>
      <c r="E263" s="13" t="str">
        <f>IFERROR(INDEX('CENTROS DE COSTOS RESOLUCION'!$C:$C,MATCH(D263,'CENTROS DE COSTOS RESOLUCION'!$B:$B,0)),"CÓDIGO NO VÁLIDO")</f>
        <v>OTRAS CONSULTAS Y PROCEDIMIENTOS</v>
      </c>
      <c r="F263" s="15" t="str">
        <f>IF(COUNTIF('CENTROS DE COSTOS UTILIZADOS'!$B:$B,D263)&gt;0,"SÍ","NO")</f>
        <v>NO</v>
      </c>
      <c r="G263" s="13" t="str">
        <f t="shared" si="4"/>
        <v>A32|CSJSC</v>
      </c>
      <c r="H263" s="13" t="s">
        <v>17</v>
      </c>
      <c r="I263" s="13" t="s">
        <v>336</v>
      </c>
      <c r="J263" s="15" t="s">
        <v>6</v>
      </c>
      <c r="K263" s="15" t="s">
        <v>123</v>
      </c>
      <c r="L263" s="16" t="s">
        <v>124</v>
      </c>
      <c r="M263" s="13" t="s">
        <v>45</v>
      </c>
    </row>
    <row r="264" spans="1:13" x14ac:dyDescent="0.25">
      <c r="A264" s="13">
        <v>1090705</v>
      </c>
      <c r="B264" s="13" t="s">
        <v>367</v>
      </c>
      <c r="C264" s="13"/>
      <c r="D264" s="14" t="s">
        <v>126</v>
      </c>
      <c r="E264" s="13" t="str">
        <f>IFERROR(INDEX('CENTROS DE COSTOS RESOLUCION'!$C:$C,MATCH(D264,'CENTROS DE COSTOS RESOLUCION'!$B:$B,0)),"CÓDIGO NO VÁLIDO")</f>
        <v>SERVICIO DE AMBULANCIAS</v>
      </c>
      <c r="F264" s="15" t="str">
        <f>IF(COUNTIF('CENTROS DE COSTOS UTILIZADOS'!$B:$B,D264)&gt;0,"SÍ","NO")</f>
        <v>SÍ</v>
      </c>
      <c r="G264" s="13" t="str">
        <f t="shared" si="4"/>
        <v>N08|CSJSC</v>
      </c>
      <c r="H264" s="13" t="s">
        <v>17</v>
      </c>
      <c r="I264" s="13" t="s">
        <v>336</v>
      </c>
      <c r="J264" s="15" t="s">
        <v>5</v>
      </c>
      <c r="K264" s="15" t="s">
        <v>43</v>
      </c>
      <c r="L264" s="16" t="s">
        <v>127</v>
      </c>
      <c r="M264" s="13" t="s">
        <v>45</v>
      </c>
    </row>
    <row r="265" spans="1:13" x14ac:dyDescent="0.25">
      <c r="A265" s="13">
        <v>1090706</v>
      </c>
      <c r="B265" s="13" t="s">
        <v>368</v>
      </c>
      <c r="C265" s="13"/>
      <c r="D265" s="14" t="s">
        <v>129</v>
      </c>
      <c r="E265" s="13" t="str">
        <f>IFERROR(INDEX('CENTROS DE COSTOS RESOLUCION'!$C:$C,MATCH(D265,'CENTROS DE COSTOS RESOLUCION'!$B:$B,0)),"CÓDIGO NO VÁLIDO")</f>
        <v>OTROS ENFERMERÍA</v>
      </c>
      <c r="F265" s="15" t="str">
        <f>IF(COUNTIF('CENTROS DE COSTOS UTILIZADOS'!$B:$B,D265)&gt;0,"SÍ","NO")</f>
        <v>NO</v>
      </c>
      <c r="G265" s="13" t="str">
        <f t="shared" si="4"/>
        <v>N04|CSJSC</v>
      </c>
      <c r="H265" s="13" t="s">
        <v>18</v>
      </c>
      <c r="I265" s="13" t="s">
        <v>336</v>
      </c>
      <c r="J265" s="15" t="s">
        <v>6</v>
      </c>
      <c r="K265" s="15" t="s">
        <v>123</v>
      </c>
      <c r="L265" s="16" t="s">
        <v>130</v>
      </c>
      <c r="M265" s="13" t="s">
        <v>45</v>
      </c>
    </row>
    <row r="266" spans="1:13" x14ac:dyDescent="0.25">
      <c r="A266" s="13">
        <v>2012001</v>
      </c>
      <c r="B266" s="13" t="s">
        <v>369</v>
      </c>
      <c r="C266" s="13"/>
      <c r="D266" s="14" t="s">
        <v>370</v>
      </c>
      <c r="E266" s="13" t="str">
        <f>IFERROR(INDEX('CENTROS DE COSTOS RESOLUCION'!$C:$C,MATCH(D266,'CENTROS DE COSTOS RESOLUCION'!$B:$B,0)),"CÓDIGO NO VÁLIDO")</f>
        <v>GERENCIA Y JUNTA DIRECTIVA</v>
      </c>
      <c r="F266" s="15" t="str">
        <f>IF(COUNTIF('CENTROS DE COSTOS UTILIZADOS'!$B:$B,D266)&gt;0,"SÍ","NO")</f>
        <v>SÍ</v>
      </c>
      <c r="G266" s="13" t="str">
        <f t="shared" si="4"/>
        <v>T01|ESE01</v>
      </c>
      <c r="H266" s="13" t="s">
        <v>20</v>
      </c>
      <c r="I266" s="13" t="s">
        <v>371</v>
      </c>
      <c r="J266" s="15" t="s">
        <v>5</v>
      </c>
      <c r="K266" s="15" t="s">
        <v>43</v>
      </c>
      <c r="L266" s="16" t="s">
        <v>372</v>
      </c>
      <c r="M266" s="13" t="s">
        <v>373</v>
      </c>
    </row>
    <row r="267" spans="1:13" x14ac:dyDescent="0.25">
      <c r="A267" s="13">
        <v>2012002</v>
      </c>
      <c r="B267" s="13" t="s">
        <v>374</v>
      </c>
      <c r="C267" s="13"/>
      <c r="D267" s="14" t="s">
        <v>375</v>
      </c>
      <c r="E267" s="13" t="str">
        <f>IFERROR(INDEX('CENTROS DE COSTOS RESOLUCION'!$C:$C,MATCH(D267,'CENTROS DE COSTOS RESOLUCION'!$B:$B,0)),"CÓDIGO NO VÁLIDO")</f>
        <v>JURÍDICA Y CONTRATACIÓN</v>
      </c>
      <c r="F267" s="15" t="str">
        <f>IF(COUNTIF('CENTROS DE COSTOS UTILIZADOS'!$B:$B,D267)&gt;0,"SÍ","NO")</f>
        <v>SÍ</v>
      </c>
      <c r="G267" s="13" t="str">
        <f t="shared" si="4"/>
        <v>T05|ESE01</v>
      </c>
      <c r="H267" s="13" t="s">
        <v>20</v>
      </c>
      <c r="I267" s="13" t="s">
        <v>371</v>
      </c>
      <c r="J267" s="15" t="s">
        <v>5</v>
      </c>
      <c r="K267" s="15" t="s">
        <v>43</v>
      </c>
      <c r="L267" s="16" t="s">
        <v>376</v>
      </c>
      <c r="M267" s="13" t="s">
        <v>373</v>
      </c>
    </row>
    <row r="268" spans="1:13" x14ac:dyDescent="0.25">
      <c r="A268" s="13">
        <v>2012003</v>
      </c>
      <c r="B268" s="13" t="s">
        <v>377</v>
      </c>
      <c r="C268" s="13"/>
      <c r="D268" s="14" t="s">
        <v>378</v>
      </c>
      <c r="E268" s="13" t="str">
        <f>IFERROR(INDEX('CENTROS DE COSTOS RESOLUCION'!$C:$C,MATCH(D268,'CENTROS DE COSTOS RESOLUCION'!$B:$B,0)),"CÓDIGO NO VÁLIDO")</f>
        <v>TALENTO HUMANO</v>
      </c>
      <c r="F268" s="15" t="str">
        <f>IF(COUNTIF('CENTROS DE COSTOS UTILIZADOS'!$B:$B,D268)&gt;0,"SÍ","NO")</f>
        <v>SÍ</v>
      </c>
      <c r="G268" s="13" t="str">
        <f t="shared" si="4"/>
        <v>R05|ESE01</v>
      </c>
      <c r="H268" s="13" t="s">
        <v>20</v>
      </c>
      <c r="I268" s="13" t="s">
        <v>371</v>
      </c>
      <c r="J268" s="15" t="s">
        <v>5</v>
      </c>
      <c r="K268" s="15" t="s">
        <v>43</v>
      </c>
      <c r="L268" s="16" t="s">
        <v>379</v>
      </c>
      <c r="M268" s="13" t="s">
        <v>373</v>
      </c>
    </row>
    <row r="269" spans="1:13" x14ac:dyDescent="0.25">
      <c r="A269" s="13">
        <v>2012004</v>
      </c>
      <c r="B269" s="13" t="s">
        <v>380</v>
      </c>
      <c r="C269" s="13"/>
      <c r="D269" s="14" t="s">
        <v>381</v>
      </c>
      <c r="E269" s="13" t="str">
        <f>IFERROR(INDEX('CENTROS DE COSTOS RESOLUCION'!$C:$C,MATCH(D269,'CENTROS DE COSTOS RESOLUCION'!$B:$B,0)),"CÓDIGO NO VÁLIDO")</f>
        <v>RECURSOS FÍSICOS</v>
      </c>
      <c r="F269" s="15" t="str">
        <f>IF(COUNTIF('CENTROS DE COSTOS UTILIZADOS'!$B:$B,D269)&gt;0,"SÍ","NO")</f>
        <v>SÍ</v>
      </c>
      <c r="G269" s="13" t="str">
        <f t="shared" si="4"/>
        <v>R02|ESE01</v>
      </c>
      <c r="H269" s="13" t="s">
        <v>20</v>
      </c>
      <c r="I269" s="13" t="s">
        <v>371</v>
      </c>
      <c r="J269" s="15" t="s">
        <v>5</v>
      </c>
      <c r="K269" s="15" t="s">
        <v>43</v>
      </c>
      <c r="L269" s="16" t="s">
        <v>382</v>
      </c>
      <c r="M269" s="13" t="s">
        <v>373</v>
      </c>
    </row>
    <row r="270" spans="1:13" x14ac:dyDescent="0.25">
      <c r="A270" s="13">
        <v>2012005</v>
      </c>
      <c r="B270" s="13" t="s">
        <v>383</v>
      </c>
      <c r="C270" s="13"/>
      <c r="D270" s="14" t="s">
        <v>384</v>
      </c>
      <c r="E270" s="13" t="str">
        <f>IFERROR(INDEX('CENTROS DE COSTOS RESOLUCION'!$C:$C,MATCH(D270,'CENTROS DE COSTOS RESOLUCION'!$B:$B,0)),"CÓDIGO NO VÁLIDO")</f>
        <v>CONTROL INTERNO</v>
      </c>
      <c r="F270" s="15" t="str">
        <f>IF(COUNTIF('CENTROS DE COSTOS UTILIZADOS'!$B:$B,D270)&gt;0,"SÍ","NO")</f>
        <v>SÍ</v>
      </c>
      <c r="G270" s="13" t="str">
        <f t="shared" si="4"/>
        <v>T11|ESE01</v>
      </c>
      <c r="H270" s="13" t="s">
        <v>20</v>
      </c>
      <c r="I270" s="13" t="s">
        <v>371</v>
      </c>
      <c r="J270" s="15" t="s">
        <v>5</v>
      </c>
      <c r="K270" s="15" t="s">
        <v>43</v>
      </c>
      <c r="L270" s="16" t="s">
        <v>385</v>
      </c>
      <c r="M270" s="13" t="s">
        <v>373</v>
      </c>
    </row>
    <row r="271" spans="1:13" x14ac:dyDescent="0.25">
      <c r="A271" s="13">
        <v>2012006</v>
      </c>
      <c r="B271" s="13" t="s">
        <v>386</v>
      </c>
      <c r="C271" s="13"/>
      <c r="D271" s="14" t="s">
        <v>387</v>
      </c>
      <c r="E271" s="13" t="str">
        <f>IFERROR(INDEX('CENTROS DE COSTOS RESOLUCION'!$C:$C,MATCH(D271,'CENTROS DE COSTOS RESOLUCION'!$B:$B,0)),"CÓDIGO NO VÁLIDO")</f>
        <v>PROGRAMAS DE CALIDAD Y ACREDITACIÓN</v>
      </c>
      <c r="F271" s="15" t="str">
        <f>IF(COUNTIF('CENTROS DE COSTOS UTILIZADOS'!$B:$B,D271)&gt;0,"SÍ","NO")</f>
        <v>SÍ</v>
      </c>
      <c r="G271" s="13" t="str">
        <f t="shared" si="4"/>
        <v>T10|ESE01</v>
      </c>
      <c r="H271" s="13" t="s">
        <v>20</v>
      </c>
      <c r="I271" s="13" t="s">
        <v>371</v>
      </c>
      <c r="J271" s="15" t="s">
        <v>5</v>
      </c>
      <c r="K271" s="15" t="s">
        <v>43</v>
      </c>
      <c r="L271" s="16" t="s">
        <v>388</v>
      </c>
      <c r="M271" s="13" t="s">
        <v>373</v>
      </c>
    </row>
    <row r="272" spans="1:13" x14ac:dyDescent="0.25">
      <c r="A272" s="13">
        <v>2012007</v>
      </c>
      <c r="B272" s="13" t="s">
        <v>389</v>
      </c>
      <c r="C272" s="13"/>
      <c r="D272" s="14" t="s">
        <v>390</v>
      </c>
      <c r="E272" s="13" t="str">
        <f>IFERROR(INDEX('CENTROS DE COSTOS RESOLUCION'!$C:$C,MATCH(D272,'CENTROS DE COSTOS RESOLUCION'!$B:$B,0)),"CÓDIGO NO VÁLIDO")</f>
        <v>ATENCIÓN AL USUARIO</v>
      </c>
      <c r="F272" s="15" t="str">
        <f>IF(COUNTIF('CENTROS DE COSTOS UTILIZADOS'!$B:$B,D272)&gt;0,"SÍ","NO")</f>
        <v>SÍ</v>
      </c>
      <c r="G272" s="13" t="str">
        <f t="shared" si="4"/>
        <v>O02|ESE01</v>
      </c>
      <c r="H272" s="13" t="s">
        <v>19</v>
      </c>
      <c r="I272" s="13" t="s">
        <v>371</v>
      </c>
      <c r="J272" s="15" t="s">
        <v>5</v>
      </c>
      <c r="K272" s="15" t="s">
        <v>43</v>
      </c>
      <c r="L272" s="16" t="s">
        <v>391</v>
      </c>
      <c r="M272" s="13" t="s">
        <v>373</v>
      </c>
    </row>
    <row r="273" spans="1:13" x14ac:dyDescent="0.25">
      <c r="A273" s="13">
        <v>2012008</v>
      </c>
      <c r="B273" s="13" t="s">
        <v>392</v>
      </c>
      <c r="C273" s="13"/>
      <c r="D273" s="14" t="s">
        <v>393</v>
      </c>
      <c r="E273" s="13" t="str">
        <f>IFERROR(INDEX('CENTROS DE COSTOS RESOLUCION'!$C:$C,MATCH(D273,'CENTROS DE COSTOS RESOLUCION'!$B:$B,0)),"CÓDIGO NO VÁLIDO")</f>
        <v>GESTIÓN DOCUMENTAL Y ARCHIVÍSTICA</v>
      </c>
      <c r="F273" s="15" t="str">
        <f>IF(COUNTIF('CENTROS DE COSTOS UTILIZADOS'!$B:$B,D273)&gt;0,"SÍ","NO")</f>
        <v>SÍ</v>
      </c>
      <c r="G273" s="13" t="str">
        <f t="shared" si="4"/>
        <v>R09|ESE01</v>
      </c>
      <c r="H273" s="13" t="s">
        <v>20</v>
      </c>
      <c r="I273" s="13" t="s">
        <v>371</v>
      </c>
      <c r="J273" s="15" t="s">
        <v>5</v>
      </c>
      <c r="K273" s="15" t="s">
        <v>54</v>
      </c>
      <c r="L273" s="16" t="s">
        <v>394</v>
      </c>
      <c r="M273" s="13" t="s">
        <v>373</v>
      </c>
    </row>
    <row r="274" spans="1:13" x14ac:dyDescent="0.25">
      <c r="A274" s="13">
        <v>2012009</v>
      </c>
      <c r="B274" s="13" t="s">
        <v>395</v>
      </c>
      <c r="C274" s="13"/>
      <c r="D274" s="14" t="s">
        <v>396</v>
      </c>
      <c r="E274" s="13" t="str">
        <f>IFERROR(INDEX('CENTROS DE COSTOS RESOLUCION'!$C:$C,MATCH(D274,'CENTROS DE COSTOS RESOLUCION'!$B:$B,0)),"CÓDIGO NO VÁLIDO")</f>
        <v>SISTEMAS</v>
      </c>
      <c r="F274" s="15" t="str">
        <f>IF(COUNTIF('CENTROS DE COSTOS UTILIZADOS'!$B:$B,D274)&gt;0,"SÍ","NO")</f>
        <v>SÍ</v>
      </c>
      <c r="G274" s="13" t="str">
        <f t="shared" si="4"/>
        <v>T07|ESE01</v>
      </c>
      <c r="H274" s="13" t="s">
        <v>20</v>
      </c>
      <c r="I274" s="13" t="s">
        <v>371</v>
      </c>
      <c r="J274" s="15" t="s">
        <v>5</v>
      </c>
      <c r="K274" s="15" t="s">
        <v>43</v>
      </c>
      <c r="L274" s="16" t="s">
        <v>397</v>
      </c>
      <c r="M274" s="13" t="s">
        <v>373</v>
      </c>
    </row>
    <row r="275" spans="1:13" x14ac:dyDescent="0.25">
      <c r="A275" s="13">
        <v>1010606</v>
      </c>
      <c r="B275" s="13" t="s">
        <v>398</v>
      </c>
      <c r="C275" s="13"/>
      <c r="D275" s="14" t="s">
        <v>111</v>
      </c>
      <c r="E275" s="13" t="str">
        <f>IFERROR(INDEX('CENTROS DE COSTOS RESOLUCION'!$C:$C,MATCH(D275,'CENTROS DE COSTOS RESOLUCION'!$B:$B,0)),"CÓDIGO NO VÁLIDO")</f>
        <v>FARMACIA</v>
      </c>
      <c r="F275" s="15" t="str">
        <f>IF(COUNTIF('CENTROS DE COSTOS UTILIZADOS'!$B:$B,D275)&gt;0,"SÍ","NO")</f>
        <v>SÍ</v>
      </c>
      <c r="G275" s="13" t="str">
        <f t="shared" si="4"/>
        <v>M05|ESE01</v>
      </c>
      <c r="H275" s="13" t="s">
        <v>18</v>
      </c>
      <c r="I275" s="13" t="s">
        <v>371</v>
      </c>
      <c r="J275" s="15" t="s">
        <v>5</v>
      </c>
      <c r="K275" s="15" t="s">
        <v>43</v>
      </c>
      <c r="L275" s="16" t="s">
        <v>399</v>
      </c>
      <c r="M275" s="13" t="s">
        <v>373</v>
      </c>
    </row>
    <row r="276" spans="1:13" x14ac:dyDescent="0.25">
      <c r="A276" s="13">
        <v>2012010</v>
      </c>
      <c r="B276" s="13" t="s">
        <v>400</v>
      </c>
      <c r="C276" s="13"/>
      <c r="D276" s="14" t="s">
        <v>401</v>
      </c>
      <c r="E276" s="13" t="str">
        <f>IFERROR(INDEX('CENTROS DE COSTOS RESOLUCION'!$C:$C,MATCH(D276,'CENTROS DE COSTOS RESOLUCION'!$B:$B,0)),"CÓDIGO NO VÁLIDO")</f>
        <v>AUDITORIA MÉDICA</v>
      </c>
      <c r="F276" s="15" t="str">
        <f>IF(COUNTIF('CENTROS DE COSTOS UTILIZADOS'!$B:$B,D276)&gt;0,"SÍ","NO")</f>
        <v>SÍ</v>
      </c>
      <c r="G276" s="13" t="str">
        <f t="shared" si="4"/>
        <v>U02|ESE01</v>
      </c>
      <c r="H276" s="13" t="s">
        <v>20</v>
      </c>
      <c r="I276" s="13" t="s">
        <v>371</v>
      </c>
      <c r="J276" s="15" t="s">
        <v>5</v>
      </c>
      <c r="K276" s="15" t="s">
        <v>43</v>
      </c>
      <c r="L276" s="16" t="s">
        <v>402</v>
      </c>
      <c r="M276" s="13" t="s">
        <v>373</v>
      </c>
    </row>
    <row r="277" spans="1:13" x14ac:dyDescent="0.25">
      <c r="A277" s="13">
        <v>2012011</v>
      </c>
      <c r="B277" s="13" t="s">
        <v>403</v>
      </c>
      <c r="C277" s="13"/>
      <c r="D277" s="14" t="s">
        <v>404</v>
      </c>
      <c r="E277" s="13" t="str">
        <f>IFERROR(INDEX('CENTROS DE COSTOS RESOLUCION'!$C:$C,MATCH(D277,'CENTROS DE COSTOS RESOLUCION'!$B:$B,0)),"CÓDIGO NO VÁLIDO")</f>
        <v>ASEO Y LIMPIEZA</v>
      </c>
      <c r="F277" s="15" t="str">
        <f>IF(COUNTIF('CENTROS DE COSTOS UTILIZADOS'!$B:$B,D277)&gt;0,"SÍ","NO")</f>
        <v>SÍ</v>
      </c>
      <c r="G277" s="13" t="str">
        <f t="shared" si="4"/>
        <v>R04|ESE01</v>
      </c>
      <c r="H277" s="13" t="s">
        <v>20</v>
      </c>
      <c r="I277" s="13" t="s">
        <v>371</v>
      </c>
      <c r="J277" s="15" t="s">
        <v>5</v>
      </c>
      <c r="K277" s="15" t="s">
        <v>43</v>
      </c>
      <c r="L277" s="16" t="s">
        <v>405</v>
      </c>
      <c r="M277" s="13" t="s">
        <v>373</v>
      </c>
    </row>
    <row r="278" spans="1:13" x14ac:dyDescent="0.25">
      <c r="A278" s="13">
        <v>2012012</v>
      </c>
      <c r="B278" s="13" t="s">
        <v>406</v>
      </c>
      <c r="C278" s="13"/>
      <c r="D278" s="14" t="s">
        <v>407</v>
      </c>
      <c r="E278" s="13" t="str">
        <f>IFERROR(INDEX('CENTROS DE COSTOS RESOLUCION'!$C:$C,MATCH(D278,'CENTROS DE COSTOS RESOLUCION'!$B:$B,0)),"CÓDIGO NO VÁLIDO")</f>
        <v>ESTADISTICA</v>
      </c>
      <c r="F278" s="15" t="str">
        <f>IF(COUNTIF('CENTROS DE COSTOS UTILIZADOS'!$B:$B,D278)&gt;0,"SÍ","NO")</f>
        <v>SÍ</v>
      </c>
      <c r="G278" s="13" t="str">
        <f t="shared" si="4"/>
        <v>Q05|ESE01</v>
      </c>
      <c r="H278" s="13" t="s">
        <v>19</v>
      </c>
      <c r="I278" s="13" t="s">
        <v>371</v>
      </c>
      <c r="J278" s="15" t="s">
        <v>5</v>
      </c>
      <c r="K278" s="15" t="s">
        <v>43</v>
      </c>
      <c r="L278" s="16" t="s">
        <v>408</v>
      </c>
      <c r="M278" s="13" t="s">
        <v>373</v>
      </c>
    </row>
    <row r="279" spans="1:13" x14ac:dyDescent="0.25">
      <c r="A279" s="13">
        <v>3012101</v>
      </c>
      <c r="B279" s="13" t="s">
        <v>409</v>
      </c>
      <c r="C279" s="13"/>
      <c r="D279" s="14" t="s">
        <v>410</v>
      </c>
      <c r="E279" s="13" t="str">
        <f>IFERROR(INDEX('CENTROS DE COSTOS RESOLUCION'!$C:$C,MATCH(D279,'CENTROS DE COSTOS RESOLUCION'!$B:$B,0)),"CÓDIGO NO VÁLIDO")</f>
        <v>CONTABILIDAD Y COSTOS</v>
      </c>
      <c r="F279" s="15" t="str">
        <f>IF(COUNTIF('CENTROS DE COSTOS UTILIZADOS'!$B:$B,D279)&gt;0,"SÍ","NO")</f>
        <v>SÍ</v>
      </c>
      <c r="G279" s="13" t="str">
        <f t="shared" si="4"/>
        <v>S02|ESE01</v>
      </c>
      <c r="H279" s="13" t="s">
        <v>20</v>
      </c>
      <c r="I279" s="13" t="s">
        <v>371</v>
      </c>
      <c r="J279" s="15" t="s">
        <v>5</v>
      </c>
      <c r="K279" s="15" t="s">
        <v>43</v>
      </c>
      <c r="L279" s="16" t="s">
        <v>411</v>
      </c>
      <c r="M279" s="13" t="s">
        <v>373</v>
      </c>
    </row>
    <row r="280" spans="1:13" x14ac:dyDescent="0.25">
      <c r="A280" s="13">
        <v>3012102</v>
      </c>
      <c r="B280" s="13" t="s">
        <v>412</v>
      </c>
      <c r="C280" s="13"/>
      <c r="D280" s="14" t="s">
        <v>413</v>
      </c>
      <c r="E280" s="13" t="str">
        <f>IFERROR(INDEX('CENTROS DE COSTOS RESOLUCION'!$C:$C,MATCH(D280,'CENTROS DE COSTOS RESOLUCION'!$B:$B,0)),"CÓDIGO NO VÁLIDO")</f>
        <v>PRESUPUESTO</v>
      </c>
      <c r="F280" s="15" t="str">
        <f>IF(COUNTIF('CENTROS DE COSTOS UTILIZADOS'!$B:$B,D280)&gt;0,"SÍ","NO")</f>
        <v>SÍ</v>
      </c>
      <c r="G280" s="13" t="str">
        <f t="shared" si="4"/>
        <v>S06|ESE01</v>
      </c>
      <c r="H280" s="13" t="s">
        <v>20</v>
      </c>
      <c r="I280" s="13" t="s">
        <v>371</v>
      </c>
      <c r="J280" s="15" t="s">
        <v>5</v>
      </c>
      <c r="K280" s="15" t="s">
        <v>43</v>
      </c>
      <c r="L280" s="16" t="s">
        <v>414</v>
      </c>
      <c r="M280" s="13" t="s">
        <v>373</v>
      </c>
    </row>
    <row r="281" spans="1:13" x14ac:dyDescent="0.25">
      <c r="A281" s="13">
        <v>3012103</v>
      </c>
      <c r="B281" s="13" t="s">
        <v>415</v>
      </c>
      <c r="C281" s="13"/>
      <c r="D281" s="14" t="s">
        <v>416</v>
      </c>
      <c r="E281" s="13" t="str">
        <f>IFERROR(INDEX('CENTROS DE COSTOS RESOLUCION'!$C:$C,MATCH(D281,'CENTROS DE COSTOS RESOLUCION'!$B:$B,0)),"CÓDIGO NO VÁLIDO")</f>
        <v>CARTERA</v>
      </c>
      <c r="F281" s="15" t="str">
        <f>IF(COUNTIF('CENTROS DE COSTOS UTILIZADOS'!$B:$B,D281)&gt;0,"SÍ","NO")</f>
        <v>SÍ</v>
      </c>
      <c r="G281" s="13" t="str">
        <f t="shared" si="4"/>
        <v>S03|ESE01</v>
      </c>
      <c r="H281" s="13" t="s">
        <v>20</v>
      </c>
      <c r="I281" s="13" t="s">
        <v>371</v>
      </c>
      <c r="J281" s="15" t="s">
        <v>5</v>
      </c>
      <c r="K281" s="15" t="s">
        <v>43</v>
      </c>
      <c r="L281" s="16" t="s">
        <v>417</v>
      </c>
      <c r="M281" s="13" t="s">
        <v>373</v>
      </c>
    </row>
    <row r="282" spans="1:13" x14ac:dyDescent="0.25">
      <c r="A282" s="13">
        <v>3012104</v>
      </c>
      <c r="B282" s="13" t="s">
        <v>418</v>
      </c>
      <c r="C282" s="13"/>
      <c r="D282" s="14" t="s">
        <v>419</v>
      </c>
      <c r="E282" s="13" t="str">
        <f>IFERROR(INDEX('CENTROS DE COSTOS RESOLUCION'!$C:$C,MATCH(D282,'CENTROS DE COSTOS RESOLUCION'!$B:$B,0)),"CÓDIGO NO VÁLIDO")</f>
        <v>TESORERÍA</v>
      </c>
      <c r="F282" s="15" t="str">
        <f>IF(COUNTIF('CENTROS DE COSTOS UTILIZADOS'!$B:$B,D282)&gt;0,"SÍ","NO")</f>
        <v>SÍ</v>
      </c>
      <c r="G282" s="13" t="str">
        <f t="shared" si="4"/>
        <v>S05|ESE01</v>
      </c>
      <c r="H282" s="13" t="s">
        <v>20</v>
      </c>
      <c r="I282" s="13" t="s">
        <v>371</v>
      </c>
      <c r="J282" s="15" t="s">
        <v>5</v>
      </c>
      <c r="K282" s="15" t="s">
        <v>43</v>
      </c>
      <c r="L282" s="16" t="s">
        <v>420</v>
      </c>
      <c r="M282" s="13" t="s">
        <v>373</v>
      </c>
    </row>
    <row r="283" spans="1:13" x14ac:dyDescent="0.25">
      <c r="A283" s="13">
        <v>3012105</v>
      </c>
      <c r="B283" s="13" t="s">
        <v>421</v>
      </c>
      <c r="C283" s="13"/>
      <c r="D283" s="14" t="s">
        <v>422</v>
      </c>
      <c r="E283" s="13" t="str">
        <f>IFERROR(INDEX('CENTROS DE COSTOS RESOLUCION'!$C:$C,MATCH(D283,'CENTROS DE COSTOS RESOLUCION'!$B:$B,0)),"CÓDIGO NO VÁLIDO")</f>
        <v>FACTURACIÓN Y AUDITORIA DE CUENTAS MÉDICAS</v>
      </c>
      <c r="F283" s="15" t="str">
        <f>IF(COUNTIF('CENTROS DE COSTOS UTILIZADOS'!$B:$B,D283)&gt;0,"SÍ","NO")</f>
        <v>SÍ</v>
      </c>
      <c r="G283" s="13" t="str">
        <f t="shared" si="4"/>
        <v>S04|ESE01</v>
      </c>
      <c r="H283" s="13" t="s">
        <v>20</v>
      </c>
      <c r="I283" s="13" t="s">
        <v>371</v>
      </c>
      <c r="J283" s="15" t="s">
        <v>5</v>
      </c>
      <c r="K283" s="15" t="s">
        <v>43</v>
      </c>
      <c r="L283" s="16" t="s">
        <v>423</v>
      </c>
      <c r="M283" s="13" t="s">
        <v>373</v>
      </c>
    </row>
    <row r="284" spans="1:13" x14ac:dyDescent="0.25">
      <c r="A284" s="13">
        <v>3012106</v>
      </c>
      <c r="B284" s="13" t="s">
        <v>424</v>
      </c>
      <c r="C284" s="13"/>
      <c r="D284" s="14" t="s">
        <v>419</v>
      </c>
      <c r="E284" s="13" t="str">
        <f>IFERROR(INDEX('CENTROS DE COSTOS RESOLUCION'!$C:$C,MATCH(D284,'CENTROS DE COSTOS RESOLUCION'!$B:$B,0)),"CÓDIGO NO VÁLIDO")</f>
        <v>TESORERÍA</v>
      </c>
      <c r="F284" s="15" t="str">
        <f>IF(COUNTIF('CENTROS DE COSTOS UTILIZADOS'!$B:$B,D284)&gt;0,"SÍ","NO")</f>
        <v>SÍ</v>
      </c>
      <c r="G284" s="13" t="str">
        <f t="shared" si="4"/>
        <v>S05|ESE01</v>
      </c>
      <c r="H284" s="13" t="s">
        <v>20</v>
      </c>
      <c r="I284" s="13" t="s">
        <v>371</v>
      </c>
      <c r="J284" s="15" t="s">
        <v>5</v>
      </c>
      <c r="K284" s="15" t="s">
        <v>43</v>
      </c>
      <c r="L284" s="16" t="s">
        <v>425</v>
      </c>
      <c r="M284" s="13" t="s">
        <v>373</v>
      </c>
    </row>
    <row r="285" spans="1:13" x14ac:dyDescent="0.25">
      <c r="A285" s="13">
        <v>2022007</v>
      </c>
      <c r="B285" s="13" t="s">
        <v>426</v>
      </c>
      <c r="C285" s="13"/>
      <c r="D285" s="14" t="s">
        <v>390</v>
      </c>
      <c r="E285" s="13" t="str">
        <f>IFERROR(INDEX('CENTROS DE COSTOS RESOLUCION'!$C:$C,MATCH(D285,'CENTROS DE COSTOS RESOLUCION'!$B:$B,0)),"CÓDIGO NO VÁLIDO")</f>
        <v>ATENCIÓN AL USUARIO</v>
      </c>
      <c r="F285" s="15" t="str">
        <f>IF(COUNTIF('CENTROS DE COSTOS UTILIZADOS'!$B:$B,D285)&gt;0,"SÍ","NO")</f>
        <v>SÍ</v>
      </c>
      <c r="G285" s="13" t="str">
        <f t="shared" si="4"/>
        <v>O02|HSLA</v>
      </c>
      <c r="H285" s="13" t="s">
        <v>19</v>
      </c>
      <c r="I285" s="13" t="s">
        <v>42</v>
      </c>
      <c r="J285" s="15" t="s">
        <v>5</v>
      </c>
      <c r="K285" s="15" t="s">
        <v>43</v>
      </c>
      <c r="L285" s="16" t="s">
        <v>427</v>
      </c>
      <c r="M285" s="13" t="s">
        <v>45</v>
      </c>
    </row>
    <row r="286" spans="1:13" x14ac:dyDescent="0.25">
      <c r="A286" s="13">
        <v>2022004</v>
      </c>
      <c r="B286" s="13" t="s">
        <v>428</v>
      </c>
      <c r="C286" s="13"/>
      <c r="D286" s="14" t="s">
        <v>381</v>
      </c>
      <c r="E286" s="13" t="str">
        <f>IFERROR(INDEX('CENTROS DE COSTOS RESOLUCION'!$C:$C,MATCH(D286,'CENTROS DE COSTOS RESOLUCION'!$B:$B,0)),"CÓDIGO NO VÁLIDO")</f>
        <v>RECURSOS FÍSICOS</v>
      </c>
      <c r="F286" s="15" t="str">
        <f>IF(COUNTIF('CENTROS DE COSTOS UTILIZADOS'!$B:$B,D286)&gt;0,"SÍ","NO")</f>
        <v>SÍ</v>
      </c>
      <c r="G286" s="13" t="str">
        <f t="shared" si="4"/>
        <v>R02|HSLA</v>
      </c>
      <c r="H286" s="13" t="s">
        <v>20</v>
      </c>
      <c r="I286" s="13" t="s">
        <v>42</v>
      </c>
      <c r="J286" s="15" t="s">
        <v>5</v>
      </c>
      <c r="K286" s="15" t="s">
        <v>43</v>
      </c>
      <c r="L286" s="16" t="s">
        <v>429</v>
      </c>
      <c r="M286" s="13" t="s">
        <v>45</v>
      </c>
    </row>
    <row r="287" spans="1:13" x14ac:dyDescent="0.25">
      <c r="A287" s="13">
        <v>3022105</v>
      </c>
      <c r="B287" s="13" t="s">
        <v>430</v>
      </c>
      <c r="C287" s="13"/>
      <c r="D287" s="14" t="s">
        <v>422</v>
      </c>
      <c r="E287" s="13" t="str">
        <f>IFERROR(INDEX('CENTROS DE COSTOS RESOLUCION'!$C:$C,MATCH(D287,'CENTROS DE COSTOS RESOLUCION'!$B:$B,0)),"CÓDIGO NO VÁLIDO")</f>
        <v>FACTURACIÓN Y AUDITORIA DE CUENTAS MÉDICAS</v>
      </c>
      <c r="F287" s="15" t="str">
        <f>IF(COUNTIF('CENTROS DE COSTOS UTILIZADOS'!$B:$B,D287)&gt;0,"SÍ","NO")</f>
        <v>SÍ</v>
      </c>
      <c r="G287" s="13" t="str">
        <f t="shared" si="4"/>
        <v>S04|HSLA</v>
      </c>
      <c r="H287" s="13" t="s">
        <v>20</v>
      </c>
      <c r="I287" s="13" t="s">
        <v>42</v>
      </c>
      <c r="J287" s="15" t="s">
        <v>5</v>
      </c>
      <c r="K287" s="15" t="s">
        <v>43</v>
      </c>
      <c r="L287" s="16" t="s">
        <v>423</v>
      </c>
      <c r="M287" s="13" t="s">
        <v>45</v>
      </c>
    </row>
    <row r="288" spans="1:13" x14ac:dyDescent="0.25">
      <c r="A288" s="13">
        <v>2022012</v>
      </c>
      <c r="B288" s="13" t="s">
        <v>431</v>
      </c>
      <c r="C288" s="13"/>
      <c r="D288" s="14" t="s">
        <v>407</v>
      </c>
      <c r="E288" s="13" t="str">
        <f>IFERROR(INDEX('CENTROS DE COSTOS RESOLUCION'!$C:$C,MATCH(D288,'CENTROS DE COSTOS RESOLUCION'!$B:$B,0)),"CÓDIGO NO VÁLIDO")</f>
        <v>ESTADISTICA</v>
      </c>
      <c r="F288" s="15" t="str">
        <f>IF(COUNTIF('CENTROS DE COSTOS UTILIZADOS'!$B:$B,D288)&gt;0,"SÍ","NO")</f>
        <v>SÍ</v>
      </c>
      <c r="G288" s="13" t="str">
        <f t="shared" si="4"/>
        <v>Q05|HSLA</v>
      </c>
      <c r="H288" s="13" t="s">
        <v>19</v>
      </c>
      <c r="I288" s="13" t="s">
        <v>42</v>
      </c>
      <c r="J288" s="15" t="s">
        <v>5</v>
      </c>
      <c r="K288" s="15" t="s">
        <v>43</v>
      </c>
      <c r="L288" s="16" t="s">
        <v>408</v>
      </c>
      <c r="M288" s="13" t="s">
        <v>45</v>
      </c>
    </row>
    <row r="289" spans="1:13" x14ac:dyDescent="0.25">
      <c r="A289" s="13">
        <v>2032007</v>
      </c>
      <c r="B289" s="13" t="s">
        <v>432</v>
      </c>
      <c r="C289" s="13"/>
      <c r="D289" s="14" t="s">
        <v>390</v>
      </c>
      <c r="E289" s="13" t="str">
        <f>IFERROR(INDEX('CENTROS DE COSTOS RESOLUCION'!$C:$C,MATCH(D289,'CENTROS DE COSTOS RESOLUCION'!$B:$B,0)),"CÓDIGO NO VÁLIDO")</f>
        <v>ATENCIÓN AL USUARIO</v>
      </c>
      <c r="F289" s="15" t="str">
        <f>IF(COUNTIF('CENTROS DE COSTOS UTILIZADOS'!$B:$B,D289)&gt;0,"SÍ","NO")</f>
        <v>SÍ</v>
      </c>
      <c r="G289" s="13" t="str">
        <f t="shared" si="4"/>
        <v>O02|HSFF</v>
      </c>
      <c r="H289" s="13" t="s">
        <v>19</v>
      </c>
      <c r="I289" s="13" t="s">
        <v>132</v>
      </c>
      <c r="J289" s="15" t="s">
        <v>5</v>
      </c>
      <c r="K289" s="15" t="s">
        <v>43</v>
      </c>
      <c r="L289" s="16" t="s">
        <v>427</v>
      </c>
      <c r="M289" s="13" t="s">
        <v>45</v>
      </c>
    </row>
    <row r="290" spans="1:13" x14ac:dyDescent="0.25">
      <c r="A290" s="13">
        <v>2032004</v>
      </c>
      <c r="B290" s="13" t="s">
        <v>433</v>
      </c>
      <c r="C290" s="13"/>
      <c r="D290" s="14" t="s">
        <v>381</v>
      </c>
      <c r="E290" s="13" t="str">
        <f>IFERROR(INDEX('CENTROS DE COSTOS RESOLUCION'!$C:$C,MATCH(D290,'CENTROS DE COSTOS RESOLUCION'!$B:$B,0)),"CÓDIGO NO VÁLIDO")</f>
        <v>RECURSOS FÍSICOS</v>
      </c>
      <c r="F290" s="15" t="str">
        <f>IF(COUNTIF('CENTROS DE COSTOS UTILIZADOS'!$B:$B,D290)&gt;0,"SÍ","NO")</f>
        <v>SÍ</v>
      </c>
      <c r="G290" s="13" t="str">
        <f t="shared" si="4"/>
        <v>R02|HSFF</v>
      </c>
      <c r="H290" s="13" t="s">
        <v>20</v>
      </c>
      <c r="I290" s="13" t="s">
        <v>132</v>
      </c>
      <c r="J290" s="15" t="s">
        <v>5</v>
      </c>
      <c r="K290" s="15" t="s">
        <v>43</v>
      </c>
      <c r="L290" s="16" t="s">
        <v>429</v>
      </c>
      <c r="M290" s="13" t="s">
        <v>45</v>
      </c>
    </row>
    <row r="291" spans="1:13" x14ac:dyDescent="0.25">
      <c r="A291" s="13">
        <v>3032105</v>
      </c>
      <c r="B291" s="13" t="s">
        <v>434</v>
      </c>
      <c r="C291" s="13"/>
      <c r="D291" s="14" t="s">
        <v>422</v>
      </c>
      <c r="E291" s="13" t="str">
        <f>IFERROR(INDEX('CENTROS DE COSTOS RESOLUCION'!$C:$C,MATCH(D291,'CENTROS DE COSTOS RESOLUCION'!$B:$B,0)),"CÓDIGO NO VÁLIDO")</f>
        <v>FACTURACIÓN Y AUDITORIA DE CUENTAS MÉDICAS</v>
      </c>
      <c r="F291" s="15" t="str">
        <f>IF(COUNTIF('CENTROS DE COSTOS UTILIZADOS'!$B:$B,D291)&gt;0,"SÍ","NO")</f>
        <v>SÍ</v>
      </c>
      <c r="G291" s="13" t="str">
        <f t="shared" si="4"/>
        <v>S04|HSFF</v>
      </c>
      <c r="H291" s="13" t="s">
        <v>20</v>
      </c>
      <c r="I291" s="13" t="s">
        <v>132</v>
      </c>
      <c r="J291" s="15" t="s">
        <v>5</v>
      </c>
      <c r="K291" s="15" t="s">
        <v>43</v>
      </c>
      <c r="L291" s="16" t="s">
        <v>423</v>
      </c>
      <c r="M291" s="13" t="s">
        <v>45</v>
      </c>
    </row>
    <row r="292" spans="1:13" x14ac:dyDescent="0.25">
      <c r="A292" s="13">
        <v>2032012</v>
      </c>
      <c r="B292" s="13" t="s">
        <v>435</v>
      </c>
      <c r="C292" s="13"/>
      <c r="D292" s="14" t="s">
        <v>407</v>
      </c>
      <c r="E292" s="13" t="str">
        <f>IFERROR(INDEX('CENTROS DE COSTOS RESOLUCION'!$C:$C,MATCH(D292,'CENTROS DE COSTOS RESOLUCION'!$B:$B,0)),"CÓDIGO NO VÁLIDO")</f>
        <v>ESTADISTICA</v>
      </c>
      <c r="F292" s="15" t="str">
        <f>IF(COUNTIF('CENTROS DE COSTOS UTILIZADOS'!$B:$B,D292)&gt;0,"SÍ","NO")</f>
        <v>SÍ</v>
      </c>
      <c r="G292" s="13" t="str">
        <f t="shared" si="4"/>
        <v>Q05|HSFF</v>
      </c>
      <c r="H292" s="13" t="s">
        <v>19</v>
      </c>
      <c r="I292" s="13" t="s">
        <v>132</v>
      </c>
      <c r="J292" s="15" t="s">
        <v>5</v>
      </c>
      <c r="K292" s="15" t="s">
        <v>43</v>
      </c>
      <c r="L292" s="16" t="s">
        <v>408</v>
      </c>
      <c r="M292" s="13" t="s">
        <v>45</v>
      </c>
    </row>
    <row r="293" spans="1:13" x14ac:dyDescent="0.25">
      <c r="A293" s="13">
        <v>2042007</v>
      </c>
      <c r="B293" s="13" t="s">
        <v>436</v>
      </c>
      <c r="C293" s="13"/>
      <c r="D293" s="14" t="s">
        <v>390</v>
      </c>
      <c r="E293" s="13" t="str">
        <f>IFERROR(INDEX('CENTROS DE COSTOS RESOLUCION'!$C:$C,MATCH(D293,'CENTROS DE COSTOS RESOLUCION'!$B:$B,0)),"CÓDIGO NO VÁLIDO")</f>
        <v>ATENCIÓN AL USUARIO</v>
      </c>
      <c r="F293" s="15" t="str">
        <f>IF(COUNTIF('CENTROS DE COSTOS UTILIZADOS'!$B:$B,D293)&gt;0,"SÍ","NO")</f>
        <v>SÍ</v>
      </c>
      <c r="G293" s="13" t="str">
        <f t="shared" si="4"/>
        <v>O02|HSAT</v>
      </c>
      <c r="H293" s="13" t="s">
        <v>19</v>
      </c>
      <c r="I293" s="13" t="s">
        <v>166</v>
      </c>
      <c r="J293" s="15" t="s">
        <v>5</v>
      </c>
      <c r="K293" s="15" t="s">
        <v>43</v>
      </c>
      <c r="L293" s="16" t="s">
        <v>427</v>
      </c>
      <c r="M293" s="13" t="s">
        <v>45</v>
      </c>
    </row>
    <row r="294" spans="1:13" x14ac:dyDescent="0.25">
      <c r="A294" s="13">
        <v>2042004</v>
      </c>
      <c r="B294" s="13" t="s">
        <v>437</v>
      </c>
      <c r="C294" s="13"/>
      <c r="D294" s="14" t="s">
        <v>381</v>
      </c>
      <c r="E294" s="13" t="str">
        <f>IFERROR(INDEX('CENTROS DE COSTOS RESOLUCION'!$C:$C,MATCH(D294,'CENTROS DE COSTOS RESOLUCION'!$B:$B,0)),"CÓDIGO NO VÁLIDO")</f>
        <v>RECURSOS FÍSICOS</v>
      </c>
      <c r="F294" s="15" t="str">
        <f>IF(COUNTIF('CENTROS DE COSTOS UTILIZADOS'!$B:$B,D294)&gt;0,"SÍ","NO")</f>
        <v>SÍ</v>
      </c>
      <c r="G294" s="13" t="str">
        <f t="shared" si="4"/>
        <v>R02|HSAT</v>
      </c>
      <c r="H294" s="13" t="s">
        <v>20</v>
      </c>
      <c r="I294" s="13" t="s">
        <v>166</v>
      </c>
      <c r="J294" s="15" t="s">
        <v>5</v>
      </c>
      <c r="K294" s="15" t="s">
        <v>43</v>
      </c>
      <c r="L294" s="16" t="s">
        <v>429</v>
      </c>
      <c r="M294" s="13" t="s">
        <v>45</v>
      </c>
    </row>
    <row r="295" spans="1:13" x14ac:dyDescent="0.25">
      <c r="A295" s="13">
        <v>3042105</v>
      </c>
      <c r="B295" s="13" t="s">
        <v>438</v>
      </c>
      <c r="C295" s="13"/>
      <c r="D295" s="14" t="s">
        <v>422</v>
      </c>
      <c r="E295" s="13" t="str">
        <f>IFERROR(INDEX('CENTROS DE COSTOS RESOLUCION'!$C:$C,MATCH(D295,'CENTROS DE COSTOS RESOLUCION'!$B:$B,0)),"CÓDIGO NO VÁLIDO")</f>
        <v>FACTURACIÓN Y AUDITORIA DE CUENTAS MÉDICAS</v>
      </c>
      <c r="F295" s="15" t="str">
        <f>IF(COUNTIF('CENTROS DE COSTOS UTILIZADOS'!$B:$B,D295)&gt;0,"SÍ","NO")</f>
        <v>SÍ</v>
      </c>
      <c r="G295" s="13" t="str">
        <f t="shared" si="4"/>
        <v>S04|HSAT</v>
      </c>
      <c r="H295" s="13" t="s">
        <v>20</v>
      </c>
      <c r="I295" s="13" t="s">
        <v>166</v>
      </c>
      <c r="J295" s="15" t="s">
        <v>5</v>
      </c>
      <c r="K295" s="15" t="s">
        <v>43</v>
      </c>
      <c r="L295" s="16" t="s">
        <v>423</v>
      </c>
      <c r="M295" s="13" t="s">
        <v>45</v>
      </c>
    </row>
    <row r="296" spans="1:13" x14ac:dyDescent="0.25">
      <c r="A296" s="13">
        <v>2042012</v>
      </c>
      <c r="B296" s="13" t="s">
        <v>439</v>
      </c>
      <c r="C296" s="13"/>
      <c r="D296" s="14" t="s">
        <v>407</v>
      </c>
      <c r="E296" s="13" t="str">
        <f>IFERROR(INDEX('CENTROS DE COSTOS RESOLUCION'!$C:$C,MATCH(D296,'CENTROS DE COSTOS RESOLUCION'!$B:$B,0)),"CÓDIGO NO VÁLIDO")</f>
        <v>ESTADISTICA</v>
      </c>
      <c r="F296" s="15" t="str">
        <f>IF(COUNTIF('CENTROS DE COSTOS UTILIZADOS'!$B:$B,D296)&gt;0,"SÍ","NO")</f>
        <v>SÍ</v>
      </c>
      <c r="G296" s="13" t="str">
        <f t="shared" si="4"/>
        <v>Q05|HSAT</v>
      </c>
      <c r="H296" s="13" t="s">
        <v>19</v>
      </c>
      <c r="I296" s="13" t="s">
        <v>166</v>
      </c>
      <c r="J296" s="15" t="s">
        <v>5</v>
      </c>
      <c r="K296" s="15" t="s">
        <v>43</v>
      </c>
      <c r="L296" s="16" t="s">
        <v>408</v>
      </c>
      <c r="M296" s="13" t="s">
        <v>45</v>
      </c>
    </row>
    <row r="297" spans="1:13" x14ac:dyDescent="0.25">
      <c r="A297" s="13">
        <v>2052007</v>
      </c>
      <c r="B297" s="13" t="s">
        <v>440</v>
      </c>
      <c r="C297" s="13"/>
      <c r="D297" s="14" t="s">
        <v>390</v>
      </c>
      <c r="E297" s="13" t="str">
        <f>IFERROR(INDEX('CENTROS DE COSTOS RESOLUCION'!$C:$C,MATCH(D297,'CENTROS DE COSTOS RESOLUCION'!$B:$B,0)),"CÓDIGO NO VÁLIDO")</f>
        <v>ATENCIÓN AL USUARIO</v>
      </c>
      <c r="F297" s="15" t="str">
        <f>IF(COUNTIF('CENTROS DE COSTOS UTILIZADOS'!$B:$B,D297)&gt;0,"SÍ","NO")</f>
        <v>SÍ</v>
      </c>
      <c r="G297" s="13" t="str">
        <f t="shared" si="4"/>
        <v>O02|HSJDP</v>
      </c>
      <c r="H297" s="13" t="s">
        <v>19</v>
      </c>
      <c r="I297" s="13" t="s">
        <v>200</v>
      </c>
      <c r="J297" s="15" t="s">
        <v>5</v>
      </c>
      <c r="K297" s="15" t="s">
        <v>43</v>
      </c>
      <c r="L297" s="16" t="s">
        <v>427</v>
      </c>
      <c r="M297" s="13" t="s">
        <v>45</v>
      </c>
    </row>
    <row r="298" spans="1:13" x14ac:dyDescent="0.25">
      <c r="A298" s="13">
        <v>2052004</v>
      </c>
      <c r="B298" s="13" t="s">
        <v>441</v>
      </c>
      <c r="C298" s="13"/>
      <c r="D298" s="14" t="s">
        <v>381</v>
      </c>
      <c r="E298" s="13" t="str">
        <f>IFERROR(INDEX('CENTROS DE COSTOS RESOLUCION'!$C:$C,MATCH(D298,'CENTROS DE COSTOS RESOLUCION'!$B:$B,0)),"CÓDIGO NO VÁLIDO")</f>
        <v>RECURSOS FÍSICOS</v>
      </c>
      <c r="F298" s="15" t="str">
        <f>IF(COUNTIF('CENTROS DE COSTOS UTILIZADOS'!$B:$B,D298)&gt;0,"SÍ","NO")</f>
        <v>SÍ</v>
      </c>
      <c r="G298" s="13" t="str">
        <f t="shared" si="4"/>
        <v>R02|HSJDP</v>
      </c>
      <c r="H298" s="13" t="s">
        <v>20</v>
      </c>
      <c r="I298" s="13" t="s">
        <v>200</v>
      </c>
      <c r="J298" s="15" t="s">
        <v>5</v>
      </c>
      <c r="K298" s="15" t="s">
        <v>43</v>
      </c>
      <c r="L298" s="16" t="s">
        <v>429</v>
      </c>
      <c r="M298" s="13" t="s">
        <v>45</v>
      </c>
    </row>
    <row r="299" spans="1:13" x14ac:dyDescent="0.25">
      <c r="A299" s="13">
        <v>3052105</v>
      </c>
      <c r="B299" s="13" t="s">
        <v>442</v>
      </c>
      <c r="C299" s="13"/>
      <c r="D299" s="14" t="s">
        <v>422</v>
      </c>
      <c r="E299" s="13" t="str">
        <f>IFERROR(INDEX('CENTROS DE COSTOS RESOLUCION'!$C:$C,MATCH(D299,'CENTROS DE COSTOS RESOLUCION'!$B:$B,0)),"CÓDIGO NO VÁLIDO")</f>
        <v>FACTURACIÓN Y AUDITORIA DE CUENTAS MÉDICAS</v>
      </c>
      <c r="F299" s="15" t="str">
        <f>IF(COUNTIF('CENTROS DE COSTOS UTILIZADOS'!$B:$B,D299)&gt;0,"SÍ","NO")</f>
        <v>SÍ</v>
      </c>
      <c r="G299" s="13" t="str">
        <f t="shared" si="4"/>
        <v>S04|HSJDP</v>
      </c>
      <c r="H299" s="13" t="s">
        <v>20</v>
      </c>
      <c r="I299" s="13" t="s">
        <v>200</v>
      </c>
      <c r="J299" s="15" t="s">
        <v>5</v>
      </c>
      <c r="K299" s="15" t="s">
        <v>43</v>
      </c>
      <c r="L299" s="16" t="s">
        <v>423</v>
      </c>
      <c r="M299" s="13" t="s">
        <v>45</v>
      </c>
    </row>
    <row r="300" spans="1:13" x14ac:dyDescent="0.25">
      <c r="A300" s="13">
        <v>2052012</v>
      </c>
      <c r="B300" s="13" t="s">
        <v>443</v>
      </c>
      <c r="C300" s="13"/>
      <c r="D300" s="14" t="s">
        <v>407</v>
      </c>
      <c r="E300" s="13" t="str">
        <f>IFERROR(INDEX('CENTROS DE COSTOS RESOLUCION'!$C:$C,MATCH(D300,'CENTROS DE COSTOS RESOLUCION'!$B:$B,0)),"CÓDIGO NO VÁLIDO")</f>
        <v>ESTADISTICA</v>
      </c>
      <c r="F300" s="15" t="str">
        <f>IF(COUNTIF('CENTROS DE COSTOS UTILIZADOS'!$B:$B,D300)&gt;0,"SÍ","NO")</f>
        <v>SÍ</v>
      </c>
      <c r="G300" s="13" t="str">
        <f t="shared" si="4"/>
        <v>Q05|HSJDP</v>
      </c>
      <c r="H300" s="13" t="s">
        <v>19</v>
      </c>
      <c r="I300" s="13" t="s">
        <v>200</v>
      </c>
      <c r="J300" s="15" t="s">
        <v>5</v>
      </c>
      <c r="K300" s="15" t="s">
        <v>43</v>
      </c>
      <c r="L300" s="16" t="s">
        <v>408</v>
      </c>
      <c r="M300" s="13" t="s">
        <v>45</v>
      </c>
    </row>
    <row r="301" spans="1:13" x14ac:dyDescent="0.25">
      <c r="A301" s="13">
        <v>2062007</v>
      </c>
      <c r="B301" s="13" t="s">
        <v>444</v>
      </c>
      <c r="C301" s="13"/>
      <c r="D301" s="14" t="s">
        <v>390</v>
      </c>
      <c r="E301" s="13" t="str">
        <f>IFERROR(INDEX('CENTROS DE COSTOS RESOLUCION'!$C:$C,MATCH(D301,'CENTROS DE COSTOS RESOLUCION'!$B:$B,0)),"CÓDIGO NO VÁLIDO")</f>
        <v>ATENCIÓN AL USUARIO</v>
      </c>
      <c r="F301" s="15" t="str">
        <f>IF(COUNTIF('CENTROS DE COSTOS UTILIZADOS'!$B:$B,D301)&gt;0,"SÍ","NO")</f>
        <v>SÍ</v>
      </c>
      <c r="G301" s="13" t="str">
        <f t="shared" si="4"/>
        <v>O02|HSJCN</v>
      </c>
      <c r="H301" s="13" t="s">
        <v>19</v>
      </c>
      <c r="I301" s="13" t="s">
        <v>234</v>
      </c>
      <c r="J301" s="15" t="s">
        <v>5</v>
      </c>
      <c r="K301" s="15" t="s">
        <v>43</v>
      </c>
      <c r="L301" s="16" t="s">
        <v>427</v>
      </c>
      <c r="M301" s="13" t="s">
        <v>45</v>
      </c>
    </row>
    <row r="302" spans="1:13" x14ac:dyDescent="0.25">
      <c r="A302" s="13">
        <v>2062004</v>
      </c>
      <c r="B302" s="13" t="s">
        <v>445</v>
      </c>
      <c r="C302" s="13"/>
      <c r="D302" s="14" t="s">
        <v>381</v>
      </c>
      <c r="E302" s="13" t="str">
        <f>IFERROR(INDEX('CENTROS DE COSTOS RESOLUCION'!$C:$C,MATCH(D302,'CENTROS DE COSTOS RESOLUCION'!$B:$B,0)),"CÓDIGO NO VÁLIDO")</f>
        <v>RECURSOS FÍSICOS</v>
      </c>
      <c r="F302" s="15" t="str">
        <f>IF(COUNTIF('CENTROS DE COSTOS UTILIZADOS'!$B:$B,D302)&gt;0,"SÍ","NO")</f>
        <v>SÍ</v>
      </c>
      <c r="G302" s="13" t="str">
        <f t="shared" si="4"/>
        <v>R02|HSJCN</v>
      </c>
      <c r="H302" s="13" t="s">
        <v>20</v>
      </c>
      <c r="I302" s="13" t="s">
        <v>234</v>
      </c>
      <c r="J302" s="15" t="s">
        <v>5</v>
      </c>
      <c r="K302" s="15" t="s">
        <v>43</v>
      </c>
      <c r="L302" s="16" t="s">
        <v>429</v>
      </c>
      <c r="M302" s="13" t="s">
        <v>45</v>
      </c>
    </row>
    <row r="303" spans="1:13" x14ac:dyDescent="0.25">
      <c r="A303" s="13">
        <v>3062105</v>
      </c>
      <c r="B303" s="13" t="s">
        <v>446</v>
      </c>
      <c r="C303" s="13"/>
      <c r="D303" s="14" t="s">
        <v>422</v>
      </c>
      <c r="E303" s="13" t="str">
        <f>IFERROR(INDEX('CENTROS DE COSTOS RESOLUCION'!$C:$C,MATCH(D303,'CENTROS DE COSTOS RESOLUCION'!$B:$B,0)),"CÓDIGO NO VÁLIDO")</f>
        <v>FACTURACIÓN Y AUDITORIA DE CUENTAS MÉDICAS</v>
      </c>
      <c r="F303" s="15" t="str">
        <f>IF(COUNTIF('CENTROS DE COSTOS UTILIZADOS'!$B:$B,D303)&gt;0,"SÍ","NO")</f>
        <v>SÍ</v>
      </c>
      <c r="G303" s="13" t="str">
        <f t="shared" si="4"/>
        <v>S04|HSJCN</v>
      </c>
      <c r="H303" s="13" t="s">
        <v>20</v>
      </c>
      <c r="I303" s="13" t="s">
        <v>234</v>
      </c>
      <c r="J303" s="15" t="s">
        <v>5</v>
      </c>
      <c r="K303" s="15" t="s">
        <v>43</v>
      </c>
      <c r="L303" s="16" t="s">
        <v>423</v>
      </c>
      <c r="M303" s="13" t="s">
        <v>45</v>
      </c>
    </row>
    <row r="304" spans="1:13" x14ac:dyDescent="0.25">
      <c r="A304" s="13">
        <v>2062012</v>
      </c>
      <c r="B304" s="13" t="s">
        <v>447</v>
      </c>
      <c r="C304" s="13"/>
      <c r="D304" s="14" t="s">
        <v>407</v>
      </c>
      <c r="E304" s="13" t="str">
        <f>IFERROR(INDEX('CENTROS DE COSTOS RESOLUCION'!$C:$C,MATCH(D304,'CENTROS DE COSTOS RESOLUCION'!$B:$B,0)),"CÓDIGO NO VÁLIDO")</f>
        <v>ESTADISTICA</v>
      </c>
      <c r="F304" s="15" t="str">
        <f>IF(COUNTIF('CENTROS DE COSTOS UTILIZADOS'!$B:$B,D304)&gt;0,"SÍ","NO")</f>
        <v>SÍ</v>
      </c>
      <c r="G304" s="13" t="str">
        <f t="shared" si="4"/>
        <v>Q05|HSJCN</v>
      </c>
      <c r="H304" s="13" t="s">
        <v>19</v>
      </c>
      <c r="I304" s="13" t="s">
        <v>234</v>
      </c>
      <c r="J304" s="15" t="s">
        <v>5</v>
      </c>
      <c r="K304" s="15" t="s">
        <v>43</v>
      </c>
      <c r="L304" s="16" t="s">
        <v>408</v>
      </c>
      <c r="M304" s="13" t="s">
        <v>45</v>
      </c>
    </row>
    <row r="305" spans="1:13" x14ac:dyDescent="0.25">
      <c r="A305" s="13">
        <v>2072007</v>
      </c>
      <c r="B305" s="13" t="s">
        <v>448</v>
      </c>
      <c r="C305" s="13"/>
      <c r="D305" s="14" t="s">
        <v>390</v>
      </c>
      <c r="E305" s="13" t="str">
        <f>IFERROR(INDEX('CENTROS DE COSTOS RESOLUCION'!$C:$C,MATCH(D305,'CENTROS DE COSTOS RESOLUCION'!$B:$B,0)),"CÓDIGO NO VÁLIDO")</f>
        <v>ATENCIÓN AL USUARIO</v>
      </c>
      <c r="F305" s="15" t="str">
        <f>IF(COUNTIF('CENTROS DE COSTOS UTILIZADOS'!$B:$B,D305)&gt;0,"SÍ","NO")</f>
        <v>SÍ</v>
      </c>
      <c r="G305" s="13" t="str">
        <f t="shared" si="4"/>
        <v>O02|HSRP</v>
      </c>
      <c r="H305" s="13" t="s">
        <v>19</v>
      </c>
      <c r="I305" s="13" t="s">
        <v>268</v>
      </c>
      <c r="J305" s="15" t="s">
        <v>5</v>
      </c>
      <c r="K305" s="15" t="s">
        <v>43</v>
      </c>
      <c r="L305" s="16" t="s">
        <v>427</v>
      </c>
      <c r="M305" s="13" t="s">
        <v>45</v>
      </c>
    </row>
    <row r="306" spans="1:13" x14ac:dyDescent="0.25">
      <c r="A306" s="13">
        <v>2072004</v>
      </c>
      <c r="B306" s="13" t="s">
        <v>449</v>
      </c>
      <c r="C306" s="13"/>
      <c r="D306" s="14" t="s">
        <v>381</v>
      </c>
      <c r="E306" s="13" t="str">
        <f>IFERROR(INDEX('CENTROS DE COSTOS RESOLUCION'!$C:$C,MATCH(D306,'CENTROS DE COSTOS RESOLUCION'!$B:$B,0)),"CÓDIGO NO VÁLIDO")</f>
        <v>RECURSOS FÍSICOS</v>
      </c>
      <c r="F306" s="15" t="str">
        <f>IF(COUNTIF('CENTROS DE COSTOS UTILIZADOS'!$B:$B,D306)&gt;0,"SÍ","NO")</f>
        <v>SÍ</v>
      </c>
      <c r="G306" s="13" t="str">
        <f t="shared" si="4"/>
        <v>R02|HSRP</v>
      </c>
      <c r="H306" s="13" t="s">
        <v>20</v>
      </c>
      <c r="I306" s="13" t="s">
        <v>268</v>
      </c>
      <c r="J306" s="15" t="s">
        <v>5</v>
      </c>
      <c r="K306" s="15" t="s">
        <v>43</v>
      </c>
      <c r="L306" s="16" t="s">
        <v>429</v>
      </c>
      <c r="M306" s="13" t="s">
        <v>45</v>
      </c>
    </row>
    <row r="307" spans="1:13" x14ac:dyDescent="0.25">
      <c r="A307" s="13">
        <v>3072105</v>
      </c>
      <c r="B307" s="13" t="s">
        <v>450</v>
      </c>
      <c r="C307" s="13"/>
      <c r="D307" s="14" t="s">
        <v>422</v>
      </c>
      <c r="E307" s="13" t="str">
        <f>IFERROR(INDEX('CENTROS DE COSTOS RESOLUCION'!$C:$C,MATCH(D307,'CENTROS DE COSTOS RESOLUCION'!$B:$B,0)),"CÓDIGO NO VÁLIDO")</f>
        <v>FACTURACIÓN Y AUDITORIA DE CUENTAS MÉDICAS</v>
      </c>
      <c r="F307" s="15" t="str">
        <f>IF(COUNTIF('CENTROS DE COSTOS UTILIZADOS'!$B:$B,D307)&gt;0,"SÍ","NO")</f>
        <v>SÍ</v>
      </c>
      <c r="G307" s="13" t="str">
        <f t="shared" si="4"/>
        <v>S04|HSRP</v>
      </c>
      <c r="H307" s="13" t="s">
        <v>20</v>
      </c>
      <c r="I307" s="13" t="s">
        <v>268</v>
      </c>
      <c r="J307" s="15" t="s">
        <v>5</v>
      </c>
      <c r="K307" s="15" t="s">
        <v>43</v>
      </c>
      <c r="L307" s="16" t="s">
        <v>423</v>
      </c>
      <c r="M307" s="13" t="s">
        <v>45</v>
      </c>
    </row>
    <row r="308" spans="1:13" x14ac:dyDescent="0.25">
      <c r="A308" s="13">
        <v>2072012</v>
      </c>
      <c r="B308" s="13" t="s">
        <v>451</v>
      </c>
      <c r="C308" s="13"/>
      <c r="D308" s="14" t="s">
        <v>407</v>
      </c>
      <c r="E308" s="13" t="str">
        <f>IFERROR(INDEX('CENTROS DE COSTOS RESOLUCION'!$C:$C,MATCH(D308,'CENTROS DE COSTOS RESOLUCION'!$B:$B,0)),"CÓDIGO NO VÁLIDO")</f>
        <v>ESTADISTICA</v>
      </c>
      <c r="F308" s="15" t="str">
        <f>IF(COUNTIF('CENTROS DE COSTOS UTILIZADOS'!$B:$B,D308)&gt;0,"SÍ","NO")</f>
        <v>SÍ</v>
      </c>
      <c r="G308" s="13" t="str">
        <f t="shared" si="4"/>
        <v>Q05|HSRP</v>
      </c>
      <c r="H308" s="13" t="s">
        <v>19</v>
      </c>
      <c r="I308" s="13" t="s">
        <v>268</v>
      </c>
      <c r="J308" s="15" t="s">
        <v>5</v>
      </c>
      <c r="K308" s="15" t="s">
        <v>43</v>
      </c>
      <c r="L308" s="16" t="s">
        <v>408</v>
      </c>
      <c r="M308" s="13" t="s">
        <v>45</v>
      </c>
    </row>
    <row r="309" spans="1:13" x14ac:dyDescent="0.25">
      <c r="A309" s="13">
        <v>2082007</v>
      </c>
      <c r="B309" s="13" t="s">
        <v>452</v>
      </c>
      <c r="C309" s="13"/>
      <c r="D309" s="14" t="s">
        <v>390</v>
      </c>
      <c r="E309" s="13" t="str">
        <f>IFERROR(INDEX('CENTROS DE COSTOS RESOLUCION'!$C:$C,MATCH(D309,'CENTROS DE COSTOS RESOLUCION'!$B:$B,0)),"CÓDIGO NO VÁLIDO")</f>
        <v>ATENCIÓN AL USUARIO</v>
      </c>
      <c r="F309" s="15" t="str">
        <f>IF(COUNTIF('CENTROS DE COSTOS UTILIZADOS'!$B:$B,D309)&gt;0,"SÍ","NO")</f>
        <v>SÍ</v>
      </c>
      <c r="G309" s="13" t="str">
        <f t="shared" si="4"/>
        <v>O02|CSPA</v>
      </c>
      <c r="H309" s="13" t="s">
        <v>19</v>
      </c>
      <c r="I309" s="13" t="s">
        <v>302</v>
      </c>
      <c r="J309" s="15" t="s">
        <v>5</v>
      </c>
      <c r="K309" s="15" t="s">
        <v>43</v>
      </c>
      <c r="L309" s="16" t="s">
        <v>427</v>
      </c>
      <c r="M309" s="13" t="s">
        <v>45</v>
      </c>
    </row>
    <row r="310" spans="1:13" x14ac:dyDescent="0.25">
      <c r="A310" s="13">
        <v>2082004</v>
      </c>
      <c r="B310" s="13" t="s">
        <v>453</v>
      </c>
      <c r="C310" s="13"/>
      <c r="D310" s="14" t="s">
        <v>381</v>
      </c>
      <c r="E310" s="13" t="str">
        <f>IFERROR(INDEX('CENTROS DE COSTOS RESOLUCION'!$C:$C,MATCH(D310,'CENTROS DE COSTOS RESOLUCION'!$B:$B,0)),"CÓDIGO NO VÁLIDO")</f>
        <v>RECURSOS FÍSICOS</v>
      </c>
      <c r="F310" s="15" t="str">
        <f>IF(COUNTIF('CENTROS DE COSTOS UTILIZADOS'!$B:$B,D310)&gt;0,"SÍ","NO")</f>
        <v>SÍ</v>
      </c>
      <c r="G310" s="13" t="str">
        <f t="shared" si="4"/>
        <v>R02|CSPA</v>
      </c>
      <c r="H310" s="13" t="s">
        <v>20</v>
      </c>
      <c r="I310" s="13" t="s">
        <v>302</v>
      </c>
      <c r="J310" s="15" t="s">
        <v>5</v>
      </c>
      <c r="K310" s="15" t="s">
        <v>43</v>
      </c>
      <c r="L310" s="16" t="s">
        <v>429</v>
      </c>
      <c r="M310" s="13" t="s">
        <v>45</v>
      </c>
    </row>
    <row r="311" spans="1:13" x14ac:dyDescent="0.25">
      <c r="A311" s="13">
        <v>3082105</v>
      </c>
      <c r="B311" s="13" t="s">
        <v>454</v>
      </c>
      <c r="C311" s="13"/>
      <c r="D311" s="14" t="s">
        <v>422</v>
      </c>
      <c r="E311" s="13" t="str">
        <f>IFERROR(INDEX('CENTROS DE COSTOS RESOLUCION'!$C:$C,MATCH(D311,'CENTROS DE COSTOS RESOLUCION'!$B:$B,0)),"CÓDIGO NO VÁLIDO")</f>
        <v>FACTURACIÓN Y AUDITORIA DE CUENTAS MÉDICAS</v>
      </c>
      <c r="F311" s="15" t="str">
        <f>IF(COUNTIF('CENTROS DE COSTOS UTILIZADOS'!$B:$B,D311)&gt;0,"SÍ","NO")</f>
        <v>SÍ</v>
      </c>
      <c r="G311" s="13" t="str">
        <f t="shared" si="4"/>
        <v>S04|CSPA</v>
      </c>
      <c r="H311" s="13" t="s">
        <v>20</v>
      </c>
      <c r="I311" s="13" t="s">
        <v>302</v>
      </c>
      <c r="J311" s="15" t="s">
        <v>5</v>
      </c>
      <c r="K311" s="15" t="s">
        <v>43</v>
      </c>
      <c r="L311" s="16" t="s">
        <v>423</v>
      </c>
      <c r="M311" s="13" t="s">
        <v>45</v>
      </c>
    </row>
    <row r="312" spans="1:13" x14ac:dyDescent="0.25">
      <c r="A312" s="13">
        <v>2082012</v>
      </c>
      <c r="B312" s="13" t="s">
        <v>455</v>
      </c>
      <c r="C312" s="13"/>
      <c r="D312" s="14" t="s">
        <v>407</v>
      </c>
      <c r="E312" s="13" t="str">
        <f>IFERROR(INDEX('CENTROS DE COSTOS RESOLUCION'!$C:$C,MATCH(D312,'CENTROS DE COSTOS RESOLUCION'!$B:$B,0)),"CÓDIGO NO VÁLIDO")</f>
        <v>ESTADISTICA</v>
      </c>
      <c r="F312" s="15" t="str">
        <f>IF(COUNTIF('CENTROS DE COSTOS UTILIZADOS'!$B:$B,D312)&gt;0,"SÍ","NO")</f>
        <v>SÍ</v>
      </c>
      <c r="G312" s="13" t="str">
        <f t="shared" si="4"/>
        <v>Q05|CSPA</v>
      </c>
      <c r="H312" s="13" t="s">
        <v>19</v>
      </c>
      <c r="I312" s="13" t="s">
        <v>302</v>
      </c>
      <c r="J312" s="15" t="s">
        <v>5</v>
      </c>
      <c r="K312" s="15" t="s">
        <v>43</v>
      </c>
      <c r="L312" s="16" t="s">
        <v>408</v>
      </c>
      <c r="M312" s="13" t="s">
        <v>45</v>
      </c>
    </row>
    <row r="313" spans="1:13" x14ac:dyDescent="0.25">
      <c r="A313" s="13">
        <v>2092007</v>
      </c>
      <c r="B313" s="13" t="s">
        <v>456</v>
      </c>
      <c r="C313" s="13"/>
      <c r="D313" s="14" t="s">
        <v>390</v>
      </c>
      <c r="E313" s="13" t="str">
        <f>IFERROR(INDEX('CENTROS DE COSTOS RESOLUCION'!$C:$C,MATCH(D313,'CENTROS DE COSTOS RESOLUCION'!$B:$B,0)),"CÓDIGO NO VÁLIDO")</f>
        <v>ATENCIÓN AL USUARIO</v>
      </c>
      <c r="F313" s="15" t="str">
        <f>IF(COUNTIF('CENTROS DE COSTOS UTILIZADOS'!$B:$B,D313)&gt;0,"SÍ","NO")</f>
        <v>SÍ</v>
      </c>
      <c r="G313" s="13" t="str">
        <f t="shared" si="4"/>
        <v>O02|CSJSC</v>
      </c>
      <c r="H313" s="13" t="s">
        <v>19</v>
      </c>
      <c r="I313" s="13" t="s">
        <v>336</v>
      </c>
      <c r="J313" s="15" t="s">
        <v>5</v>
      </c>
      <c r="K313" s="15" t="s">
        <v>43</v>
      </c>
      <c r="L313" s="16" t="s">
        <v>427</v>
      </c>
      <c r="M313" s="13" t="s">
        <v>45</v>
      </c>
    </row>
    <row r="314" spans="1:13" x14ac:dyDescent="0.25">
      <c r="A314" s="13">
        <v>2092004</v>
      </c>
      <c r="B314" s="13" t="s">
        <v>457</v>
      </c>
      <c r="C314" s="13"/>
      <c r="D314" s="14" t="s">
        <v>381</v>
      </c>
      <c r="E314" s="13" t="str">
        <f>IFERROR(INDEX('CENTROS DE COSTOS RESOLUCION'!$C:$C,MATCH(D314,'CENTROS DE COSTOS RESOLUCION'!$B:$B,0)),"CÓDIGO NO VÁLIDO")</f>
        <v>RECURSOS FÍSICOS</v>
      </c>
      <c r="F314" s="15" t="str">
        <f>IF(COUNTIF('CENTROS DE COSTOS UTILIZADOS'!$B:$B,D314)&gt;0,"SÍ","NO")</f>
        <v>SÍ</v>
      </c>
      <c r="G314" s="13" t="str">
        <f t="shared" si="4"/>
        <v>R02|CSJSC</v>
      </c>
      <c r="H314" s="13" t="s">
        <v>20</v>
      </c>
      <c r="I314" s="13" t="s">
        <v>336</v>
      </c>
      <c r="J314" s="15" t="s">
        <v>5</v>
      </c>
      <c r="K314" s="15" t="s">
        <v>43</v>
      </c>
      <c r="L314" s="16" t="s">
        <v>429</v>
      </c>
      <c r="M314" s="13" t="s">
        <v>45</v>
      </c>
    </row>
    <row r="315" spans="1:13" x14ac:dyDescent="0.25">
      <c r="A315" s="13">
        <v>3092105</v>
      </c>
      <c r="B315" s="13" t="s">
        <v>458</v>
      </c>
      <c r="C315" s="13"/>
      <c r="D315" s="14" t="s">
        <v>422</v>
      </c>
      <c r="E315" s="13" t="str">
        <f>IFERROR(INDEX('CENTROS DE COSTOS RESOLUCION'!$C:$C,MATCH(D315,'CENTROS DE COSTOS RESOLUCION'!$B:$B,0)),"CÓDIGO NO VÁLIDO")</f>
        <v>FACTURACIÓN Y AUDITORIA DE CUENTAS MÉDICAS</v>
      </c>
      <c r="F315" s="15" t="str">
        <f>IF(COUNTIF('CENTROS DE COSTOS UTILIZADOS'!$B:$B,D315)&gt;0,"SÍ","NO")</f>
        <v>SÍ</v>
      </c>
      <c r="G315" s="13" t="str">
        <f t="shared" si="4"/>
        <v>S04|CSJSC</v>
      </c>
      <c r="H315" s="13" t="s">
        <v>20</v>
      </c>
      <c r="I315" s="13" t="s">
        <v>336</v>
      </c>
      <c r="J315" s="15" t="s">
        <v>5</v>
      </c>
      <c r="K315" s="15" t="s">
        <v>43</v>
      </c>
      <c r="L315" s="16" t="s">
        <v>423</v>
      </c>
      <c r="M315" s="13" t="s">
        <v>45</v>
      </c>
    </row>
    <row r="316" spans="1:13" x14ac:dyDescent="0.25">
      <c r="A316" s="13">
        <v>2092012</v>
      </c>
      <c r="B316" s="13" t="s">
        <v>459</v>
      </c>
      <c r="C316" s="13"/>
      <c r="D316" s="14" t="s">
        <v>407</v>
      </c>
      <c r="E316" s="13" t="str">
        <f>IFERROR(INDEX('CENTROS DE COSTOS RESOLUCION'!$C:$C,MATCH(D316,'CENTROS DE COSTOS RESOLUCION'!$B:$B,0)),"CÓDIGO NO VÁLIDO")</f>
        <v>ESTADISTICA</v>
      </c>
      <c r="F316" s="15" t="str">
        <f>IF(COUNTIF('CENTROS DE COSTOS UTILIZADOS'!$B:$B,D316)&gt;0,"SÍ","NO")</f>
        <v>SÍ</v>
      </c>
      <c r="G316" s="13" t="str">
        <f t="shared" si="4"/>
        <v>Q05|CSJSC</v>
      </c>
      <c r="H316" s="13" t="s">
        <v>19</v>
      </c>
      <c r="I316" s="13" t="s">
        <v>336</v>
      </c>
      <c r="J316" s="15" t="s">
        <v>5</v>
      </c>
      <c r="K316" s="15" t="s">
        <v>43</v>
      </c>
      <c r="L316" s="16" t="s">
        <v>408</v>
      </c>
      <c r="M316" s="13" t="s">
        <v>45</v>
      </c>
    </row>
    <row r="317" spans="1:13" x14ac:dyDescent="0.25">
      <c r="A317" s="13">
        <v>2012013</v>
      </c>
      <c r="B317" s="13" t="s">
        <v>460</v>
      </c>
      <c r="C317" s="13"/>
      <c r="D317" s="14" t="s">
        <v>461</v>
      </c>
      <c r="E317" s="13" t="str">
        <f>IFERROR(INDEX('CENTROS DE COSTOS RESOLUCION'!$C:$C,MATCH(D317,'CENTROS DE COSTOS RESOLUCION'!$B:$B,0)),"CÓDIGO NO VÁLIDO")</f>
        <v>PLANEACIÓN Y DESARROLLO INSTITUCIONAL</v>
      </c>
      <c r="F317" s="15" t="str">
        <f>IF(COUNTIF('CENTROS DE COSTOS UTILIZADOS'!$B:$B,D317)&gt;0,"SÍ","NO")</f>
        <v>SÍ</v>
      </c>
      <c r="G317" s="13" t="str">
        <f t="shared" si="4"/>
        <v>T08|ESE01</v>
      </c>
      <c r="H317" s="13" t="s">
        <v>20</v>
      </c>
      <c r="I317" s="13" t="s">
        <v>371</v>
      </c>
      <c r="J317" s="15" t="s">
        <v>5</v>
      </c>
      <c r="K317" s="15" t="s">
        <v>43</v>
      </c>
      <c r="L317" s="16" t="s">
        <v>462</v>
      </c>
      <c r="M317" s="13" t="s">
        <v>373</v>
      </c>
    </row>
    <row r="318" spans="1:13" x14ac:dyDescent="0.25">
      <c r="A318" s="13">
        <v>2012014</v>
      </c>
      <c r="B318" s="13" t="s">
        <v>463</v>
      </c>
      <c r="C318" s="13"/>
      <c r="D318" s="14" t="s">
        <v>461</v>
      </c>
      <c r="E318" s="13" t="str">
        <f>IFERROR(INDEX('CENTROS DE COSTOS RESOLUCION'!$C:$C,MATCH(D318,'CENTROS DE COSTOS RESOLUCION'!$B:$B,0)),"CÓDIGO NO VÁLIDO")</f>
        <v>PLANEACIÓN Y DESARROLLO INSTITUCIONAL</v>
      </c>
      <c r="F318" s="15" t="str">
        <f>IF(COUNTIF('CENTROS DE COSTOS UTILIZADOS'!$B:$B,D318)&gt;0,"SÍ","NO")</f>
        <v>SÍ</v>
      </c>
      <c r="G318" s="13" t="str">
        <f t="shared" si="4"/>
        <v>T08|ESE01</v>
      </c>
      <c r="H318" s="13" t="s">
        <v>20</v>
      </c>
      <c r="I318" s="13" t="s">
        <v>371</v>
      </c>
      <c r="J318" s="15" t="s">
        <v>5</v>
      </c>
      <c r="K318" s="15" t="s">
        <v>54</v>
      </c>
      <c r="L318" s="16" t="s">
        <v>464</v>
      </c>
      <c r="M318" s="13" t="s">
        <v>373</v>
      </c>
    </row>
    <row r="319" spans="1:13" x14ac:dyDescent="0.25">
      <c r="A319" s="13">
        <v>2012015</v>
      </c>
      <c r="B319" s="13" t="s">
        <v>465</v>
      </c>
      <c r="C319" s="13"/>
      <c r="D319" s="14" t="s">
        <v>466</v>
      </c>
      <c r="E319" s="13" t="str">
        <f>IFERROR(INDEX('CENTROS DE COSTOS RESOLUCION'!$C:$C,MATCH(D319,'CENTROS DE COSTOS RESOLUCION'!$B:$B,0)),"CÓDIGO NO VÁLIDO")</f>
        <v>COORDINACION EN SALUD</v>
      </c>
      <c r="F319" s="15" t="str">
        <f>IF(COUNTIF('CENTROS DE COSTOS UTILIZADOS'!$B:$B,D319)&gt;0,"SÍ","NO")</f>
        <v>SÍ</v>
      </c>
      <c r="G319" s="13" t="str">
        <f t="shared" si="4"/>
        <v>U05|ESE01</v>
      </c>
      <c r="H319" s="13" t="s">
        <v>20</v>
      </c>
      <c r="I319" s="13" t="s">
        <v>371</v>
      </c>
      <c r="J319" s="15" t="s">
        <v>5</v>
      </c>
      <c r="K319" s="15" t="s">
        <v>43</v>
      </c>
      <c r="L319" s="16" t="s">
        <v>467</v>
      </c>
      <c r="M319" s="13" t="s">
        <v>373</v>
      </c>
    </row>
    <row r="320" spans="1:13" x14ac:dyDescent="0.25">
      <c r="A320" s="13">
        <v>4012201</v>
      </c>
      <c r="B320" s="13" t="s">
        <v>468</v>
      </c>
      <c r="C320" s="13"/>
      <c r="D320" s="14" t="s">
        <v>469</v>
      </c>
      <c r="E320" s="13" t="str">
        <f>IFERROR(INDEX('CENTROS DE COSTOS RESOLUCION'!$C:$C,MATCH(D320,'CENTROS DE COSTOS RESOLUCION'!$B:$B,0)),"CÓDIGO NO VÁLIDO")</f>
        <v>OTROS VEHÍCULOS Y CONDUCTORES</v>
      </c>
      <c r="F320" s="15" t="str">
        <f>IF(COUNTIF('CENTROS DE COSTOS UTILIZADOS'!$B:$B,D320)&gt;0,"SÍ","NO")</f>
        <v>SÍ</v>
      </c>
      <c r="G320" s="13" t="str">
        <f t="shared" si="4"/>
        <v>R07|ESE01</v>
      </c>
      <c r="H320" s="13" t="s">
        <v>20</v>
      </c>
      <c r="I320" s="13" t="s">
        <v>371</v>
      </c>
      <c r="J320" s="15" t="s">
        <v>5</v>
      </c>
      <c r="K320" s="15" t="s">
        <v>43</v>
      </c>
      <c r="L320" s="16" t="s">
        <v>470</v>
      </c>
      <c r="M320" s="13" t="s">
        <v>373</v>
      </c>
    </row>
    <row r="321" spans="1:13" x14ac:dyDescent="0.25">
      <c r="A321" s="13">
        <v>4012202</v>
      </c>
      <c r="B321" s="13" t="s">
        <v>471</v>
      </c>
      <c r="C321" s="13"/>
      <c r="D321" s="14" t="s">
        <v>469</v>
      </c>
      <c r="E321" s="13" t="str">
        <f>IFERROR(INDEX('CENTROS DE COSTOS RESOLUCION'!$C:$C,MATCH(D321,'CENTROS DE COSTOS RESOLUCION'!$B:$B,0)),"CÓDIGO NO VÁLIDO")</f>
        <v>OTROS VEHÍCULOS Y CONDUCTORES</v>
      </c>
      <c r="F321" s="15" t="str">
        <f>IF(COUNTIF('CENTROS DE COSTOS UTILIZADOS'!$B:$B,D321)&gt;0,"SÍ","NO")</f>
        <v>SÍ</v>
      </c>
      <c r="G321" s="13" t="str">
        <f t="shared" si="4"/>
        <v>R07|ESE01</v>
      </c>
      <c r="H321" s="13" t="s">
        <v>20</v>
      </c>
      <c r="I321" s="13" t="s">
        <v>371</v>
      </c>
      <c r="J321" s="15" t="s">
        <v>5</v>
      </c>
      <c r="K321" s="15" t="s">
        <v>43</v>
      </c>
      <c r="L321" s="16" t="s">
        <v>472</v>
      </c>
      <c r="M321" s="13" t="s">
        <v>373</v>
      </c>
    </row>
    <row r="322" spans="1:13" x14ac:dyDescent="0.25">
      <c r="A322" s="13">
        <v>4012203</v>
      </c>
      <c r="B322" s="13" t="s">
        <v>473</v>
      </c>
      <c r="C322" s="13"/>
      <c r="D322" s="14" t="s">
        <v>474</v>
      </c>
      <c r="E322" s="13" t="str">
        <f>IFERROR(INDEX('CENTROS DE COSTOS RESOLUCION'!$C:$C,MATCH(D322,'CENTROS DE COSTOS RESOLUCION'!$B:$B,0)),"CÓDIGO NO VÁLIDO")</f>
        <v>MANTENIMIENTO</v>
      </c>
      <c r="F322" s="15" t="str">
        <f>IF(COUNTIF('CENTROS DE COSTOS UTILIZADOS'!$B:$B,D322)&gt;0,"SÍ","NO")</f>
        <v>SÍ</v>
      </c>
      <c r="G322" s="13" t="str">
        <f t="shared" ref="G322:G385" si="5">D322&amp;"|"&amp;LEFT(I322,FIND(" ",I322&amp;" ")-1)</f>
        <v>R03|ESE01</v>
      </c>
      <c r="H322" s="13" t="s">
        <v>20</v>
      </c>
      <c r="I322" s="13" t="s">
        <v>371</v>
      </c>
      <c r="J322" s="15" t="s">
        <v>5</v>
      </c>
      <c r="K322" s="15" t="s">
        <v>43</v>
      </c>
      <c r="L322" s="16" t="s">
        <v>475</v>
      </c>
      <c r="M322" s="13" t="s">
        <v>373</v>
      </c>
    </row>
    <row r="323" spans="1:13" x14ac:dyDescent="0.25">
      <c r="A323" s="13">
        <v>4012204</v>
      </c>
      <c r="B323" s="13" t="s">
        <v>476</v>
      </c>
      <c r="C323" s="13"/>
      <c r="D323" s="14" t="s">
        <v>477</v>
      </c>
      <c r="E323" s="13" t="str">
        <f>IFERROR(INDEX('CENTROS DE COSTOS RESOLUCION'!$C:$C,MATCH(D323,'CENTROS DE COSTOS RESOLUCION'!$B:$B,0)),"CÓDIGO NO VÁLIDO")</f>
        <v>MANTENIMIENTO HOSPITALARIO</v>
      </c>
      <c r="F323" s="15" t="str">
        <f>IF(COUNTIF('CENTROS DE COSTOS UTILIZADOS'!$B:$B,D323)&gt;0,"SÍ","NO")</f>
        <v>SÍ</v>
      </c>
      <c r="G323" s="13" t="str">
        <f t="shared" si="5"/>
        <v>P02|ESE01</v>
      </c>
      <c r="H323" s="13" t="s">
        <v>19</v>
      </c>
      <c r="I323" s="13" t="s">
        <v>371</v>
      </c>
      <c r="J323" s="15" t="s">
        <v>5</v>
      </c>
      <c r="K323" s="15" t="s">
        <v>43</v>
      </c>
      <c r="L323" s="16" t="s">
        <v>478</v>
      </c>
      <c r="M323" s="13" t="s">
        <v>373</v>
      </c>
    </row>
    <row r="324" spans="1:13" x14ac:dyDescent="0.25">
      <c r="A324" s="13">
        <v>4012205</v>
      </c>
      <c r="B324" s="13" t="s">
        <v>479</v>
      </c>
      <c r="C324" s="13"/>
      <c r="D324" s="14" t="s">
        <v>474</v>
      </c>
      <c r="E324" s="13" t="str">
        <f>IFERROR(INDEX('CENTROS DE COSTOS RESOLUCION'!$C:$C,MATCH(D324,'CENTROS DE COSTOS RESOLUCION'!$B:$B,0)),"CÓDIGO NO VÁLIDO")</f>
        <v>MANTENIMIENTO</v>
      </c>
      <c r="F324" s="15" t="str">
        <f>IF(COUNTIF('CENTROS DE COSTOS UTILIZADOS'!$B:$B,D324)&gt;0,"SÍ","NO")</f>
        <v>SÍ</v>
      </c>
      <c r="G324" s="13" t="str">
        <f t="shared" si="5"/>
        <v>R03|ESE01</v>
      </c>
      <c r="H324" s="13" t="s">
        <v>20</v>
      </c>
      <c r="I324" s="13" t="s">
        <v>371</v>
      </c>
      <c r="J324" s="15" t="s">
        <v>5</v>
      </c>
      <c r="K324" s="15" t="s">
        <v>43</v>
      </c>
      <c r="L324" s="16" t="s">
        <v>480</v>
      </c>
      <c r="M324" s="13" t="s">
        <v>373</v>
      </c>
    </row>
    <row r="325" spans="1:13" x14ac:dyDescent="0.25">
      <c r="A325" s="13">
        <v>4012206</v>
      </c>
      <c r="B325" s="13" t="s">
        <v>481</v>
      </c>
      <c r="C325" s="13"/>
      <c r="D325" s="14" t="s">
        <v>482</v>
      </c>
      <c r="E325" s="13" t="str">
        <f>IFERROR(INDEX('CENTROS DE COSTOS RESOLUCION'!$C:$C,MATCH(D325,'CENTROS DE COSTOS RESOLUCION'!$B:$B,0)),"CÓDIGO NO VÁLIDO")</f>
        <v>LAVANDERIA, VESTUARIO Y COSTURERO</v>
      </c>
      <c r="F325" s="15" t="str">
        <f>IF(COUNTIF('CENTROS DE COSTOS UTILIZADOS'!$B:$B,D325)&gt;0,"SÍ","NO")</f>
        <v>NO</v>
      </c>
      <c r="G325" s="13" t="str">
        <f t="shared" si="5"/>
        <v>P03|ESE01</v>
      </c>
      <c r="H325" s="13" t="s">
        <v>19</v>
      </c>
      <c r="I325" s="13" t="s">
        <v>371</v>
      </c>
      <c r="J325" s="15" t="s">
        <v>5</v>
      </c>
      <c r="K325" s="15" t="s">
        <v>43</v>
      </c>
      <c r="L325" s="16" t="s">
        <v>483</v>
      </c>
      <c r="M325" s="13" t="s">
        <v>373</v>
      </c>
    </row>
    <row r="326" spans="1:13" x14ac:dyDescent="0.25">
      <c r="A326" s="13">
        <v>4012207</v>
      </c>
      <c r="B326" s="13" t="s">
        <v>484</v>
      </c>
      <c r="C326" s="13"/>
      <c r="D326" s="14" t="s">
        <v>485</v>
      </c>
      <c r="E326" s="13" t="str">
        <f>IFERROR(INDEX('CENTROS DE COSTOS RESOLUCION'!$C:$C,MATCH(D326,'CENTROS DE COSTOS RESOLUCION'!$B:$B,0)),"CÓDIGO NO VÁLIDO")</f>
        <v>COCINA</v>
      </c>
      <c r="F326" s="15" t="str">
        <f>IF(COUNTIF('CENTROS DE COSTOS UTILIZADOS'!$B:$B,D326)&gt;0,"SÍ","NO")</f>
        <v>NO</v>
      </c>
      <c r="G326" s="13" t="str">
        <f t="shared" si="5"/>
        <v>P01|ESE01</v>
      </c>
      <c r="H326" s="13" t="s">
        <v>19</v>
      </c>
      <c r="I326" s="13" t="s">
        <v>371</v>
      </c>
      <c r="J326" s="15" t="s">
        <v>5</v>
      </c>
      <c r="K326" s="15" t="s">
        <v>54</v>
      </c>
      <c r="L326" s="16" t="s">
        <v>486</v>
      </c>
      <c r="M326" s="13" t="s">
        <v>373</v>
      </c>
    </row>
    <row r="327" spans="1:13" x14ac:dyDescent="0.25">
      <c r="A327" s="13">
        <v>4022201</v>
      </c>
      <c r="B327" s="13" t="s">
        <v>487</v>
      </c>
      <c r="C327" s="13"/>
      <c r="D327" s="14" t="s">
        <v>126</v>
      </c>
      <c r="E327" s="13" t="str">
        <f>IFERROR(INDEX('CENTROS DE COSTOS RESOLUCION'!$C:$C,MATCH(D327,'CENTROS DE COSTOS RESOLUCION'!$B:$B,0)),"CÓDIGO NO VÁLIDO")</f>
        <v>SERVICIO DE AMBULANCIAS</v>
      </c>
      <c r="F327" s="15" t="str">
        <f>IF(COUNTIF('CENTROS DE COSTOS UTILIZADOS'!$B:$B,D327)&gt;0,"SÍ","NO")</f>
        <v>SÍ</v>
      </c>
      <c r="G327" s="13" t="str">
        <f t="shared" si="5"/>
        <v>N08|HSLA</v>
      </c>
      <c r="H327" s="13" t="s">
        <v>17</v>
      </c>
      <c r="I327" s="13" t="s">
        <v>42</v>
      </c>
      <c r="J327" s="15" t="s">
        <v>5</v>
      </c>
      <c r="K327" s="15" t="s">
        <v>43</v>
      </c>
      <c r="L327" s="16" t="s">
        <v>488</v>
      </c>
      <c r="M327" s="13" t="s">
        <v>45</v>
      </c>
    </row>
    <row r="328" spans="1:13" x14ac:dyDescent="0.25">
      <c r="A328" s="13">
        <v>4022202</v>
      </c>
      <c r="B328" s="13" t="s">
        <v>489</v>
      </c>
      <c r="C328" s="13"/>
      <c r="D328" s="14" t="s">
        <v>126</v>
      </c>
      <c r="E328" s="13" t="str">
        <f>IFERROR(INDEX('CENTROS DE COSTOS RESOLUCION'!$C:$C,MATCH(D328,'CENTROS DE COSTOS RESOLUCION'!$B:$B,0)),"CÓDIGO NO VÁLIDO")</f>
        <v>SERVICIO DE AMBULANCIAS</v>
      </c>
      <c r="F328" s="15" t="str">
        <f>IF(COUNTIF('CENTROS DE COSTOS UTILIZADOS'!$B:$B,D328)&gt;0,"SÍ","NO")</f>
        <v>SÍ</v>
      </c>
      <c r="G328" s="13" t="str">
        <f t="shared" si="5"/>
        <v>N08|HSLA</v>
      </c>
      <c r="H328" s="13" t="s">
        <v>17</v>
      </c>
      <c r="I328" s="13" t="s">
        <v>42</v>
      </c>
      <c r="J328" s="15" t="s">
        <v>5</v>
      </c>
      <c r="K328" s="15" t="s">
        <v>54</v>
      </c>
      <c r="L328" s="16" t="s">
        <v>490</v>
      </c>
      <c r="M328" s="13" t="s">
        <v>45</v>
      </c>
    </row>
    <row r="329" spans="1:13" x14ac:dyDescent="0.25">
      <c r="A329" s="13">
        <v>4022203</v>
      </c>
      <c r="B329" s="13" t="s">
        <v>491</v>
      </c>
      <c r="C329" s="13"/>
      <c r="D329" s="14" t="s">
        <v>477</v>
      </c>
      <c r="E329" s="13" t="str">
        <f>IFERROR(INDEX('CENTROS DE COSTOS RESOLUCION'!$C:$C,MATCH(D329,'CENTROS DE COSTOS RESOLUCION'!$B:$B,0)),"CÓDIGO NO VÁLIDO")</f>
        <v>MANTENIMIENTO HOSPITALARIO</v>
      </c>
      <c r="F329" s="15" t="str">
        <f>IF(COUNTIF('CENTROS DE COSTOS UTILIZADOS'!$B:$B,D329)&gt;0,"SÍ","NO")</f>
        <v>SÍ</v>
      </c>
      <c r="G329" s="13" t="str">
        <f t="shared" si="5"/>
        <v>P02|HSLA</v>
      </c>
      <c r="H329" s="13" t="s">
        <v>19</v>
      </c>
      <c r="I329" s="13" t="s">
        <v>42</v>
      </c>
      <c r="J329" s="15" t="s">
        <v>5</v>
      </c>
      <c r="K329" s="15" t="s">
        <v>43</v>
      </c>
      <c r="L329" s="16" t="s">
        <v>492</v>
      </c>
      <c r="M329" s="13" t="s">
        <v>45</v>
      </c>
    </row>
    <row r="330" spans="1:13" x14ac:dyDescent="0.25">
      <c r="A330" s="13">
        <v>4022204</v>
      </c>
      <c r="B330" s="13" t="s">
        <v>493</v>
      </c>
      <c r="C330" s="13"/>
      <c r="D330" s="14" t="s">
        <v>477</v>
      </c>
      <c r="E330" s="13" t="str">
        <f>IFERROR(INDEX('CENTROS DE COSTOS RESOLUCION'!$C:$C,MATCH(D330,'CENTROS DE COSTOS RESOLUCION'!$B:$B,0)),"CÓDIGO NO VÁLIDO")</f>
        <v>MANTENIMIENTO HOSPITALARIO</v>
      </c>
      <c r="F330" s="15" t="str">
        <f>IF(COUNTIF('CENTROS DE COSTOS UTILIZADOS'!$B:$B,D330)&gt;0,"SÍ","NO")</f>
        <v>SÍ</v>
      </c>
      <c r="G330" s="13" t="str">
        <f t="shared" si="5"/>
        <v>P02|HSLA</v>
      </c>
      <c r="H330" s="13" t="s">
        <v>19</v>
      </c>
      <c r="I330" s="13" t="s">
        <v>42</v>
      </c>
      <c r="J330" s="15" t="s">
        <v>5</v>
      </c>
      <c r="K330" s="15" t="s">
        <v>43</v>
      </c>
      <c r="L330" s="16" t="s">
        <v>494</v>
      </c>
      <c r="M330" s="13" t="s">
        <v>45</v>
      </c>
    </row>
    <row r="331" spans="1:13" x14ac:dyDescent="0.25">
      <c r="A331" s="13">
        <v>4022205</v>
      </c>
      <c r="B331" s="13" t="s">
        <v>495</v>
      </c>
      <c r="C331" s="13"/>
      <c r="D331" s="14" t="s">
        <v>477</v>
      </c>
      <c r="E331" s="13" t="str">
        <f>IFERROR(INDEX('CENTROS DE COSTOS RESOLUCION'!$C:$C,MATCH(D331,'CENTROS DE COSTOS RESOLUCION'!$B:$B,0)),"CÓDIGO NO VÁLIDO")</f>
        <v>MANTENIMIENTO HOSPITALARIO</v>
      </c>
      <c r="F331" s="15" t="str">
        <f>IF(COUNTIF('CENTROS DE COSTOS UTILIZADOS'!$B:$B,D331)&gt;0,"SÍ","NO")</f>
        <v>SÍ</v>
      </c>
      <c r="G331" s="13" t="str">
        <f t="shared" si="5"/>
        <v>P02|HSLA</v>
      </c>
      <c r="H331" s="13" t="s">
        <v>19</v>
      </c>
      <c r="I331" s="13" t="s">
        <v>42</v>
      </c>
      <c r="J331" s="15" t="s">
        <v>5</v>
      </c>
      <c r="K331" s="15" t="s">
        <v>43</v>
      </c>
      <c r="L331" s="16" t="s">
        <v>496</v>
      </c>
      <c r="M331" s="13" t="s">
        <v>45</v>
      </c>
    </row>
    <row r="332" spans="1:13" x14ac:dyDescent="0.25">
      <c r="A332" s="13">
        <v>4022206</v>
      </c>
      <c r="B332" s="13" t="s">
        <v>497</v>
      </c>
      <c r="C332" s="13"/>
      <c r="D332" s="14" t="s">
        <v>482</v>
      </c>
      <c r="E332" s="13" t="str">
        <f>IFERROR(INDEX('CENTROS DE COSTOS RESOLUCION'!$C:$C,MATCH(D332,'CENTROS DE COSTOS RESOLUCION'!$B:$B,0)),"CÓDIGO NO VÁLIDO")</f>
        <v>LAVANDERIA, VESTUARIO Y COSTURERO</v>
      </c>
      <c r="F332" s="15" t="str">
        <f>IF(COUNTIF('CENTROS DE COSTOS UTILIZADOS'!$B:$B,D332)&gt;0,"SÍ","NO")</f>
        <v>NO</v>
      </c>
      <c r="G332" s="13" t="str">
        <f t="shared" si="5"/>
        <v>P03|HSLA</v>
      </c>
      <c r="H332" s="13" t="s">
        <v>19</v>
      </c>
      <c r="I332" s="13" t="s">
        <v>42</v>
      </c>
      <c r="J332" s="15" t="s">
        <v>5</v>
      </c>
      <c r="K332" s="15" t="s">
        <v>43</v>
      </c>
      <c r="L332" s="16" t="s">
        <v>483</v>
      </c>
      <c r="M332" s="13" t="s">
        <v>45</v>
      </c>
    </row>
    <row r="333" spans="1:13" x14ac:dyDescent="0.25">
      <c r="A333" s="13">
        <v>4022207</v>
      </c>
      <c r="B333" s="13" t="s">
        <v>498</v>
      </c>
      <c r="C333" s="13"/>
      <c r="D333" s="14" t="s">
        <v>485</v>
      </c>
      <c r="E333" s="13" t="str">
        <f>IFERROR(INDEX('CENTROS DE COSTOS RESOLUCION'!$C:$C,MATCH(D333,'CENTROS DE COSTOS RESOLUCION'!$B:$B,0)),"CÓDIGO NO VÁLIDO")</f>
        <v>COCINA</v>
      </c>
      <c r="F333" s="15" t="str">
        <f>IF(COUNTIF('CENTROS DE COSTOS UTILIZADOS'!$B:$B,D333)&gt;0,"SÍ","NO")</f>
        <v>NO</v>
      </c>
      <c r="G333" s="13" t="str">
        <f t="shared" si="5"/>
        <v>P01|HSLA</v>
      </c>
      <c r="H333" s="13" t="s">
        <v>19</v>
      </c>
      <c r="I333" s="13" t="s">
        <v>42</v>
      </c>
      <c r="J333" s="15" t="s">
        <v>5</v>
      </c>
      <c r="K333" s="15" t="s">
        <v>43</v>
      </c>
      <c r="L333" s="16" t="s">
        <v>499</v>
      </c>
      <c r="M333" s="13" t="s">
        <v>45</v>
      </c>
    </row>
    <row r="334" spans="1:13" x14ac:dyDescent="0.25">
      <c r="A334" s="13">
        <v>4032201</v>
      </c>
      <c r="B334" s="13" t="s">
        <v>500</v>
      </c>
      <c r="C334" s="13"/>
      <c r="D334" s="14" t="s">
        <v>126</v>
      </c>
      <c r="E334" s="13" t="str">
        <f>IFERROR(INDEX('CENTROS DE COSTOS RESOLUCION'!$C:$C,MATCH(D334,'CENTROS DE COSTOS RESOLUCION'!$B:$B,0)),"CÓDIGO NO VÁLIDO")</f>
        <v>SERVICIO DE AMBULANCIAS</v>
      </c>
      <c r="F334" s="15" t="str">
        <f>IF(COUNTIF('CENTROS DE COSTOS UTILIZADOS'!$B:$B,D334)&gt;0,"SÍ","NO")</f>
        <v>SÍ</v>
      </c>
      <c r="G334" s="13" t="str">
        <f t="shared" si="5"/>
        <v>N08|HSFF</v>
      </c>
      <c r="H334" s="13" t="s">
        <v>17</v>
      </c>
      <c r="I334" s="13" t="s">
        <v>132</v>
      </c>
      <c r="J334" s="15" t="s">
        <v>5</v>
      </c>
      <c r="K334" s="15" t="s">
        <v>43</v>
      </c>
      <c r="L334" s="16" t="s">
        <v>488</v>
      </c>
      <c r="M334" s="13" t="s">
        <v>45</v>
      </c>
    </row>
    <row r="335" spans="1:13" x14ac:dyDescent="0.25">
      <c r="A335" s="13">
        <v>4032202</v>
      </c>
      <c r="B335" s="13" t="s">
        <v>501</v>
      </c>
      <c r="C335" s="13"/>
      <c r="D335" s="14" t="s">
        <v>126</v>
      </c>
      <c r="E335" s="13" t="str">
        <f>IFERROR(INDEX('CENTROS DE COSTOS RESOLUCION'!$C:$C,MATCH(D335,'CENTROS DE COSTOS RESOLUCION'!$B:$B,0)),"CÓDIGO NO VÁLIDO")</f>
        <v>SERVICIO DE AMBULANCIAS</v>
      </c>
      <c r="F335" s="15" t="str">
        <f>IF(COUNTIF('CENTROS DE COSTOS UTILIZADOS'!$B:$B,D335)&gt;0,"SÍ","NO")</f>
        <v>SÍ</v>
      </c>
      <c r="G335" s="13" t="str">
        <f t="shared" si="5"/>
        <v>N08|HSFF</v>
      </c>
      <c r="H335" s="13" t="s">
        <v>17</v>
      </c>
      <c r="I335" s="13" t="s">
        <v>132</v>
      </c>
      <c r="J335" s="15" t="s">
        <v>5</v>
      </c>
      <c r="K335" s="15" t="s">
        <v>54</v>
      </c>
      <c r="L335" s="16" t="s">
        <v>490</v>
      </c>
      <c r="M335" s="13" t="s">
        <v>45</v>
      </c>
    </row>
    <row r="336" spans="1:13" x14ac:dyDescent="0.25">
      <c r="A336" s="13">
        <v>4032203</v>
      </c>
      <c r="B336" s="13" t="s">
        <v>502</v>
      </c>
      <c r="C336" s="13"/>
      <c r="D336" s="14" t="s">
        <v>477</v>
      </c>
      <c r="E336" s="13" t="str">
        <f>IFERROR(INDEX('CENTROS DE COSTOS RESOLUCION'!$C:$C,MATCH(D336,'CENTROS DE COSTOS RESOLUCION'!$B:$B,0)),"CÓDIGO NO VÁLIDO")</f>
        <v>MANTENIMIENTO HOSPITALARIO</v>
      </c>
      <c r="F336" s="15" t="str">
        <f>IF(COUNTIF('CENTROS DE COSTOS UTILIZADOS'!$B:$B,D336)&gt;0,"SÍ","NO")</f>
        <v>SÍ</v>
      </c>
      <c r="G336" s="13" t="str">
        <f t="shared" si="5"/>
        <v>P02|HSFF</v>
      </c>
      <c r="H336" s="13" t="s">
        <v>19</v>
      </c>
      <c r="I336" s="13" t="s">
        <v>132</v>
      </c>
      <c r="J336" s="15" t="s">
        <v>5</v>
      </c>
      <c r="K336" s="15" t="s">
        <v>43</v>
      </c>
      <c r="L336" s="16" t="s">
        <v>492</v>
      </c>
      <c r="M336" s="13" t="s">
        <v>45</v>
      </c>
    </row>
    <row r="337" spans="1:13" x14ac:dyDescent="0.25">
      <c r="A337" s="13">
        <v>4032204</v>
      </c>
      <c r="B337" s="13" t="s">
        <v>503</v>
      </c>
      <c r="C337" s="13"/>
      <c r="D337" s="14" t="s">
        <v>477</v>
      </c>
      <c r="E337" s="13" t="str">
        <f>IFERROR(INDEX('CENTROS DE COSTOS RESOLUCION'!$C:$C,MATCH(D337,'CENTROS DE COSTOS RESOLUCION'!$B:$B,0)),"CÓDIGO NO VÁLIDO")</f>
        <v>MANTENIMIENTO HOSPITALARIO</v>
      </c>
      <c r="F337" s="15" t="str">
        <f>IF(COUNTIF('CENTROS DE COSTOS UTILIZADOS'!$B:$B,D337)&gt;0,"SÍ","NO")</f>
        <v>SÍ</v>
      </c>
      <c r="G337" s="13" t="str">
        <f t="shared" si="5"/>
        <v>P02|HSFF</v>
      </c>
      <c r="H337" s="13" t="s">
        <v>19</v>
      </c>
      <c r="I337" s="13" t="s">
        <v>132</v>
      </c>
      <c r="J337" s="15" t="s">
        <v>5</v>
      </c>
      <c r="K337" s="15" t="s">
        <v>43</v>
      </c>
      <c r="L337" s="16" t="s">
        <v>494</v>
      </c>
      <c r="M337" s="13" t="s">
        <v>45</v>
      </c>
    </row>
    <row r="338" spans="1:13" x14ac:dyDescent="0.25">
      <c r="A338" s="13">
        <v>4032205</v>
      </c>
      <c r="B338" s="13" t="s">
        <v>504</v>
      </c>
      <c r="C338" s="13"/>
      <c r="D338" s="14" t="s">
        <v>477</v>
      </c>
      <c r="E338" s="13" t="str">
        <f>IFERROR(INDEX('CENTROS DE COSTOS RESOLUCION'!$C:$C,MATCH(D338,'CENTROS DE COSTOS RESOLUCION'!$B:$B,0)),"CÓDIGO NO VÁLIDO")</f>
        <v>MANTENIMIENTO HOSPITALARIO</v>
      </c>
      <c r="F338" s="15" t="str">
        <f>IF(COUNTIF('CENTROS DE COSTOS UTILIZADOS'!$B:$B,D338)&gt;0,"SÍ","NO")</f>
        <v>SÍ</v>
      </c>
      <c r="G338" s="13" t="str">
        <f t="shared" si="5"/>
        <v>P02|HSFF</v>
      </c>
      <c r="H338" s="13" t="s">
        <v>19</v>
      </c>
      <c r="I338" s="13" t="s">
        <v>132</v>
      </c>
      <c r="J338" s="15" t="s">
        <v>5</v>
      </c>
      <c r="K338" s="15" t="s">
        <v>43</v>
      </c>
      <c r="L338" s="16" t="s">
        <v>496</v>
      </c>
      <c r="M338" s="13" t="s">
        <v>45</v>
      </c>
    </row>
    <row r="339" spans="1:13" x14ac:dyDescent="0.25">
      <c r="A339" s="13">
        <v>4032206</v>
      </c>
      <c r="B339" s="13" t="s">
        <v>505</v>
      </c>
      <c r="C339" s="13"/>
      <c r="D339" s="14" t="s">
        <v>482</v>
      </c>
      <c r="E339" s="13" t="str">
        <f>IFERROR(INDEX('CENTROS DE COSTOS RESOLUCION'!$C:$C,MATCH(D339,'CENTROS DE COSTOS RESOLUCION'!$B:$B,0)),"CÓDIGO NO VÁLIDO")</f>
        <v>LAVANDERIA, VESTUARIO Y COSTURERO</v>
      </c>
      <c r="F339" s="15" t="str">
        <f>IF(COUNTIF('CENTROS DE COSTOS UTILIZADOS'!$B:$B,D339)&gt;0,"SÍ","NO")</f>
        <v>NO</v>
      </c>
      <c r="G339" s="13" t="str">
        <f t="shared" si="5"/>
        <v>P03|HSFF</v>
      </c>
      <c r="H339" s="13" t="s">
        <v>19</v>
      </c>
      <c r="I339" s="13" t="s">
        <v>132</v>
      </c>
      <c r="J339" s="15" t="s">
        <v>5</v>
      </c>
      <c r="K339" s="15" t="s">
        <v>43</v>
      </c>
      <c r="L339" s="16" t="s">
        <v>483</v>
      </c>
      <c r="M339" s="13" t="s">
        <v>45</v>
      </c>
    </row>
    <row r="340" spans="1:13" x14ac:dyDescent="0.25">
      <c r="A340" s="13">
        <v>4032207</v>
      </c>
      <c r="B340" s="13" t="s">
        <v>506</v>
      </c>
      <c r="C340" s="13"/>
      <c r="D340" s="14" t="s">
        <v>485</v>
      </c>
      <c r="E340" s="13" t="str">
        <f>IFERROR(INDEX('CENTROS DE COSTOS RESOLUCION'!$C:$C,MATCH(D340,'CENTROS DE COSTOS RESOLUCION'!$B:$B,0)),"CÓDIGO NO VÁLIDO")</f>
        <v>COCINA</v>
      </c>
      <c r="F340" s="15" t="str">
        <f>IF(COUNTIF('CENTROS DE COSTOS UTILIZADOS'!$B:$B,D340)&gt;0,"SÍ","NO")</f>
        <v>NO</v>
      </c>
      <c r="G340" s="13" t="str">
        <f t="shared" si="5"/>
        <v>P01|HSFF</v>
      </c>
      <c r="H340" s="13" t="s">
        <v>19</v>
      </c>
      <c r="I340" s="13" t="s">
        <v>132</v>
      </c>
      <c r="J340" s="15" t="s">
        <v>5</v>
      </c>
      <c r="K340" s="15" t="s">
        <v>43</v>
      </c>
      <c r="L340" s="16" t="s">
        <v>499</v>
      </c>
      <c r="M340" s="13" t="s">
        <v>45</v>
      </c>
    </row>
    <row r="341" spans="1:13" x14ac:dyDescent="0.25">
      <c r="A341" s="13">
        <v>4042201</v>
      </c>
      <c r="B341" s="13" t="s">
        <v>507</v>
      </c>
      <c r="C341" s="13"/>
      <c r="D341" s="14" t="s">
        <v>126</v>
      </c>
      <c r="E341" s="13" t="str">
        <f>IFERROR(INDEX('CENTROS DE COSTOS RESOLUCION'!$C:$C,MATCH(D341,'CENTROS DE COSTOS RESOLUCION'!$B:$B,0)),"CÓDIGO NO VÁLIDO")</f>
        <v>SERVICIO DE AMBULANCIAS</v>
      </c>
      <c r="F341" s="15" t="str">
        <f>IF(COUNTIF('CENTROS DE COSTOS UTILIZADOS'!$B:$B,D341)&gt;0,"SÍ","NO")</f>
        <v>SÍ</v>
      </c>
      <c r="G341" s="13" t="str">
        <f t="shared" si="5"/>
        <v>N08|HSAT</v>
      </c>
      <c r="H341" s="13" t="s">
        <v>17</v>
      </c>
      <c r="I341" s="13" t="s">
        <v>166</v>
      </c>
      <c r="J341" s="15" t="s">
        <v>5</v>
      </c>
      <c r="K341" s="15" t="s">
        <v>43</v>
      </c>
      <c r="L341" s="16" t="s">
        <v>488</v>
      </c>
      <c r="M341" s="13" t="s">
        <v>45</v>
      </c>
    </row>
    <row r="342" spans="1:13" x14ac:dyDescent="0.25">
      <c r="A342" s="13">
        <v>4042202</v>
      </c>
      <c r="B342" s="13" t="s">
        <v>508</v>
      </c>
      <c r="C342" s="13"/>
      <c r="D342" s="14" t="s">
        <v>126</v>
      </c>
      <c r="E342" s="13" t="str">
        <f>IFERROR(INDEX('CENTROS DE COSTOS RESOLUCION'!$C:$C,MATCH(D342,'CENTROS DE COSTOS RESOLUCION'!$B:$B,0)),"CÓDIGO NO VÁLIDO")</f>
        <v>SERVICIO DE AMBULANCIAS</v>
      </c>
      <c r="F342" s="15" t="str">
        <f>IF(COUNTIF('CENTROS DE COSTOS UTILIZADOS'!$B:$B,D342)&gt;0,"SÍ","NO")</f>
        <v>SÍ</v>
      </c>
      <c r="G342" s="13" t="str">
        <f t="shared" si="5"/>
        <v>N08|HSAT</v>
      </c>
      <c r="H342" s="13" t="s">
        <v>17</v>
      </c>
      <c r="I342" s="13" t="s">
        <v>166</v>
      </c>
      <c r="J342" s="15" t="s">
        <v>5</v>
      </c>
      <c r="K342" s="15" t="s">
        <v>54</v>
      </c>
      <c r="L342" s="16" t="s">
        <v>490</v>
      </c>
      <c r="M342" s="13" t="s">
        <v>45</v>
      </c>
    </row>
    <row r="343" spans="1:13" x14ac:dyDescent="0.25">
      <c r="A343" s="13">
        <v>4042203</v>
      </c>
      <c r="B343" s="13" t="s">
        <v>509</v>
      </c>
      <c r="C343" s="13"/>
      <c r="D343" s="14" t="s">
        <v>477</v>
      </c>
      <c r="E343" s="13" t="str">
        <f>IFERROR(INDEX('CENTROS DE COSTOS RESOLUCION'!$C:$C,MATCH(D343,'CENTROS DE COSTOS RESOLUCION'!$B:$B,0)),"CÓDIGO NO VÁLIDO")</f>
        <v>MANTENIMIENTO HOSPITALARIO</v>
      </c>
      <c r="F343" s="15" t="str">
        <f>IF(COUNTIF('CENTROS DE COSTOS UTILIZADOS'!$B:$B,D343)&gt;0,"SÍ","NO")</f>
        <v>SÍ</v>
      </c>
      <c r="G343" s="13" t="str">
        <f t="shared" si="5"/>
        <v>P02|HSAT</v>
      </c>
      <c r="H343" s="13" t="s">
        <v>19</v>
      </c>
      <c r="I343" s="13" t="s">
        <v>166</v>
      </c>
      <c r="J343" s="15" t="s">
        <v>5</v>
      </c>
      <c r="K343" s="15" t="s">
        <v>43</v>
      </c>
      <c r="L343" s="16" t="s">
        <v>492</v>
      </c>
      <c r="M343" s="13" t="s">
        <v>45</v>
      </c>
    </row>
    <row r="344" spans="1:13" x14ac:dyDescent="0.25">
      <c r="A344" s="13">
        <v>4042204</v>
      </c>
      <c r="B344" s="13" t="s">
        <v>510</v>
      </c>
      <c r="C344" s="13"/>
      <c r="D344" s="14" t="s">
        <v>477</v>
      </c>
      <c r="E344" s="13" t="str">
        <f>IFERROR(INDEX('CENTROS DE COSTOS RESOLUCION'!$C:$C,MATCH(D344,'CENTROS DE COSTOS RESOLUCION'!$B:$B,0)),"CÓDIGO NO VÁLIDO")</f>
        <v>MANTENIMIENTO HOSPITALARIO</v>
      </c>
      <c r="F344" s="15" t="str">
        <f>IF(COUNTIF('CENTROS DE COSTOS UTILIZADOS'!$B:$B,D344)&gt;0,"SÍ","NO")</f>
        <v>SÍ</v>
      </c>
      <c r="G344" s="13" t="str">
        <f t="shared" si="5"/>
        <v>P02|HSAT</v>
      </c>
      <c r="H344" s="13" t="s">
        <v>19</v>
      </c>
      <c r="I344" s="13" t="s">
        <v>166</v>
      </c>
      <c r="J344" s="15" t="s">
        <v>5</v>
      </c>
      <c r="K344" s="15" t="s">
        <v>43</v>
      </c>
      <c r="L344" s="16" t="s">
        <v>494</v>
      </c>
      <c r="M344" s="13" t="s">
        <v>45</v>
      </c>
    </row>
    <row r="345" spans="1:13" x14ac:dyDescent="0.25">
      <c r="A345" s="13">
        <v>4042205</v>
      </c>
      <c r="B345" s="13" t="s">
        <v>511</v>
      </c>
      <c r="C345" s="13"/>
      <c r="D345" s="14" t="s">
        <v>477</v>
      </c>
      <c r="E345" s="13" t="str">
        <f>IFERROR(INDEX('CENTROS DE COSTOS RESOLUCION'!$C:$C,MATCH(D345,'CENTROS DE COSTOS RESOLUCION'!$B:$B,0)),"CÓDIGO NO VÁLIDO")</f>
        <v>MANTENIMIENTO HOSPITALARIO</v>
      </c>
      <c r="F345" s="15" t="str">
        <f>IF(COUNTIF('CENTROS DE COSTOS UTILIZADOS'!$B:$B,D345)&gt;0,"SÍ","NO")</f>
        <v>SÍ</v>
      </c>
      <c r="G345" s="13" t="str">
        <f t="shared" si="5"/>
        <v>P02|HSAT</v>
      </c>
      <c r="H345" s="13" t="s">
        <v>19</v>
      </c>
      <c r="I345" s="13" t="s">
        <v>166</v>
      </c>
      <c r="J345" s="15" t="s">
        <v>5</v>
      </c>
      <c r="K345" s="15" t="s">
        <v>43</v>
      </c>
      <c r="L345" s="16" t="s">
        <v>496</v>
      </c>
      <c r="M345" s="13" t="s">
        <v>45</v>
      </c>
    </row>
    <row r="346" spans="1:13" x14ac:dyDescent="0.25">
      <c r="A346" s="13">
        <v>4042206</v>
      </c>
      <c r="B346" s="13" t="s">
        <v>512</v>
      </c>
      <c r="C346" s="13"/>
      <c r="D346" s="14" t="s">
        <v>482</v>
      </c>
      <c r="E346" s="13" t="str">
        <f>IFERROR(INDEX('CENTROS DE COSTOS RESOLUCION'!$C:$C,MATCH(D346,'CENTROS DE COSTOS RESOLUCION'!$B:$B,0)),"CÓDIGO NO VÁLIDO")</f>
        <v>LAVANDERIA, VESTUARIO Y COSTURERO</v>
      </c>
      <c r="F346" s="15" t="str">
        <f>IF(COUNTIF('CENTROS DE COSTOS UTILIZADOS'!$B:$B,D346)&gt;0,"SÍ","NO")</f>
        <v>NO</v>
      </c>
      <c r="G346" s="13" t="str">
        <f t="shared" si="5"/>
        <v>P03|HSAT</v>
      </c>
      <c r="H346" s="13" t="s">
        <v>19</v>
      </c>
      <c r="I346" s="13" t="s">
        <v>166</v>
      </c>
      <c r="J346" s="15" t="s">
        <v>5</v>
      </c>
      <c r="K346" s="15" t="s">
        <v>43</v>
      </c>
      <c r="L346" s="16" t="s">
        <v>483</v>
      </c>
      <c r="M346" s="13" t="s">
        <v>45</v>
      </c>
    </row>
    <row r="347" spans="1:13" x14ac:dyDescent="0.25">
      <c r="A347" s="13">
        <v>4042207</v>
      </c>
      <c r="B347" s="13" t="s">
        <v>513</v>
      </c>
      <c r="C347" s="13"/>
      <c r="D347" s="14" t="s">
        <v>485</v>
      </c>
      <c r="E347" s="13" t="str">
        <f>IFERROR(INDEX('CENTROS DE COSTOS RESOLUCION'!$C:$C,MATCH(D347,'CENTROS DE COSTOS RESOLUCION'!$B:$B,0)),"CÓDIGO NO VÁLIDO")</f>
        <v>COCINA</v>
      </c>
      <c r="F347" s="15" t="str">
        <f>IF(COUNTIF('CENTROS DE COSTOS UTILIZADOS'!$B:$B,D347)&gt;0,"SÍ","NO")</f>
        <v>NO</v>
      </c>
      <c r="G347" s="13" t="str">
        <f t="shared" si="5"/>
        <v>P01|HSAT</v>
      </c>
      <c r="H347" s="13" t="s">
        <v>19</v>
      </c>
      <c r="I347" s="13" t="s">
        <v>166</v>
      </c>
      <c r="J347" s="15" t="s">
        <v>5</v>
      </c>
      <c r="K347" s="15" t="s">
        <v>43</v>
      </c>
      <c r="L347" s="16" t="s">
        <v>499</v>
      </c>
      <c r="M347" s="13" t="s">
        <v>45</v>
      </c>
    </row>
    <row r="348" spans="1:13" x14ac:dyDescent="0.25">
      <c r="A348" s="13">
        <v>4052201</v>
      </c>
      <c r="B348" s="13" t="s">
        <v>514</v>
      </c>
      <c r="C348" s="13"/>
      <c r="D348" s="14" t="s">
        <v>126</v>
      </c>
      <c r="E348" s="13" t="str">
        <f>IFERROR(INDEX('CENTROS DE COSTOS RESOLUCION'!$C:$C,MATCH(D348,'CENTROS DE COSTOS RESOLUCION'!$B:$B,0)),"CÓDIGO NO VÁLIDO")</f>
        <v>SERVICIO DE AMBULANCIAS</v>
      </c>
      <c r="F348" s="15" t="str">
        <f>IF(COUNTIF('CENTROS DE COSTOS UTILIZADOS'!$B:$B,D348)&gt;0,"SÍ","NO")</f>
        <v>SÍ</v>
      </c>
      <c r="G348" s="13" t="str">
        <f t="shared" si="5"/>
        <v>N08|HSJDP</v>
      </c>
      <c r="H348" s="13" t="s">
        <v>17</v>
      </c>
      <c r="I348" s="13" t="s">
        <v>200</v>
      </c>
      <c r="J348" s="15" t="s">
        <v>5</v>
      </c>
      <c r="K348" s="15" t="s">
        <v>43</v>
      </c>
      <c r="L348" s="16" t="s">
        <v>488</v>
      </c>
      <c r="M348" s="13" t="s">
        <v>45</v>
      </c>
    </row>
    <row r="349" spans="1:13" x14ac:dyDescent="0.25">
      <c r="A349" s="13">
        <v>4052202</v>
      </c>
      <c r="B349" s="13" t="s">
        <v>515</v>
      </c>
      <c r="C349" s="13"/>
      <c r="D349" s="14" t="s">
        <v>126</v>
      </c>
      <c r="E349" s="13" t="str">
        <f>IFERROR(INDEX('CENTROS DE COSTOS RESOLUCION'!$C:$C,MATCH(D349,'CENTROS DE COSTOS RESOLUCION'!$B:$B,0)),"CÓDIGO NO VÁLIDO")</f>
        <v>SERVICIO DE AMBULANCIAS</v>
      </c>
      <c r="F349" s="15" t="str">
        <f>IF(COUNTIF('CENTROS DE COSTOS UTILIZADOS'!$B:$B,D349)&gt;0,"SÍ","NO")</f>
        <v>SÍ</v>
      </c>
      <c r="G349" s="13" t="str">
        <f t="shared" si="5"/>
        <v>N08|HSJDP</v>
      </c>
      <c r="H349" s="13" t="s">
        <v>17</v>
      </c>
      <c r="I349" s="13" t="s">
        <v>200</v>
      </c>
      <c r="J349" s="15" t="s">
        <v>5</v>
      </c>
      <c r="K349" s="15" t="s">
        <v>54</v>
      </c>
      <c r="L349" s="16" t="s">
        <v>490</v>
      </c>
      <c r="M349" s="13" t="s">
        <v>45</v>
      </c>
    </row>
    <row r="350" spans="1:13" x14ac:dyDescent="0.25">
      <c r="A350" s="13">
        <v>4052203</v>
      </c>
      <c r="B350" s="13" t="s">
        <v>516</v>
      </c>
      <c r="C350" s="13"/>
      <c r="D350" s="14" t="s">
        <v>477</v>
      </c>
      <c r="E350" s="13" t="str">
        <f>IFERROR(INDEX('CENTROS DE COSTOS RESOLUCION'!$C:$C,MATCH(D350,'CENTROS DE COSTOS RESOLUCION'!$B:$B,0)),"CÓDIGO NO VÁLIDO")</f>
        <v>MANTENIMIENTO HOSPITALARIO</v>
      </c>
      <c r="F350" s="15" t="str">
        <f>IF(COUNTIF('CENTROS DE COSTOS UTILIZADOS'!$B:$B,D350)&gt;0,"SÍ","NO")</f>
        <v>SÍ</v>
      </c>
      <c r="G350" s="13" t="str">
        <f t="shared" si="5"/>
        <v>P02|HSJDP</v>
      </c>
      <c r="H350" s="13" t="s">
        <v>19</v>
      </c>
      <c r="I350" s="13" t="s">
        <v>200</v>
      </c>
      <c r="J350" s="15" t="s">
        <v>5</v>
      </c>
      <c r="K350" s="15" t="s">
        <v>43</v>
      </c>
      <c r="L350" s="16" t="s">
        <v>492</v>
      </c>
      <c r="M350" s="13" t="s">
        <v>45</v>
      </c>
    </row>
    <row r="351" spans="1:13" x14ac:dyDescent="0.25">
      <c r="A351" s="13">
        <v>4052204</v>
      </c>
      <c r="B351" s="13" t="s">
        <v>517</v>
      </c>
      <c r="C351" s="13"/>
      <c r="D351" s="14" t="s">
        <v>477</v>
      </c>
      <c r="E351" s="13" t="str">
        <f>IFERROR(INDEX('CENTROS DE COSTOS RESOLUCION'!$C:$C,MATCH(D351,'CENTROS DE COSTOS RESOLUCION'!$B:$B,0)),"CÓDIGO NO VÁLIDO")</f>
        <v>MANTENIMIENTO HOSPITALARIO</v>
      </c>
      <c r="F351" s="15" t="str">
        <f>IF(COUNTIF('CENTROS DE COSTOS UTILIZADOS'!$B:$B,D351)&gt;0,"SÍ","NO")</f>
        <v>SÍ</v>
      </c>
      <c r="G351" s="13" t="str">
        <f t="shared" si="5"/>
        <v>P02|HSJDP</v>
      </c>
      <c r="H351" s="13" t="s">
        <v>19</v>
      </c>
      <c r="I351" s="13" t="s">
        <v>200</v>
      </c>
      <c r="J351" s="15" t="s">
        <v>5</v>
      </c>
      <c r="K351" s="15" t="s">
        <v>43</v>
      </c>
      <c r="L351" s="16" t="s">
        <v>494</v>
      </c>
      <c r="M351" s="13" t="s">
        <v>45</v>
      </c>
    </row>
    <row r="352" spans="1:13" x14ac:dyDescent="0.25">
      <c r="A352" s="13">
        <v>4052205</v>
      </c>
      <c r="B352" s="13" t="s">
        <v>518</v>
      </c>
      <c r="C352" s="13"/>
      <c r="D352" s="14" t="s">
        <v>477</v>
      </c>
      <c r="E352" s="13" t="str">
        <f>IFERROR(INDEX('CENTROS DE COSTOS RESOLUCION'!$C:$C,MATCH(D352,'CENTROS DE COSTOS RESOLUCION'!$B:$B,0)),"CÓDIGO NO VÁLIDO")</f>
        <v>MANTENIMIENTO HOSPITALARIO</v>
      </c>
      <c r="F352" s="15" t="str">
        <f>IF(COUNTIF('CENTROS DE COSTOS UTILIZADOS'!$B:$B,D352)&gt;0,"SÍ","NO")</f>
        <v>SÍ</v>
      </c>
      <c r="G352" s="13" t="str">
        <f t="shared" si="5"/>
        <v>P02|HSJDP</v>
      </c>
      <c r="H352" s="13" t="s">
        <v>19</v>
      </c>
      <c r="I352" s="13" t="s">
        <v>200</v>
      </c>
      <c r="J352" s="15" t="s">
        <v>5</v>
      </c>
      <c r="K352" s="15" t="s">
        <v>43</v>
      </c>
      <c r="L352" s="16" t="s">
        <v>496</v>
      </c>
      <c r="M352" s="13" t="s">
        <v>45</v>
      </c>
    </row>
    <row r="353" spans="1:13" x14ac:dyDescent="0.25">
      <c r="A353" s="13">
        <v>4052206</v>
      </c>
      <c r="B353" s="13" t="s">
        <v>519</v>
      </c>
      <c r="C353" s="13"/>
      <c r="D353" s="14" t="s">
        <v>482</v>
      </c>
      <c r="E353" s="13" t="str">
        <f>IFERROR(INDEX('CENTROS DE COSTOS RESOLUCION'!$C:$C,MATCH(D353,'CENTROS DE COSTOS RESOLUCION'!$B:$B,0)),"CÓDIGO NO VÁLIDO")</f>
        <v>LAVANDERIA, VESTUARIO Y COSTURERO</v>
      </c>
      <c r="F353" s="15" t="str">
        <f>IF(COUNTIF('CENTROS DE COSTOS UTILIZADOS'!$B:$B,D353)&gt;0,"SÍ","NO")</f>
        <v>NO</v>
      </c>
      <c r="G353" s="13" t="str">
        <f t="shared" si="5"/>
        <v>P03|HSJDP</v>
      </c>
      <c r="H353" s="13" t="s">
        <v>19</v>
      </c>
      <c r="I353" s="13" t="s">
        <v>200</v>
      </c>
      <c r="J353" s="15" t="s">
        <v>5</v>
      </c>
      <c r="K353" s="15" t="s">
        <v>43</v>
      </c>
      <c r="L353" s="16" t="s">
        <v>483</v>
      </c>
      <c r="M353" s="13" t="s">
        <v>45</v>
      </c>
    </row>
    <row r="354" spans="1:13" x14ac:dyDescent="0.25">
      <c r="A354" s="13">
        <v>4052207</v>
      </c>
      <c r="B354" s="13" t="s">
        <v>520</v>
      </c>
      <c r="C354" s="13"/>
      <c r="D354" s="14" t="s">
        <v>485</v>
      </c>
      <c r="E354" s="13" t="str">
        <f>IFERROR(INDEX('CENTROS DE COSTOS RESOLUCION'!$C:$C,MATCH(D354,'CENTROS DE COSTOS RESOLUCION'!$B:$B,0)),"CÓDIGO NO VÁLIDO")</f>
        <v>COCINA</v>
      </c>
      <c r="F354" s="15" t="str">
        <f>IF(COUNTIF('CENTROS DE COSTOS UTILIZADOS'!$B:$B,D354)&gt;0,"SÍ","NO")</f>
        <v>NO</v>
      </c>
      <c r="G354" s="13" t="str">
        <f t="shared" si="5"/>
        <v>P01|HSJDP</v>
      </c>
      <c r="H354" s="13" t="s">
        <v>19</v>
      </c>
      <c r="I354" s="13" t="s">
        <v>200</v>
      </c>
      <c r="J354" s="15" t="s">
        <v>5</v>
      </c>
      <c r="K354" s="15" t="s">
        <v>43</v>
      </c>
      <c r="L354" s="16" t="s">
        <v>499</v>
      </c>
      <c r="M354" s="13" t="s">
        <v>45</v>
      </c>
    </row>
    <row r="355" spans="1:13" x14ac:dyDescent="0.25">
      <c r="A355" s="13">
        <v>4062201</v>
      </c>
      <c r="B355" s="13" t="s">
        <v>521</v>
      </c>
      <c r="C355" s="13"/>
      <c r="D355" s="14" t="s">
        <v>126</v>
      </c>
      <c r="E355" s="13" t="str">
        <f>IFERROR(INDEX('CENTROS DE COSTOS RESOLUCION'!$C:$C,MATCH(D355,'CENTROS DE COSTOS RESOLUCION'!$B:$B,0)),"CÓDIGO NO VÁLIDO")</f>
        <v>SERVICIO DE AMBULANCIAS</v>
      </c>
      <c r="F355" s="15" t="str">
        <f>IF(COUNTIF('CENTROS DE COSTOS UTILIZADOS'!$B:$B,D355)&gt;0,"SÍ","NO")</f>
        <v>SÍ</v>
      </c>
      <c r="G355" s="13" t="str">
        <f t="shared" si="5"/>
        <v>N08|HSJCN</v>
      </c>
      <c r="H355" s="13" t="s">
        <v>17</v>
      </c>
      <c r="I355" s="13" t="s">
        <v>234</v>
      </c>
      <c r="J355" s="15" t="s">
        <v>5</v>
      </c>
      <c r="K355" s="15" t="s">
        <v>43</v>
      </c>
      <c r="L355" s="16" t="s">
        <v>488</v>
      </c>
      <c r="M355" s="13" t="s">
        <v>45</v>
      </c>
    </row>
    <row r="356" spans="1:13" x14ac:dyDescent="0.25">
      <c r="A356" s="13">
        <v>4062202</v>
      </c>
      <c r="B356" s="13" t="s">
        <v>522</v>
      </c>
      <c r="C356" s="13"/>
      <c r="D356" s="14" t="s">
        <v>126</v>
      </c>
      <c r="E356" s="13" t="str">
        <f>IFERROR(INDEX('CENTROS DE COSTOS RESOLUCION'!$C:$C,MATCH(D356,'CENTROS DE COSTOS RESOLUCION'!$B:$B,0)),"CÓDIGO NO VÁLIDO")</f>
        <v>SERVICIO DE AMBULANCIAS</v>
      </c>
      <c r="F356" s="15" t="str">
        <f>IF(COUNTIF('CENTROS DE COSTOS UTILIZADOS'!$B:$B,D356)&gt;0,"SÍ","NO")</f>
        <v>SÍ</v>
      </c>
      <c r="G356" s="13" t="str">
        <f t="shared" si="5"/>
        <v>N08|HSJCN</v>
      </c>
      <c r="H356" s="13" t="s">
        <v>17</v>
      </c>
      <c r="I356" s="13" t="s">
        <v>234</v>
      </c>
      <c r="J356" s="15" t="s">
        <v>5</v>
      </c>
      <c r="K356" s="15" t="s">
        <v>54</v>
      </c>
      <c r="L356" s="16" t="s">
        <v>490</v>
      </c>
      <c r="M356" s="13" t="s">
        <v>45</v>
      </c>
    </row>
    <row r="357" spans="1:13" x14ac:dyDescent="0.25">
      <c r="A357" s="13">
        <v>4062203</v>
      </c>
      <c r="B357" s="13" t="s">
        <v>523</v>
      </c>
      <c r="C357" s="13"/>
      <c r="D357" s="14" t="s">
        <v>477</v>
      </c>
      <c r="E357" s="13" t="str">
        <f>IFERROR(INDEX('CENTROS DE COSTOS RESOLUCION'!$C:$C,MATCH(D357,'CENTROS DE COSTOS RESOLUCION'!$B:$B,0)),"CÓDIGO NO VÁLIDO")</f>
        <v>MANTENIMIENTO HOSPITALARIO</v>
      </c>
      <c r="F357" s="15" t="str">
        <f>IF(COUNTIF('CENTROS DE COSTOS UTILIZADOS'!$B:$B,D357)&gt;0,"SÍ","NO")</f>
        <v>SÍ</v>
      </c>
      <c r="G357" s="13" t="str">
        <f t="shared" si="5"/>
        <v>P02|HSJCN</v>
      </c>
      <c r="H357" s="13" t="s">
        <v>19</v>
      </c>
      <c r="I357" s="13" t="s">
        <v>234</v>
      </c>
      <c r="J357" s="15" t="s">
        <v>5</v>
      </c>
      <c r="K357" s="15" t="s">
        <v>43</v>
      </c>
      <c r="L357" s="16" t="s">
        <v>492</v>
      </c>
      <c r="M357" s="13" t="s">
        <v>45</v>
      </c>
    </row>
    <row r="358" spans="1:13" x14ac:dyDescent="0.25">
      <c r="A358" s="13">
        <v>4062204</v>
      </c>
      <c r="B358" s="13" t="s">
        <v>524</v>
      </c>
      <c r="C358" s="13"/>
      <c r="D358" s="14" t="s">
        <v>477</v>
      </c>
      <c r="E358" s="13" t="str">
        <f>IFERROR(INDEX('CENTROS DE COSTOS RESOLUCION'!$C:$C,MATCH(D358,'CENTROS DE COSTOS RESOLUCION'!$B:$B,0)),"CÓDIGO NO VÁLIDO")</f>
        <v>MANTENIMIENTO HOSPITALARIO</v>
      </c>
      <c r="F358" s="15" t="str">
        <f>IF(COUNTIF('CENTROS DE COSTOS UTILIZADOS'!$B:$B,D358)&gt;0,"SÍ","NO")</f>
        <v>SÍ</v>
      </c>
      <c r="G358" s="13" t="str">
        <f t="shared" si="5"/>
        <v>P02|HSJCN</v>
      </c>
      <c r="H358" s="13" t="s">
        <v>19</v>
      </c>
      <c r="I358" s="13" t="s">
        <v>234</v>
      </c>
      <c r="J358" s="15" t="s">
        <v>5</v>
      </c>
      <c r="K358" s="15" t="s">
        <v>43</v>
      </c>
      <c r="L358" s="16" t="s">
        <v>494</v>
      </c>
      <c r="M358" s="13" t="s">
        <v>45</v>
      </c>
    </row>
    <row r="359" spans="1:13" x14ac:dyDescent="0.25">
      <c r="A359" s="13">
        <v>4062205</v>
      </c>
      <c r="B359" s="13" t="s">
        <v>525</v>
      </c>
      <c r="C359" s="13"/>
      <c r="D359" s="14" t="s">
        <v>477</v>
      </c>
      <c r="E359" s="13" t="str">
        <f>IFERROR(INDEX('CENTROS DE COSTOS RESOLUCION'!$C:$C,MATCH(D359,'CENTROS DE COSTOS RESOLUCION'!$B:$B,0)),"CÓDIGO NO VÁLIDO")</f>
        <v>MANTENIMIENTO HOSPITALARIO</v>
      </c>
      <c r="F359" s="15" t="str">
        <f>IF(COUNTIF('CENTROS DE COSTOS UTILIZADOS'!$B:$B,D359)&gt;0,"SÍ","NO")</f>
        <v>SÍ</v>
      </c>
      <c r="G359" s="13" t="str">
        <f t="shared" si="5"/>
        <v>P02|HSJCN</v>
      </c>
      <c r="H359" s="13" t="s">
        <v>19</v>
      </c>
      <c r="I359" s="13" t="s">
        <v>234</v>
      </c>
      <c r="J359" s="15" t="s">
        <v>5</v>
      </c>
      <c r="K359" s="15" t="s">
        <v>43</v>
      </c>
      <c r="L359" s="16" t="s">
        <v>496</v>
      </c>
      <c r="M359" s="13" t="s">
        <v>45</v>
      </c>
    </row>
    <row r="360" spans="1:13" x14ac:dyDescent="0.25">
      <c r="A360" s="13">
        <v>4062206</v>
      </c>
      <c r="B360" s="13" t="s">
        <v>526</v>
      </c>
      <c r="C360" s="13"/>
      <c r="D360" s="14" t="s">
        <v>482</v>
      </c>
      <c r="E360" s="13" t="str">
        <f>IFERROR(INDEX('CENTROS DE COSTOS RESOLUCION'!$C:$C,MATCH(D360,'CENTROS DE COSTOS RESOLUCION'!$B:$B,0)),"CÓDIGO NO VÁLIDO")</f>
        <v>LAVANDERIA, VESTUARIO Y COSTURERO</v>
      </c>
      <c r="F360" s="15" t="str">
        <f>IF(COUNTIF('CENTROS DE COSTOS UTILIZADOS'!$B:$B,D360)&gt;0,"SÍ","NO")</f>
        <v>NO</v>
      </c>
      <c r="G360" s="13" t="str">
        <f t="shared" si="5"/>
        <v>P03|HSJCN</v>
      </c>
      <c r="H360" s="13" t="s">
        <v>19</v>
      </c>
      <c r="I360" s="13" t="s">
        <v>234</v>
      </c>
      <c r="J360" s="15" t="s">
        <v>5</v>
      </c>
      <c r="K360" s="15" t="s">
        <v>43</v>
      </c>
      <c r="L360" s="16" t="s">
        <v>483</v>
      </c>
      <c r="M360" s="13" t="s">
        <v>45</v>
      </c>
    </row>
    <row r="361" spans="1:13" x14ac:dyDescent="0.25">
      <c r="A361" s="13">
        <v>4062207</v>
      </c>
      <c r="B361" s="13" t="s">
        <v>527</v>
      </c>
      <c r="C361" s="13"/>
      <c r="D361" s="14" t="s">
        <v>485</v>
      </c>
      <c r="E361" s="13" t="str">
        <f>IFERROR(INDEX('CENTROS DE COSTOS RESOLUCION'!$C:$C,MATCH(D361,'CENTROS DE COSTOS RESOLUCION'!$B:$B,0)),"CÓDIGO NO VÁLIDO")</f>
        <v>COCINA</v>
      </c>
      <c r="F361" s="15" t="str">
        <f>IF(COUNTIF('CENTROS DE COSTOS UTILIZADOS'!$B:$B,D361)&gt;0,"SÍ","NO")</f>
        <v>NO</v>
      </c>
      <c r="G361" s="13" t="str">
        <f t="shared" si="5"/>
        <v>P01|HSJCN</v>
      </c>
      <c r="H361" s="13" t="s">
        <v>19</v>
      </c>
      <c r="I361" s="13" t="s">
        <v>234</v>
      </c>
      <c r="J361" s="15" t="s">
        <v>5</v>
      </c>
      <c r="K361" s="15" t="s">
        <v>43</v>
      </c>
      <c r="L361" s="16" t="s">
        <v>499</v>
      </c>
      <c r="M361" s="13" t="s">
        <v>45</v>
      </c>
    </row>
    <row r="362" spans="1:13" x14ac:dyDescent="0.25">
      <c r="A362" s="13">
        <v>4072201</v>
      </c>
      <c r="B362" s="13" t="s">
        <v>528</v>
      </c>
      <c r="C362" s="13"/>
      <c r="D362" s="14" t="s">
        <v>126</v>
      </c>
      <c r="E362" s="13" t="str">
        <f>IFERROR(INDEX('CENTROS DE COSTOS RESOLUCION'!$C:$C,MATCH(D362,'CENTROS DE COSTOS RESOLUCION'!$B:$B,0)),"CÓDIGO NO VÁLIDO")</f>
        <v>SERVICIO DE AMBULANCIAS</v>
      </c>
      <c r="F362" s="15" t="str">
        <f>IF(COUNTIF('CENTROS DE COSTOS UTILIZADOS'!$B:$B,D362)&gt;0,"SÍ","NO")</f>
        <v>SÍ</v>
      </c>
      <c r="G362" s="13" t="str">
        <f t="shared" si="5"/>
        <v>N08|HSRP</v>
      </c>
      <c r="H362" s="13" t="s">
        <v>17</v>
      </c>
      <c r="I362" s="13" t="s">
        <v>268</v>
      </c>
      <c r="J362" s="15" t="s">
        <v>5</v>
      </c>
      <c r="K362" s="15" t="s">
        <v>43</v>
      </c>
      <c r="L362" s="16" t="s">
        <v>488</v>
      </c>
      <c r="M362" s="13" t="s">
        <v>45</v>
      </c>
    </row>
    <row r="363" spans="1:13" x14ac:dyDescent="0.25">
      <c r="A363" s="13">
        <v>4072202</v>
      </c>
      <c r="B363" s="13" t="s">
        <v>529</v>
      </c>
      <c r="C363" s="13"/>
      <c r="D363" s="14" t="s">
        <v>126</v>
      </c>
      <c r="E363" s="13" t="str">
        <f>IFERROR(INDEX('CENTROS DE COSTOS RESOLUCION'!$C:$C,MATCH(D363,'CENTROS DE COSTOS RESOLUCION'!$B:$B,0)),"CÓDIGO NO VÁLIDO")</f>
        <v>SERVICIO DE AMBULANCIAS</v>
      </c>
      <c r="F363" s="15" t="str">
        <f>IF(COUNTIF('CENTROS DE COSTOS UTILIZADOS'!$B:$B,D363)&gt;0,"SÍ","NO")</f>
        <v>SÍ</v>
      </c>
      <c r="G363" s="13" t="str">
        <f t="shared" si="5"/>
        <v>N08|HSRP</v>
      </c>
      <c r="H363" s="13" t="s">
        <v>17</v>
      </c>
      <c r="I363" s="13" t="s">
        <v>268</v>
      </c>
      <c r="J363" s="15" t="s">
        <v>5</v>
      </c>
      <c r="K363" s="15" t="s">
        <v>54</v>
      </c>
      <c r="L363" s="16" t="s">
        <v>490</v>
      </c>
      <c r="M363" s="13" t="s">
        <v>45</v>
      </c>
    </row>
    <row r="364" spans="1:13" x14ac:dyDescent="0.25">
      <c r="A364" s="13">
        <v>4072203</v>
      </c>
      <c r="B364" s="13" t="s">
        <v>530</v>
      </c>
      <c r="C364" s="13"/>
      <c r="D364" s="14" t="s">
        <v>477</v>
      </c>
      <c r="E364" s="13" t="str">
        <f>IFERROR(INDEX('CENTROS DE COSTOS RESOLUCION'!$C:$C,MATCH(D364,'CENTROS DE COSTOS RESOLUCION'!$B:$B,0)),"CÓDIGO NO VÁLIDO")</f>
        <v>MANTENIMIENTO HOSPITALARIO</v>
      </c>
      <c r="F364" s="15" t="str">
        <f>IF(COUNTIF('CENTROS DE COSTOS UTILIZADOS'!$B:$B,D364)&gt;0,"SÍ","NO")</f>
        <v>SÍ</v>
      </c>
      <c r="G364" s="13" t="str">
        <f t="shared" si="5"/>
        <v>P02|HSRP</v>
      </c>
      <c r="H364" s="13" t="s">
        <v>19</v>
      </c>
      <c r="I364" s="13" t="s">
        <v>268</v>
      </c>
      <c r="J364" s="15" t="s">
        <v>5</v>
      </c>
      <c r="K364" s="15" t="s">
        <v>43</v>
      </c>
      <c r="L364" s="16" t="s">
        <v>492</v>
      </c>
      <c r="M364" s="13" t="s">
        <v>45</v>
      </c>
    </row>
    <row r="365" spans="1:13" x14ac:dyDescent="0.25">
      <c r="A365" s="13">
        <v>4072204</v>
      </c>
      <c r="B365" s="13" t="s">
        <v>531</v>
      </c>
      <c r="C365" s="13"/>
      <c r="D365" s="14" t="s">
        <v>477</v>
      </c>
      <c r="E365" s="13" t="str">
        <f>IFERROR(INDEX('CENTROS DE COSTOS RESOLUCION'!$C:$C,MATCH(D365,'CENTROS DE COSTOS RESOLUCION'!$B:$B,0)),"CÓDIGO NO VÁLIDO")</f>
        <v>MANTENIMIENTO HOSPITALARIO</v>
      </c>
      <c r="F365" s="15" t="str">
        <f>IF(COUNTIF('CENTROS DE COSTOS UTILIZADOS'!$B:$B,D365)&gt;0,"SÍ","NO")</f>
        <v>SÍ</v>
      </c>
      <c r="G365" s="13" t="str">
        <f t="shared" si="5"/>
        <v>P02|HSRP</v>
      </c>
      <c r="H365" s="13" t="s">
        <v>19</v>
      </c>
      <c r="I365" s="13" t="s">
        <v>268</v>
      </c>
      <c r="J365" s="15" t="s">
        <v>5</v>
      </c>
      <c r="K365" s="15" t="s">
        <v>43</v>
      </c>
      <c r="L365" s="16" t="s">
        <v>494</v>
      </c>
      <c r="M365" s="13" t="s">
        <v>45</v>
      </c>
    </row>
    <row r="366" spans="1:13" x14ac:dyDescent="0.25">
      <c r="A366" s="13">
        <v>4072205</v>
      </c>
      <c r="B366" s="13" t="s">
        <v>532</v>
      </c>
      <c r="C366" s="13"/>
      <c r="D366" s="14" t="s">
        <v>477</v>
      </c>
      <c r="E366" s="13" t="str">
        <f>IFERROR(INDEX('CENTROS DE COSTOS RESOLUCION'!$C:$C,MATCH(D366,'CENTROS DE COSTOS RESOLUCION'!$B:$B,0)),"CÓDIGO NO VÁLIDO")</f>
        <v>MANTENIMIENTO HOSPITALARIO</v>
      </c>
      <c r="F366" s="15" t="str">
        <f>IF(COUNTIF('CENTROS DE COSTOS UTILIZADOS'!$B:$B,D366)&gt;0,"SÍ","NO")</f>
        <v>SÍ</v>
      </c>
      <c r="G366" s="13" t="str">
        <f t="shared" si="5"/>
        <v>P02|HSRP</v>
      </c>
      <c r="H366" s="13" t="s">
        <v>19</v>
      </c>
      <c r="I366" s="13" t="s">
        <v>268</v>
      </c>
      <c r="J366" s="15" t="s">
        <v>5</v>
      </c>
      <c r="K366" s="15" t="s">
        <v>43</v>
      </c>
      <c r="L366" s="16" t="s">
        <v>496</v>
      </c>
      <c r="M366" s="13" t="s">
        <v>45</v>
      </c>
    </row>
    <row r="367" spans="1:13" x14ac:dyDescent="0.25">
      <c r="A367" s="13">
        <v>4072206</v>
      </c>
      <c r="B367" s="13" t="s">
        <v>533</v>
      </c>
      <c r="C367" s="13"/>
      <c r="D367" s="14" t="s">
        <v>482</v>
      </c>
      <c r="E367" s="13" t="str">
        <f>IFERROR(INDEX('CENTROS DE COSTOS RESOLUCION'!$C:$C,MATCH(D367,'CENTROS DE COSTOS RESOLUCION'!$B:$B,0)),"CÓDIGO NO VÁLIDO")</f>
        <v>LAVANDERIA, VESTUARIO Y COSTURERO</v>
      </c>
      <c r="F367" s="15" t="str">
        <f>IF(COUNTIF('CENTROS DE COSTOS UTILIZADOS'!$B:$B,D367)&gt;0,"SÍ","NO")</f>
        <v>NO</v>
      </c>
      <c r="G367" s="13" t="str">
        <f t="shared" si="5"/>
        <v>P03|HSRP</v>
      </c>
      <c r="H367" s="13" t="s">
        <v>19</v>
      </c>
      <c r="I367" s="13" t="s">
        <v>268</v>
      </c>
      <c r="J367" s="15" t="s">
        <v>5</v>
      </c>
      <c r="K367" s="15" t="s">
        <v>43</v>
      </c>
      <c r="L367" s="16" t="s">
        <v>483</v>
      </c>
      <c r="M367" s="13" t="s">
        <v>45</v>
      </c>
    </row>
    <row r="368" spans="1:13" x14ac:dyDescent="0.25">
      <c r="A368" s="13">
        <v>4072207</v>
      </c>
      <c r="B368" s="13" t="s">
        <v>534</v>
      </c>
      <c r="C368" s="13"/>
      <c r="D368" s="14" t="s">
        <v>485</v>
      </c>
      <c r="E368" s="13" t="str">
        <f>IFERROR(INDEX('CENTROS DE COSTOS RESOLUCION'!$C:$C,MATCH(D368,'CENTROS DE COSTOS RESOLUCION'!$B:$B,0)),"CÓDIGO NO VÁLIDO")</f>
        <v>COCINA</v>
      </c>
      <c r="F368" s="15" t="str">
        <f>IF(COUNTIF('CENTROS DE COSTOS UTILIZADOS'!$B:$B,D368)&gt;0,"SÍ","NO")</f>
        <v>NO</v>
      </c>
      <c r="G368" s="13" t="str">
        <f t="shared" si="5"/>
        <v>P01|HSRP</v>
      </c>
      <c r="H368" s="13" t="s">
        <v>19</v>
      </c>
      <c r="I368" s="13" t="s">
        <v>268</v>
      </c>
      <c r="J368" s="15" t="s">
        <v>5</v>
      </c>
      <c r="K368" s="15" t="s">
        <v>43</v>
      </c>
      <c r="L368" s="16" t="s">
        <v>499</v>
      </c>
      <c r="M368" s="13" t="s">
        <v>45</v>
      </c>
    </row>
    <row r="369" spans="1:13" x14ac:dyDescent="0.25">
      <c r="A369" s="13">
        <v>4082201</v>
      </c>
      <c r="B369" s="13" t="s">
        <v>535</v>
      </c>
      <c r="C369" s="13"/>
      <c r="D369" s="14" t="s">
        <v>126</v>
      </c>
      <c r="E369" s="13" t="str">
        <f>IFERROR(INDEX('CENTROS DE COSTOS RESOLUCION'!$C:$C,MATCH(D369,'CENTROS DE COSTOS RESOLUCION'!$B:$B,0)),"CÓDIGO NO VÁLIDO")</f>
        <v>SERVICIO DE AMBULANCIAS</v>
      </c>
      <c r="F369" s="15" t="str">
        <f>IF(COUNTIF('CENTROS DE COSTOS UTILIZADOS'!$B:$B,D369)&gt;0,"SÍ","NO")</f>
        <v>SÍ</v>
      </c>
      <c r="G369" s="13" t="str">
        <f t="shared" si="5"/>
        <v>N08|CSPA</v>
      </c>
      <c r="H369" s="13" t="s">
        <v>17</v>
      </c>
      <c r="I369" s="13" t="s">
        <v>302</v>
      </c>
      <c r="J369" s="15" t="s">
        <v>5</v>
      </c>
      <c r="K369" s="15" t="s">
        <v>43</v>
      </c>
      <c r="L369" s="16" t="s">
        <v>488</v>
      </c>
      <c r="M369" s="13" t="s">
        <v>45</v>
      </c>
    </row>
    <row r="370" spans="1:13" x14ac:dyDescent="0.25">
      <c r="A370" s="13">
        <v>4082202</v>
      </c>
      <c r="B370" s="13" t="s">
        <v>536</v>
      </c>
      <c r="C370" s="13"/>
      <c r="D370" s="14" t="s">
        <v>126</v>
      </c>
      <c r="E370" s="13" t="str">
        <f>IFERROR(INDEX('CENTROS DE COSTOS RESOLUCION'!$C:$C,MATCH(D370,'CENTROS DE COSTOS RESOLUCION'!$B:$B,0)),"CÓDIGO NO VÁLIDO")</f>
        <v>SERVICIO DE AMBULANCIAS</v>
      </c>
      <c r="F370" s="15" t="str">
        <f>IF(COUNTIF('CENTROS DE COSTOS UTILIZADOS'!$B:$B,D370)&gt;0,"SÍ","NO")</f>
        <v>SÍ</v>
      </c>
      <c r="G370" s="13" t="str">
        <f t="shared" si="5"/>
        <v>N08|CSPA</v>
      </c>
      <c r="H370" s="13" t="s">
        <v>17</v>
      </c>
      <c r="I370" s="13" t="s">
        <v>302</v>
      </c>
      <c r="J370" s="15" t="s">
        <v>5</v>
      </c>
      <c r="K370" s="15" t="s">
        <v>54</v>
      </c>
      <c r="L370" s="16" t="s">
        <v>490</v>
      </c>
      <c r="M370" s="13" t="s">
        <v>45</v>
      </c>
    </row>
    <row r="371" spans="1:13" x14ac:dyDescent="0.25">
      <c r="A371" s="13">
        <v>4082203</v>
      </c>
      <c r="B371" s="13" t="s">
        <v>537</v>
      </c>
      <c r="C371" s="13"/>
      <c r="D371" s="14" t="s">
        <v>477</v>
      </c>
      <c r="E371" s="13" t="str">
        <f>IFERROR(INDEX('CENTROS DE COSTOS RESOLUCION'!$C:$C,MATCH(D371,'CENTROS DE COSTOS RESOLUCION'!$B:$B,0)),"CÓDIGO NO VÁLIDO")</f>
        <v>MANTENIMIENTO HOSPITALARIO</v>
      </c>
      <c r="F371" s="15" t="str">
        <f>IF(COUNTIF('CENTROS DE COSTOS UTILIZADOS'!$B:$B,D371)&gt;0,"SÍ","NO")</f>
        <v>SÍ</v>
      </c>
      <c r="G371" s="13" t="str">
        <f t="shared" si="5"/>
        <v>P02|CSPA</v>
      </c>
      <c r="H371" s="13" t="s">
        <v>19</v>
      </c>
      <c r="I371" s="13" t="s">
        <v>302</v>
      </c>
      <c r="J371" s="15" t="s">
        <v>5</v>
      </c>
      <c r="K371" s="15" t="s">
        <v>43</v>
      </c>
      <c r="L371" s="16" t="s">
        <v>492</v>
      </c>
      <c r="M371" s="13" t="s">
        <v>45</v>
      </c>
    </row>
    <row r="372" spans="1:13" x14ac:dyDescent="0.25">
      <c r="A372" s="13">
        <v>4082204</v>
      </c>
      <c r="B372" s="13" t="s">
        <v>538</v>
      </c>
      <c r="C372" s="13"/>
      <c r="D372" s="14" t="s">
        <v>477</v>
      </c>
      <c r="E372" s="13" t="str">
        <f>IFERROR(INDEX('CENTROS DE COSTOS RESOLUCION'!$C:$C,MATCH(D372,'CENTROS DE COSTOS RESOLUCION'!$B:$B,0)),"CÓDIGO NO VÁLIDO")</f>
        <v>MANTENIMIENTO HOSPITALARIO</v>
      </c>
      <c r="F372" s="15" t="str">
        <f>IF(COUNTIF('CENTROS DE COSTOS UTILIZADOS'!$B:$B,D372)&gt;0,"SÍ","NO")</f>
        <v>SÍ</v>
      </c>
      <c r="G372" s="13" t="str">
        <f t="shared" si="5"/>
        <v>P02|CSPA</v>
      </c>
      <c r="H372" s="13" t="s">
        <v>19</v>
      </c>
      <c r="I372" s="13" t="s">
        <v>302</v>
      </c>
      <c r="J372" s="15" t="s">
        <v>5</v>
      </c>
      <c r="K372" s="15" t="s">
        <v>43</v>
      </c>
      <c r="L372" s="16" t="s">
        <v>494</v>
      </c>
      <c r="M372" s="13" t="s">
        <v>45</v>
      </c>
    </row>
    <row r="373" spans="1:13" x14ac:dyDescent="0.25">
      <c r="A373" s="13">
        <v>4082205</v>
      </c>
      <c r="B373" s="13" t="s">
        <v>539</v>
      </c>
      <c r="C373" s="13"/>
      <c r="D373" s="14" t="s">
        <v>477</v>
      </c>
      <c r="E373" s="13" t="str">
        <f>IFERROR(INDEX('CENTROS DE COSTOS RESOLUCION'!$C:$C,MATCH(D373,'CENTROS DE COSTOS RESOLUCION'!$B:$B,0)),"CÓDIGO NO VÁLIDO")</f>
        <v>MANTENIMIENTO HOSPITALARIO</v>
      </c>
      <c r="F373" s="15" t="str">
        <f>IF(COUNTIF('CENTROS DE COSTOS UTILIZADOS'!$B:$B,D373)&gt;0,"SÍ","NO")</f>
        <v>SÍ</v>
      </c>
      <c r="G373" s="13" t="str">
        <f t="shared" si="5"/>
        <v>P02|CSPA</v>
      </c>
      <c r="H373" s="13" t="s">
        <v>19</v>
      </c>
      <c r="I373" s="13" t="s">
        <v>302</v>
      </c>
      <c r="J373" s="15" t="s">
        <v>5</v>
      </c>
      <c r="K373" s="15" t="s">
        <v>43</v>
      </c>
      <c r="L373" s="16" t="s">
        <v>496</v>
      </c>
      <c r="M373" s="13" t="s">
        <v>45</v>
      </c>
    </row>
    <row r="374" spans="1:13" x14ac:dyDescent="0.25">
      <c r="A374" s="13">
        <v>4082206</v>
      </c>
      <c r="B374" s="13" t="s">
        <v>540</v>
      </c>
      <c r="C374" s="13"/>
      <c r="D374" s="14" t="s">
        <v>482</v>
      </c>
      <c r="E374" s="13" t="str">
        <f>IFERROR(INDEX('CENTROS DE COSTOS RESOLUCION'!$C:$C,MATCH(D374,'CENTROS DE COSTOS RESOLUCION'!$B:$B,0)),"CÓDIGO NO VÁLIDO")</f>
        <v>LAVANDERIA, VESTUARIO Y COSTURERO</v>
      </c>
      <c r="F374" s="15" t="str">
        <f>IF(COUNTIF('CENTROS DE COSTOS UTILIZADOS'!$B:$B,D374)&gt;0,"SÍ","NO")</f>
        <v>NO</v>
      </c>
      <c r="G374" s="13" t="str">
        <f t="shared" si="5"/>
        <v>P03|CSPA</v>
      </c>
      <c r="H374" s="13" t="s">
        <v>19</v>
      </c>
      <c r="I374" s="13" t="s">
        <v>302</v>
      </c>
      <c r="J374" s="15" t="s">
        <v>5</v>
      </c>
      <c r="K374" s="15" t="s">
        <v>43</v>
      </c>
      <c r="L374" s="16" t="s">
        <v>483</v>
      </c>
      <c r="M374" s="13" t="s">
        <v>45</v>
      </c>
    </row>
    <row r="375" spans="1:13" x14ac:dyDescent="0.25">
      <c r="A375" s="13">
        <v>4082207</v>
      </c>
      <c r="B375" s="13" t="s">
        <v>541</v>
      </c>
      <c r="C375" s="13"/>
      <c r="D375" s="14" t="s">
        <v>485</v>
      </c>
      <c r="E375" s="13" t="str">
        <f>IFERROR(INDEX('CENTROS DE COSTOS RESOLUCION'!$C:$C,MATCH(D375,'CENTROS DE COSTOS RESOLUCION'!$B:$B,0)),"CÓDIGO NO VÁLIDO")</f>
        <v>COCINA</v>
      </c>
      <c r="F375" s="15" t="str">
        <f>IF(COUNTIF('CENTROS DE COSTOS UTILIZADOS'!$B:$B,D375)&gt;0,"SÍ","NO")</f>
        <v>NO</v>
      </c>
      <c r="G375" s="13" t="str">
        <f t="shared" si="5"/>
        <v>P01|CSPA</v>
      </c>
      <c r="H375" s="13" t="s">
        <v>19</v>
      </c>
      <c r="I375" s="13" t="s">
        <v>302</v>
      </c>
      <c r="J375" s="15" t="s">
        <v>5</v>
      </c>
      <c r="K375" s="15" t="s">
        <v>43</v>
      </c>
      <c r="L375" s="16" t="s">
        <v>499</v>
      </c>
      <c r="M375" s="13" t="s">
        <v>45</v>
      </c>
    </row>
    <row r="376" spans="1:13" x14ac:dyDescent="0.25">
      <c r="A376" s="13">
        <v>4092201</v>
      </c>
      <c r="B376" s="13" t="s">
        <v>542</v>
      </c>
      <c r="C376" s="13"/>
      <c r="D376" s="14" t="s">
        <v>126</v>
      </c>
      <c r="E376" s="13" t="str">
        <f>IFERROR(INDEX('CENTROS DE COSTOS RESOLUCION'!$C:$C,MATCH(D376,'CENTROS DE COSTOS RESOLUCION'!$B:$B,0)),"CÓDIGO NO VÁLIDO")</f>
        <v>SERVICIO DE AMBULANCIAS</v>
      </c>
      <c r="F376" s="15" t="str">
        <f>IF(COUNTIF('CENTROS DE COSTOS UTILIZADOS'!$B:$B,D376)&gt;0,"SÍ","NO")</f>
        <v>SÍ</v>
      </c>
      <c r="G376" s="13" t="str">
        <f t="shared" si="5"/>
        <v>N08|CSJSC</v>
      </c>
      <c r="H376" s="13" t="s">
        <v>17</v>
      </c>
      <c r="I376" s="13" t="s">
        <v>336</v>
      </c>
      <c r="J376" s="15" t="s">
        <v>5</v>
      </c>
      <c r="K376" s="15" t="s">
        <v>43</v>
      </c>
      <c r="L376" s="16" t="s">
        <v>488</v>
      </c>
      <c r="M376" s="13" t="s">
        <v>45</v>
      </c>
    </row>
    <row r="377" spans="1:13" x14ac:dyDescent="0.25">
      <c r="A377" s="13">
        <v>4092202</v>
      </c>
      <c r="B377" s="13" t="s">
        <v>543</v>
      </c>
      <c r="C377" s="13"/>
      <c r="D377" s="14" t="s">
        <v>126</v>
      </c>
      <c r="E377" s="13" t="str">
        <f>IFERROR(INDEX('CENTROS DE COSTOS RESOLUCION'!$C:$C,MATCH(D377,'CENTROS DE COSTOS RESOLUCION'!$B:$B,0)),"CÓDIGO NO VÁLIDO")</f>
        <v>SERVICIO DE AMBULANCIAS</v>
      </c>
      <c r="F377" s="15" t="str">
        <f>IF(COUNTIF('CENTROS DE COSTOS UTILIZADOS'!$B:$B,D377)&gt;0,"SÍ","NO")</f>
        <v>SÍ</v>
      </c>
      <c r="G377" s="13" t="str">
        <f t="shared" si="5"/>
        <v>N08|CSJSC</v>
      </c>
      <c r="H377" s="13" t="s">
        <v>17</v>
      </c>
      <c r="I377" s="13" t="s">
        <v>336</v>
      </c>
      <c r="J377" s="15" t="s">
        <v>5</v>
      </c>
      <c r="K377" s="15" t="s">
        <v>54</v>
      </c>
      <c r="L377" s="16" t="s">
        <v>490</v>
      </c>
      <c r="M377" s="13" t="s">
        <v>45</v>
      </c>
    </row>
    <row r="378" spans="1:13" x14ac:dyDescent="0.25">
      <c r="A378" s="13">
        <v>4092203</v>
      </c>
      <c r="B378" s="13" t="s">
        <v>544</v>
      </c>
      <c r="C378" s="13"/>
      <c r="D378" s="14" t="s">
        <v>477</v>
      </c>
      <c r="E378" s="13" t="str">
        <f>IFERROR(INDEX('CENTROS DE COSTOS RESOLUCION'!$C:$C,MATCH(D378,'CENTROS DE COSTOS RESOLUCION'!$B:$B,0)),"CÓDIGO NO VÁLIDO")</f>
        <v>MANTENIMIENTO HOSPITALARIO</v>
      </c>
      <c r="F378" s="15" t="str">
        <f>IF(COUNTIF('CENTROS DE COSTOS UTILIZADOS'!$B:$B,D378)&gt;0,"SÍ","NO")</f>
        <v>SÍ</v>
      </c>
      <c r="G378" s="13" t="str">
        <f t="shared" si="5"/>
        <v>P02|CSJSC</v>
      </c>
      <c r="H378" s="13" t="s">
        <v>19</v>
      </c>
      <c r="I378" s="13" t="s">
        <v>336</v>
      </c>
      <c r="J378" s="15" t="s">
        <v>5</v>
      </c>
      <c r="K378" s="15" t="s">
        <v>43</v>
      </c>
      <c r="L378" s="16" t="s">
        <v>492</v>
      </c>
      <c r="M378" s="13" t="s">
        <v>45</v>
      </c>
    </row>
    <row r="379" spans="1:13" x14ac:dyDescent="0.25">
      <c r="A379" s="13">
        <v>4092204</v>
      </c>
      <c r="B379" s="13" t="s">
        <v>545</v>
      </c>
      <c r="C379" s="13"/>
      <c r="D379" s="14" t="s">
        <v>477</v>
      </c>
      <c r="E379" s="13" t="str">
        <f>IFERROR(INDEX('CENTROS DE COSTOS RESOLUCION'!$C:$C,MATCH(D379,'CENTROS DE COSTOS RESOLUCION'!$B:$B,0)),"CÓDIGO NO VÁLIDO")</f>
        <v>MANTENIMIENTO HOSPITALARIO</v>
      </c>
      <c r="F379" s="15" t="str">
        <f>IF(COUNTIF('CENTROS DE COSTOS UTILIZADOS'!$B:$B,D379)&gt;0,"SÍ","NO")</f>
        <v>SÍ</v>
      </c>
      <c r="G379" s="13" t="str">
        <f t="shared" si="5"/>
        <v>P02|CSJSC</v>
      </c>
      <c r="H379" s="13" t="s">
        <v>19</v>
      </c>
      <c r="I379" s="13" t="s">
        <v>336</v>
      </c>
      <c r="J379" s="15" t="s">
        <v>5</v>
      </c>
      <c r="K379" s="15" t="s">
        <v>43</v>
      </c>
      <c r="L379" s="16" t="s">
        <v>494</v>
      </c>
      <c r="M379" s="13" t="s">
        <v>45</v>
      </c>
    </row>
    <row r="380" spans="1:13" x14ac:dyDescent="0.25">
      <c r="A380" s="13">
        <v>4092205</v>
      </c>
      <c r="B380" s="13" t="s">
        <v>546</v>
      </c>
      <c r="C380" s="13"/>
      <c r="D380" s="14" t="s">
        <v>477</v>
      </c>
      <c r="E380" s="13" t="str">
        <f>IFERROR(INDEX('CENTROS DE COSTOS RESOLUCION'!$C:$C,MATCH(D380,'CENTROS DE COSTOS RESOLUCION'!$B:$B,0)),"CÓDIGO NO VÁLIDO")</f>
        <v>MANTENIMIENTO HOSPITALARIO</v>
      </c>
      <c r="F380" s="15" t="str">
        <f>IF(COUNTIF('CENTROS DE COSTOS UTILIZADOS'!$B:$B,D380)&gt;0,"SÍ","NO")</f>
        <v>SÍ</v>
      </c>
      <c r="G380" s="13" t="str">
        <f t="shared" si="5"/>
        <v>P02|CSJSC</v>
      </c>
      <c r="H380" s="13" t="s">
        <v>19</v>
      </c>
      <c r="I380" s="13" t="s">
        <v>336</v>
      </c>
      <c r="J380" s="15" t="s">
        <v>5</v>
      </c>
      <c r="K380" s="15" t="s">
        <v>43</v>
      </c>
      <c r="L380" s="16" t="s">
        <v>496</v>
      </c>
      <c r="M380" s="13" t="s">
        <v>45</v>
      </c>
    </row>
    <row r="381" spans="1:13" x14ac:dyDescent="0.25">
      <c r="A381" s="13">
        <v>4092206</v>
      </c>
      <c r="B381" s="13" t="s">
        <v>547</v>
      </c>
      <c r="C381" s="13"/>
      <c r="D381" s="14" t="s">
        <v>482</v>
      </c>
      <c r="E381" s="13" t="str">
        <f>IFERROR(INDEX('CENTROS DE COSTOS RESOLUCION'!$C:$C,MATCH(D381,'CENTROS DE COSTOS RESOLUCION'!$B:$B,0)),"CÓDIGO NO VÁLIDO")</f>
        <v>LAVANDERIA, VESTUARIO Y COSTURERO</v>
      </c>
      <c r="F381" s="15" t="str">
        <f>IF(COUNTIF('CENTROS DE COSTOS UTILIZADOS'!$B:$B,D381)&gt;0,"SÍ","NO")</f>
        <v>NO</v>
      </c>
      <c r="G381" s="13" t="str">
        <f t="shared" si="5"/>
        <v>P03|CSJSC</v>
      </c>
      <c r="H381" s="13" t="s">
        <v>19</v>
      </c>
      <c r="I381" s="13" t="s">
        <v>336</v>
      </c>
      <c r="J381" s="15" t="s">
        <v>5</v>
      </c>
      <c r="K381" s="15" t="s">
        <v>43</v>
      </c>
      <c r="L381" s="16" t="s">
        <v>483</v>
      </c>
      <c r="M381" s="13" t="s">
        <v>45</v>
      </c>
    </row>
    <row r="382" spans="1:13" x14ac:dyDescent="0.25">
      <c r="A382" s="13">
        <v>4092207</v>
      </c>
      <c r="B382" s="13" t="s">
        <v>548</v>
      </c>
      <c r="C382" s="13"/>
      <c r="D382" s="14" t="s">
        <v>485</v>
      </c>
      <c r="E382" s="13" t="str">
        <f>IFERROR(INDEX('CENTROS DE COSTOS RESOLUCION'!$C:$C,MATCH(D382,'CENTROS DE COSTOS RESOLUCION'!$B:$B,0)),"CÓDIGO NO VÁLIDO")</f>
        <v>COCINA</v>
      </c>
      <c r="F382" s="15" t="str">
        <f>IF(COUNTIF('CENTROS DE COSTOS UTILIZADOS'!$B:$B,D382)&gt;0,"SÍ","NO")</f>
        <v>NO</v>
      </c>
      <c r="G382" s="13" t="str">
        <f t="shared" si="5"/>
        <v>P01|CSJSC</v>
      </c>
      <c r="H382" s="13" t="s">
        <v>19</v>
      </c>
      <c r="I382" s="13" t="s">
        <v>336</v>
      </c>
      <c r="J382" s="15" t="s">
        <v>5</v>
      </c>
      <c r="K382" s="15" t="s">
        <v>43</v>
      </c>
      <c r="L382" s="16" t="s">
        <v>499</v>
      </c>
      <c r="M382" s="13" t="s">
        <v>45</v>
      </c>
    </row>
    <row r="383" spans="1:13" x14ac:dyDescent="0.25">
      <c r="A383" s="13">
        <v>3022106</v>
      </c>
      <c r="B383" s="13" t="s">
        <v>549</v>
      </c>
      <c r="C383" s="13"/>
      <c r="D383" s="14" t="s">
        <v>419</v>
      </c>
      <c r="E383" s="13" t="str">
        <f>IFERROR(INDEX('CENTROS DE COSTOS RESOLUCION'!$C:$C,MATCH(D383,'CENTROS DE COSTOS RESOLUCION'!$B:$B,0)),"CÓDIGO NO VÁLIDO")</f>
        <v>TESORERÍA</v>
      </c>
      <c r="F383" s="15" t="str">
        <f>IF(COUNTIF('CENTROS DE COSTOS UTILIZADOS'!$B:$B,D383)&gt;0,"SÍ","NO")</f>
        <v>SÍ</v>
      </c>
      <c r="G383" s="13" t="str">
        <f t="shared" si="5"/>
        <v>S05|HSLA</v>
      </c>
      <c r="H383" s="13" t="s">
        <v>20</v>
      </c>
      <c r="I383" s="13" t="s">
        <v>42</v>
      </c>
      <c r="J383" s="15" t="s">
        <v>5</v>
      </c>
      <c r="K383" s="15" t="s">
        <v>43</v>
      </c>
      <c r="L383" s="16" t="s">
        <v>550</v>
      </c>
      <c r="M383" s="13" t="s">
        <v>45</v>
      </c>
    </row>
    <row r="384" spans="1:13" x14ac:dyDescent="0.25">
      <c r="A384" s="13">
        <v>3032106</v>
      </c>
      <c r="B384" s="13" t="s">
        <v>551</v>
      </c>
      <c r="C384" s="13"/>
      <c r="D384" s="14" t="s">
        <v>419</v>
      </c>
      <c r="E384" s="13" t="str">
        <f>IFERROR(INDEX('CENTROS DE COSTOS RESOLUCION'!$C:$C,MATCH(D384,'CENTROS DE COSTOS RESOLUCION'!$B:$B,0)),"CÓDIGO NO VÁLIDO")</f>
        <v>TESORERÍA</v>
      </c>
      <c r="F384" s="15" t="str">
        <f>IF(COUNTIF('CENTROS DE COSTOS UTILIZADOS'!$B:$B,D384)&gt;0,"SÍ","NO")</f>
        <v>SÍ</v>
      </c>
      <c r="G384" s="13" t="str">
        <f t="shared" si="5"/>
        <v>S05|HSFF</v>
      </c>
      <c r="H384" s="13" t="s">
        <v>20</v>
      </c>
      <c r="I384" s="13" t="s">
        <v>132</v>
      </c>
      <c r="J384" s="15" t="s">
        <v>5</v>
      </c>
      <c r="K384" s="15" t="s">
        <v>43</v>
      </c>
      <c r="L384" s="16" t="s">
        <v>550</v>
      </c>
      <c r="M384" s="13" t="s">
        <v>45</v>
      </c>
    </row>
    <row r="385" spans="1:13" x14ac:dyDescent="0.25">
      <c r="A385" s="13">
        <v>3042106</v>
      </c>
      <c r="B385" s="13" t="s">
        <v>552</v>
      </c>
      <c r="C385" s="13"/>
      <c r="D385" s="14" t="s">
        <v>419</v>
      </c>
      <c r="E385" s="13" t="str">
        <f>IFERROR(INDEX('CENTROS DE COSTOS RESOLUCION'!$C:$C,MATCH(D385,'CENTROS DE COSTOS RESOLUCION'!$B:$B,0)),"CÓDIGO NO VÁLIDO")</f>
        <v>TESORERÍA</v>
      </c>
      <c r="F385" s="15" t="str">
        <f>IF(COUNTIF('CENTROS DE COSTOS UTILIZADOS'!$B:$B,D385)&gt;0,"SÍ","NO")</f>
        <v>SÍ</v>
      </c>
      <c r="G385" s="13" t="str">
        <f t="shared" si="5"/>
        <v>S05|HSAT</v>
      </c>
      <c r="H385" s="13" t="s">
        <v>20</v>
      </c>
      <c r="I385" s="13" t="s">
        <v>166</v>
      </c>
      <c r="J385" s="15" t="s">
        <v>5</v>
      </c>
      <c r="K385" s="15" t="s">
        <v>43</v>
      </c>
      <c r="L385" s="16" t="s">
        <v>550</v>
      </c>
      <c r="M385" s="13" t="s">
        <v>45</v>
      </c>
    </row>
    <row r="386" spans="1:13" x14ac:dyDescent="0.25">
      <c r="A386" s="13">
        <v>3052106</v>
      </c>
      <c r="B386" s="13" t="s">
        <v>553</v>
      </c>
      <c r="C386" s="13"/>
      <c r="D386" s="14" t="s">
        <v>419</v>
      </c>
      <c r="E386" s="13" t="str">
        <f>IFERROR(INDEX('CENTROS DE COSTOS RESOLUCION'!$C:$C,MATCH(D386,'CENTROS DE COSTOS RESOLUCION'!$B:$B,0)),"CÓDIGO NO VÁLIDO")</f>
        <v>TESORERÍA</v>
      </c>
      <c r="F386" s="15" t="str">
        <f>IF(COUNTIF('CENTROS DE COSTOS UTILIZADOS'!$B:$B,D386)&gt;0,"SÍ","NO")</f>
        <v>SÍ</v>
      </c>
      <c r="G386" s="13" t="str">
        <f t="shared" ref="G386:G449" si="6">D386&amp;"|"&amp;LEFT(I386,FIND(" ",I386&amp;" ")-1)</f>
        <v>S05|HSJDP</v>
      </c>
      <c r="H386" s="13" t="s">
        <v>20</v>
      </c>
      <c r="I386" s="13" t="s">
        <v>200</v>
      </c>
      <c r="J386" s="15" t="s">
        <v>5</v>
      </c>
      <c r="K386" s="15" t="s">
        <v>43</v>
      </c>
      <c r="L386" s="16" t="s">
        <v>550</v>
      </c>
      <c r="M386" s="13" t="s">
        <v>45</v>
      </c>
    </row>
    <row r="387" spans="1:13" x14ac:dyDescent="0.25">
      <c r="A387" s="13">
        <v>3062106</v>
      </c>
      <c r="B387" s="13" t="s">
        <v>554</v>
      </c>
      <c r="C387" s="13"/>
      <c r="D387" s="14" t="s">
        <v>419</v>
      </c>
      <c r="E387" s="13" t="str">
        <f>IFERROR(INDEX('CENTROS DE COSTOS RESOLUCION'!$C:$C,MATCH(D387,'CENTROS DE COSTOS RESOLUCION'!$B:$B,0)),"CÓDIGO NO VÁLIDO")</f>
        <v>TESORERÍA</v>
      </c>
      <c r="F387" s="15" t="str">
        <f>IF(COUNTIF('CENTROS DE COSTOS UTILIZADOS'!$B:$B,D387)&gt;0,"SÍ","NO")</f>
        <v>SÍ</v>
      </c>
      <c r="G387" s="13" t="str">
        <f t="shared" si="6"/>
        <v>S05|HSJCN</v>
      </c>
      <c r="H387" s="13" t="s">
        <v>20</v>
      </c>
      <c r="I387" s="13" t="s">
        <v>234</v>
      </c>
      <c r="J387" s="15" t="s">
        <v>5</v>
      </c>
      <c r="K387" s="15" t="s">
        <v>43</v>
      </c>
      <c r="L387" s="16" t="s">
        <v>550</v>
      </c>
      <c r="M387" s="13" t="s">
        <v>45</v>
      </c>
    </row>
    <row r="388" spans="1:13" x14ac:dyDescent="0.25">
      <c r="A388" s="13">
        <v>3072106</v>
      </c>
      <c r="B388" s="13" t="s">
        <v>555</v>
      </c>
      <c r="C388" s="13"/>
      <c r="D388" s="14" t="s">
        <v>419</v>
      </c>
      <c r="E388" s="13" t="str">
        <f>IFERROR(INDEX('CENTROS DE COSTOS RESOLUCION'!$C:$C,MATCH(D388,'CENTROS DE COSTOS RESOLUCION'!$B:$B,0)),"CÓDIGO NO VÁLIDO")</f>
        <v>TESORERÍA</v>
      </c>
      <c r="F388" s="15" t="str">
        <f>IF(COUNTIF('CENTROS DE COSTOS UTILIZADOS'!$B:$B,D388)&gt;0,"SÍ","NO")</f>
        <v>SÍ</v>
      </c>
      <c r="G388" s="13" t="str">
        <f t="shared" si="6"/>
        <v>S05|HSRP</v>
      </c>
      <c r="H388" s="13" t="s">
        <v>20</v>
      </c>
      <c r="I388" s="13" t="s">
        <v>268</v>
      </c>
      <c r="J388" s="15" t="s">
        <v>5</v>
      </c>
      <c r="K388" s="15" t="s">
        <v>43</v>
      </c>
      <c r="L388" s="16" t="s">
        <v>550</v>
      </c>
      <c r="M388" s="13" t="s">
        <v>45</v>
      </c>
    </row>
    <row r="389" spans="1:13" x14ac:dyDescent="0.25">
      <c r="A389" s="13">
        <v>3082106</v>
      </c>
      <c r="B389" s="13" t="s">
        <v>556</v>
      </c>
      <c r="C389" s="13"/>
      <c r="D389" s="14" t="s">
        <v>419</v>
      </c>
      <c r="E389" s="13" t="str">
        <f>IFERROR(INDEX('CENTROS DE COSTOS RESOLUCION'!$C:$C,MATCH(D389,'CENTROS DE COSTOS RESOLUCION'!$B:$B,0)),"CÓDIGO NO VÁLIDO")</f>
        <v>TESORERÍA</v>
      </c>
      <c r="F389" s="15" t="str">
        <f>IF(COUNTIF('CENTROS DE COSTOS UTILIZADOS'!$B:$B,D389)&gt;0,"SÍ","NO")</f>
        <v>SÍ</v>
      </c>
      <c r="G389" s="13" t="str">
        <f t="shared" si="6"/>
        <v>S05|CSPA</v>
      </c>
      <c r="H389" s="13" t="s">
        <v>20</v>
      </c>
      <c r="I389" s="13" t="s">
        <v>302</v>
      </c>
      <c r="J389" s="15" t="s">
        <v>5</v>
      </c>
      <c r="K389" s="15" t="s">
        <v>43</v>
      </c>
      <c r="L389" s="16" t="s">
        <v>550</v>
      </c>
      <c r="M389" s="13" t="s">
        <v>45</v>
      </c>
    </row>
    <row r="390" spans="1:13" x14ac:dyDescent="0.25">
      <c r="A390" s="13">
        <v>3092106</v>
      </c>
      <c r="B390" s="13" t="s">
        <v>557</v>
      </c>
      <c r="C390" s="13"/>
      <c r="D390" s="14" t="s">
        <v>419</v>
      </c>
      <c r="E390" s="13" t="str">
        <f>IFERROR(INDEX('CENTROS DE COSTOS RESOLUCION'!$C:$C,MATCH(D390,'CENTROS DE COSTOS RESOLUCION'!$B:$B,0)),"CÓDIGO NO VÁLIDO")</f>
        <v>TESORERÍA</v>
      </c>
      <c r="F390" s="15" t="str">
        <f>IF(COUNTIF('CENTROS DE COSTOS UTILIZADOS'!$B:$B,D390)&gt;0,"SÍ","NO")</f>
        <v>SÍ</v>
      </c>
      <c r="G390" s="13" t="str">
        <f t="shared" si="6"/>
        <v>S05|CSJSC</v>
      </c>
      <c r="H390" s="13" t="s">
        <v>20</v>
      </c>
      <c r="I390" s="13" t="s">
        <v>336</v>
      </c>
      <c r="J390" s="15" t="s">
        <v>5</v>
      </c>
      <c r="K390" s="15" t="s">
        <v>43</v>
      </c>
      <c r="L390" s="16" t="s">
        <v>550</v>
      </c>
      <c r="M390" s="13" t="s">
        <v>45</v>
      </c>
    </row>
    <row r="391" spans="1:13" x14ac:dyDescent="0.25">
      <c r="A391" s="13">
        <v>4012208</v>
      </c>
      <c r="B391" s="13" t="s">
        <v>558</v>
      </c>
      <c r="C391" s="13"/>
      <c r="D391" s="14" t="s">
        <v>381</v>
      </c>
      <c r="E391" s="13" t="str">
        <f>IFERROR(INDEX('CENTROS DE COSTOS RESOLUCION'!$C:$C,MATCH(D391,'CENTROS DE COSTOS RESOLUCION'!$B:$B,0)),"CÓDIGO NO VÁLIDO")</f>
        <v>RECURSOS FÍSICOS</v>
      </c>
      <c r="F391" s="15" t="str">
        <f>IF(COUNTIF('CENTROS DE COSTOS UTILIZADOS'!$B:$B,D391)&gt;0,"SÍ","NO")</f>
        <v>SÍ</v>
      </c>
      <c r="G391" s="13" t="str">
        <f t="shared" si="6"/>
        <v>R02|ESE01</v>
      </c>
      <c r="H391" s="13" t="s">
        <v>20</v>
      </c>
      <c r="I391" s="13" t="s">
        <v>371</v>
      </c>
      <c r="J391" s="15" t="s">
        <v>5</v>
      </c>
      <c r="K391" s="15" t="s">
        <v>54</v>
      </c>
      <c r="L391" s="16" t="s">
        <v>559</v>
      </c>
      <c r="M391" s="13" t="s">
        <v>373</v>
      </c>
    </row>
    <row r="392" spans="1:13" x14ac:dyDescent="0.25">
      <c r="A392" s="13">
        <v>4022208</v>
      </c>
      <c r="B392" s="13" t="s">
        <v>560</v>
      </c>
      <c r="C392" s="13"/>
      <c r="D392" s="14" t="s">
        <v>381</v>
      </c>
      <c r="E392" s="13" t="str">
        <f>IFERROR(INDEX('CENTROS DE COSTOS RESOLUCION'!$C:$C,MATCH(D392,'CENTROS DE COSTOS RESOLUCION'!$B:$B,0)),"CÓDIGO NO VÁLIDO")</f>
        <v>RECURSOS FÍSICOS</v>
      </c>
      <c r="F392" s="15" t="str">
        <f>IF(COUNTIF('CENTROS DE COSTOS UTILIZADOS'!$B:$B,D392)&gt;0,"SÍ","NO")</f>
        <v>SÍ</v>
      </c>
      <c r="G392" s="13" t="str">
        <f t="shared" si="6"/>
        <v>R02|HSLA</v>
      </c>
      <c r="H392" s="13" t="s">
        <v>20</v>
      </c>
      <c r="I392" s="13" t="s">
        <v>42</v>
      </c>
      <c r="J392" s="15" t="s">
        <v>5</v>
      </c>
      <c r="K392" s="15" t="s">
        <v>54</v>
      </c>
      <c r="L392" s="16" t="s">
        <v>561</v>
      </c>
      <c r="M392" s="13" t="s">
        <v>45</v>
      </c>
    </row>
    <row r="393" spans="1:13" x14ac:dyDescent="0.25">
      <c r="A393" s="13">
        <v>4032208</v>
      </c>
      <c r="B393" s="13" t="s">
        <v>562</v>
      </c>
      <c r="C393" s="13"/>
      <c r="D393" s="14" t="s">
        <v>381</v>
      </c>
      <c r="E393" s="13" t="str">
        <f>IFERROR(INDEX('CENTROS DE COSTOS RESOLUCION'!$C:$C,MATCH(D393,'CENTROS DE COSTOS RESOLUCION'!$B:$B,0)),"CÓDIGO NO VÁLIDO")</f>
        <v>RECURSOS FÍSICOS</v>
      </c>
      <c r="F393" s="15" t="str">
        <f>IF(COUNTIF('CENTROS DE COSTOS UTILIZADOS'!$B:$B,D393)&gt;0,"SÍ","NO")</f>
        <v>SÍ</v>
      </c>
      <c r="G393" s="13" t="str">
        <f t="shared" si="6"/>
        <v>R02|HSFF</v>
      </c>
      <c r="H393" s="13" t="s">
        <v>20</v>
      </c>
      <c r="I393" s="13" t="s">
        <v>132</v>
      </c>
      <c r="J393" s="15" t="s">
        <v>5</v>
      </c>
      <c r="K393" s="15" t="s">
        <v>54</v>
      </c>
      <c r="L393" s="16" t="s">
        <v>561</v>
      </c>
      <c r="M393" s="13" t="s">
        <v>45</v>
      </c>
    </row>
    <row r="394" spans="1:13" x14ac:dyDescent="0.25">
      <c r="A394" s="13">
        <v>4042208</v>
      </c>
      <c r="B394" s="13" t="s">
        <v>563</v>
      </c>
      <c r="C394" s="13"/>
      <c r="D394" s="14" t="s">
        <v>381</v>
      </c>
      <c r="E394" s="13" t="str">
        <f>IFERROR(INDEX('CENTROS DE COSTOS RESOLUCION'!$C:$C,MATCH(D394,'CENTROS DE COSTOS RESOLUCION'!$B:$B,0)),"CÓDIGO NO VÁLIDO")</f>
        <v>RECURSOS FÍSICOS</v>
      </c>
      <c r="F394" s="15" t="str">
        <f>IF(COUNTIF('CENTROS DE COSTOS UTILIZADOS'!$B:$B,D394)&gt;0,"SÍ","NO")</f>
        <v>SÍ</v>
      </c>
      <c r="G394" s="13" t="str">
        <f t="shared" si="6"/>
        <v>R02|HSAT</v>
      </c>
      <c r="H394" s="13" t="s">
        <v>20</v>
      </c>
      <c r="I394" s="13" t="s">
        <v>166</v>
      </c>
      <c r="J394" s="15" t="s">
        <v>5</v>
      </c>
      <c r="K394" s="15" t="s">
        <v>54</v>
      </c>
      <c r="L394" s="16" t="s">
        <v>561</v>
      </c>
      <c r="M394" s="13" t="s">
        <v>45</v>
      </c>
    </row>
    <row r="395" spans="1:13" x14ac:dyDescent="0.25">
      <c r="A395" s="13">
        <v>4052208</v>
      </c>
      <c r="B395" s="13" t="s">
        <v>564</v>
      </c>
      <c r="C395" s="13"/>
      <c r="D395" s="14" t="s">
        <v>381</v>
      </c>
      <c r="E395" s="13" t="str">
        <f>IFERROR(INDEX('CENTROS DE COSTOS RESOLUCION'!$C:$C,MATCH(D395,'CENTROS DE COSTOS RESOLUCION'!$B:$B,0)),"CÓDIGO NO VÁLIDO")</f>
        <v>RECURSOS FÍSICOS</v>
      </c>
      <c r="F395" s="15" t="str">
        <f>IF(COUNTIF('CENTROS DE COSTOS UTILIZADOS'!$B:$B,D395)&gt;0,"SÍ","NO")</f>
        <v>SÍ</v>
      </c>
      <c r="G395" s="13" t="str">
        <f t="shared" si="6"/>
        <v>R02|HSJDP</v>
      </c>
      <c r="H395" s="13" t="s">
        <v>20</v>
      </c>
      <c r="I395" s="13" t="s">
        <v>200</v>
      </c>
      <c r="J395" s="15" t="s">
        <v>5</v>
      </c>
      <c r="K395" s="15" t="s">
        <v>54</v>
      </c>
      <c r="L395" s="16" t="s">
        <v>561</v>
      </c>
      <c r="M395" s="13" t="s">
        <v>45</v>
      </c>
    </row>
    <row r="396" spans="1:13" x14ac:dyDescent="0.25">
      <c r="A396" s="13">
        <v>4062208</v>
      </c>
      <c r="B396" s="13" t="s">
        <v>565</v>
      </c>
      <c r="C396" s="13"/>
      <c r="D396" s="14" t="s">
        <v>381</v>
      </c>
      <c r="E396" s="13" t="str">
        <f>IFERROR(INDEX('CENTROS DE COSTOS RESOLUCION'!$C:$C,MATCH(D396,'CENTROS DE COSTOS RESOLUCION'!$B:$B,0)),"CÓDIGO NO VÁLIDO")</f>
        <v>RECURSOS FÍSICOS</v>
      </c>
      <c r="F396" s="15" t="str">
        <f>IF(COUNTIF('CENTROS DE COSTOS UTILIZADOS'!$B:$B,D396)&gt;0,"SÍ","NO")</f>
        <v>SÍ</v>
      </c>
      <c r="G396" s="13" t="str">
        <f t="shared" si="6"/>
        <v>R02|HSJCN</v>
      </c>
      <c r="H396" s="13" t="s">
        <v>20</v>
      </c>
      <c r="I396" s="13" t="s">
        <v>234</v>
      </c>
      <c r="J396" s="15" t="s">
        <v>5</v>
      </c>
      <c r="K396" s="15" t="s">
        <v>54</v>
      </c>
      <c r="L396" s="16" t="s">
        <v>561</v>
      </c>
      <c r="M396" s="13" t="s">
        <v>45</v>
      </c>
    </row>
    <row r="397" spans="1:13" x14ac:dyDescent="0.25">
      <c r="A397" s="13">
        <v>4072208</v>
      </c>
      <c r="B397" s="13" t="s">
        <v>566</v>
      </c>
      <c r="C397" s="13"/>
      <c r="D397" s="14" t="s">
        <v>381</v>
      </c>
      <c r="E397" s="13" t="str">
        <f>IFERROR(INDEX('CENTROS DE COSTOS RESOLUCION'!$C:$C,MATCH(D397,'CENTROS DE COSTOS RESOLUCION'!$B:$B,0)),"CÓDIGO NO VÁLIDO")</f>
        <v>RECURSOS FÍSICOS</v>
      </c>
      <c r="F397" s="15" t="str">
        <f>IF(COUNTIF('CENTROS DE COSTOS UTILIZADOS'!$B:$B,D397)&gt;0,"SÍ","NO")</f>
        <v>SÍ</v>
      </c>
      <c r="G397" s="13" t="str">
        <f t="shared" si="6"/>
        <v>R02|HSRP</v>
      </c>
      <c r="H397" s="13" t="s">
        <v>20</v>
      </c>
      <c r="I397" s="13" t="s">
        <v>268</v>
      </c>
      <c r="J397" s="15" t="s">
        <v>5</v>
      </c>
      <c r="K397" s="15" t="s">
        <v>54</v>
      </c>
      <c r="L397" s="16" t="s">
        <v>561</v>
      </c>
      <c r="M397" s="13" t="s">
        <v>45</v>
      </c>
    </row>
    <row r="398" spans="1:13" x14ac:dyDescent="0.25">
      <c r="A398" s="13">
        <v>4082208</v>
      </c>
      <c r="B398" s="13" t="s">
        <v>567</v>
      </c>
      <c r="C398" s="13"/>
      <c r="D398" s="14" t="s">
        <v>381</v>
      </c>
      <c r="E398" s="13" t="str">
        <f>IFERROR(INDEX('CENTROS DE COSTOS RESOLUCION'!$C:$C,MATCH(D398,'CENTROS DE COSTOS RESOLUCION'!$B:$B,0)),"CÓDIGO NO VÁLIDO")</f>
        <v>RECURSOS FÍSICOS</v>
      </c>
      <c r="F398" s="15" t="str">
        <f>IF(COUNTIF('CENTROS DE COSTOS UTILIZADOS'!$B:$B,D398)&gt;0,"SÍ","NO")</f>
        <v>SÍ</v>
      </c>
      <c r="G398" s="13" t="str">
        <f t="shared" si="6"/>
        <v>R02|CSPA</v>
      </c>
      <c r="H398" s="13" t="s">
        <v>20</v>
      </c>
      <c r="I398" s="13" t="s">
        <v>302</v>
      </c>
      <c r="J398" s="15" t="s">
        <v>5</v>
      </c>
      <c r="K398" s="15" t="s">
        <v>54</v>
      </c>
      <c r="L398" s="16" t="s">
        <v>561</v>
      </c>
      <c r="M398" s="13" t="s">
        <v>45</v>
      </c>
    </row>
    <row r="399" spans="1:13" x14ac:dyDescent="0.25">
      <c r="A399" s="13">
        <v>4092208</v>
      </c>
      <c r="B399" s="13" t="s">
        <v>568</v>
      </c>
      <c r="C399" s="13"/>
      <c r="D399" s="14" t="s">
        <v>381</v>
      </c>
      <c r="E399" s="13" t="str">
        <f>IFERROR(INDEX('CENTROS DE COSTOS RESOLUCION'!$C:$C,MATCH(D399,'CENTROS DE COSTOS RESOLUCION'!$B:$B,0)),"CÓDIGO NO VÁLIDO")</f>
        <v>RECURSOS FÍSICOS</v>
      </c>
      <c r="F399" s="15" t="str">
        <f>IF(COUNTIF('CENTROS DE COSTOS UTILIZADOS'!$B:$B,D399)&gt;0,"SÍ","NO")</f>
        <v>SÍ</v>
      </c>
      <c r="G399" s="13" t="str">
        <f t="shared" si="6"/>
        <v>R02|CSJSC</v>
      </c>
      <c r="H399" s="13" t="s">
        <v>20</v>
      </c>
      <c r="I399" s="13" t="s">
        <v>336</v>
      </c>
      <c r="J399" s="15" t="s">
        <v>5</v>
      </c>
      <c r="K399" s="15" t="s">
        <v>54</v>
      </c>
      <c r="L399" s="16" t="s">
        <v>561</v>
      </c>
      <c r="M399" s="13" t="s">
        <v>45</v>
      </c>
    </row>
    <row r="400" spans="1:13" x14ac:dyDescent="0.25">
      <c r="A400" s="13">
        <v>2022016</v>
      </c>
      <c r="B400" s="13" t="s">
        <v>569</v>
      </c>
      <c r="C400" s="13"/>
      <c r="D400" s="14" t="s">
        <v>570</v>
      </c>
      <c r="E400" s="13" t="str">
        <f>IFERROR(INDEX('CENTROS DE COSTOS RESOLUCION'!$C:$C,MATCH(D400,'CENTROS DE COSTOS RESOLUCION'!$B:$B,0)),"CÓDIGO NO VÁLIDO")</f>
        <v>COORDINACIÓN ADMINISTRATIVA</v>
      </c>
      <c r="F400" s="15" t="str">
        <f>IF(COUNTIF('CENTROS DE COSTOS UTILIZADOS'!$B:$B,D400)&gt;0,"SÍ","NO")</f>
        <v>SÍ</v>
      </c>
      <c r="G400" s="13" t="str">
        <f t="shared" si="6"/>
        <v>R01|HSLA</v>
      </c>
      <c r="H400" s="13" t="s">
        <v>20</v>
      </c>
      <c r="I400" s="13" t="s">
        <v>42</v>
      </c>
      <c r="J400" s="15" t="s">
        <v>5</v>
      </c>
      <c r="K400" s="15" t="s">
        <v>43</v>
      </c>
      <c r="L400" s="16" t="s">
        <v>571</v>
      </c>
      <c r="M400" s="13" t="s">
        <v>45</v>
      </c>
    </row>
    <row r="401" spans="1:13" x14ac:dyDescent="0.25">
      <c r="A401" s="13">
        <v>2032016</v>
      </c>
      <c r="B401" s="13" t="s">
        <v>572</v>
      </c>
      <c r="C401" s="13"/>
      <c r="D401" s="14" t="s">
        <v>570</v>
      </c>
      <c r="E401" s="13" t="str">
        <f>IFERROR(INDEX('CENTROS DE COSTOS RESOLUCION'!$C:$C,MATCH(D401,'CENTROS DE COSTOS RESOLUCION'!$B:$B,0)),"CÓDIGO NO VÁLIDO")</f>
        <v>COORDINACIÓN ADMINISTRATIVA</v>
      </c>
      <c r="F401" s="15" t="str">
        <f>IF(COUNTIF('CENTROS DE COSTOS UTILIZADOS'!$B:$B,D401)&gt;0,"SÍ","NO")</f>
        <v>SÍ</v>
      </c>
      <c r="G401" s="13" t="str">
        <f t="shared" si="6"/>
        <v>R01|HSFF</v>
      </c>
      <c r="H401" s="13" t="s">
        <v>20</v>
      </c>
      <c r="I401" s="13" t="s">
        <v>132</v>
      </c>
      <c r="J401" s="15" t="s">
        <v>5</v>
      </c>
      <c r="K401" s="15" t="s">
        <v>43</v>
      </c>
      <c r="L401" s="16" t="s">
        <v>571</v>
      </c>
      <c r="M401" s="13" t="s">
        <v>45</v>
      </c>
    </row>
    <row r="402" spans="1:13" x14ac:dyDescent="0.25">
      <c r="A402" s="13">
        <v>2042016</v>
      </c>
      <c r="B402" s="13" t="s">
        <v>573</v>
      </c>
      <c r="C402" s="13"/>
      <c r="D402" s="14" t="s">
        <v>570</v>
      </c>
      <c r="E402" s="13" t="str">
        <f>IFERROR(INDEX('CENTROS DE COSTOS RESOLUCION'!$C:$C,MATCH(D402,'CENTROS DE COSTOS RESOLUCION'!$B:$B,0)),"CÓDIGO NO VÁLIDO")</f>
        <v>COORDINACIÓN ADMINISTRATIVA</v>
      </c>
      <c r="F402" s="15" t="str">
        <f>IF(COUNTIF('CENTROS DE COSTOS UTILIZADOS'!$B:$B,D402)&gt;0,"SÍ","NO")</f>
        <v>SÍ</v>
      </c>
      <c r="G402" s="13" t="str">
        <f t="shared" si="6"/>
        <v>R01|HSAT</v>
      </c>
      <c r="H402" s="13" t="s">
        <v>20</v>
      </c>
      <c r="I402" s="13" t="s">
        <v>166</v>
      </c>
      <c r="J402" s="15" t="s">
        <v>5</v>
      </c>
      <c r="K402" s="15" t="s">
        <v>43</v>
      </c>
      <c r="L402" s="16" t="s">
        <v>571</v>
      </c>
      <c r="M402" s="13" t="s">
        <v>45</v>
      </c>
    </row>
    <row r="403" spans="1:13" x14ac:dyDescent="0.25">
      <c r="A403" s="13">
        <v>2052016</v>
      </c>
      <c r="B403" s="13" t="s">
        <v>574</v>
      </c>
      <c r="C403" s="13"/>
      <c r="D403" s="14" t="s">
        <v>570</v>
      </c>
      <c r="E403" s="13" t="str">
        <f>IFERROR(INDEX('CENTROS DE COSTOS RESOLUCION'!$C:$C,MATCH(D403,'CENTROS DE COSTOS RESOLUCION'!$B:$B,0)),"CÓDIGO NO VÁLIDO")</f>
        <v>COORDINACIÓN ADMINISTRATIVA</v>
      </c>
      <c r="F403" s="15" t="str">
        <f>IF(COUNTIF('CENTROS DE COSTOS UTILIZADOS'!$B:$B,D403)&gt;0,"SÍ","NO")</f>
        <v>SÍ</v>
      </c>
      <c r="G403" s="13" t="str">
        <f t="shared" si="6"/>
        <v>R01|HSJDP</v>
      </c>
      <c r="H403" s="13" t="s">
        <v>20</v>
      </c>
      <c r="I403" s="13" t="s">
        <v>200</v>
      </c>
      <c r="J403" s="15" t="s">
        <v>5</v>
      </c>
      <c r="K403" s="15" t="s">
        <v>43</v>
      </c>
      <c r="L403" s="16" t="s">
        <v>571</v>
      </c>
      <c r="M403" s="13" t="s">
        <v>45</v>
      </c>
    </row>
    <row r="404" spans="1:13" x14ac:dyDescent="0.25">
      <c r="A404" s="13">
        <v>2062016</v>
      </c>
      <c r="B404" s="13" t="s">
        <v>575</v>
      </c>
      <c r="C404" s="13"/>
      <c r="D404" s="14" t="s">
        <v>570</v>
      </c>
      <c r="E404" s="13" t="str">
        <f>IFERROR(INDEX('CENTROS DE COSTOS RESOLUCION'!$C:$C,MATCH(D404,'CENTROS DE COSTOS RESOLUCION'!$B:$B,0)),"CÓDIGO NO VÁLIDO")</f>
        <v>COORDINACIÓN ADMINISTRATIVA</v>
      </c>
      <c r="F404" s="15" t="str">
        <f>IF(COUNTIF('CENTROS DE COSTOS UTILIZADOS'!$B:$B,D404)&gt;0,"SÍ","NO")</f>
        <v>SÍ</v>
      </c>
      <c r="G404" s="13" t="str">
        <f t="shared" si="6"/>
        <v>R01|HSJCN</v>
      </c>
      <c r="H404" s="13" t="s">
        <v>20</v>
      </c>
      <c r="I404" s="13" t="s">
        <v>234</v>
      </c>
      <c r="J404" s="15" t="s">
        <v>5</v>
      </c>
      <c r="K404" s="15" t="s">
        <v>43</v>
      </c>
      <c r="L404" s="16" t="s">
        <v>571</v>
      </c>
      <c r="M404" s="13" t="s">
        <v>45</v>
      </c>
    </row>
    <row r="405" spans="1:13" x14ac:dyDescent="0.25">
      <c r="A405" s="13">
        <v>2072016</v>
      </c>
      <c r="B405" s="13" t="s">
        <v>576</v>
      </c>
      <c r="C405" s="13"/>
      <c r="D405" s="14" t="s">
        <v>570</v>
      </c>
      <c r="E405" s="13" t="str">
        <f>IFERROR(INDEX('CENTROS DE COSTOS RESOLUCION'!$C:$C,MATCH(D405,'CENTROS DE COSTOS RESOLUCION'!$B:$B,0)),"CÓDIGO NO VÁLIDO")</f>
        <v>COORDINACIÓN ADMINISTRATIVA</v>
      </c>
      <c r="F405" s="15" t="str">
        <f>IF(COUNTIF('CENTROS DE COSTOS UTILIZADOS'!$B:$B,D405)&gt;0,"SÍ","NO")</f>
        <v>SÍ</v>
      </c>
      <c r="G405" s="13" t="str">
        <f t="shared" si="6"/>
        <v>R01|HSRP</v>
      </c>
      <c r="H405" s="13" t="s">
        <v>20</v>
      </c>
      <c r="I405" s="13" t="s">
        <v>268</v>
      </c>
      <c r="J405" s="15" t="s">
        <v>5</v>
      </c>
      <c r="K405" s="15" t="s">
        <v>43</v>
      </c>
      <c r="L405" s="16" t="s">
        <v>571</v>
      </c>
      <c r="M405" s="13" t="s">
        <v>45</v>
      </c>
    </row>
    <row r="406" spans="1:13" x14ac:dyDescent="0.25">
      <c r="A406" s="13">
        <v>2082016</v>
      </c>
      <c r="B406" s="13" t="s">
        <v>577</v>
      </c>
      <c r="C406" s="13"/>
      <c r="D406" s="14" t="s">
        <v>570</v>
      </c>
      <c r="E406" s="13" t="str">
        <f>IFERROR(INDEX('CENTROS DE COSTOS RESOLUCION'!$C:$C,MATCH(D406,'CENTROS DE COSTOS RESOLUCION'!$B:$B,0)),"CÓDIGO NO VÁLIDO")</f>
        <v>COORDINACIÓN ADMINISTRATIVA</v>
      </c>
      <c r="F406" s="15" t="str">
        <f>IF(COUNTIF('CENTROS DE COSTOS UTILIZADOS'!$B:$B,D406)&gt;0,"SÍ","NO")</f>
        <v>SÍ</v>
      </c>
      <c r="G406" s="13" t="str">
        <f t="shared" si="6"/>
        <v>R01|CSPA</v>
      </c>
      <c r="H406" s="13" t="s">
        <v>20</v>
      </c>
      <c r="I406" s="13" t="s">
        <v>302</v>
      </c>
      <c r="J406" s="15" t="s">
        <v>5</v>
      </c>
      <c r="K406" s="15" t="s">
        <v>43</v>
      </c>
      <c r="L406" s="16" t="s">
        <v>571</v>
      </c>
      <c r="M406" s="13" t="s">
        <v>45</v>
      </c>
    </row>
    <row r="407" spans="1:13" x14ac:dyDescent="0.25">
      <c r="A407" s="13">
        <v>2092016</v>
      </c>
      <c r="B407" s="13" t="s">
        <v>578</v>
      </c>
      <c r="C407" s="13"/>
      <c r="D407" s="14" t="s">
        <v>570</v>
      </c>
      <c r="E407" s="13" t="str">
        <f>IFERROR(INDEX('CENTROS DE COSTOS RESOLUCION'!$C:$C,MATCH(D407,'CENTROS DE COSTOS RESOLUCION'!$B:$B,0)),"CÓDIGO NO VÁLIDO")</f>
        <v>COORDINACIÓN ADMINISTRATIVA</v>
      </c>
      <c r="F407" s="15" t="str">
        <f>IF(COUNTIF('CENTROS DE COSTOS UTILIZADOS'!$B:$B,D407)&gt;0,"SÍ","NO")</f>
        <v>SÍ</v>
      </c>
      <c r="G407" s="13" t="str">
        <f t="shared" si="6"/>
        <v>R01|CSJSC</v>
      </c>
      <c r="H407" s="13" t="s">
        <v>20</v>
      </c>
      <c r="I407" s="13" t="s">
        <v>336</v>
      </c>
      <c r="J407" s="15" t="s">
        <v>5</v>
      </c>
      <c r="K407" s="15" t="s">
        <v>43</v>
      </c>
      <c r="L407" s="16" t="s">
        <v>571</v>
      </c>
      <c r="M407" s="13" t="s">
        <v>45</v>
      </c>
    </row>
    <row r="408" spans="1:13" x14ac:dyDescent="0.25">
      <c r="A408" s="13">
        <v>2012016</v>
      </c>
      <c r="B408" s="13" t="s">
        <v>579</v>
      </c>
      <c r="C408" s="13"/>
      <c r="D408" s="14" t="s">
        <v>570</v>
      </c>
      <c r="E408" s="13" t="str">
        <f>IFERROR(INDEX('CENTROS DE COSTOS RESOLUCION'!$C:$C,MATCH(D408,'CENTROS DE COSTOS RESOLUCION'!$B:$B,0)),"CÓDIGO NO VÁLIDO")</f>
        <v>COORDINACIÓN ADMINISTRATIVA</v>
      </c>
      <c r="F408" s="15" t="str">
        <f>IF(COUNTIF('CENTROS DE COSTOS UTILIZADOS'!$B:$B,D408)&gt;0,"SÍ","NO")</f>
        <v>SÍ</v>
      </c>
      <c r="G408" s="13" t="str">
        <f t="shared" si="6"/>
        <v>R01|ESE01</v>
      </c>
      <c r="H408" s="13" t="s">
        <v>20</v>
      </c>
      <c r="I408" s="13" t="s">
        <v>371</v>
      </c>
      <c r="J408" s="15" t="s">
        <v>5</v>
      </c>
      <c r="K408" s="15" t="s">
        <v>43</v>
      </c>
      <c r="L408" s="16" t="s">
        <v>580</v>
      </c>
      <c r="M408" s="13" t="s">
        <v>373</v>
      </c>
    </row>
    <row r="409" spans="1:13" x14ac:dyDescent="0.25">
      <c r="A409" s="13">
        <v>2022009</v>
      </c>
      <c r="B409" s="13" t="s">
        <v>581</v>
      </c>
      <c r="C409" s="13"/>
      <c r="D409" s="14" t="s">
        <v>396</v>
      </c>
      <c r="E409" s="13" t="str">
        <f>IFERROR(INDEX('CENTROS DE COSTOS RESOLUCION'!$C:$C,MATCH(D409,'CENTROS DE COSTOS RESOLUCION'!$B:$B,0)),"CÓDIGO NO VÁLIDO")</f>
        <v>SISTEMAS</v>
      </c>
      <c r="F409" s="15" t="str">
        <f>IF(COUNTIF('CENTROS DE COSTOS UTILIZADOS'!$B:$B,D409)&gt;0,"SÍ","NO")</f>
        <v>SÍ</v>
      </c>
      <c r="G409" s="13" t="str">
        <f t="shared" si="6"/>
        <v>T07|HSLA</v>
      </c>
      <c r="H409" s="13" t="s">
        <v>20</v>
      </c>
      <c r="I409" s="13" t="s">
        <v>42</v>
      </c>
      <c r="J409" s="15" t="s">
        <v>5</v>
      </c>
      <c r="K409" s="15" t="s">
        <v>43</v>
      </c>
      <c r="L409" s="16" t="s">
        <v>582</v>
      </c>
      <c r="M409" s="13" t="s">
        <v>45</v>
      </c>
    </row>
    <row r="410" spans="1:13" x14ac:dyDescent="0.25">
      <c r="A410" s="13">
        <v>2032009</v>
      </c>
      <c r="B410" s="13" t="s">
        <v>583</v>
      </c>
      <c r="C410" s="13"/>
      <c r="D410" s="14" t="s">
        <v>396</v>
      </c>
      <c r="E410" s="13" t="str">
        <f>IFERROR(INDEX('CENTROS DE COSTOS RESOLUCION'!$C:$C,MATCH(D410,'CENTROS DE COSTOS RESOLUCION'!$B:$B,0)),"CÓDIGO NO VÁLIDO")</f>
        <v>SISTEMAS</v>
      </c>
      <c r="F410" s="15" t="str">
        <f>IF(COUNTIF('CENTROS DE COSTOS UTILIZADOS'!$B:$B,D410)&gt;0,"SÍ","NO")</f>
        <v>SÍ</v>
      </c>
      <c r="G410" s="13" t="str">
        <f t="shared" si="6"/>
        <v>T07|HSFF</v>
      </c>
      <c r="H410" s="13" t="s">
        <v>20</v>
      </c>
      <c r="I410" s="13" t="s">
        <v>132</v>
      </c>
      <c r="J410" s="15" t="s">
        <v>5</v>
      </c>
      <c r="K410" s="15" t="s">
        <v>43</v>
      </c>
      <c r="L410" s="16" t="s">
        <v>582</v>
      </c>
      <c r="M410" s="13" t="s">
        <v>45</v>
      </c>
    </row>
    <row r="411" spans="1:13" x14ac:dyDescent="0.25">
      <c r="A411" s="13">
        <v>2042009</v>
      </c>
      <c r="B411" s="13" t="s">
        <v>584</v>
      </c>
      <c r="C411" s="13"/>
      <c r="D411" s="14" t="s">
        <v>396</v>
      </c>
      <c r="E411" s="13" t="str">
        <f>IFERROR(INDEX('CENTROS DE COSTOS RESOLUCION'!$C:$C,MATCH(D411,'CENTROS DE COSTOS RESOLUCION'!$B:$B,0)),"CÓDIGO NO VÁLIDO")</f>
        <v>SISTEMAS</v>
      </c>
      <c r="F411" s="15" t="str">
        <f>IF(COUNTIF('CENTROS DE COSTOS UTILIZADOS'!$B:$B,D411)&gt;0,"SÍ","NO")</f>
        <v>SÍ</v>
      </c>
      <c r="G411" s="13" t="str">
        <f t="shared" si="6"/>
        <v>T07|HSAT</v>
      </c>
      <c r="H411" s="13" t="s">
        <v>20</v>
      </c>
      <c r="I411" s="13" t="s">
        <v>166</v>
      </c>
      <c r="J411" s="15" t="s">
        <v>5</v>
      </c>
      <c r="K411" s="15" t="s">
        <v>43</v>
      </c>
      <c r="L411" s="16" t="s">
        <v>582</v>
      </c>
      <c r="M411" s="13" t="s">
        <v>45</v>
      </c>
    </row>
    <row r="412" spans="1:13" x14ac:dyDescent="0.25">
      <c r="A412" s="13">
        <v>2052009</v>
      </c>
      <c r="B412" s="13" t="s">
        <v>585</v>
      </c>
      <c r="C412" s="13"/>
      <c r="D412" s="14" t="s">
        <v>396</v>
      </c>
      <c r="E412" s="13" t="str">
        <f>IFERROR(INDEX('CENTROS DE COSTOS RESOLUCION'!$C:$C,MATCH(D412,'CENTROS DE COSTOS RESOLUCION'!$B:$B,0)),"CÓDIGO NO VÁLIDO")</f>
        <v>SISTEMAS</v>
      </c>
      <c r="F412" s="15" t="str">
        <f>IF(COUNTIF('CENTROS DE COSTOS UTILIZADOS'!$B:$B,D412)&gt;0,"SÍ","NO")</f>
        <v>SÍ</v>
      </c>
      <c r="G412" s="13" t="str">
        <f t="shared" si="6"/>
        <v>T07|HSJDP</v>
      </c>
      <c r="H412" s="13" t="s">
        <v>20</v>
      </c>
      <c r="I412" s="13" t="s">
        <v>200</v>
      </c>
      <c r="J412" s="15" t="s">
        <v>5</v>
      </c>
      <c r="K412" s="15" t="s">
        <v>43</v>
      </c>
      <c r="L412" s="16" t="s">
        <v>582</v>
      </c>
      <c r="M412" s="13" t="s">
        <v>45</v>
      </c>
    </row>
    <row r="413" spans="1:13" x14ac:dyDescent="0.25">
      <c r="A413" s="13">
        <v>2062009</v>
      </c>
      <c r="B413" s="13" t="s">
        <v>586</v>
      </c>
      <c r="C413" s="13"/>
      <c r="D413" s="14" t="s">
        <v>396</v>
      </c>
      <c r="E413" s="13" t="str">
        <f>IFERROR(INDEX('CENTROS DE COSTOS RESOLUCION'!$C:$C,MATCH(D413,'CENTROS DE COSTOS RESOLUCION'!$B:$B,0)),"CÓDIGO NO VÁLIDO")</f>
        <v>SISTEMAS</v>
      </c>
      <c r="F413" s="15" t="str">
        <f>IF(COUNTIF('CENTROS DE COSTOS UTILIZADOS'!$B:$B,D413)&gt;0,"SÍ","NO")</f>
        <v>SÍ</v>
      </c>
      <c r="G413" s="13" t="str">
        <f t="shared" si="6"/>
        <v>T07|HSJCN</v>
      </c>
      <c r="H413" s="13" t="s">
        <v>20</v>
      </c>
      <c r="I413" s="13" t="s">
        <v>234</v>
      </c>
      <c r="J413" s="15" t="s">
        <v>5</v>
      </c>
      <c r="K413" s="15" t="s">
        <v>43</v>
      </c>
      <c r="L413" s="16" t="s">
        <v>582</v>
      </c>
      <c r="M413" s="13" t="s">
        <v>45</v>
      </c>
    </row>
    <row r="414" spans="1:13" x14ac:dyDescent="0.25">
      <c r="A414" s="13">
        <v>2072009</v>
      </c>
      <c r="B414" s="13" t="s">
        <v>587</v>
      </c>
      <c r="C414" s="13"/>
      <c r="D414" s="14" t="s">
        <v>396</v>
      </c>
      <c r="E414" s="13" t="str">
        <f>IFERROR(INDEX('CENTROS DE COSTOS RESOLUCION'!$C:$C,MATCH(D414,'CENTROS DE COSTOS RESOLUCION'!$B:$B,0)),"CÓDIGO NO VÁLIDO")</f>
        <v>SISTEMAS</v>
      </c>
      <c r="F414" s="15" t="str">
        <f>IF(COUNTIF('CENTROS DE COSTOS UTILIZADOS'!$B:$B,D414)&gt;0,"SÍ","NO")</f>
        <v>SÍ</v>
      </c>
      <c r="G414" s="13" t="str">
        <f t="shared" si="6"/>
        <v>T07|HSRP</v>
      </c>
      <c r="H414" s="13" t="s">
        <v>20</v>
      </c>
      <c r="I414" s="13" t="s">
        <v>268</v>
      </c>
      <c r="J414" s="15" t="s">
        <v>5</v>
      </c>
      <c r="K414" s="15" t="s">
        <v>43</v>
      </c>
      <c r="L414" s="16" t="s">
        <v>582</v>
      </c>
      <c r="M414" s="13" t="s">
        <v>45</v>
      </c>
    </row>
    <row r="415" spans="1:13" x14ac:dyDescent="0.25">
      <c r="A415" s="13">
        <v>2082009</v>
      </c>
      <c r="B415" s="13" t="s">
        <v>588</v>
      </c>
      <c r="C415" s="13"/>
      <c r="D415" s="14" t="s">
        <v>396</v>
      </c>
      <c r="E415" s="13" t="str">
        <f>IFERROR(INDEX('CENTROS DE COSTOS RESOLUCION'!$C:$C,MATCH(D415,'CENTROS DE COSTOS RESOLUCION'!$B:$B,0)),"CÓDIGO NO VÁLIDO")</f>
        <v>SISTEMAS</v>
      </c>
      <c r="F415" s="15" t="str">
        <f>IF(COUNTIF('CENTROS DE COSTOS UTILIZADOS'!$B:$B,D415)&gt;0,"SÍ","NO")</f>
        <v>SÍ</v>
      </c>
      <c r="G415" s="13" t="str">
        <f t="shared" si="6"/>
        <v>T07|CSPA</v>
      </c>
      <c r="H415" s="13" t="s">
        <v>20</v>
      </c>
      <c r="I415" s="13" t="s">
        <v>302</v>
      </c>
      <c r="J415" s="15" t="s">
        <v>5</v>
      </c>
      <c r="K415" s="15" t="s">
        <v>43</v>
      </c>
      <c r="L415" s="16" t="s">
        <v>582</v>
      </c>
      <c r="M415" s="13" t="s">
        <v>45</v>
      </c>
    </row>
    <row r="416" spans="1:13" x14ac:dyDescent="0.25">
      <c r="A416" s="13">
        <v>2092009</v>
      </c>
      <c r="B416" s="13" t="s">
        <v>589</v>
      </c>
      <c r="C416" s="13"/>
      <c r="D416" s="14" t="s">
        <v>396</v>
      </c>
      <c r="E416" s="13" t="str">
        <f>IFERROR(INDEX('CENTROS DE COSTOS RESOLUCION'!$C:$C,MATCH(D416,'CENTROS DE COSTOS RESOLUCION'!$B:$B,0)),"CÓDIGO NO VÁLIDO")</f>
        <v>SISTEMAS</v>
      </c>
      <c r="F416" s="15" t="str">
        <f>IF(COUNTIF('CENTROS DE COSTOS UTILIZADOS'!$B:$B,D416)&gt;0,"SÍ","NO")</f>
        <v>SÍ</v>
      </c>
      <c r="G416" s="13" t="str">
        <f t="shared" si="6"/>
        <v>T07|CSJSC</v>
      </c>
      <c r="H416" s="13" t="s">
        <v>20</v>
      </c>
      <c r="I416" s="13" t="s">
        <v>336</v>
      </c>
      <c r="J416" s="15" t="s">
        <v>5</v>
      </c>
      <c r="K416" s="15" t="s">
        <v>43</v>
      </c>
      <c r="L416" s="16" t="s">
        <v>582</v>
      </c>
      <c r="M416" s="13" t="s">
        <v>45</v>
      </c>
    </row>
    <row r="417" spans="1:13" x14ac:dyDescent="0.25">
      <c r="A417" s="13">
        <v>1010204</v>
      </c>
      <c r="B417" s="13" t="s">
        <v>590</v>
      </c>
      <c r="C417" s="13"/>
      <c r="D417" s="14" t="s">
        <v>60</v>
      </c>
      <c r="E417" s="13" t="str">
        <f>IFERROR(INDEX('CENTROS DE COSTOS RESOLUCION'!$C:$C,MATCH(D417,'CENTROS DE COSTOS RESOLUCION'!$B:$B,0)),"CÓDIGO NO VÁLIDO")</f>
        <v>PROMOCIÓN Y PREVENCIÓN</v>
      </c>
      <c r="F417" s="15" t="str">
        <f>IF(COUNTIF('CENTROS DE COSTOS UTILIZADOS'!$B:$B,D417)&gt;0,"SÍ","NO")</f>
        <v>SÍ</v>
      </c>
      <c r="G417" s="13" t="str">
        <f t="shared" si="6"/>
        <v>N03|ESE01</v>
      </c>
      <c r="H417" s="13" t="s">
        <v>17</v>
      </c>
      <c r="I417" s="13" t="s">
        <v>371</v>
      </c>
      <c r="J417" s="15" t="s">
        <v>5</v>
      </c>
      <c r="K417" s="15" t="s">
        <v>43</v>
      </c>
      <c r="L417" s="16" t="s">
        <v>591</v>
      </c>
      <c r="M417" s="13" t="s">
        <v>373</v>
      </c>
    </row>
    <row r="418" spans="1:13" x14ac:dyDescent="0.25">
      <c r="A418" s="13">
        <v>4012209</v>
      </c>
      <c r="B418" s="13" t="s">
        <v>592</v>
      </c>
      <c r="C418" s="13"/>
      <c r="D418" s="14" t="s">
        <v>404</v>
      </c>
      <c r="E418" s="13" t="str">
        <f>IFERROR(INDEX('CENTROS DE COSTOS RESOLUCION'!$C:$C,MATCH(D418,'CENTROS DE COSTOS RESOLUCION'!$B:$B,0)),"CÓDIGO NO VÁLIDO")</f>
        <v>ASEO Y LIMPIEZA</v>
      </c>
      <c r="F418" s="15" t="str">
        <f>IF(COUNTIF('CENTROS DE COSTOS UTILIZADOS'!$B:$B,D418)&gt;0,"SÍ","NO")</f>
        <v>SÍ</v>
      </c>
      <c r="G418" s="13" t="str">
        <f t="shared" si="6"/>
        <v>R04|ESE01</v>
      </c>
      <c r="H418" s="13" t="s">
        <v>20</v>
      </c>
      <c r="I418" s="13" t="s">
        <v>371</v>
      </c>
      <c r="J418" s="15" t="s">
        <v>5</v>
      </c>
      <c r="K418" s="15" t="s">
        <v>54</v>
      </c>
      <c r="L418" s="16" t="s">
        <v>593</v>
      </c>
      <c r="M418" s="13" t="s">
        <v>373</v>
      </c>
    </row>
    <row r="419" spans="1:13" ht="25.5" x14ac:dyDescent="0.25">
      <c r="A419" s="13">
        <v>4022209</v>
      </c>
      <c r="B419" s="13" t="s">
        <v>594</v>
      </c>
      <c r="C419" s="13"/>
      <c r="D419" s="14" t="s">
        <v>404</v>
      </c>
      <c r="E419" s="13" t="str">
        <f>IFERROR(INDEX('CENTROS DE COSTOS RESOLUCION'!$C:$C,MATCH(D419,'CENTROS DE COSTOS RESOLUCION'!$B:$B,0)),"CÓDIGO NO VÁLIDO")</f>
        <v>ASEO Y LIMPIEZA</v>
      </c>
      <c r="F419" s="15" t="str">
        <f>IF(COUNTIF('CENTROS DE COSTOS UTILIZADOS'!$B:$B,D419)&gt;0,"SÍ","NO")</f>
        <v>SÍ</v>
      </c>
      <c r="G419" s="13" t="str">
        <f t="shared" si="6"/>
        <v>R04|HSLA</v>
      </c>
      <c r="H419" s="13" t="s">
        <v>20</v>
      </c>
      <c r="I419" s="13" t="s">
        <v>42</v>
      </c>
      <c r="J419" s="15" t="s">
        <v>5</v>
      </c>
      <c r="K419" s="15" t="s">
        <v>54</v>
      </c>
      <c r="L419" s="16" t="s">
        <v>595</v>
      </c>
      <c r="M419" s="13" t="s">
        <v>45</v>
      </c>
    </row>
    <row r="420" spans="1:13" ht="25.5" x14ac:dyDescent="0.25">
      <c r="A420" s="13">
        <v>4032209</v>
      </c>
      <c r="B420" s="13" t="s">
        <v>596</v>
      </c>
      <c r="C420" s="13"/>
      <c r="D420" s="14" t="s">
        <v>404</v>
      </c>
      <c r="E420" s="13" t="str">
        <f>IFERROR(INDEX('CENTROS DE COSTOS RESOLUCION'!$C:$C,MATCH(D420,'CENTROS DE COSTOS RESOLUCION'!$B:$B,0)),"CÓDIGO NO VÁLIDO")</f>
        <v>ASEO Y LIMPIEZA</v>
      </c>
      <c r="F420" s="15" t="str">
        <f>IF(COUNTIF('CENTROS DE COSTOS UTILIZADOS'!$B:$B,D420)&gt;0,"SÍ","NO")</f>
        <v>SÍ</v>
      </c>
      <c r="G420" s="13" t="str">
        <f t="shared" si="6"/>
        <v>R04|HSFF</v>
      </c>
      <c r="H420" s="13" t="s">
        <v>20</v>
      </c>
      <c r="I420" s="13" t="s">
        <v>132</v>
      </c>
      <c r="J420" s="15" t="s">
        <v>5</v>
      </c>
      <c r="K420" s="15" t="s">
        <v>54</v>
      </c>
      <c r="L420" s="16" t="s">
        <v>595</v>
      </c>
      <c r="M420" s="13" t="s">
        <v>45</v>
      </c>
    </row>
    <row r="421" spans="1:13" ht="25.5" x14ac:dyDescent="0.25">
      <c r="A421" s="13">
        <v>4042209</v>
      </c>
      <c r="B421" s="13" t="s">
        <v>597</v>
      </c>
      <c r="C421" s="13"/>
      <c r="D421" s="14" t="s">
        <v>404</v>
      </c>
      <c r="E421" s="13" t="str">
        <f>IFERROR(INDEX('CENTROS DE COSTOS RESOLUCION'!$C:$C,MATCH(D421,'CENTROS DE COSTOS RESOLUCION'!$B:$B,0)),"CÓDIGO NO VÁLIDO")</f>
        <v>ASEO Y LIMPIEZA</v>
      </c>
      <c r="F421" s="15" t="str">
        <f>IF(COUNTIF('CENTROS DE COSTOS UTILIZADOS'!$B:$B,D421)&gt;0,"SÍ","NO")</f>
        <v>SÍ</v>
      </c>
      <c r="G421" s="13" t="str">
        <f t="shared" si="6"/>
        <v>R04|HSAT</v>
      </c>
      <c r="H421" s="13" t="s">
        <v>20</v>
      </c>
      <c r="I421" s="13" t="s">
        <v>166</v>
      </c>
      <c r="J421" s="15" t="s">
        <v>5</v>
      </c>
      <c r="K421" s="15" t="s">
        <v>54</v>
      </c>
      <c r="L421" s="16" t="s">
        <v>595</v>
      </c>
      <c r="M421" s="13" t="s">
        <v>45</v>
      </c>
    </row>
    <row r="422" spans="1:13" ht="25.5" x14ac:dyDescent="0.25">
      <c r="A422" s="13">
        <v>4052209</v>
      </c>
      <c r="B422" s="13" t="s">
        <v>598</v>
      </c>
      <c r="C422" s="13"/>
      <c r="D422" s="14" t="s">
        <v>404</v>
      </c>
      <c r="E422" s="13" t="str">
        <f>IFERROR(INDEX('CENTROS DE COSTOS RESOLUCION'!$C:$C,MATCH(D422,'CENTROS DE COSTOS RESOLUCION'!$B:$B,0)),"CÓDIGO NO VÁLIDO")</f>
        <v>ASEO Y LIMPIEZA</v>
      </c>
      <c r="F422" s="15" t="str">
        <f>IF(COUNTIF('CENTROS DE COSTOS UTILIZADOS'!$B:$B,D422)&gt;0,"SÍ","NO")</f>
        <v>SÍ</v>
      </c>
      <c r="G422" s="13" t="str">
        <f t="shared" si="6"/>
        <v>R04|HSJDP</v>
      </c>
      <c r="H422" s="13" t="s">
        <v>20</v>
      </c>
      <c r="I422" s="13" t="s">
        <v>200</v>
      </c>
      <c r="J422" s="15" t="s">
        <v>5</v>
      </c>
      <c r="K422" s="15" t="s">
        <v>54</v>
      </c>
      <c r="L422" s="16" t="s">
        <v>595</v>
      </c>
      <c r="M422" s="13" t="s">
        <v>45</v>
      </c>
    </row>
    <row r="423" spans="1:13" ht="25.5" x14ac:dyDescent="0.25">
      <c r="A423" s="13">
        <v>4062209</v>
      </c>
      <c r="B423" s="13" t="s">
        <v>599</v>
      </c>
      <c r="C423" s="13"/>
      <c r="D423" s="14" t="s">
        <v>404</v>
      </c>
      <c r="E423" s="13" t="str">
        <f>IFERROR(INDEX('CENTROS DE COSTOS RESOLUCION'!$C:$C,MATCH(D423,'CENTROS DE COSTOS RESOLUCION'!$B:$B,0)),"CÓDIGO NO VÁLIDO")</f>
        <v>ASEO Y LIMPIEZA</v>
      </c>
      <c r="F423" s="15" t="str">
        <f>IF(COUNTIF('CENTROS DE COSTOS UTILIZADOS'!$B:$B,D423)&gt;0,"SÍ","NO")</f>
        <v>SÍ</v>
      </c>
      <c r="G423" s="13" t="str">
        <f t="shared" si="6"/>
        <v>R04|HSJCN</v>
      </c>
      <c r="H423" s="13" t="s">
        <v>20</v>
      </c>
      <c r="I423" s="13" t="s">
        <v>234</v>
      </c>
      <c r="J423" s="15" t="s">
        <v>5</v>
      </c>
      <c r="K423" s="15" t="s">
        <v>54</v>
      </c>
      <c r="L423" s="16" t="s">
        <v>595</v>
      </c>
      <c r="M423" s="13" t="s">
        <v>45</v>
      </c>
    </row>
    <row r="424" spans="1:13" ht="25.5" x14ac:dyDescent="0.25">
      <c r="A424" s="13">
        <v>4072209</v>
      </c>
      <c r="B424" s="13" t="s">
        <v>600</v>
      </c>
      <c r="C424" s="13"/>
      <c r="D424" s="14" t="s">
        <v>404</v>
      </c>
      <c r="E424" s="13" t="str">
        <f>IFERROR(INDEX('CENTROS DE COSTOS RESOLUCION'!$C:$C,MATCH(D424,'CENTROS DE COSTOS RESOLUCION'!$B:$B,0)),"CÓDIGO NO VÁLIDO")</f>
        <v>ASEO Y LIMPIEZA</v>
      </c>
      <c r="F424" s="15" t="str">
        <f>IF(COUNTIF('CENTROS DE COSTOS UTILIZADOS'!$B:$B,D424)&gt;0,"SÍ","NO")</f>
        <v>SÍ</v>
      </c>
      <c r="G424" s="13" t="str">
        <f t="shared" si="6"/>
        <v>R04|HSRP</v>
      </c>
      <c r="H424" s="13" t="s">
        <v>20</v>
      </c>
      <c r="I424" s="13" t="s">
        <v>268</v>
      </c>
      <c r="J424" s="15" t="s">
        <v>5</v>
      </c>
      <c r="K424" s="15" t="s">
        <v>54</v>
      </c>
      <c r="L424" s="16" t="s">
        <v>595</v>
      </c>
      <c r="M424" s="13" t="s">
        <v>45</v>
      </c>
    </row>
    <row r="425" spans="1:13" ht="25.5" x14ac:dyDescent="0.25">
      <c r="A425" s="13">
        <v>4082209</v>
      </c>
      <c r="B425" s="13" t="s">
        <v>601</v>
      </c>
      <c r="C425" s="13"/>
      <c r="D425" s="14" t="s">
        <v>404</v>
      </c>
      <c r="E425" s="13" t="str">
        <f>IFERROR(INDEX('CENTROS DE COSTOS RESOLUCION'!$C:$C,MATCH(D425,'CENTROS DE COSTOS RESOLUCION'!$B:$B,0)),"CÓDIGO NO VÁLIDO")</f>
        <v>ASEO Y LIMPIEZA</v>
      </c>
      <c r="F425" s="15" t="str">
        <f>IF(COUNTIF('CENTROS DE COSTOS UTILIZADOS'!$B:$B,D425)&gt;0,"SÍ","NO")</f>
        <v>SÍ</v>
      </c>
      <c r="G425" s="13" t="str">
        <f t="shared" si="6"/>
        <v>R04|CSPA</v>
      </c>
      <c r="H425" s="13" t="s">
        <v>20</v>
      </c>
      <c r="I425" s="13" t="s">
        <v>302</v>
      </c>
      <c r="J425" s="15" t="s">
        <v>5</v>
      </c>
      <c r="K425" s="15" t="s">
        <v>54</v>
      </c>
      <c r="L425" s="16" t="s">
        <v>595</v>
      </c>
      <c r="M425" s="13" t="s">
        <v>45</v>
      </c>
    </row>
    <row r="426" spans="1:13" ht="25.5" x14ac:dyDescent="0.25">
      <c r="A426" s="13">
        <v>4092209</v>
      </c>
      <c r="B426" s="13" t="s">
        <v>602</v>
      </c>
      <c r="C426" s="13"/>
      <c r="D426" s="14" t="s">
        <v>404</v>
      </c>
      <c r="E426" s="13" t="str">
        <f>IFERROR(INDEX('CENTROS DE COSTOS RESOLUCION'!$C:$C,MATCH(D426,'CENTROS DE COSTOS RESOLUCION'!$B:$B,0)),"CÓDIGO NO VÁLIDO")</f>
        <v>ASEO Y LIMPIEZA</v>
      </c>
      <c r="F426" s="15" t="str">
        <f>IF(COUNTIF('CENTROS DE COSTOS UTILIZADOS'!$B:$B,D426)&gt;0,"SÍ","NO")</f>
        <v>SÍ</v>
      </c>
      <c r="G426" s="13" t="str">
        <f t="shared" si="6"/>
        <v>R04|CSJSC</v>
      </c>
      <c r="H426" s="13" t="s">
        <v>20</v>
      </c>
      <c r="I426" s="13" t="s">
        <v>336</v>
      </c>
      <c r="J426" s="15" t="s">
        <v>5</v>
      </c>
      <c r="K426" s="15" t="s">
        <v>54</v>
      </c>
      <c r="L426" s="16" t="s">
        <v>595</v>
      </c>
      <c r="M426" s="13" t="s">
        <v>45</v>
      </c>
    </row>
    <row r="427" spans="1:13" x14ac:dyDescent="0.25">
      <c r="A427" s="13">
        <v>4012210</v>
      </c>
      <c r="B427" s="13" t="s">
        <v>603</v>
      </c>
      <c r="C427" s="13"/>
      <c r="D427" s="14" t="s">
        <v>469</v>
      </c>
      <c r="E427" s="13" t="str">
        <f>IFERROR(INDEX('CENTROS DE COSTOS RESOLUCION'!$C:$C,MATCH(D427,'CENTROS DE COSTOS RESOLUCION'!$B:$B,0)),"CÓDIGO NO VÁLIDO")</f>
        <v>OTROS VEHÍCULOS Y CONDUCTORES</v>
      </c>
      <c r="F427" s="15" t="str">
        <f>IF(COUNTIF('CENTROS DE COSTOS UTILIZADOS'!$B:$B,D427)&gt;0,"SÍ","NO")</f>
        <v>SÍ</v>
      </c>
      <c r="G427" s="13" t="str">
        <f t="shared" si="6"/>
        <v>R07|ESE01</v>
      </c>
      <c r="H427" s="13" t="s">
        <v>20</v>
      </c>
      <c r="I427" s="13" t="s">
        <v>371</v>
      </c>
      <c r="J427" s="15" t="s">
        <v>5</v>
      </c>
      <c r="K427" s="15" t="s">
        <v>43</v>
      </c>
      <c r="L427" s="16" t="s">
        <v>604</v>
      </c>
      <c r="M427" s="13" t="s">
        <v>373</v>
      </c>
    </row>
    <row r="428" spans="1:13" x14ac:dyDescent="0.25">
      <c r="A428" s="13">
        <v>4012211</v>
      </c>
      <c r="B428" s="13" t="s">
        <v>605</v>
      </c>
      <c r="C428" s="13"/>
      <c r="D428" s="14" t="s">
        <v>419</v>
      </c>
      <c r="E428" s="13" t="str">
        <f>IFERROR(INDEX('CENTROS DE COSTOS RESOLUCION'!$C:$C,MATCH(D428,'CENTROS DE COSTOS RESOLUCION'!$B:$B,0)),"CÓDIGO NO VÁLIDO")</f>
        <v>TESORERÍA</v>
      </c>
      <c r="F428" s="15" t="str">
        <f>IF(COUNTIF('CENTROS DE COSTOS UTILIZADOS'!$B:$B,D428)&gt;0,"SÍ","NO")</f>
        <v>SÍ</v>
      </c>
      <c r="G428" s="13" t="str">
        <f t="shared" si="6"/>
        <v>S05|ESE01</v>
      </c>
      <c r="H428" s="13" t="s">
        <v>20</v>
      </c>
      <c r="I428" s="13" t="s">
        <v>371</v>
      </c>
      <c r="J428" s="15" t="s">
        <v>8</v>
      </c>
      <c r="K428" s="15" t="s">
        <v>43</v>
      </c>
      <c r="L428" s="16" t="s">
        <v>606</v>
      </c>
      <c r="M428" s="13" t="s">
        <v>373</v>
      </c>
    </row>
    <row r="429" spans="1:13" x14ac:dyDescent="0.25">
      <c r="A429" s="13">
        <v>1010205</v>
      </c>
      <c r="B429" s="13" t="s">
        <v>607</v>
      </c>
      <c r="C429" s="13"/>
      <c r="D429" s="14" t="s">
        <v>63</v>
      </c>
      <c r="E429" s="13" t="str">
        <f>IFERROR(INDEX('CENTROS DE COSTOS RESOLUCION'!$C:$C,MATCH(D429,'CENTROS DE COSTOS RESOLUCION'!$B:$B,0)),"CÓDIGO NO VÁLIDO")</f>
        <v>SALUD PUBLICA</v>
      </c>
      <c r="F429" s="15" t="str">
        <f>IF(COUNTIF('CENTROS DE COSTOS UTILIZADOS'!$B:$B,D429)&gt;0,"SÍ","NO")</f>
        <v>SÍ</v>
      </c>
      <c r="G429" s="13" t="str">
        <f t="shared" si="6"/>
        <v>K25|ESE01</v>
      </c>
      <c r="H429" s="13" t="s">
        <v>17</v>
      </c>
      <c r="I429" s="13" t="s">
        <v>371</v>
      </c>
      <c r="J429" s="15" t="s">
        <v>5</v>
      </c>
      <c r="K429" s="15" t="s">
        <v>54</v>
      </c>
      <c r="L429" s="16" t="s">
        <v>608</v>
      </c>
      <c r="M429" s="13" t="s">
        <v>373</v>
      </c>
    </row>
    <row r="430" spans="1:13" ht="25.5" x14ac:dyDescent="0.25">
      <c r="A430" s="13">
        <v>3012199</v>
      </c>
      <c r="B430" s="13" t="s">
        <v>609</v>
      </c>
      <c r="C430" s="13"/>
      <c r="D430" s="14" t="s">
        <v>410</v>
      </c>
      <c r="E430" s="13" t="str">
        <f>IFERROR(INDEX('CENTROS DE COSTOS RESOLUCION'!$C:$C,MATCH(D430,'CENTROS DE COSTOS RESOLUCION'!$B:$B,0)),"CÓDIGO NO VÁLIDO")</f>
        <v>CONTABILIDAD Y COSTOS</v>
      </c>
      <c r="F430" s="15" t="str">
        <f>IF(COUNTIF('CENTROS DE COSTOS UTILIZADOS'!$B:$B,D430)&gt;0,"SÍ","NO")</f>
        <v>SÍ</v>
      </c>
      <c r="G430" s="13" t="str">
        <f t="shared" si="6"/>
        <v>S02|ESE01</v>
      </c>
      <c r="H430" s="13" t="s">
        <v>20</v>
      </c>
      <c r="I430" s="13" t="s">
        <v>371</v>
      </c>
      <c r="J430" s="15" t="s">
        <v>8</v>
      </c>
      <c r="K430" s="15" t="s">
        <v>43</v>
      </c>
      <c r="L430" s="16" t="s">
        <v>610</v>
      </c>
      <c r="M430" s="13" t="s">
        <v>373</v>
      </c>
    </row>
    <row r="431" spans="1:13" x14ac:dyDescent="0.25">
      <c r="A431" s="13">
        <v>4012212</v>
      </c>
      <c r="B431" s="13" t="s">
        <v>611</v>
      </c>
      <c r="C431" s="13"/>
      <c r="D431" s="14" t="s">
        <v>126</v>
      </c>
      <c r="E431" s="13" t="str">
        <f>IFERROR(INDEX('CENTROS DE COSTOS RESOLUCION'!$C:$C,MATCH(D431,'CENTROS DE COSTOS RESOLUCION'!$B:$B,0)),"CÓDIGO NO VÁLIDO")</f>
        <v>SERVICIO DE AMBULANCIAS</v>
      </c>
      <c r="F431" s="15" t="str">
        <f>IF(COUNTIF('CENTROS DE COSTOS UTILIZADOS'!$B:$B,D431)&gt;0,"SÍ","NO")</f>
        <v>SÍ</v>
      </c>
      <c r="G431" s="13" t="str">
        <f t="shared" si="6"/>
        <v>N08|ESE01</v>
      </c>
      <c r="H431" s="13" t="s">
        <v>17</v>
      </c>
      <c r="I431" s="13" t="s">
        <v>371</v>
      </c>
      <c r="J431" s="15" t="s">
        <v>5</v>
      </c>
      <c r="K431" s="15" t="s">
        <v>43</v>
      </c>
      <c r="L431" s="16" t="s">
        <v>612</v>
      </c>
      <c r="M431" s="13" t="s">
        <v>373</v>
      </c>
    </row>
    <row r="432" spans="1:13" x14ac:dyDescent="0.25">
      <c r="A432" s="13">
        <v>4022212</v>
      </c>
      <c r="B432" s="13" t="s">
        <v>613</v>
      </c>
      <c r="C432" s="13"/>
      <c r="D432" s="14" t="s">
        <v>126</v>
      </c>
      <c r="E432" s="13" t="str">
        <f>IFERROR(INDEX('CENTROS DE COSTOS RESOLUCION'!$C:$C,MATCH(D432,'CENTROS DE COSTOS RESOLUCION'!$B:$B,0)),"CÓDIGO NO VÁLIDO")</f>
        <v>SERVICIO DE AMBULANCIAS</v>
      </c>
      <c r="F432" s="15" t="str">
        <f>IF(COUNTIF('CENTROS DE COSTOS UTILIZADOS'!$B:$B,D432)&gt;0,"SÍ","NO")</f>
        <v>SÍ</v>
      </c>
      <c r="G432" s="13" t="str">
        <f t="shared" si="6"/>
        <v>N08|HSLA</v>
      </c>
      <c r="H432" s="13" t="s">
        <v>17</v>
      </c>
      <c r="I432" s="13" t="s">
        <v>42</v>
      </c>
      <c r="J432" s="15" t="s">
        <v>5</v>
      </c>
      <c r="K432" s="15" t="s">
        <v>43</v>
      </c>
      <c r="L432" s="16" t="s">
        <v>614</v>
      </c>
      <c r="M432" s="13" t="s">
        <v>45</v>
      </c>
    </row>
    <row r="433" spans="1:13" x14ac:dyDescent="0.25">
      <c r="A433" s="13">
        <v>4032212</v>
      </c>
      <c r="B433" s="13" t="s">
        <v>615</v>
      </c>
      <c r="C433" s="13"/>
      <c r="D433" s="14" t="s">
        <v>126</v>
      </c>
      <c r="E433" s="13" t="str">
        <f>IFERROR(INDEX('CENTROS DE COSTOS RESOLUCION'!$C:$C,MATCH(D433,'CENTROS DE COSTOS RESOLUCION'!$B:$B,0)),"CÓDIGO NO VÁLIDO")</f>
        <v>SERVICIO DE AMBULANCIAS</v>
      </c>
      <c r="F433" s="15" t="str">
        <f>IF(COUNTIF('CENTROS DE COSTOS UTILIZADOS'!$B:$B,D433)&gt;0,"SÍ","NO")</f>
        <v>SÍ</v>
      </c>
      <c r="G433" s="13" t="str">
        <f t="shared" si="6"/>
        <v>N08|HSFF</v>
      </c>
      <c r="H433" s="13" t="s">
        <v>17</v>
      </c>
      <c r="I433" s="13" t="s">
        <v>132</v>
      </c>
      <c r="J433" s="15" t="s">
        <v>5</v>
      </c>
      <c r="K433" s="15" t="s">
        <v>43</v>
      </c>
      <c r="L433" s="16" t="s">
        <v>614</v>
      </c>
      <c r="M433" s="13" t="s">
        <v>45</v>
      </c>
    </row>
    <row r="434" spans="1:13" x14ac:dyDescent="0.25">
      <c r="A434" s="13">
        <v>4042212</v>
      </c>
      <c r="B434" s="13" t="s">
        <v>616</v>
      </c>
      <c r="C434" s="13"/>
      <c r="D434" s="14" t="s">
        <v>126</v>
      </c>
      <c r="E434" s="13" t="str">
        <f>IFERROR(INDEX('CENTROS DE COSTOS RESOLUCION'!$C:$C,MATCH(D434,'CENTROS DE COSTOS RESOLUCION'!$B:$B,0)),"CÓDIGO NO VÁLIDO")</f>
        <v>SERVICIO DE AMBULANCIAS</v>
      </c>
      <c r="F434" s="15" t="str">
        <f>IF(COUNTIF('CENTROS DE COSTOS UTILIZADOS'!$B:$B,D434)&gt;0,"SÍ","NO")</f>
        <v>SÍ</v>
      </c>
      <c r="G434" s="13" t="str">
        <f t="shared" si="6"/>
        <v>N08|HSAT</v>
      </c>
      <c r="H434" s="13" t="s">
        <v>17</v>
      </c>
      <c r="I434" s="13" t="s">
        <v>166</v>
      </c>
      <c r="J434" s="15" t="s">
        <v>5</v>
      </c>
      <c r="K434" s="15" t="s">
        <v>43</v>
      </c>
      <c r="L434" s="16" t="s">
        <v>614</v>
      </c>
      <c r="M434" s="13" t="s">
        <v>45</v>
      </c>
    </row>
    <row r="435" spans="1:13" x14ac:dyDescent="0.25">
      <c r="A435" s="13">
        <v>4052212</v>
      </c>
      <c r="B435" s="13" t="s">
        <v>617</v>
      </c>
      <c r="C435" s="13"/>
      <c r="D435" s="14" t="s">
        <v>126</v>
      </c>
      <c r="E435" s="13" t="str">
        <f>IFERROR(INDEX('CENTROS DE COSTOS RESOLUCION'!$C:$C,MATCH(D435,'CENTROS DE COSTOS RESOLUCION'!$B:$B,0)),"CÓDIGO NO VÁLIDO")</f>
        <v>SERVICIO DE AMBULANCIAS</v>
      </c>
      <c r="F435" s="15" t="str">
        <f>IF(COUNTIF('CENTROS DE COSTOS UTILIZADOS'!$B:$B,D435)&gt;0,"SÍ","NO")</f>
        <v>SÍ</v>
      </c>
      <c r="G435" s="13" t="str">
        <f t="shared" si="6"/>
        <v>N08|HSJDP</v>
      </c>
      <c r="H435" s="13" t="s">
        <v>17</v>
      </c>
      <c r="I435" s="13" t="s">
        <v>200</v>
      </c>
      <c r="J435" s="15" t="s">
        <v>5</v>
      </c>
      <c r="K435" s="15" t="s">
        <v>43</v>
      </c>
      <c r="L435" s="16" t="s">
        <v>614</v>
      </c>
      <c r="M435" s="13" t="s">
        <v>45</v>
      </c>
    </row>
    <row r="436" spans="1:13" x14ac:dyDescent="0.25">
      <c r="A436" s="13">
        <v>4062212</v>
      </c>
      <c r="B436" s="13" t="s">
        <v>618</v>
      </c>
      <c r="C436" s="13"/>
      <c r="D436" s="14" t="s">
        <v>126</v>
      </c>
      <c r="E436" s="13" t="str">
        <f>IFERROR(INDEX('CENTROS DE COSTOS RESOLUCION'!$C:$C,MATCH(D436,'CENTROS DE COSTOS RESOLUCION'!$B:$B,0)),"CÓDIGO NO VÁLIDO")</f>
        <v>SERVICIO DE AMBULANCIAS</v>
      </c>
      <c r="F436" s="15" t="str">
        <f>IF(COUNTIF('CENTROS DE COSTOS UTILIZADOS'!$B:$B,D436)&gt;0,"SÍ","NO")</f>
        <v>SÍ</v>
      </c>
      <c r="G436" s="13" t="str">
        <f t="shared" si="6"/>
        <v>N08|HSJCN</v>
      </c>
      <c r="H436" s="13" t="s">
        <v>17</v>
      </c>
      <c r="I436" s="13" t="s">
        <v>234</v>
      </c>
      <c r="J436" s="15" t="s">
        <v>5</v>
      </c>
      <c r="K436" s="15" t="s">
        <v>43</v>
      </c>
      <c r="L436" s="16" t="s">
        <v>614</v>
      </c>
      <c r="M436" s="13" t="s">
        <v>45</v>
      </c>
    </row>
    <row r="437" spans="1:13" x14ac:dyDescent="0.25">
      <c r="A437" s="13">
        <v>4072212</v>
      </c>
      <c r="B437" s="13" t="s">
        <v>619</v>
      </c>
      <c r="C437" s="13"/>
      <c r="D437" s="14" t="s">
        <v>126</v>
      </c>
      <c r="E437" s="13" t="str">
        <f>IFERROR(INDEX('CENTROS DE COSTOS RESOLUCION'!$C:$C,MATCH(D437,'CENTROS DE COSTOS RESOLUCION'!$B:$B,0)),"CÓDIGO NO VÁLIDO")</f>
        <v>SERVICIO DE AMBULANCIAS</v>
      </c>
      <c r="F437" s="15" t="str">
        <f>IF(COUNTIF('CENTROS DE COSTOS UTILIZADOS'!$B:$B,D437)&gt;0,"SÍ","NO")</f>
        <v>SÍ</v>
      </c>
      <c r="G437" s="13" t="str">
        <f t="shared" si="6"/>
        <v>N08|HSRP</v>
      </c>
      <c r="H437" s="13" t="s">
        <v>17</v>
      </c>
      <c r="I437" s="13" t="s">
        <v>268</v>
      </c>
      <c r="J437" s="15" t="s">
        <v>5</v>
      </c>
      <c r="K437" s="15" t="s">
        <v>43</v>
      </c>
      <c r="L437" s="16" t="s">
        <v>614</v>
      </c>
      <c r="M437" s="13" t="s">
        <v>45</v>
      </c>
    </row>
    <row r="438" spans="1:13" x14ac:dyDescent="0.25">
      <c r="A438" s="13">
        <v>4082212</v>
      </c>
      <c r="B438" s="13" t="s">
        <v>620</v>
      </c>
      <c r="C438" s="13"/>
      <c r="D438" s="14" t="s">
        <v>126</v>
      </c>
      <c r="E438" s="13" t="str">
        <f>IFERROR(INDEX('CENTROS DE COSTOS RESOLUCION'!$C:$C,MATCH(D438,'CENTROS DE COSTOS RESOLUCION'!$B:$B,0)),"CÓDIGO NO VÁLIDO")</f>
        <v>SERVICIO DE AMBULANCIAS</v>
      </c>
      <c r="F438" s="15" t="str">
        <f>IF(COUNTIF('CENTROS DE COSTOS UTILIZADOS'!$B:$B,D438)&gt;0,"SÍ","NO")</f>
        <v>SÍ</v>
      </c>
      <c r="G438" s="13" t="str">
        <f t="shared" si="6"/>
        <v>N08|CSPA</v>
      </c>
      <c r="H438" s="13" t="s">
        <v>17</v>
      </c>
      <c r="I438" s="13" t="s">
        <v>302</v>
      </c>
      <c r="J438" s="15" t="s">
        <v>5</v>
      </c>
      <c r="K438" s="15" t="s">
        <v>43</v>
      </c>
      <c r="L438" s="16" t="s">
        <v>614</v>
      </c>
      <c r="M438" s="13" t="s">
        <v>45</v>
      </c>
    </row>
    <row r="439" spans="1:13" x14ac:dyDescent="0.25">
      <c r="A439" s="13">
        <v>4092212</v>
      </c>
      <c r="B439" s="13" t="s">
        <v>621</v>
      </c>
      <c r="C439" s="13"/>
      <c r="D439" s="14" t="s">
        <v>126</v>
      </c>
      <c r="E439" s="13" t="str">
        <f>IFERROR(INDEX('CENTROS DE COSTOS RESOLUCION'!$C:$C,MATCH(D439,'CENTROS DE COSTOS RESOLUCION'!$B:$B,0)),"CÓDIGO NO VÁLIDO")</f>
        <v>SERVICIO DE AMBULANCIAS</v>
      </c>
      <c r="F439" s="15" t="str">
        <f>IF(COUNTIF('CENTROS DE COSTOS UTILIZADOS'!$B:$B,D439)&gt;0,"SÍ","NO")</f>
        <v>SÍ</v>
      </c>
      <c r="G439" s="13" t="str">
        <f t="shared" si="6"/>
        <v>N08|CSJSC</v>
      </c>
      <c r="H439" s="13" t="s">
        <v>17</v>
      </c>
      <c r="I439" s="13" t="s">
        <v>336</v>
      </c>
      <c r="J439" s="15" t="s">
        <v>5</v>
      </c>
      <c r="K439" s="15" t="s">
        <v>43</v>
      </c>
      <c r="L439" s="16" t="s">
        <v>614</v>
      </c>
      <c r="M439" s="13" t="s">
        <v>45</v>
      </c>
    </row>
    <row r="440" spans="1:13" ht="25.5" x14ac:dyDescent="0.25">
      <c r="A440" s="13">
        <v>4092213</v>
      </c>
      <c r="B440" s="13" t="s">
        <v>622</v>
      </c>
      <c r="C440" s="13"/>
      <c r="D440" s="14" t="s">
        <v>381</v>
      </c>
      <c r="E440" s="13" t="str">
        <f>IFERROR(INDEX('CENTROS DE COSTOS RESOLUCION'!$C:$C,MATCH(D440,'CENTROS DE COSTOS RESOLUCION'!$B:$B,0)),"CÓDIGO NO VÁLIDO")</f>
        <v>RECURSOS FÍSICOS</v>
      </c>
      <c r="F440" s="15" t="str">
        <f>IF(COUNTIF('CENTROS DE COSTOS UTILIZADOS'!$B:$B,D440)&gt;0,"SÍ","NO")</f>
        <v>SÍ</v>
      </c>
      <c r="G440" s="13" t="str">
        <f t="shared" si="6"/>
        <v>R02|CSJSC</v>
      </c>
      <c r="H440" s="13" t="s">
        <v>20</v>
      </c>
      <c r="I440" s="13" t="s">
        <v>336</v>
      </c>
      <c r="J440" s="15" t="s">
        <v>8</v>
      </c>
      <c r="K440" s="15" t="s">
        <v>54</v>
      </c>
      <c r="L440" s="16" t="s">
        <v>623</v>
      </c>
      <c r="M440" s="13" t="s">
        <v>373</v>
      </c>
    </row>
    <row r="441" spans="1:13" x14ac:dyDescent="0.25">
      <c r="A441" s="13">
        <v>1100606</v>
      </c>
      <c r="B441" s="13" t="s">
        <v>624</v>
      </c>
      <c r="C441" s="13"/>
      <c r="D441" s="14" t="s">
        <v>111</v>
      </c>
      <c r="E441" s="13" t="str">
        <f>IFERROR(INDEX('CENTROS DE COSTOS RESOLUCION'!$C:$C,MATCH(D441,'CENTROS DE COSTOS RESOLUCION'!$B:$B,0)),"CÓDIGO NO VÁLIDO")</f>
        <v>FARMACIA</v>
      </c>
      <c r="F441" s="15" t="str">
        <f>IF(COUNTIF('CENTROS DE COSTOS UTILIZADOS'!$B:$B,D441)&gt;0,"SÍ","NO")</f>
        <v>SÍ</v>
      </c>
      <c r="G441" s="13" t="str">
        <f t="shared" si="6"/>
        <v>M05|PSLP</v>
      </c>
      <c r="H441" s="13" t="s">
        <v>18</v>
      </c>
      <c r="I441" s="13" t="s">
        <v>625</v>
      </c>
      <c r="J441" s="15" t="s">
        <v>5</v>
      </c>
      <c r="K441" s="15" t="s">
        <v>43</v>
      </c>
      <c r="L441" s="16" t="s">
        <v>112</v>
      </c>
      <c r="M441" s="13" t="s">
        <v>45</v>
      </c>
    </row>
    <row r="442" spans="1:13" x14ac:dyDescent="0.25">
      <c r="A442" s="13">
        <v>1110606</v>
      </c>
      <c r="B442" s="13" t="s">
        <v>626</v>
      </c>
      <c r="C442" s="13"/>
      <c r="D442" s="14" t="s">
        <v>111</v>
      </c>
      <c r="E442" s="13" t="str">
        <f>IFERROR(INDEX('CENTROS DE COSTOS RESOLUCION'!$C:$C,MATCH(D442,'CENTROS DE COSTOS RESOLUCION'!$B:$B,0)),"CÓDIGO NO VÁLIDO")</f>
        <v>FARMACIA</v>
      </c>
      <c r="F442" s="15" t="str">
        <f>IF(COUNTIF('CENTROS DE COSTOS UTILIZADOS'!$B:$B,D442)&gt;0,"SÍ","NO")</f>
        <v>SÍ</v>
      </c>
      <c r="G442" s="13" t="str">
        <f t="shared" si="6"/>
        <v>M05|PSAC</v>
      </c>
      <c r="H442" s="13" t="s">
        <v>18</v>
      </c>
      <c r="I442" s="13" t="s">
        <v>627</v>
      </c>
      <c r="J442" s="15" t="s">
        <v>5</v>
      </c>
      <c r="K442" s="15" t="s">
        <v>43</v>
      </c>
      <c r="L442" s="16" t="s">
        <v>112</v>
      </c>
      <c r="M442" s="13" t="s">
        <v>45</v>
      </c>
    </row>
    <row r="443" spans="1:13" x14ac:dyDescent="0.25">
      <c r="A443" s="13">
        <v>1120606</v>
      </c>
      <c r="B443" s="13" t="s">
        <v>628</v>
      </c>
      <c r="C443" s="13"/>
      <c r="D443" s="14" t="s">
        <v>111</v>
      </c>
      <c r="E443" s="13" t="str">
        <f>IFERROR(INDEX('CENTROS DE COSTOS RESOLUCION'!$C:$C,MATCH(D443,'CENTROS DE COSTOS RESOLUCION'!$B:$B,0)),"CÓDIGO NO VÁLIDO")</f>
        <v>FARMACIA</v>
      </c>
      <c r="F443" s="15" t="str">
        <f>IF(COUNTIF('CENTROS DE COSTOS UTILIZADOS'!$B:$B,D443)&gt;0,"SÍ","NO")</f>
        <v>SÍ</v>
      </c>
      <c r="G443" s="13" t="str">
        <f t="shared" si="6"/>
        <v>M05|PSO1</v>
      </c>
      <c r="H443" s="13" t="s">
        <v>18</v>
      </c>
      <c r="I443" s="13" t="s">
        <v>629</v>
      </c>
      <c r="J443" s="15" t="s">
        <v>5</v>
      </c>
      <c r="K443" s="15" t="s">
        <v>43</v>
      </c>
      <c r="L443" s="16" t="s">
        <v>112</v>
      </c>
      <c r="M443" s="13" t="s">
        <v>45</v>
      </c>
    </row>
    <row r="444" spans="1:13" x14ac:dyDescent="0.25">
      <c r="A444" s="13">
        <v>4012213</v>
      </c>
      <c r="B444" s="13" t="s">
        <v>630</v>
      </c>
      <c r="C444" s="13"/>
      <c r="D444" s="14" t="s">
        <v>111</v>
      </c>
      <c r="E444" s="13" t="str">
        <f>IFERROR(INDEX('CENTROS DE COSTOS RESOLUCION'!$C:$C,MATCH(D444,'CENTROS DE COSTOS RESOLUCION'!$B:$B,0)),"CÓDIGO NO VÁLIDO")</f>
        <v>FARMACIA</v>
      </c>
      <c r="F444" s="15" t="str">
        <f>IF(COUNTIF('CENTROS DE COSTOS UTILIZADOS'!$B:$B,D444)&gt;0,"SÍ","NO")</f>
        <v>SÍ</v>
      </c>
      <c r="G444" s="13" t="str">
        <f t="shared" si="6"/>
        <v>M05|ESE01</v>
      </c>
      <c r="H444" s="13" t="s">
        <v>18</v>
      </c>
      <c r="I444" s="13" t="s">
        <v>371</v>
      </c>
      <c r="J444" s="15" t="s">
        <v>5</v>
      </c>
      <c r="K444" s="15" t="s">
        <v>43</v>
      </c>
      <c r="L444" s="16" t="s">
        <v>631</v>
      </c>
      <c r="M444" s="13" t="s">
        <v>373</v>
      </c>
    </row>
    <row r="445" spans="1:13" x14ac:dyDescent="0.25">
      <c r="A445" s="13">
        <v>2022011</v>
      </c>
      <c r="B445" s="13" t="s">
        <v>632</v>
      </c>
      <c r="C445" s="13"/>
      <c r="D445" s="14" t="s">
        <v>404</v>
      </c>
      <c r="E445" s="13" t="str">
        <f>IFERROR(INDEX('CENTROS DE COSTOS RESOLUCION'!$C:$C,MATCH(D445,'CENTROS DE COSTOS RESOLUCION'!$B:$B,0)),"CÓDIGO NO VÁLIDO")</f>
        <v>ASEO Y LIMPIEZA</v>
      </c>
      <c r="F445" s="15" t="str">
        <f>IF(COUNTIF('CENTROS DE COSTOS UTILIZADOS'!$B:$B,D445)&gt;0,"SÍ","NO")</f>
        <v>SÍ</v>
      </c>
      <c r="G445" s="13" t="str">
        <f t="shared" si="6"/>
        <v>R04|HSLA</v>
      </c>
      <c r="H445" s="13" t="s">
        <v>20</v>
      </c>
      <c r="I445" s="13" t="s">
        <v>42</v>
      </c>
      <c r="J445" s="15" t="s">
        <v>5</v>
      </c>
      <c r="K445" s="15" t="s">
        <v>43</v>
      </c>
      <c r="L445" s="16" t="s">
        <v>633</v>
      </c>
      <c r="M445" s="13" t="s">
        <v>45</v>
      </c>
    </row>
    <row r="446" spans="1:13" x14ac:dyDescent="0.25">
      <c r="A446" s="13">
        <v>2032011</v>
      </c>
      <c r="B446" s="13" t="s">
        <v>634</v>
      </c>
      <c r="C446" s="13"/>
      <c r="D446" s="14" t="s">
        <v>404</v>
      </c>
      <c r="E446" s="13" t="str">
        <f>IFERROR(INDEX('CENTROS DE COSTOS RESOLUCION'!$C:$C,MATCH(D446,'CENTROS DE COSTOS RESOLUCION'!$B:$B,0)),"CÓDIGO NO VÁLIDO")</f>
        <v>ASEO Y LIMPIEZA</v>
      </c>
      <c r="F446" s="15" t="str">
        <f>IF(COUNTIF('CENTROS DE COSTOS UTILIZADOS'!$B:$B,D446)&gt;0,"SÍ","NO")</f>
        <v>SÍ</v>
      </c>
      <c r="G446" s="13" t="str">
        <f t="shared" si="6"/>
        <v>R04|HSFF</v>
      </c>
      <c r="H446" s="13" t="s">
        <v>20</v>
      </c>
      <c r="I446" s="13" t="s">
        <v>132</v>
      </c>
      <c r="J446" s="15" t="s">
        <v>5</v>
      </c>
      <c r="K446" s="15" t="s">
        <v>43</v>
      </c>
      <c r="L446" s="16" t="s">
        <v>633</v>
      </c>
      <c r="M446" s="13" t="s">
        <v>45</v>
      </c>
    </row>
    <row r="447" spans="1:13" x14ac:dyDescent="0.25">
      <c r="A447" s="13">
        <v>2042011</v>
      </c>
      <c r="B447" s="13" t="s">
        <v>635</v>
      </c>
      <c r="C447" s="13"/>
      <c r="D447" s="14" t="s">
        <v>404</v>
      </c>
      <c r="E447" s="13" t="str">
        <f>IFERROR(INDEX('CENTROS DE COSTOS RESOLUCION'!$C:$C,MATCH(D447,'CENTROS DE COSTOS RESOLUCION'!$B:$B,0)),"CÓDIGO NO VÁLIDO")</f>
        <v>ASEO Y LIMPIEZA</v>
      </c>
      <c r="F447" s="15" t="str">
        <f>IF(COUNTIF('CENTROS DE COSTOS UTILIZADOS'!$B:$B,D447)&gt;0,"SÍ","NO")</f>
        <v>SÍ</v>
      </c>
      <c r="G447" s="13" t="str">
        <f t="shared" si="6"/>
        <v>R04|HSAT</v>
      </c>
      <c r="H447" s="13" t="s">
        <v>20</v>
      </c>
      <c r="I447" s="13" t="s">
        <v>166</v>
      </c>
      <c r="J447" s="15" t="s">
        <v>5</v>
      </c>
      <c r="K447" s="15" t="s">
        <v>43</v>
      </c>
      <c r="L447" s="16" t="s">
        <v>633</v>
      </c>
      <c r="M447" s="13" t="s">
        <v>45</v>
      </c>
    </row>
    <row r="448" spans="1:13" x14ac:dyDescent="0.25">
      <c r="A448" s="13">
        <v>2052011</v>
      </c>
      <c r="B448" s="13" t="s">
        <v>636</v>
      </c>
      <c r="C448" s="13"/>
      <c r="D448" s="14" t="s">
        <v>404</v>
      </c>
      <c r="E448" s="13" t="str">
        <f>IFERROR(INDEX('CENTROS DE COSTOS RESOLUCION'!$C:$C,MATCH(D448,'CENTROS DE COSTOS RESOLUCION'!$B:$B,0)),"CÓDIGO NO VÁLIDO")</f>
        <v>ASEO Y LIMPIEZA</v>
      </c>
      <c r="F448" s="15" t="str">
        <f>IF(COUNTIF('CENTROS DE COSTOS UTILIZADOS'!$B:$B,D448)&gt;0,"SÍ","NO")</f>
        <v>SÍ</v>
      </c>
      <c r="G448" s="13" t="str">
        <f t="shared" si="6"/>
        <v>R04|HSJDP</v>
      </c>
      <c r="H448" s="13" t="s">
        <v>20</v>
      </c>
      <c r="I448" s="13" t="s">
        <v>200</v>
      </c>
      <c r="J448" s="15" t="s">
        <v>5</v>
      </c>
      <c r="K448" s="15" t="s">
        <v>43</v>
      </c>
      <c r="L448" s="16" t="s">
        <v>633</v>
      </c>
      <c r="M448" s="13" t="s">
        <v>45</v>
      </c>
    </row>
    <row r="449" spans="1:13" x14ac:dyDescent="0.25">
      <c r="A449" s="13">
        <v>2092011</v>
      </c>
      <c r="B449" s="13" t="s">
        <v>637</v>
      </c>
      <c r="C449" s="13"/>
      <c r="D449" s="14" t="s">
        <v>404</v>
      </c>
      <c r="E449" s="13" t="str">
        <f>IFERROR(INDEX('CENTROS DE COSTOS RESOLUCION'!$C:$C,MATCH(D449,'CENTROS DE COSTOS RESOLUCION'!$B:$B,0)),"CÓDIGO NO VÁLIDO")</f>
        <v>ASEO Y LIMPIEZA</v>
      </c>
      <c r="F449" s="15" t="str">
        <f>IF(COUNTIF('CENTROS DE COSTOS UTILIZADOS'!$B:$B,D449)&gt;0,"SÍ","NO")</f>
        <v>SÍ</v>
      </c>
      <c r="G449" s="13" t="str">
        <f t="shared" si="6"/>
        <v>R04|CSJSC</v>
      </c>
      <c r="H449" s="13" t="s">
        <v>20</v>
      </c>
      <c r="I449" s="13" t="s">
        <v>336</v>
      </c>
      <c r="J449" s="15" t="s">
        <v>5</v>
      </c>
      <c r="K449" s="15" t="s">
        <v>43</v>
      </c>
      <c r="L449" s="16" t="s">
        <v>633</v>
      </c>
      <c r="M449" s="13" t="s">
        <v>45</v>
      </c>
    </row>
    <row r="450" spans="1:13" x14ac:dyDescent="0.25">
      <c r="A450" s="13">
        <v>2082011</v>
      </c>
      <c r="B450" s="13" t="s">
        <v>638</v>
      </c>
      <c r="C450" s="13"/>
      <c r="D450" s="14" t="s">
        <v>404</v>
      </c>
      <c r="E450" s="13" t="str">
        <f>IFERROR(INDEX('CENTROS DE COSTOS RESOLUCION'!$C:$C,MATCH(D450,'CENTROS DE COSTOS RESOLUCION'!$B:$B,0)),"CÓDIGO NO VÁLIDO")</f>
        <v>ASEO Y LIMPIEZA</v>
      </c>
      <c r="F450" s="15" t="str">
        <f>IF(COUNTIF('CENTROS DE COSTOS UTILIZADOS'!$B:$B,D450)&gt;0,"SÍ","NO")</f>
        <v>SÍ</v>
      </c>
      <c r="G450" s="13" t="str">
        <f t="shared" ref="G450:G513" si="7">D450&amp;"|"&amp;LEFT(I450,FIND(" ",I450&amp;" ")-1)</f>
        <v>R04|CSPA</v>
      </c>
      <c r="H450" s="13" t="s">
        <v>20</v>
      </c>
      <c r="I450" s="13" t="s">
        <v>302</v>
      </c>
      <c r="J450" s="15" t="s">
        <v>5</v>
      </c>
      <c r="K450" s="15" t="s">
        <v>43</v>
      </c>
      <c r="L450" s="16" t="s">
        <v>633</v>
      </c>
      <c r="M450" s="13" t="s">
        <v>45</v>
      </c>
    </row>
    <row r="451" spans="1:13" x14ac:dyDescent="0.25">
      <c r="A451" s="13">
        <v>2072011</v>
      </c>
      <c r="B451" s="13" t="s">
        <v>639</v>
      </c>
      <c r="C451" s="13"/>
      <c r="D451" s="14" t="s">
        <v>404</v>
      </c>
      <c r="E451" s="13" t="str">
        <f>IFERROR(INDEX('CENTROS DE COSTOS RESOLUCION'!$C:$C,MATCH(D451,'CENTROS DE COSTOS RESOLUCION'!$B:$B,0)),"CÓDIGO NO VÁLIDO")</f>
        <v>ASEO Y LIMPIEZA</v>
      </c>
      <c r="F451" s="15" t="str">
        <f>IF(COUNTIF('CENTROS DE COSTOS UTILIZADOS'!$B:$B,D451)&gt;0,"SÍ","NO")</f>
        <v>SÍ</v>
      </c>
      <c r="G451" s="13" t="str">
        <f t="shared" si="7"/>
        <v>R04|HSRP</v>
      </c>
      <c r="H451" s="13" t="s">
        <v>20</v>
      </c>
      <c r="I451" s="13" t="s">
        <v>268</v>
      </c>
      <c r="J451" s="15" t="s">
        <v>5</v>
      </c>
      <c r="K451" s="15" t="s">
        <v>43</v>
      </c>
      <c r="L451" s="16" t="s">
        <v>633</v>
      </c>
      <c r="M451" s="13" t="s">
        <v>45</v>
      </c>
    </row>
    <row r="452" spans="1:13" x14ac:dyDescent="0.25">
      <c r="A452" s="13">
        <v>2062011</v>
      </c>
      <c r="B452" s="13" t="s">
        <v>640</v>
      </c>
      <c r="C452" s="13"/>
      <c r="D452" s="14" t="s">
        <v>404</v>
      </c>
      <c r="E452" s="13" t="str">
        <f>IFERROR(INDEX('CENTROS DE COSTOS RESOLUCION'!$C:$C,MATCH(D452,'CENTROS DE COSTOS RESOLUCION'!$B:$B,0)),"CÓDIGO NO VÁLIDO")</f>
        <v>ASEO Y LIMPIEZA</v>
      </c>
      <c r="F452" s="15" t="str">
        <f>IF(COUNTIF('CENTROS DE COSTOS UTILIZADOS'!$B:$B,D452)&gt;0,"SÍ","NO")</f>
        <v>SÍ</v>
      </c>
      <c r="G452" s="13" t="str">
        <f t="shared" si="7"/>
        <v>R04|HSJCN</v>
      </c>
      <c r="H452" s="13" t="s">
        <v>20</v>
      </c>
      <c r="I452" s="13" t="s">
        <v>234</v>
      </c>
      <c r="J452" s="15" t="s">
        <v>5</v>
      </c>
      <c r="K452" s="15" t="s">
        <v>43</v>
      </c>
      <c r="L452" s="16" t="s">
        <v>633</v>
      </c>
      <c r="M452" s="13" t="s">
        <v>45</v>
      </c>
    </row>
    <row r="453" spans="1:13" x14ac:dyDescent="0.25">
      <c r="A453" s="13">
        <v>4032213</v>
      </c>
      <c r="B453" s="13" t="s">
        <v>641</v>
      </c>
      <c r="C453" s="13"/>
      <c r="D453" s="14" t="s">
        <v>570</v>
      </c>
      <c r="E453" s="13" t="str">
        <f>IFERROR(INDEX('CENTROS DE COSTOS RESOLUCION'!$C:$C,MATCH(D453,'CENTROS DE COSTOS RESOLUCION'!$B:$B,0)),"CÓDIGO NO VÁLIDO")</f>
        <v>COORDINACIÓN ADMINISTRATIVA</v>
      </c>
      <c r="F453" s="15" t="str">
        <f>IF(COUNTIF('CENTROS DE COSTOS UTILIZADOS'!$B:$B,D453)&gt;0,"SÍ","NO")</f>
        <v>SÍ</v>
      </c>
      <c r="G453" s="13" t="str">
        <f t="shared" si="7"/>
        <v>R01|HSFF</v>
      </c>
      <c r="H453" s="13" t="s">
        <v>20</v>
      </c>
      <c r="I453" s="13" t="s">
        <v>132</v>
      </c>
      <c r="J453" s="15" t="s">
        <v>5</v>
      </c>
      <c r="K453" s="15" t="s">
        <v>54</v>
      </c>
      <c r="L453" s="16" t="s">
        <v>642</v>
      </c>
      <c r="M453" s="13" t="s">
        <v>45</v>
      </c>
    </row>
    <row r="454" spans="1:13" x14ac:dyDescent="0.25">
      <c r="A454" s="13">
        <v>4012214</v>
      </c>
      <c r="B454" s="13" t="s">
        <v>643</v>
      </c>
      <c r="C454" s="13"/>
      <c r="D454" s="14" t="s">
        <v>644</v>
      </c>
      <c r="E454" s="13" t="str">
        <f>IFERROR(INDEX('CENTROS DE COSTOS RESOLUCION'!$C:$C,MATCH(D454,'CENTROS DE COSTOS RESOLUCION'!$B:$B,0)),"CÓDIGO NO VÁLIDO")</f>
        <v>SALUD OCUPACIONAL</v>
      </c>
      <c r="F454" s="15" t="str">
        <f>IF(COUNTIF('CENTROS DE COSTOS UTILIZADOS'!$B:$B,D454)&gt;0,"SÍ","NO")</f>
        <v>SÍ</v>
      </c>
      <c r="G454" s="13" t="str">
        <f t="shared" si="7"/>
        <v>R08|ESE01</v>
      </c>
      <c r="H454" s="13" t="s">
        <v>20</v>
      </c>
      <c r="I454" s="13" t="s">
        <v>371</v>
      </c>
      <c r="J454" s="15" t="s">
        <v>5</v>
      </c>
      <c r="K454" s="15" t="s">
        <v>43</v>
      </c>
      <c r="L454" s="16" t="s">
        <v>645</v>
      </c>
      <c r="M454" s="13" t="s">
        <v>373</v>
      </c>
    </row>
    <row r="455" spans="1:13" x14ac:dyDescent="0.25">
      <c r="A455" s="13">
        <v>4022214</v>
      </c>
      <c r="B455" s="13" t="s">
        <v>646</v>
      </c>
      <c r="C455" s="13"/>
      <c r="D455" s="14" t="s">
        <v>644</v>
      </c>
      <c r="E455" s="13" t="str">
        <f>IFERROR(INDEX('CENTROS DE COSTOS RESOLUCION'!$C:$C,MATCH(D455,'CENTROS DE COSTOS RESOLUCION'!$B:$B,0)),"CÓDIGO NO VÁLIDO")</f>
        <v>SALUD OCUPACIONAL</v>
      </c>
      <c r="F455" s="15" t="str">
        <f>IF(COUNTIF('CENTROS DE COSTOS UTILIZADOS'!$B:$B,D455)&gt;0,"SÍ","NO")</f>
        <v>SÍ</v>
      </c>
      <c r="G455" s="13" t="str">
        <f t="shared" si="7"/>
        <v>R08|HSLA</v>
      </c>
      <c r="H455" s="13" t="s">
        <v>20</v>
      </c>
      <c r="I455" s="13" t="s">
        <v>42</v>
      </c>
      <c r="J455" s="15" t="s">
        <v>5</v>
      </c>
      <c r="K455" s="15" t="s">
        <v>43</v>
      </c>
      <c r="L455" s="16" t="s">
        <v>647</v>
      </c>
      <c r="M455" s="13" t="s">
        <v>45</v>
      </c>
    </row>
    <row r="456" spans="1:13" x14ac:dyDescent="0.25">
      <c r="A456" s="13">
        <v>4032214</v>
      </c>
      <c r="B456" s="13" t="s">
        <v>648</v>
      </c>
      <c r="C456" s="13"/>
      <c r="D456" s="14" t="s">
        <v>644</v>
      </c>
      <c r="E456" s="13" t="str">
        <f>IFERROR(INDEX('CENTROS DE COSTOS RESOLUCION'!$C:$C,MATCH(D456,'CENTROS DE COSTOS RESOLUCION'!$B:$B,0)),"CÓDIGO NO VÁLIDO")</f>
        <v>SALUD OCUPACIONAL</v>
      </c>
      <c r="F456" s="15" t="str">
        <f>IF(COUNTIF('CENTROS DE COSTOS UTILIZADOS'!$B:$B,D456)&gt;0,"SÍ","NO")</f>
        <v>SÍ</v>
      </c>
      <c r="G456" s="13" t="str">
        <f t="shared" si="7"/>
        <v>R08|HSFF</v>
      </c>
      <c r="H456" s="13" t="s">
        <v>20</v>
      </c>
      <c r="I456" s="13" t="s">
        <v>132</v>
      </c>
      <c r="J456" s="15" t="s">
        <v>5</v>
      </c>
      <c r="K456" s="15" t="s">
        <v>43</v>
      </c>
      <c r="L456" s="16" t="s">
        <v>647</v>
      </c>
      <c r="M456" s="13" t="s">
        <v>45</v>
      </c>
    </row>
    <row r="457" spans="1:13" x14ac:dyDescent="0.25">
      <c r="A457" s="13">
        <v>4042214</v>
      </c>
      <c r="B457" s="13" t="s">
        <v>649</v>
      </c>
      <c r="C457" s="13"/>
      <c r="D457" s="14" t="s">
        <v>644</v>
      </c>
      <c r="E457" s="13" t="str">
        <f>IFERROR(INDEX('CENTROS DE COSTOS RESOLUCION'!$C:$C,MATCH(D457,'CENTROS DE COSTOS RESOLUCION'!$B:$B,0)),"CÓDIGO NO VÁLIDO")</f>
        <v>SALUD OCUPACIONAL</v>
      </c>
      <c r="F457" s="15" t="str">
        <f>IF(COUNTIF('CENTROS DE COSTOS UTILIZADOS'!$B:$B,D457)&gt;0,"SÍ","NO")</f>
        <v>SÍ</v>
      </c>
      <c r="G457" s="13" t="str">
        <f t="shared" si="7"/>
        <v>R08|HSAT</v>
      </c>
      <c r="H457" s="13" t="s">
        <v>20</v>
      </c>
      <c r="I457" s="13" t="s">
        <v>166</v>
      </c>
      <c r="J457" s="15" t="s">
        <v>5</v>
      </c>
      <c r="K457" s="15" t="s">
        <v>43</v>
      </c>
      <c r="L457" s="16" t="s">
        <v>647</v>
      </c>
      <c r="M457" s="13" t="s">
        <v>45</v>
      </c>
    </row>
    <row r="458" spans="1:13" x14ac:dyDescent="0.25">
      <c r="A458" s="13">
        <v>4052214</v>
      </c>
      <c r="B458" s="13" t="s">
        <v>650</v>
      </c>
      <c r="C458" s="13"/>
      <c r="D458" s="14" t="s">
        <v>644</v>
      </c>
      <c r="E458" s="13" t="str">
        <f>IFERROR(INDEX('CENTROS DE COSTOS RESOLUCION'!$C:$C,MATCH(D458,'CENTROS DE COSTOS RESOLUCION'!$B:$B,0)),"CÓDIGO NO VÁLIDO")</f>
        <v>SALUD OCUPACIONAL</v>
      </c>
      <c r="F458" s="15" t="str">
        <f>IF(COUNTIF('CENTROS DE COSTOS UTILIZADOS'!$B:$B,D458)&gt;0,"SÍ","NO")</f>
        <v>SÍ</v>
      </c>
      <c r="G458" s="13" t="str">
        <f t="shared" si="7"/>
        <v>R08|HSJDP</v>
      </c>
      <c r="H458" s="13" t="s">
        <v>20</v>
      </c>
      <c r="I458" s="13" t="s">
        <v>200</v>
      </c>
      <c r="J458" s="15" t="s">
        <v>5</v>
      </c>
      <c r="K458" s="15" t="s">
        <v>43</v>
      </c>
      <c r="L458" s="16" t="s">
        <v>647</v>
      </c>
      <c r="M458" s="13" t="s">
        <v>45</v>
      </c>
    </row>
    <row r="459" spans="1:13" x14ac:dyDescent="0.25">
      <c r="A459" s="13">
        <v>4062214</v>
      </c>
      <c r="B459" s="13" t="s">
        <v>651</v>
      </c>
      <c r="C459" s="13"/>
      <c r="D459" s="14" t="s">
        <v>644</v>
      </c>
      <c r="E459" s="13" t="str">
        <f>IFERROR(INDEX('CENTROS DE COSTOS RESOLUCION'!$C:$C,MATCH(D459,'CENTROS DE COSTOS RESOLUCION'!$B:$B,0)),"CÓDIGO NO VÁLIDO")</f>
        <v>SALUD OCUPACIONAL</v>
      </c>
      <c r="F459" s="15" t="str">
        <f>IF(COUNTIF('CENTROS DE COSTOS UTILIZADOS'!$B:$B,D459)&gt;0,"SÍ","NO")</f>
        <v>SÍ</v>
      </c>
      <c r="G459" s="13" t="str">
        <f t="shared" si="7"/>
        <v>R08|HSJCN</v>
      </c>
      <c r="H459" s="13" t="s">
        <v>20</v>
      </c>
      <c r="I459" s="13" t="s">
        <v>234</v>
      </c>
      <c r="J459" s="15" t="s">
        <v>5</v>
      </c>
      <c r="K459" s="15" t="s">
        <v>43</v>
      </c>
      <c r="L459" s="16" t="s">
        <v>647</v>
      </c>
      <c r="M459" s="13" t="s">
        <v>45</v>
      </c>
    </row>
    <row r="460" spans="1:13" x14ac:dyDescent="0.25">
      <c r="A460" s="13">
        <v>4072214</v>
      </c>
      <c r="B460" s="13" t="s">
        <v>652</v>
      </c>
      <c r="C460" s="13"/>
      <c r="D460" s="14" t="s">
        <v>644</v>
      </c>
      <c r="E460" s="13" t="str">
        <f>IFERROR(INDEX('CENTROS DE COSTOS RESOLUCION'!$C:$C,MATCH(D460,'CENTROS DE COSTOS RESOLUCION'!$B:$B,0)),"CÓDIGO NO VÁLIDO")</f>
        <v>SALUD OCUPACIONAL</v>
      </c>
      <c r="F460" s="15" t="str">
        <f>IF(COUNTIF('CENTROS DE COSTOS UTILIZADOS'!$B:$B,D460)&gt;0,"SÍ","NO")</f>
        <v>SÍ</v>
      </c>
      <c r="G460" s="13" t="str">
        <f t="shared" si="7"/>
        <v>R08|HSRP</v>
      </c>
      <c r="H460" s="13" t="s">
        <v>20</v>
      </c>
      <c r="I460" s="13" t="s">
        <v>268</v>
      </c>
      <c r="J460" s="15" t="s">
        <v>5</v>
      </c>
      <c r="K460" s="15" t="s">
        <v>43</v>
      </c>
      <c r="L460" s="16" t="s">
        <v>647</v>
      </c>
      <c r="M460" s="13" t="s">
        <v>45</v>
      </c>
    </row>
    <row r="461" spans="1:13" x14ac:dyDescent="0.25">
      <c r="A461" s="13">
        <v>4082214</v>
      </c>
      <c r="B461" s="13" t="s">
        <v>653</v>
      </c>
      <c r="C461" s="13"/>
      <c r="D461" s="14" t="s">
        <v>644</v>
      </c>
      <c r="E461" s="13" t="str">
        <f>IFERROR(INDEX('CENTROS DE COSTOS RESOLUCION'!$C:$C,MATCH(D461,'CENTROS DE COSTOS RESOLUCION'!$B:$B,0)),"CÓDIGO NO VÁLIDO")</f>
        <v>SALUD OCUPACIONAL</v>
      </c>
      <c r="F461" s="15" t="str">
        <f>IF(COUNTIF('CENTROS DE COSTOS UTILIZADOS'!$B:$B,D461)&gt;0,"SÍ","NO")</f>
        <v>SÍ</v>
      </c>
      <c r="G461" s="13" t="str">
        <f t="shared" si="7"/>
        <v>R08|CSPA</v>
      </c>
      <c r="H461" s="13" t="s">
        <v>20</v>
      </c>
      <c r="I461" s="13" t="s">
        <v>302</v>
      </c>
      <c r="J461" s="15" t="s">
        <v>5</v>
      </c>
      <c r="K461" s="15" t="s">
        <v>43</v>
      </c>
      <c r="L461" s="16" t="s">
        <v>647</v>
      </c>
      <c r="M461" s="13" t="s">
        <v>45</v>
      </c>
    </row>
    <row r="462" spans="1:13" x14ac:dyDescent="0.25">
      <c r="A462" s="13">
        <v>4092214</v>
      </c>
      <c r="B462" s="13" t="s">
        <v>654</v>
      </c>
      <c r="C462" s="13"/>
      <c r="D462" s="14" t="s">
        <v>644</v>
      </c>
      <c r="E462" s="13" t="str">
        <f>IFERROR(INDEX('CENTROS DE COSTOS RESOLUCION'!$C:$C,MATCH(D462,'CENTROS DE COSTOS RESOLUCION'!$B:$B,0)),"CÓDIGO NO VÁLIDO")</f>
        <v>SALUD OCUPACIONAL</v>
      </c>
      <c r="F462" s="15" t="str">
        <f>IF(COUNTIF('CENTROS DE COSTOS UTILIZADOS'!$B:$B,D462)&gt;0,"SÍ","NO")</f>
        <v>SÍ</v>
      </c>
      <c r="G462" s="13" t="str">
        <f t="shared" si="7"/>
        <v>R08|CSJSC</v>
      </c>
      <c r="H462" s="13" t="s">
        <v>20</v>
      </c>
      <c r="I462" s="13" t="s">
        <v>336</v>
      </c>
      <c r="J462" s="15" t="s">
        <v>5</v>
      </c>
      <c r="K462" s="15" t="s">
        <v>43</v>
      </c>
      <c r="L462" s="16" t="s">
        <v>647</v>
      </c>
      <c r="M462" s="13" t="s">
        <v>45</v>
      </c>
    </row>
    <row r="463" spans="1:13" x14ac:dyDescent="0.25">
      <c r="A463" s="13">
        <v>4012215</v>
      </c>
      <c r="B463" s="13" t="s">
        <v>655</v>
      </c>
      <c r="C463" s="13"/>
      <c r="D463" s="14" t="s">
        <v>393</v>
      </c>
      <c r="E463" s="13" t="str">
        <f>IFERROR(INDEX('CENTROS DE COSTOS RESOLUCION'!$C:$C,MATCH(D463,'CENTROS DE COSTOS RESOLUCION'!$B:$B,0)),"CÓDIGO NO VÁLIDO")</f>
        <v>GESTIÓN DOCUMENTAL Y ARCHIVÍSTICA</v>
      </c>
      <c r="F463" s="15" t="str">
        <f>IF(COUNTIF('CENTROS DE COSTOS UTILIZADOS'!$B:$B,D463)&gt;0,"SÍ","NO")</f>
        <v>SÍ</v>
      </c>
      <c r="G463" s="13" t="str">
        <f t="shared" si="7"/>
        <v>R09|ESE01</v>
      </c>
      <c r="H463" s="13" t="s">
        <v>20</v>
      </c>
      <c r="I463" s="13" t="s">
        <v>371</v>
      </c>
      <c r="J463" s="15" t="s">
        <v>5</v>
      </c>
      <c r="K463" s="15" t="s">
        <v>43</v>
      </c>
      <c r="L463" s="16" t="s">
        <v>656</v>
      </c>
      <c r="M463" s="13" t="s">
        <v>373</v>
      </c>
    </row>
    <row r="464" spans="1:13" x14ac:dyDescent="0.25">
      <c r="A464" s="13">
        <v>4052215</v>
      </c>
      <c r="B464" s="13" t="s">
        <v>657</v>
      </c>
      <c r="C464" s="13"/>
      <c r="D464" s="14" t="s">
        <v>393</v>
      </c>
      <c r="E464" s="13" t="str">
        <f>IFERROR(INDEX('CENTROS DE COSTOS RESOLUCION'!$C:$C,MATCH(D464,'CENTROS DE COSTOS RESOLUCION'!$B:$B,0)),"CÓDIGO NO VÁLIDO")</f>
        <v>GESTIÓN DOCUMENTAL Y ARCHIVÍSTICA</v>
      </c>
      <c r="F464" s="15" t="str">
        <f>IF(COUNTIF('CENTROS DE COSTOS UTILIZADOS'!$B:$B,D464)&gt;0,"SÍ","NO")</f>
        <v>SÍ</v>
      </c>
      <c r="G464" s="13" t="str">
        <f t="shared" si="7"/>
        <v>R09|HSJDP</v>
      </c>
      <c r="H464" s="13" t="s">
        <v>20</v>
      </c>
      <c r="I464" s="13" t="s">
        <v>200</v>
      </c>
      <c r="J464" s="15" t="s">
        <v>5</v>
      </c>
      <c r="K464" s="15" t="s">
        <v>43</v>
      </c>
      <c r="L464" s="16" t="s">
        <v>658</v>
      </c>
      <c r="M464" s="13" t="s">
        <v>45</v>
      </c>
    </row>
    <row r="465" spans="1:13" x14ac:dyDescent="0.25">
      <c r="A465" s="13">
        <v>4022215</v>
      </c>
      <c r="B465" s="13" t="s">
        <v>659</v>
      </c>
      <c r="C465" s="13"/>
      <c r="D465" s="14" t="s">
        <v>393</v>
      </c>
      <c r="E465" s="13" t="str">
        <f>IFERROR(INDEX('CENTROS DE COSTOS RESOLUCION'!$C:$C,MATCH(D465,'CENTROS DE COSTOS RESOLUCION'!$B:$B,0)),"CÓDIGO NO VÁLIDO")</f>
        <v>GESTIÓN DOCUMENTAL Y ARCHIVÍSTICA</v>
      </c>
      <c r="F465" s="15" t="str">
        <f>IF(COUNTIF('CENTROS DE COSTOS UTILIZADOS'!$B:$B,D465)&gt;0,"SÍ","NO")</f>
        <v>SÍ</v>
      </c>
      <c r="G465" s="13" t="str">
        <f t="shared" si="7"/>
        <v>R09|HSLA</v>
      </c>
      <c r="H465" s="13" t="s">
        <v>20</v>
      </c>
      <c r="I465" s="13" t="s">
        <v>42</v>
      </c>
      <c r="J465" s="15" t="s">
        <v>5</v>
      </c>
      <c r="K465" s="15" t="s">
        <v>43</v>
      </c>
      <c r="L465" s="16" t="s">
        <v>658</v>
      </c>
      <c r="M465" s="13" t="s">
        <v>45</v>
      </c>
    </row>
    <row r="466" spans="1:13" x14ac:dyDescent="0.25">
      <c r="A466" s="13">
        <v>4092215</v>
      </c>
      <c r="B466" s="13" t="s">
        <v>660</v>
      </c>
      <c r="C466" s="13"/>
      <c r="D466" s="14" t="s">
        <v>393</v>
      </c>
      <c r="E466" s="13" t="str">
        <f>IFERROR(INDEX('CENTROS DE COSTOS RESOLUCION'!$C:$C,MATCH(D466,'CENTROS DE COSTOS RESOLUCION'!$B:$B,0)),"CÓDIGO NO VÁLIDO")</f>
        <v>GESTIÓN DOCUMENTAL Y ARCHIVÍSTICA</v>
      </c>
      <c r="F466" s="15" t="str">
        <f>IF(COUNTIF('CENTROS DE COSTOS UTILIZADOS'!$B:$B,D466)&gt;0,"SÍ","NO")</f>
        <v>SÍ</v>
      </c>
      <c r="G466" s="13" t="str">
        <f t="shared" si="7"/>
        <v>R09|CSJSC</v>
      </c>
      <c r="H466" s="13" t="s">
        <v>20</v>
      </c>
      <c r="I466" s="13" t="s">
        <v>336</v>
      </c>
      <c r="J466" s="15" t="s">
        <v>5</v>
      </c>
      <c r="K466" s="15" t="s">
        <v>43</v>
      </c>
      <c r="L466" s="16" t="s">
        <v>658</v>
      </c>
      <c r="M466" s="13" t="s">
        <v>45</v>
      </c>
    </row>
    <row r="467" spans="1:13" x14ac:dyDescent="0.25">
      <c r="A467" s="13">
        <v>4042215</v>
      </c>
      <c r="B467" s="13" t="s">
        <v>661</v>
      </c>
      <c r="C467" s="13"/>
      <c r="D467" s="14" t="s">
        <v>393</v>
      </c>
      <c r="E467" s="13" t="str">
        <f>IFERROR(INDEX('CENTROS DE COSTOS RESOLUCION'!$C:$C,MATCH(D467,'CENTROS DE COSTOS RESOLUCION'!$B:$B,0)),"CÓDIGO NO VÁLIDO")</f>
        <v>GESTIÓN DOCUMENTAL Y ARCHIVÍSTICA</v>
      </c>
      <c r="F467" s="15" t="str">
        <f>IF(COUNTIF('CENTROS DE COSTOS UTILIZADOS'!$B:$B,D467)&gt;0,"SÍ","NO")</f>
        <v>SÍ</v>
      </c>
      <c r="G467" s="13" t="str">
        <f t="shared" si="7"/>
        <v>R09|HSAT</v>
      </c>
      <c r="H467" s="13" t="s">
        <v>20</v>
      </c>
      <c r="I467" s="13" t="s">
        <v>166</v>
      </c>
      <c r="J467" s="15" t="s">
        <v>5</v>
      </c>
      <c r="K467" s="15" t="s">
        <v>43</v>
      </c>
      <c r="L467" s="16" t="s">
        <v>658</v>
      </c>
      <c r="M467" s="13" t="s">
        <v>45</v>
      </c>
    </row>
    <row r="468" spans="1:13" x14ac:dyDescent="0.25">
      <c r="A468" s="13">
        <v>4032215</v>
      </c>
      <c r="B468" s="13" t="s">
        <v>662</v>
      </c>
      <c r="C468" s="13"/>
      <c r="D468" s="14" t="s">
        <v>393</v>
      </c>
      <c r="E468" s="13" t="str">
        <f>IFERROR(INDEX('CENTROS DE COSTOS RESOLUCION'!$C:$C,MATCH(D468,'CENTROS DE COSTOS RESOLUCION'!$B:$B,0)),"CÓDIGO NO VÁLIDO")</f>
        <v>GESTIÓN DOCUMENTAL Y ARCHIVÍSTICA</v>
      </c>
      <c r="F468" s="15" t="str">
        <f>IF(COUNTIF('CENTROS DE COSTOS UTILIZADOS'!$B:$B,D468)&gt;0,"SÍ","NO")</f>
        <v>SÍ</v>
      </c>
      <c r="G468" s="13" t="str">
        <f t="shared" si="7"/>
        <v>R09|HSFF</v>
      </c>
      <c r="H468" s="13" t="s">
        <v>20</v>
      </c>
      <c r="I468" s="13" t="s">
        <v>132</v>
      </c>
      <c r="J468" s="15" t="s">
        <v>5</v>
      </c>
      <c r="K468" s="15" t="s">
        <v>43</v>
      </c>
      <c r="L468" s="16" t="s">
        <v>658</v>
      </c>
      <c r="M468" s="13" t="s">
        <v>45</v>
      </c>
    </row>
    <row r="469" spans="1:13" x14ac:dyDescent="0.25">
      <c r="A469" s="13">
        <v>4012216</v>
      </c>
      <c r="B469" s="13" t="s">
        <v>663</v>
      </c>
      <c r="C469" s="13"/>
      <c r="D469" s="14" t="s">
        <v>378</v>
      </c>
      <c r="E469" s="13" t="str">
        <f>IFERROR(INDEX('CENTROS DE COSTOS RESOLUCION'!$C:$C,MATCH(D469,'CENTROS DE COSTOS RESOLUCION'!$B:$B,0)),"CÓDIGO NO VÁLIDO")</f>
        <v>TALENTO HUMANO</v>
      </c>
      <c r="F469" s="15" t="str">
        <f>IF(COUNTIF('CENTROS DE COSTOS UTILIZADOS'!$B:$B,D469)&gt;0,"SÍ","NO")</f>
        <v>SÍ</v>
      </c>
      <c r="G469" s="13" t="str">
        <f t="shared" si="7"/>
        <v>R05|ESE01</v>
      </c>
      <c r="H469" s="13" t="s">
        <v>20</v>
      </c>
      <c r="I469" s="13" t="s">
        <v>371</v>
      </c>
      <c r="J469" s="15" t="s">
        <v>5</v>
      </c>
      <c r="K469" s="15" t="s">
        <v>43</v>
      </c>
      <c r="L469" s="16" t="s">
        <v>664</v>
      </c>
      <c r="M469" s="13" t="s">
        <v>373</v>
      </c>
    </row>
    <row r="470" spans="1:13" x14ac:dyDescent="0.25">
      <c r="A470" s="13">
        <v>4022216</v>
      </c>
      <c r="B470" s="13" t="s">
        <v>665</v>
      </c>
      <c r="C470" s="13"/>
      <c r="D470" s="14" t="s">
        <v>378</v>
      </c>
      <c r="E470" s="13" t="str">
        <f>IFERROR(INDEX('CENTROS DE COSTOS RESOLUCION'!$C:$C,MATCH(D470,'CENTROS DE COSTOS RESOLUCION'!$B:$B,0)),"CÓDIGO NO VÁLIDO")</f>
        <v>TALENTO HUMANO</v>
      </c>
      <c r="F470" s="15" t="str">
        <f>IF(COUNTIF('CENTROS DE COSTOS UTILIZADOS'!$B:$B,D470)&gt;0,"SÍ","NO")</f>
        <v>SÍ</v>
      </c>
      <c r="G470" s="13" t="str">
        <f t="shared" si="7"/>
        <v>R05|HSLA</v>
      </c>
      <c r="H470" s="13" t="s">
        <v>20</v>
      </c>
      <c r="I470" s="13" t="s">
        <v>42</v>
      </c>
      <c r="J470" s="15" t="s">
        <v>5</v>
      </c>
      <c r="K470" s="15" t="s">
        <v>43</v>
      </c>
      <c r="L470" s="16" t="s">
        <v>666</v>
      </c>
      <c r="M470" s="13" t="s">
        <v>45</v>
      </c>
    </row>
    <row r="471" spans="1:13" x14ac:dyDescent="0.25">
      <c r="A471" s="13">
        <v>4042216</v>
      </c>
      <c r="B471" s="13" t="s">
        <v>667</v>
      </c>
      <c r="C471" s="13"/>
      <c r="D471" s="14" t="s">
        <v>378</v>
      </c>
      <c r="E471" s="13" t="str">
        <f>IFERROR(INDEX('CENTROS DE COSTOS RESOLUCION'!$C:$C,MATCH(D471,'CENTROS DE COSTOS RESOLUCION'!$B:$B,0)),"CÓDIGO NO VÁLIDO")</f>
        <v>TALENTO HUMANO</v>
      </c>
      <c r="F471" s="15" t="str">
        <f>IF(COUNTIF('CENTROS DE COSTOS UTILIZADOS'!$B:$B,D471)&gt;0,"SÍ","NO")</f>
        <v>SÍ</v>
      </c>
      <c r="G471" s="13" t="str">
        <f t="shared" si="7"/>
        <v>R05|HSAT</v>
      </c>
      <c r="H471" s="13" t="s">
        <v>20</v>
      </c>
      <c r="I471" s="13" t="s">
        <v>166</v>
      </c>
      <c r="J471" s="15" t="s">
        <v>5</v>
      </c>
      <c r="K471" s="15" t="s">
        <v>43</v>
      </c>
      <c r="L471" s="16" t="s">
        <v>666</v>
      </c>
      <c r="M471" s="13" t="s">
        <v>45</v>
      </c>
    </row>
    <row r="472" spans="1:13" x14ac:dyDescent="0.25">
      <c r="A472" s="13">
        <v>4032216</v>
      </c>
      <c r="B472" s="13" t="s">
        <v>668</v>
      </c>
      <c r="C472" s="13"/>
      <c r="D472" s="14" t="s">
        <v>378</v>
      </c>
      <c r="E472" s="13" t="str">
        <f>IFERROR(INDEX('CENTROS DE COSTOS RESOLUCION'!$C:$C,MATCH(D472,'CENTROS DE COSTOS RESOLUCION'!$B:$B,0)),"CÓDIGO NO VÁLIDO")</f>
        <v>TALENTO HUMANO</v>
      </c>
      <c r="F472" s="15" t="str">
        <f>IF(COUNTIF('CENTROS DE COSTOS UTILIZADOS'!$B:$B,D472)&gt;0,"SÍ","NO")</f>
        <v>SÍ</v>
      </c>
      <c r="G472" s="13" t="str">
        <f t="shared" si="7"/>
        <v>R05|HSFF</v>
      </c>
      <c r="H472" s="13" t="s">
        <v>20</v>
      </c>
      <c r="I472" s="13" t="s">
        <v>132</v>
      </c>
      <c r="J472" s="15" t="s">
        <v>5</v>
      </c>
      <c r="K472" s="15" t="s">
        <v>43</v>
      </c>
      <c r="L472" s="16" t="s">
        <v>666</v>
      </c>
      <c r="M472" s="13" t="s">
        <v>45</v>
      </c>
    </row>
    <row r="473" spans="1:13" x14ac:dyDescent="0.25">
      <c r="A473" s="13">
        <v>4052216</v>
      </c>
      <c r="B473" s="13" t="s">
        <v>669</v>
      </c>
      <c r="C473" s="13"/>
      <c r="D473" s="14" t="s">
        <v>378</v>
      </c>
      <c r="E473" s="13" t="str">
        <f>IFERROR(INDEX('CENTROS DE COSTOS RESOLUCION'!$C:$C,MATCH(D473,'CENTROS DE COSTOS RESOLUCION'!$B:$B,0)),"CÓDIGO NO VÁLIDO")</f>
        <v>TALENTO HUMANO</v>
      </c>
      <c r="F473" s="15" t="str">
        <f>IF(COUNTIF('CENTROS DE COSTOS UTILIZADOS'!$B:$B,D473)&gt;0,"SÍ","NO")</f>
        <v>SÍ</v>
      </c>
      <c r="G473" s="13" t="str">
        <f t="shared" si="7"/>
        <v>R05|HSJDP</v>
      </c>
      <c r="H473" s="13" t="s">
        <v>20</v>
      </c>
      <c r="I473" s="13" t="s">
        <v>200</v>
      </c>
      <c r="J473" s="15" t="s">
        <v>5</v>
      </c>
      <c r="K473" s="15" t="s">
        <v>43</v>
      </c>
      <c r="L473" s="16" t="s">
        <v>666</v>
      </c>
      <c r="M473" s="13" t="s">
        <v>45</v>
      </c>
    </row>
    <row r="474" spans="1:13" x14ac:dyDescent="0.25">
      <c r="A474" s="13">
        <v>4062216</v>
      </c>
      <c r="B474" s="13" t="s">
        <v>670</v>
      </c>
      <c r="C474" s="13"/>
      <c r="D474" s="14" t="s">
        <v>378</v>
      </c>
      <c r="E474" s="13" t="str">
        <f>IFERROR(INDEX('CENTROS DE COSTOS RESOLUCION'!$C:$C,MATCH(D474,'CENTROS DE COSTOS RESOLUCION'!$B:$B,0)),"CÓDIGO NO VÁLIDO")</f>
        <v>TALENTO HUMANO</v>
      </c>
      <c r="F474" s="15" t="str">
        <f>IF(COUNTIF('CENTROS DE COSTOS UTILIZADOS'!$B:$B,D474)&gt;0,"SÍ","NO")</f>
        <v>SÍ</v>
      </c>
      <c r="G474" s="13" t="str">
        <f t="shared" si="7"/>
        <v>R05|HSJCN</v>
      </c>
      <c r="H474" s="13" t="s">
        <v>20</v>
      </c>
      <c r="I474" s="13" t="s">
        <v>234</v>
      </c>
      <c r="J474" s="15" t="s">
        <v>5</v>
      </c>
      <c r="K474" s="15" t="s">
        <v>43</v>
      </c>
      <c r="L474" s="16" t="s">
        <v>666</v>
      </c>
      <c r="M474" s="13" t="s">
        <v>45</v>
      </c>
    </row>
    <row r="475" spans="1:13" x14ac:dyDescent="0.25">
      <c r="A475" s="13">
        <v>4062215</v>
      </c>
      <c r="B475" s="13" t="s">
        <v>671</v>
      </c>
      <c r="C475" s="13"/>
      <c r="D475" s="14" t="s">
        <v>393</v>
      </c>
      <c r="E475" s="13" t="str">
        <f>IFERROR(INDEX('CENTROS DE COSTOS RESOLUCION'!$C:$C,MATCH(D475,'CENTROS DE COSTOS RESOLUCION'!$B:$B,0)),"CÓDIGO NO VÁLIDO")</f>
        <v>GESTIÓN DOCUMENTAL Y ARCHIVÍSTICA</v>
      </c>
      <c r="F475" s="15" t="str">
        <f>IF(COUNTIF('CENTROS DE COSTOS UTILIZADOS'!$B:$B,D475)&gt;0,"SÍ","NO")</f>
        <v>SÍ</v>
      </c>
      <c r="G475" s="13" t="str">
        <f t="shared" si="7"/>
        <v>R09|HSJCN</v>
      </c>
      <c r="H475" s="13" t="s">
        <v>20</v>
      </c>
      <c r="I475" s="13" t="s">
        <v>234</v>
      </c>
      <c r="J475" s="15" t="s">
        <v>5</v>
      </c>
      <c r="K475" s="15" t="s">
        <v>43</v>
      </c>
      <c r="L475" s="16" t="s">
        <v>658</v>
      </c>
      <c r="M475" s="13" t="s">
        <v>45</v>
      </c>
    </row>
    <row r="476" spans="1:13" x14ac:dyDescent="0.25">
      <c r="A476" s="13">
        <v>4102208</v>
      </c>
      <c r="B476" s="13" t="s">
        <v>672</v>
      </c>
      <c r="C476" s="13"/>
      <c r="D476" s="14" t="s">
        <v>381</v>
      </c>
      <c r="E476" s="13" t="str">
        <f>IFERROR(INDEX('CENTROS DE COSTOS RESOLUCION'!$C:$C,MATCH(D476,'CENTROS DE COSTOS RESOLUCION'!$B:$B,0)),"CÓDIGO NO VÁLIDO")</f>
        <v>RECURSOS FÍSICOS</v>
      </c>
      <c r="F476" s="15" t="str">
        <f>IF(COUNTIF('CENTROS DE COSTOS UTILIZADOS'!$B:$B,D476)&gt;0,"SÍ","NO")</f>
        <v>SÍ</v>
      </c>
      <c r="G476" s="13" t="str">
        <f t="shared" si="7"/>
        <v>R02|PSPG</v>
      </c>
      <c r="H476" s="13" t="s">
        <v>20</v>
      </c>
      <c r="I476" s="13" t="s">
        <v>673</v>
      </c>
      <c r="J476" s="15" t="s">
        <v>5</v>
      </c>
      <c r="K476" s="15" t="s">
        <v>54</v>
      </c>
      <c r="L476" s="16" t="s">
        <v>561</v>
      </c>
      <c r="M476" s="13" t="s">
        <v>45</v>
      </c>
    </row>
    <row r="477" spans="1:13" x14ac:dyDescent="0.25">
      <c r="A477" s="13">
        <v>5012101</v>
      </c>
      <c r="B477" s="13" t="s">
        <v>674</v>
      </c>
      <c r="C477" s="13"/>
      <c r="D477" s="14" t="s">
        <v>469</v>
      </c>
      <c r="E477" s="13" t="str">
        <f>IFERROR(INDEX('CENTROS DE COSTOS RESOLUCION'!$C:$C,MATCH(D477,'CENTROS DE COSTOS RESOLUCION'!$B:$B,0)),"CÓDIGO NO VÁLIDO")</f>
        <v>OTROS VEHÍCULOS Y CONDUCTORES</v>
      </c>
      <c r="F477" s="15" t="str">
        <f>IF(COUNTIF('CENTROS DE COSTOS UTILIZADOS'!$B:$B,D477)&gt;0,"SÍ","NO")</f>
        <v>SÍ</v>
      </c>
      <c r="G477" s="13" t="str">
        <f t="shared" si="7"/>
        <v>R07|ESE01</v>
      </c>
      <c r="H477" s="13" t="s">
        <v>20</v>
      </c>
      <c r="I477" s="13" t="s">
        <v>371</v>
      </c>
      <c r="J477" s="15" t="s">
        <v>5</v>
      </c>
      <c r="K477" s="15" t="s">
        <v>43</v>
      </c>
      <c r="L477" s="16" t="s">
        <v>675</v>
      </c>
      <c r="M477" s="13" t="s">
        <v>373</v>
      </c>
    </row>
    <row r="478" spans="1:13" x14ac:dyDescent="0.25">
      <c r="A478" s="13">
        <v>5022101</v>
      </c>
      <c r="B478" s="13" t="s">
        <v>676</v>
      </c>
      <c r="C478" s="13"/>
      <c r="D478" s="14" t="s">
        <v>126</v>
      </c>
      <c r="E478" s="13" t="str">
        <f>IFERROR(INDEX('CENTROS DE COSTOS RESOLUCION'!$C:$C,MATCH(D478,'CENTROS DE COSTOS RESOLUCION'!$B:$B,0)),"CÓDIGO NO VÁLIDO")</f>
        <v>SERVICIO DE AMBULANCIAS</v>
      </c>
      <c r="F478" s="15" t="str">
        <f>IF(COUNTIF('CENTROS DE COSTOS UTILIZADOS'!$B:$B,D478)&gt;0,"SÍ","NO")</f>
        <v>SÍ</v>
      </c>
      <c r="G478" s="13" t="str">
        <f t="shared" si="7"/>
        <v>N08|HSLA</v>
      </c>
      <c r="H478" s="13" t="s">
        <v>17</v>
      </c>
      <c r="I478" s="13" t="s">
        <v>42</v>
      </c>
      <c r="J478" s="15" t="s">
        <v>5</v>
      </c>
      <c r="K478" s="15" t="s">
        <v>54</v>
      </c>
      <c r="L478" s="16" t="s">
        <v>677</v>
      </c>
      <c r="M478" s="13" t="s">
        <v>45</v>
      </c>
    </row>
    <row r="479" spans="1:13" x14ac:dyDescent="0.25">
      <c r="A479" s="13">
        <v>5032101</v>
      </c>
      <c r="B479" s="13" t="s">
        <v>678</v>
      </c>
      <c r="C479" s="13"/>
      <c r="D479" s="14" t="s">
        <v>126</v>
      </c>
      <c r="E479" s="13" t="str">
        <f>IFERROR(INDEX('CENTROS DE COSTOS RESOLUCION'!$C:$C,MATCH(D479,'CENTROS DE COSTOS RESOLUCION'!$B:$B,0)),"CÓDIGO NO VÁLIDO")</f>
        <v>SERVICIO DE AMBULANCIAS</v>
      </c>
      <c r="F479" s="15" t="str">
        <f>IF(COUNTIF('CENTROS DE COSTOS UTILIZADOS'!$B:$B,D479)&gt;0,"SÍ","NO")</f>
        <v>SÍ</v>
      </c>
      <c r="G479" s="13" t="str">
        <f t="shared" si="7"/>
        <v>N08|HSFF</v>
      </c>
      <c r="H479" s="13" t="s">
        <v>17</v>
      </c>
      <c r="I479" s="13" t="s">
        <v>132</v>
      </c>
      <c r="J479" s="15" t="s">
        <v>5</v>
      </c>
      <c r="K479" s="15" t="s">
        <v>54</v>
      </c>
      <c r="L479" s="16" t="s">
        <v>677</v>
      </c>
      <c r="M479" s="13" t="s">
        <v>45</v>
      </c>
    </row>
    <row r="480" spans="1:13" x14ac:dyDescent="0.25">
      <c r="A480" s="13">
        <v>5042101</v>
      </c>
      <c r="B480" s="13" t="s">
        <v>679</v>
      </c>
      <c r="C480" s="13"/>
      <c r="D480" s="14" t="s">
        <v>126</v>
      </c>
      <c r="E480" s="13" t="str">
        <f>IFERROR(INDEX('CENTROS DE COSTOS RESOLUCION'!$C:$C,MATCH(D480,'CENTROS DE COSTOS RESOLUCION'!$B:$B,0)),"CÓDIGO NO VÁLIDO")</f>
        <v>SERVICIO DE AMBULANCIAS</v>
      </c>
      <c r="F480" s="15" t="str">
        <f>IF(COUNTIF('CENTROS DE COSTOS UTILIZADOS'!$B:$B,D480)&gt;0,"SÍ","NO")</f>
        <v>SÍ</v>
      </c>
      <c r="G480" s="13" t="str">
        <f t="shared" si="7"/>
        <v>N08|HSAT</v>
      </c>
      <c r="H480" s="13" t="s">
        <v>17</v>
      </c>
      <c r="I480" s="13" t="s">
        <v>166</v>
      </c>
      <c r="J480" s="15" t="s">
        <v>5</v>
      </c>
      <c r="K480" s="15" t="s">
        <v>54</v>
      </c>
      <c r="L480" s="16" t="s">
        <v>677</v>
      </c>
      <c r="M480" s="13" t="s">
        <v>45</v>
      </c>
    </row>
    <row r="481" spans="1:13" x14ac:dyDescent="0.25">
      <c r="A481" s="13">
        <v>5052101</v>
      </c>
      <c r="B481" s="13" t="s">
        <v>680</v>
      </c>
      <c r="C481" s="13"/>
      <c r="D481" s="14" t="s">
        <v>126</v>
      </c>
      <c r="E481" s="13" t="str">
        <f>IFERROR(INDEX('CENTROS DE COSTOS RESOLUCION'!$C:$C,MATCH(D481,'CENTROS DE COSTOS RESOLUCION'!$B:$B,0)),"CÓDIGO NO VÁLIDO")</f>
        <v>SERVICIO DE AMBULANCIAS</v>
      </c>
      <c r="F481" s="15" t="str">
        <f>IF(COUNTIF('CENTROS DE COSTOS UTILIZADOS'!$B:$B,D481)&gt;0,"SÍ","NO")</f>
        <v>SÍ</v>
      </c>
      <c r="G481" s="13" t="str">
        <f t="shared" si="7"/>
        <v>N08|HSJDP</v>
      </c>
      <c r="H481" s="13" t="s">
        <v>17</v>
      </c>
      <c r="I481" s="13" t="s">
        <v>200</v>
      </c>
      <c r="J481" s="15" t="s">
        <v>5</v>
      </c>
      <c r="K481" s="15" t="s">
        <v>54</v>
      </c>
      <c r="L481" s="16" t="s">
        <v>677</v>
      </c>
      <c r="M481" s="13" t="s">
        <v>45</v>
      </c>
    </row>
    <row r="482" spans="1:13" x14ac:dyDescent="0.25">
      <c r="A482" s="13">
        <v>5062101</v>
      </c>
      <c r="B482" s="13" t="s">
        <v>681</v>
      </c>
      <c r="C482" s="13"/>
      <c r="D482" s="14" t="s">
        <v>126</v>
      </c>
      <c r="E482" s="13" t="str">
        <f>IFERROR(INDEX('CENTROS DE COSTOS RESOLUCION'!$C:$C,MATCH(D482,'CENTROS DE COSTOS RESOLUCION'!$B:$B,0)),"CÓDIGO NO VÁLIDO")</f>
        <v>SERVICIO DE AMBULANCIAS</v>
      </c>
      <c r="F482" s="15" t="str">
        <f>IF(COUNTIF('CENTROS DE COSTOS UTILIZADOS'!$B:$B,D482)&gt;0,"SÍ","NO")</f>
        <v>SÍ</v>
      </c>
      <c r="G482" s="13" t="str">
        <f t="shared" si="7"/>
        <v>N08|HSJCN</v>
      </c>
      <c r="H482" s="13" t="s">
        <v>17</v>
      </c>
      <c r="I482" s="13" t="s">
        <v>234</v>
      </c>
      <c r="J482" s="15" t="s">
        <v>5</v>
      </c>
      <c r="K482" s="15" t="s">
        <v>54</v>
      </c>
      <c r="L482" s="16" t="s">
        <v>677</v>
      </c>
      <c r="M482" s="13" t="s">
        <v>45</v>
      </c>
    </row>
    <row r="483" spans="1:13" x14ac:dyDescent="0.25">
      <c r="A483" s="13">
        <v>5072101</v>
      </c>
      <c r="B483" s="13" t="s">
        <v>682</v>
      </c>
      <c r="C483" s="13"/>
      <c r="D483" s="14" t="s">
        <v>126</v>
      </c>
      <c r="E483" s="13" t="str">
        <f>IFERROR(INDEX('CENTROS DE COSTOS RESOLUCION'!$C:$C,MATCH(D483,'CENTROS DE COSTOS RESOLUCION'!$B:$B,0)),"CÓDIGO NO VÁLIDO")</f>
        <v>SERVICIO DE AMBULANCIAS</v>
      </c>
      <c r="F483" s="15" t="str">
        <f>IF(COUNTIF('CENTROS DE COSTOS UTILIZADOS'!$B:$B,D483)&gt;0,"SÍ","NO")</f>
        <v>SÍ</v>
      </c>
      <c r="G483" s="13" t="str">
        <f t="shared" si="7"/>
        <v>N08|HSRP</v>
      </c>
      <c r="H483" s="13" t="s">
        <v>17</v>
      </c>
      <c r="I483" s="13" t="s">
        <v>268</v>
      </c>
      <c r="J483" s="15" t="s">
        <v>5</v>
      </c>
      <c r="K483" s="15" t="s">
        <v>54</v>
      </c>
      <c r="L483" s="16" t="s">
        <v>677</v>
      </c>
      <c r="M483" s="13" t="s">
        <v>45</v>
      </c>
    </row>
    <row r="484" spans="1:13" x14ac:dyDescent="0.25">
      <c r="A484" s="13">
        <v>5082101</v>
      </c>
      <c r="B484" s="13" t="s">
        <v>683</v>
      </c>
      <c r="C484" s="13"/>
      <c r="D484" s="14" t="s">
        <v>126</v>
      </c>
      <c r="E484" s="13" t="str">
        <f>IFERROR(INDEX('CENTROS DE COSTOS RESOLUCION'!$C:$C,MATCH(D484,'CENTROS DE COSTOS RESOLUCION'!$B:$B,0)),"CÓDIGO NO VÁLIDO")</f>
        <v>SERVICIO DE AMBULANCIAS</v>
      </c>
      <c r="F484" s="15" t="str">
        <f>IF(COUNTIF('CENTROS DE COSTOS UTILIZADOS'!$B:$B,D484)&gt;0,"SÍ","NO")</f>
        <v>SÍ</v>
      </c>
      <c r="G484" s="13" t="str">
        <f t="shared" si="7"/>
        <v>N08|CSPA</v>
      </c>
      <c r="H484" s="13" t="s">
        <v>17</v>
      </c>
      <c r="I484" s="13" t="s">
        <v>302</v>
      </c>
      <c r="J484" s="15" t="s">
        <v>5</v>
      </c>
      <c r="K484" s="15" t="s">
        <v>54</v>
      </c>
      <c r="L484" s="16" t="s">
        <v>677</v>
      </c>
      <c r="M484" s="13" t="s">
        <v>45</v>
      </c>
    </row>
    <row r="485" spans="1:13" x14ac:dyDescent="0.25">
      <c r="A485" s="13">
        <v>4022217</v>
      </c>
      <c r="B485" s="13" t="s">
        <v>684</v>
      </c>
      <c r="C485" s="13"/>
      <c r="D485" s="14" t="s">
        <v>469</v>
      </c>
      <c r="E485" s="13" t="str">
        <f>IFERROR(INDEX('CENTROS DE COSTOS RESOLUCION'!$C:$C,MATCH(D485,'CENTROS DE COSTOS RESOLUCION'!$B:$B,0)),"CÓDIGO NO VÁLIDO")</f>
        <v>OTROS VEHÍCULOS Y CONDUCTORES</v>
      </c>
      <c r="F485" s="15" t="str">
        <f>IF(COUNTIF('CENTROS DE COSTOS UTILIZADOS'!$B:$B,D485)&gt;0,"SÍ","NO")</f>
        <v>SÍ</v>
      </c>
      <c r="G485" s="13" t="str">
        <f t="shared" si="7"/>
        <v>R07|HSLA</v>
      </c>
      <c r="H485" s="13" t="s">
        <v>20</v>
      </c>
      <c r="I485" s="13" t="s">
        <v>42</v>
      </c>
      <c r="J485" s="15" t="s">
        <v>5</v>
      </c>
      <c r="K485" s="15" t="s">
        <v>54</v>
      </c>
      <c r="L485" s="16" t="s">
        <v>685</v>
      </c>
      <c r="M485" s="13" t="s">
        <v>373</v>
      </c>
    </row>
    <row r="486" spans="1:13" x14ac:dyDescent="0.25">
      <c r="A486" s="13">
        <v>4012217</v>
      </c>
      <c r="B486" s="13" t="s">
        <v>686</v>
      </c>
      <c r="C486" s="13"/>
      <c r="D486" s="14" t="s">
        <v>644</v>
      </c>
      <c r="E486" s="13" t="str">
        <f>IFERROR(INDEX('CENTROS DE COSTOS RESOLUCION'!$C:$C,MATCH(D486,'CENTROS DE COSTOS RESOLUCION'!$B:$B,0)),"CÓDIGO NO VÁLIDO")</f>
        <v>SALUD OCUPACIONAL</v>
      </c>
      <c r="F486" s="15" t="str">
        <f>IF(COUNTIF('CENTROS DE COSTOS UTILIZADOS'!$B:$B,D486)&gt;0,"SÍ","NO")</f>
        <v>SÍ</v>
      </c>
      <c r="G486" s="13" t="str">
        <f t="shared" si="7"/>
        <v>R08|ESE01</v>
      </c>
      <c r="H486" s="13" t="s">
        <v>20</v>
      </c>
      <c r="I486" s="13" t="s">
        <v>371</v>
      </c>
      <c r="J486" s="15" t="s">
        <v>5</v>
      </c>
      <c r="K486" s="15" t="s">
        <v>43</v>
      </c>
      <c r="L486" s="16" t="s">
        <v>687</v>
      </c>
      <c r="M486" s="13" t="s">
        <v>373</v>
      </c>
    </row>
    <row r="487" spans="1:13" x14ac:dyDescent="0.25">
      <c r="A487" s="13">
        <v>4012219</v>
      </c>
      <c r="B487" s="13" t="s">
        <v>688</v>
      </c>
      <c r="C487" s="13"/>
      <c r="D487" s="14" t="s">
        <v>570</v>
      </c>
      <c r="E487" s="13" t="str">
        <f>IFERROR(INDEX('CENTROS DE COSTOS RESOLUCION'!$C:$C,MATCH(D487,'CENTROS DE COSTOS RESOLUCION'!$B:$B,0)),"CÓDIGO NO VÁLIDO")</f>
        <v>COORDINACIÓN ADMINISTRATIVA</v>
      </c>
      <c r="F487" s="15" t="str">
        <f>IF(COUNTIF('CENTROS DE COSTOS UTILIZADOS'!$B:$B,D487)&gt;0,"SÍ","NO")</f>
        <v>SÍ</v>
      </c>
      <c r="G487" s="13" t="str">
        <f t="shared" si="7"/>
        <v>R01|ESE01</v>
      </c>
      <c r="H487" s="13" t="s">
        <v>20</v>
      </c>
      <c r="I487" s="13" t="s">
        <v>371</v>
      </c>
      <c r="J487" s="15" t="s">
        <v>5</v>
      </c>
      <c r="K487" s="15" t="s">
        <v>54</v>
      </c>
      <c r="L487" s="16" t="s">
        <v>689</v>
      </c>
      <c r="M487" s="13" t="s">
        <v>373</v>
      </c>
    </row>
    <row r="488" spans="1:13" x14ac:dyDescent="0.25">
      <c r="A488" s="13">
        <v>4012220</v>
      </c>
      <c r="B488" s="13" t="s">
        <v>690</v>
      </c>
      <c r="C488" s="13"/>
      <c r="D488" s="14" t="s">
        <v>63</v>
      </c>
      <c r="E488" s="13" t="str">
        <f>IFERROR(INDEX('CENTROS DE COSTOS RESOLUCION'!$C:$C,MATCH(D488,'CENTROS DE COSTOS RESOLUCION'!$B:$B,0)),"CÓDIGO NO VÁLIDO")</f>
        <v>SALUD PUBLICA</v>
      </c>
      <c r="F488" s="15" t="str">
        <f>IF(COUNTIF('CENTROS DE COSTOS UTILIZADOS'!$B:$B,D488)&gt;0,"SÍ","NO")</f>
        <v>SÍ</v>
      </c>
      <c r="G488" s="13" t="str">
        <f t="shared" si="7"/>
        <v>K25|ESE01</v>
      </c>
      <c r="H488" s="13" t="s">
        <v>17</v>
      </c>
      <c r="I488" s="13" t="s">
        <v>371</v>
      </c>
      <c r="J488" s="15" t="s">
        <v>5</v>
      </c>
      <c r="K488" s="15" t="s">
        <v>43</v>
      </c>
      <c r="L488" s="16" t="s">
        <v>691</v>
      </c>
      <c r="M488" s="13" t="s">
        <v>373</v>
      </c>
    </row>
    <row r="489" spans="1:13" x14ac:dyDescent="0.25">
      <c r="A489" s="13">
        <v>1040707</v>
      </c>
      <c r="B489" s="13" t="s">
        <v>692</v>
      </c>
      <c r="C489" s="13"/>
      <c r="D489" s="14" t="s">
        <v>109</v>
      </c>
      <c r="E489" s="13" t="str">
        <f>IFERROR(INDEX('CENTROS DE COSTOS RESOLUCION'!$C:$C,MATCH(D489,'CENTROS DE COSTOS RESOLUCION'!$B:$B,0)),"CÓDIGO NO VÁLIDO")</f>
        <v>OTRAS TERAPIAS</v>
      </c>
      <c r="F489" s="15" t="str">
        <f>IF(COUNTIF('CENTROS DE COSTOS UTILIZADOS'!$B:$B,D489)&gt;0,"SÍ","NO")</f>
        <v>NO</v>
      </c>
      <c r="G489" s="13" t="str">
        <f t="shared" si="7"/>
        <v>M07|HSAT</v>
      </c>
      <c r="H489" s="13" t="s">
        <v>18</v>
      </c>
      <c r="I489" s="13" t="s">
        <v>166</v>
      </c>
      <c r="J489" s="15" t="s">
        <v>5</v>
      </c>
      <c r="K489" s="15" t="s">
        <v>54</v>
      </c>
      <c r="L489" s="16" t="s">
        <v>693</v>
      </c>
      <c r="M489" s="13" t="s">
        <v>45</v>
      </c>
    </row>
    <row r="490" spans="1:13" x14ac:dyDescent="0.25">
      <c r="A490" s="13">
        <v>6041001</v>
      </c>
      <c r="B490" s="13" t="s">
        <v>694</v>
      </c>
      <c r="C490" s="13"/>
      <c r="D490" s="14" t="s">
        <v>477</v>
      </c>
      <c r="E490" s="13" t="str">
        <f>IFERROR(INDEX('CENTROS DE COSTOS RESOLUCION'!$C:$C,MATCH(D490,'CENTROS DE COSTOS RESOLUCION'!$B:$B,0)),"CÓDIGO NO VÁLIDO")</f>
        <v>MANTENIMIENTO HOSPITALARIO</v>
      </c>
      <c r="F490" s="15" t="str">
        <f>IF(COUNTIF('CENTROS DE COSTOS UTILIZADOS'!$B:$B,D490)&gt;0,"SÍ","NO")</f>
        <v>SÍ</v>
      </c>
      <c r="G490" s="13" t="str">
        <f t="shared" si="7"/>
        <v>P02|HSAT</v>
      </c>
      <c r="H490" s="13" t="s">
        <v>19</v>
      </c>
      <c r="I490" s="13" t="s">
        <v>695</v>
      </c>
      <c r="J490" s="15" t="s">
        <v>5</v>
      </c>
      <c r="K490" s="15" t="s">
        <v>43</v>
      </c>
      <c r="L490" s="16" t="s">
        <v>492</v>
      </c>
      <c r="M490" s="13" t="s">
        <v>45</v>
      </c>
    </row>
    <row r="491" spans="1:13" x14ac:dyDescent="0.25">
      <c r="A491" s="13">
        <v>6041003</v>
      </c>
      <c r="B491" s="13" t="s">
        <v>696</v>
      </c>
      <c r="C491" s="13"/>
      <c r="D491" s="14" t="s">
        <v>477</v>
      </c>
      <c r="E491" s="13" t="str">
        <f>IFERROR(INDEX('CENTROS DE COSTOS RESOLUCION'!$C:$C,MATCH(D491,'CENTROS DE COSTOS RESOLUCION'!$B:$B,0)),"CÓDIGO NO VÁLIDO")</f>
        <v>MANTENIMIENTO HOSPITALARIO</v>
      </c>
      <c r="F491" s="15" t="str">
        <f>IF(COUNTIF('CENTROS DE COSTOS UTILIZADOS'!$B:$B,D491)&gt;0,"SÍ","NO")</f>
        <v>SÍ</v>
      </c>
      <c r="G491" s="13" t="str">
        <f t="shared" si="7"/>
        <v>P02|HSAT</v>
      </c>
      <c r="H491" s="13" t="s">
        <v>19</v>
      </c>
      <c r="I491" s="13" t="s">
        <v>166</v>
      </c>
      <c r="J491" s="15" t="s">
        <v>5</v>
      </c>
      <c r="K491" s="15" t="s">
        <v>43</v>
      </c>
      <c r="L491" s="16" t="s">
        <v>492</v>
      </c>
      <c r="M491" s="13" t="s">
        <v>45</v>
      </c>
    </row>
    <row r="492" spans="1:13" x14ac:dyDescent="0.25">
      <c r="A492" s="13">
        <v>6041002</v>
      </c>
      <c r="B492" s="13" t="s">
        <v>697</v>
      </c>
      <c r="C492" s="13"/>
      <c r="D492" s="14" t="s">
        <v>477</v>
      </c>
      <c r="E492" s="13" t="str">
        <f>IFERROR(INDEX('CENTROS DE COSTOS RESOLUCION'!$C:$C,MATCH(D492,'CENTROS DE COSTOS RESOLUCION'!$B:$B,0)),"CÓDIGO NO VÁLIDO")</f>
        <v>MANTENIMIENTO HOSPITALARIO</v>
      </c>
      <c r="F492" s="15" t="str">
        <f>IF(COUNTIF('CENTROS DE COSTOS UTILIZADOS'!$B:$B,D492)&gt;0,"SÍ","NO")</f>
        <v>SÍ</v>
      </c>
      <c r="G492" s="13" t="str">
        <f t="shared" si="7"/>
        <v>P02|HSAT</v>
      </c>
      <c r="H492" s="13" t="s">
        <v>19</v>
      </c>
      <c r="I492" s="13" t="s">
        <v>166</v>
      </c>
      <c r="J492" s="15" t="s">
        <v>5</v>
      </c>
      <c r="K492" s="15" t="s">
        <v>43</v>
      </c>
      <c r="L492" s="16" t="s">
        <v>492</v>
      </c>
      <c r="M492" s="13" t="s">
        <v>45</v>
      </c>
    </row>
    <row r="493" spans="1:13" x14ac:dyDescent="0.25">
      <c r="A493" s="13">
        <v>6041004</v>
      </c>
      <c r="B493" s="13" t="s">
        <v>698</v>
      </c>
      <c r="C493" s="13"/>
      <c r="D493" s="14" t="s">
        <v>477</v>
      </c>
      <c r="E493" s="13" t="str">
        <f>IFERROR(INDEX('CENTROS DE COSTOS RESOLUCION'!$C:$C,MATCH(D493,'CENTROS DE COSTOS RESOLUCION'!$B:$B,0)),"CÓDIGO NO VÁLIDO")</f>
        <v>MANTENIMIENTO HOSPITALARIO</v>
      </c>
      <c r="F493" s="15" t="str">
        <f>IF(COUNTIF('CENTROS DE COSTOS UTILIZADOS'!$B:$B,D493)&gt;0,"SÍ","NO")</f>
        <v>SÍ</v>
      </c>
      <c r="G493" s="13" t="str">
        <f t="shared" si="7"/>
        <v>P02|HSAT</v>
      </c>
      <c r="H493" s="13" t="s">
        <v>19</v>
      </c>
      <c r="I493" s="13" t="s">
        <v>166</v>
      </c>
      <c r="J493" s="15" t="s">
        <v>5</v>
      </c>
      <c r="K493" s="15" t="s">
        <v>43</v>
      </c>
      <c r="L493" s="16" t="s">
        <v>492</v>
      </c>
      <c r="M493" s="13" t="s">
        <v>45</v>
      </c>
    </row>
    <row r="494" spans="1:13" x14ac:dyDescent="0.25">
      <c r="A494" s="13">
        <v>6041005</v>
      </c>
      <c r="B494" s="13" t="s">
        <v>699</v>
      </c>
      <c r="C494" s="13"/>
      <c r="D494" s="14" t="s">
        <v>477</v>
      </c>
      <c r="E494" s="13" t="str">
        <f>IFERROR(INDEX('CENTROS DE COSTOS RESOLUCION'!$C:$C,MATCH(D494,'CENTROS DE COSTOS RESOLUCION'!$B:$B,0)),"CÓDIGO NO VÁLIDO")</f>
        <v>MANTENIMIENTO HOSPITALARIO</v>
      </c>
      <c r="F494" s="15" t="str">
        <f>IF(COUNTIF('CENTROS DE COSTOS UTILIZADOS'!$B:$B,D494)&gt;0,"SÍ","NO")</f>
        <v>SÍ</v>
      </c>
      <c r="G494" s="13" t="str">
        <f t="shared" si="7"/>
        <v>P02|HSAT</v>
      </c>
      <c r="H494" s="13" t="s">
        <v>19</v>
      </c>
      <c r="I494" s="13" t="s">
        <v>166</v>
      </c>
      <c r="J494" s="15" t="s">
        <v>5</v>
      </c>
      <c r="K494" s="15" t="s">
        <v>43</v>
      </c>
      <c r="L494" s="16" t="s">
        <v>492</v>
      </c>
      <c r="M494" s="13" t="s">
        <v>45</v>
      </c>
    </row>
    <row r="495" spans="1:13" x14ac:dyDescent="0.25">
      <c r="A495" s="13">
        <v>6041006</v>
      </c>
      <c r="B495" s="13" t="s">
        <v>700</v>
      </c>
      <c r="C495" s="13"/>
      <c r="D495" s="14" t="s">
        <v>477</v>
      </c>
      <c r="E495" s="13" t="str">
        <f>IFERROR(INDEX('CENTROS DE COSTOS RESOLUCION'!$C:$C,MATCH(D495,'CENTROS DE COSTOS RESOLUCION'!$B:$B,0)),"CÓDIGO NO VÁLIDO")</f>
        <v>MANTENIMIENTO HOSPITALARIO</v>
      </c>
      <c r="F495" s="15" t="str">
        <f>IF(COUNTIF('CENTROS DE COSTOS UTILIZADOS'!$B:$B,D495)&gt;0,"SÍ","NO")</f>
        <v>SÍ</v>
      </c>
      <c r="G495" s="13" t="str">
        <f t="shared" si="7"/>
        <v>P02|HSAT</v>
      </c>
      <c r="H495" s="13" t="s">
        <v>19</v>
      </c>
      <c r="I495" s="13" t="s">
        <v>166</v>
      </c>
      <c r="J495" s="15" t="s">
        <v>5</v>
      </c>
      <c r="K495" s="15" t="s">
        <v>43</v>
      </c>
      <c r="L495" s="16" t="s">
        <v>492</v>
      </c>
      <c r="M495" s="13" t="s">
        <v>45</v>
      </c>
    </row>
    <row r="496" spans="1:13" x14ac:dyDescent="0.25">
      <c r="A496" s="13">
        <v>6041007</v>
      </c>
      <c r="B496" s="13" t="s">
        <v>701</v>
      </c>
      <c r="C496" s="13"/>
      <c r="D496" s="14" t="s">
        <v>477</v>
      </c>
      <c r="E496" s="13" t="str">
        <f>IFERROR(INDEX('CENTROS DE COSTOS RESOLUCION'!$C:$C,MATCH(D496,'CENTROS DE COSTOS RESOLUCION'!$B:$B,0)),"CÓDIGO NO VÁLIDO")</f>
        <v>MANTENIMIENTO HOSPITALARIO</v>
      </c>
      <c r="F496" s="15" t="str">
        <f>IF(COUNTIF('CENTROS DE COSTOS UTILIZADOS'!$B:$B,D496)&gt;0,"SÍ","NO")</f>
        <v>SÍ</v>
      </c>
      <c r="G496" s="13" t="str">
        <f t="shared" si="7"/>
        <v>P02|HSAT</v>
      </c>
      <c r="H496" s="13" t="s">
        <v>19</v>
      </c>
      <c r="I496" s="13" t="s">
        <v>166</v>
      </c>
      <c r="J496" s="15" t="s">
        <v>5</v>
      </c>
      <c r="K496" s="15" t="s">
        <v>43</v>
      </c>
      <c r="L496" s="16" t="s">
        <v>492</v>
      </c>
      <c r="M496" s="13" t="s">
        <v>45</v>
      </c>
    </row>
    <row r="497" spans="1:13" x14ac:dyDescent="0.25">
      <c r="A497" s="13">
        <v>6041008</v>
      </c>
      <c r="B497" s="13" t="s">
        <v>702</v>
      </c>
      <c r="C497" s="13"/>
      <c r="D497" s="14" t="s">
        <v>477</v>
      </c>
      <c r="E497" s="13" t="str">
        <f>IFERROR(INDEX('CENTROS DE COSTOS RESOLUCION'!$C:$C,MATCH(D497,'CENTROS DE COSTOS RESOLUCION'!$B:$B,0)),"CÓDIGO NO VÁLIDO")</f>
        <v>MANTENIMIENTO HOSPITALARIO</v>
      </c>
      <c r="F497" s="15" t="str">
        <f>IF(COUNTIF('CENTROS DE COSTOS UTILIZADOS'!$B:$B,D497)&gt;0,"SÍ","NO")</f>
        <v>SÍ</v>
      </c>
      <c r="G497" s="13" t="str">
        <f t="shared" si="7"/>
        <v>P02|HSAT</v>
      </c>
      <c r="H497" s="13" t="s">
        <v>19</v>
      </c>
      <c r="I497" s="13" t="s">
        <v>166</v>
      </c>
      <c r="J497" s="15" t="s">
        <v>5</v>
      </c>
      <c r="K497" s="15" t="s">
        <v>43</v>
      </c>
      <c r="L497" s="16" t="s">
        <v>492</v>
      </c>
      <c r="M497" s="13" t="s">
        <v>45</v>
      </c>
    </row>
    <row r="498" spans="1:13" x14ac:dyDescent="0.25">
      <c r="A498" s="13">
        <v>6041009</v>
      </c>
      <c r="B498" s="13" t="s">
        <v>703</v>
      </c>
      <c r="C498" s="13"/>
      <c r="D498" s="14" t="s">
        <v>477</v>
      </c>
      <c r="E498" s="13" t="str">
        <f>IFERROR(INDEX('CENTROS DE COSTOS RESOLUCION'!$C:$C,MATCH(D498,'CENTROS DE COSTOS RESOLUCION'!$B:$B,0)),"CÓDIGO NO VÁLIDO")</f>
        <v>MANTENIMIENTO HOSPITALARIO</v>
      </c>
      <c r="F498" s="15" t="str">
        <f>IF(COUNTIF('CENTROS DE COSTOS UTILIZADOS'!$B:$B,D498)&gt;0,"SÍ","NO")</f>
        <v>SÍ</v>
      </c>
      <c r="G498" s="13" t="str">
        <f t="shared" si="7"/>
        <v>P02|HSAT</v>
      </c>
      <c r="H498" s="13" t="s">
        <v>19</v>
      </c>
      <c r="I498" s="13" t="s">
        <v>166</v>
      </c>
      <c r="J498" s="15" t="s">
        <v>5</v>
      </c>
      <c r="K498" s="15" t="s">
        <v>43</v>
      </c>
      <c r="L498" s="16" t="s">
        <v>492</v>
      </c>
      <c r="M498" s="13" t="s">
        <v>45</v>
      </c>
    </row>
    <row r="499" spans="1:13" x14ac:dyDescent="0.25">
      <c r="A499" s="13">
        <v>6031001</v>
      </c>
      <c r="B499" s="13" t="s">
        <v>704</v>
      </c>
      <c r="C499" s="13"/>
      <c r="D499" s="14" t="s">
        <v>477</v>
      </c>
      <c r="E499" s="13" t="str">
        <f>IFERROR(INDEX('CENTROS DE COSTOS RESOLUCION'!$C:$C,MATCH(D499,'CENTROS DE COSTOS RESOLUCION'!$B:$B,0)),"CÓDIGO NO VÁLIDO")</f>
        <v>MANTENIMIENTO HOSPITALARIO</v>
      </c>
      <c r="F499" s="15" t="str">
        <f>IF(COUNTIF('CENTROS DE COSTOS UTILIZADOS'!$B:$B,D499)&gt;0,"SÍ","NO")</f>
        <v>SÍ</v>
      </c>
      <c r="G499" s="13" t="str">
        <f t="shared" si="7"/>
        <v>P02|HSFF</v>
      </c>
      <c r="H499" s="13" t="s">
        <v>19</v>
      </c>
      <c r="I499" s="13" t="s">
        <v>705</v>
      </c>
      <c r="J499" s="15" t="s">
        <v>5</v>
      </c>
      <c r="K499" s="15" t="s">
        <v>43</v>
      </c>
      <c r="L499" s="16" t="s">
        <v>492</v>
      </c>
      <c r="M499" s="13" t="s">
        <v>45</v>
      </c>
    </row>
    <row r="500" spans="1:13" x14ac:dyDescent="0.25">
      <c r="A500" s="13">
        <v>6031002</v>
      </c>
      <c r="B500" s="13" t="s">
        <v>706</v>
      </c>
      <c r="C500" s="13"/>
      <c r="D500" s="14" t="s">
        <v>477</v>
      </c>
      <c r="E500" s="13" t="str">
        <f>IFERROR(INDEX('CENTROS DE COSTOS RESOLUCION'!$C:$C,MATCH(D500,'CENTROS DE COSTOS RESOLUCION'!$B:$B,0)),"CÓDIGO NO VÁLIDO")</f>
        <v>MANTENIMIENTO HOSPITALARIO</v>
      </c>
      <c r="F500" s="15" t="str">
        <f>IF(COUNTIF('CENTROS DE COSTOS UTILIZADOS'!$B:$B,D500)&gt;0,"SÍ","NO")</f>
        <v>SÍ</v>
      </c>
      <c r="G500" s="13" t="str">
        <f t="shared" si="7"/>
        <v>P02|HSFF</v>
      </c>
      <c r="H500" s="13" t="s">
        <v>19</v>
      </c>
      <c r="I500" s="13" t="s">
        <v>132</v>
      </c>
      <c r="J500" s="15" t="s">
        <v>5</v>
      </c>
      <c r="K500" s="15" t="s">
        <v>43</v>
      </c>
      <c r="L500" s="16" t="s">
        <v>492</v>
      </c>
      <c r="M500" s="13" t="s">
        <v>45</v>
      </c>
    </row>
    <row r="501" spans="1:13" x14ac:dyDescent="0.25">
      <c r="A501" s="13">
        <v>6031003</v>
      </c>
      <c r="B501" s="13" t="s">
        <v>707</v>
      </c>
      <c r="C501" s="13"/>
      <c r="D501" s="14" t="s">
        <v>477</v>
      </c>
      <c r="E501" s="13" t="str">
        <f>IFERROR(INDEX('CENTROS DE COSTOS RESOLUCION'!$C:$C,MATCH(D501,'CENTROS DE COSTOS RESOLUCION'!$B:$B,0)),"CÓDIGO NO VÁLIDO")</f>
        <v>MANTENIMIENTO HOSPITALARIO</v>
      </c>
      <c r="F501" s="15" t="str">
        <f>IF(COUNTIF('CENTROS DE COSTOS UTILIZADOS'!$B:$B,D501)&gt;0,"SÍ","NO")</f>
        <v>SÍ</v>
      </c>
      <c r="G501" s="13" t="str">
        <f t="shared" si="7"/>
        <v>P02|HSFF</v>
      </c>
      <c r="H501" s="13" t="s">
        <v>19</v>
      </c>
      <c r="I501" s="13" t="s">
        <v>132</v>
      </c>
      <c r="J501" s="15" t="s">
        <v>5</v>
      </c>
      <c r="K501" s="15" t="s">
        <v>43</v>
      </c>
      <c r="L501" s="16" t="s">
        <v>492</v>
      </c>
      <c r="M501" s="13" t="s">
        <v>45</v>
      </c>
    </row>
    <row r="502" spans="1:13" x14ac:dyDescent="0.25">
      <c r="A502" s="13">
        <v>6031004</v>
      </c>
      <c r="B502" s="13" t="s">
        <v>708</v>
      </c>
      <c r="C502" s="13"/>
      <c r="D502" s="14" t="s">
        <v>477</v>
      </c>
      <c r="E502" s="13" t="str">
        <f>IFERROR(INDEX('CENTROS DE COSTOS RESOLUCION'!$C:$C,MATCH(D502,'CENTROS DE COSTOS RESOLUCION'!$B:$B,0)),"CÓDIGO NO VÁLIDO")</f>
        <v>MANTENIMIENTO HOSPITALARIO</v>
      </c>
      <c r="F502" s="15" t="str">
        <f>IF(COUNTIF('CENTROS DE COSTOS UTILIZADOS'!$B:$B,D502)&gt;0,"SÍ","NO")</f>
        <v>SÍ</v>
      </c>
      <c r="G502" s="13" t="str">
        <f t="shared" si="7"/>
        <v>P02|HSFF</v>
      </c>
      <c r="H502" s="13" t="s">
        <v>19</v>
      </c>
      <c r="I502" s="13" t="s">
        <v>132</v>
      </c>
      <c r="J502" s="15" t="s">
        <v>5</v>
      </c>
      <c r="K502" s="15" t="s">
        <v>43</v>
      </c>
      <c r="L502" s="16" t="s">
        <v>492</v>
      </c>
      <c r="M502" s="13" t="s">
        <v>45</v>
      </c>
    </row>
    <row r="503" spans="1:13" x14ac:dyDescent="0.25">
      <c r="A503" s="13">
        <v>6031005</v>
      </c>
      <c r="B503" s="13" t="s">
        <v>709</v>
      </c>
      <c r="C503" s="13"/>
      <c r="D503" s="14" t="s">
        <v>477</v>
      </c>
      <c r="E503" s="13" t="str">
        <f>IFERROR(INDEX('CENTROS DE COSTOS RESOLUCION'!$C:$C,MATCH(D503,'CENTROS DE COSTOS RESOLUCION'!$B:$B,0)),"CÓDIGO NO VÁLIDO")</f>
        <v>MANTENIMIENTO HOSPITALARIO</v>
      </c>
      <c r="F503" s="15" t="str">
        <f>IF(COUNTIF('CENTROS DE COSTOS UTILIZADOS'!$B:$B,D503)&gt;0,"SÍ","NO")</f>
        <v>SÍ</v>
      </c>
      <c r="G503" s="13" t="str">
        <f t="shared" si="7"/>
        <v>P02|HSFF</v>
      </c>
      <c r="H503" s="13" t="s">
        <v>19</v>
      </c>
      <c r="I503" s="13" t="s">
        <v>132</v>
      </c>
      <c r="J503" s="15" t="s">
        <v>5</v>
      </c>
      <c r="K503" s="15" t="s">
        <v>43</v>
      </c>
      <c r="L503" s="16" t="s">
        <v>492</v>
      </c>
      <c r="M503" s="13" t="s">
        <v>45</v>
      </c>
    </row>
    <row r="504" spans="1:13" x14ac:dyDescent="0.25">
      <c r="A504" s="13">
        <v>6031006</v>
      </c>
      <c r="B504" s="13" t="s">
        <v>710</v>
      </c>
      <c r="C504" s="13"/>
      <c r="D504" s="14" t="s">
        <v>477</v>
      </c>
      <c r="E504" s="13" t="str">
        <f>IFERROR(INDEX('CENTROS DE COSTOS RESOLUCION'!$C:$C,MATCH(D504,'CENTROS DE COSTOS RESOLUCION'!$B:$B,0)),"CÓDIGO NO VÁLIDO")</f>
        <v>MANTENIMIENTO HOSPITALARIO</v>
      </c>
      <c r="F504" s="15" t="str">
        <f>IF(COUNTIF('CENTROS DE COSTOS UTILIZADOS'!$B:$B,D504)&gt;0,"SÍ","NO")</f>
        <v>SÍ</v>
      </c>
      <c r="G504" s="13" t="str">
        <f t="shared" si="7"/>
        <v>P02|HSFF</v>
      </c>
      <c r="H504" s="13" t="s">
        <v>19</v>
      </c>
      <c r="I504" s="13" t="s">
        <v>132</v>
      </c>
      <c r="J504" s="15" t="s">
        <v>5</v>
      </c>
      <c r="K504" s="15" t="s">
        <v>43</v>
      </c>
      <c r="L504" s="16" t="s">
        <v>492</v>
      </c>
      <c r="M504" s="13" t="s">
        <v>45</v>
      </c>
    </row>
    <row r="505" spans="1:13" x14ac:dyDescent="0.25">
      <c r="A505" s="13">
        <v>6021001</v>
      </c>
      <c r="B505" s="13" t="s">
        <v>711</v>
      </c>
      <c r="C505" s="13"/>
      <c r="D505" s="14" t="s">
        <v>477</v>
      </c>
      <c r="E505" s="13" t="str">
        <f>IFERROR(INDEX('CENTROS DE COSTOS RESOLUCION'!$C:$C,MATCH(D505,'CENTROS DE COSTOS RESOLUCION'!$B:$B,0)),"CÓDIGO NO VÁLIDO")</f>
        <v>MANTENIMIENTO HOSPITALARIO</v>
      </c>
      <c r="F505" s="15" t="str">
        <f>IF(COUNTIF('CENTROS DE COSTOS UTILIZADOS'!$B:$B,D505)&gt;0,"SÍ","NO")</f>
        <v>SÍ</v>
      </c>
      <c r="G505" s="13" t="str">
        <f t="shared" si="7"/>
        <v>P02|HSLA</v>
      </c>
      <c r="H505" s="13" t="s">
        <v>19</v>
      </c>
      <c r="I505" s="13" t="s">
        <v>712</v>
      </c>
      <c r="J505" s="15" t="s">
        <v>5</v>
      </c>
      <c r="K505" s="15" t="s">
        <v>43</v>
      </c>
      <c r="L505" s="16" t="s">
        <v>492</v>
      </c>
      <c r="M505" s="13" t="s">
        <v>45</v>
      </c>
    </row>
    <row r="506" spans="1:13" x14ac:dyDescent="0.25">
      <c r="A506" s="13">
        <v>6021002</v>
      </c>
      <c r="B506" s="13" t="s">
        <v>713</v>
      </c>
      <c r="C506" s="13"/>
      <c r="D506" s="14" t="s">
        <v>477</v>
      </c>
      <c r="E506" s="13" t="str">
        <f>IFERROR(INDEX('CENTROS DE COSTOS RESOLUCION'!$C:$C,MATCH(D506,'CENTROS DE COSTOS RESOLUCION'!$B:$B,0)),"CÓDIGO NO VÁLIDO")</f>
        <v>MANTENIMIENTO HOSPITALARIO</v>
      </c>
      <c r="F506" s="15" t="str">
        <f>IF(COUNTIF('CENTROS DE COSTOS UTILIZADOS'!$B:$B,D506)&gt;0,"SÍ","NO")</f>
        <v>SÍ</v>
      </c>
      <c r="G506" s="13" t="str">
        <f t="shared" si="7"/>
        <v>P02|HSLA</v>
      </c>
      <c r="H506" s="13" t="s">
        <v>19</v>
      </c>
      <c r="I506" s="13" t="s">
        <v>42</v>
      </c>
      <c r="J506" s="15" t="s">
        <v>5</v>
      </c>
      <c r="K506" s="15" t="s">
        <v>43</v>
      </c>
      <c r="L506" s="16" t="s">
        <v>492</v>
      </c>
      <c r="M506" s="13" t="s">
        <v>45</v>
      </c>
    </row>
    <row r="507" spans="1:13" x14ac:dyDescent="0.25">
      <c r="A507" s="13">
        <v>6021003</v>
      </c>
      <c r="B507" s="13" t="s">
        <v>714</v>
      </c>
      <c r="C507" s="13"/>
      <c r="D507" s="14" t="s">
        <v>477</v>
      </c>
      <c r="E507" s="13" t="str">
        <f>IFERROR(INDEX('CENTROS DE COSTOS RESOLUCION'!$C:$C,MATCH(D507,'CENTROS DE COSTOS RESOLUCION'!$B:$B,0)),"CÓDIGO NO VÁLIDO")</f>
        <v>MANTENIMIENTO HOSPITALARIO</v>
      </c>
      <c r="F507" s="15" t="str">
        <f>IF(COUNTIF('CENTROS DE COSTOS UTILIZADOS'!$B:$B,D507)&gt;0,"SÍ","NO")</f>
        <v>SÍ</v>
      </c>
      <c r="G507" s="13" t="str">
        <f t="shared" si="7"/>
        <v>P02|HSLA</v>
      </c>
      <c r="H507" s="13" t="s">
        <v>19</v>
      </c>
      <c r="I507" s="13" t="s">
        <v>42</v>
      </c>
      <c r="J507" s="15" t="s">
        <v>5</v>
      </c>
      <c r="K507" s="15" t="s">
        <v>43</v>
      </c>
      <c r="L507" s="16" t="s">
        <v>492</v>
      </c>
      <c r="M507" s="13" t="s">
        <v>45</v>
      </c>
    </row>
    <row r="508" spans="1:13" x14ac:dyDescent="0.25">
      <c r="A508" s="13">
        <v>6021004</v>
      </c>
      <c r="B508" s="13" t="s">
        <v>715</v>
      </c>
      <c r="C508" s="13"/>
      <c r="D508" s="14" t="s">
        <v>477</v>
      </c>
      <c r="E508" s="13" t="str">
        <f>IFERROR(INDEX('CENTROS DE COSTOS RESOLUCION'!$C:$C,MATCH(D508,'CENTROS DE COSTOS RESOLUCION'!$B:$B,0)),"CÓDIGO NO VÁLIDO")</f>
        <v>MANTENIMIENTO HOSPITALARIO</v>
      </c>
      <c r="F508" s="15" t="str">
        <f>IF(COUNTIF('CENTROS DE COSTOS UTILIZADOS'!$B:$B,D508)&gt;0,"SÍ","NO")</f>
        <v>SÍ</v>
      </c>
      <c r="G508" s="13" t="str">
        <f t="shared" si="7"/>
        <v>P02|HSLA</v>
      </c>
      <c r="H508" s="13" t="s">
        <v>19</v>
      </c>
      <c r="I508" s="13" t="s">
        <v>42</v>
      </c>
      <c r="J508" s="15" t="s">
        <v>5</v>
      </c>
      <c r="K508" s="15" t="s">
        <v>43</v>
      </c>
      <c r="L508" s="16" t="s">
        <v>492</v>
      </c>
      <c r="M508" s="13" t="s">
        <v>45</v>
      </c>
    </row>
    <row r="509" spans="1:13" x14ac:dyDescent="0.25">
      <c r="A509" s="13">
        <v>6021005</v>
      </c>
      <c r="B509" s="13" t="s">
        <v>716</v>
      </c>
      <c r="C509" s="13"/>
      <c r="D509" s="14" t="s">
        <v>477</v>
      </c>
      <c r="E509" s="13" t="str">
        <f>IFERROR(INDEX('CENTROS DE COSTOS RESOLUCION'!$C:$C,MATCH(D509,'CENTROS DE COSTOS RESOLUCION'!$B:$B,0)),"CÓDIGO NO VÁLIDO")</f>
        <v>MANTENIMIENTO HOSPITALARIO</v>
      </c>
      <c r="F509" s="15" t="str">
        <f>IF(COUNTIF('CENTROS DE COSTOS UTILIZADOS'!$B:$B,D509)&gt;0,"SÍ","NO")</f>
        <v>SÍ</v>
      </c>
      <c r="G509" s="13" t="str">
        <f t="shared" si="7"/>
        <v>P02|HSLA</v>
      </c>
      <c r="H509" s="13" t="s">
        <v>19</v>
      </c>
      <c r="I509" s="13" t="s">
        <v>42</v>
      </c>
      <c r="J509" s="15" t="s">
        <v>5</v>
      </c>
      <c r="K509" s="15" t="s">
        <v>43</v>
      </c>
      <c r="L509" s="16" t="s">
        <v>492</v>
      </c>
      <c r="M509" s="13" t="s">
        <v>45</v>
      </c>
    </row>
    <row r="510" spans="1:13" x14ac:dyDescent="0.25">
      <c r="A510" s="13">
        <v>6021006</v>
      </c>
      <c r="B510" s="13" t="s">
        <v>717</v>
      </c>
      <c r="C510" s="13"/>
      <c r="D510" s="14" t="s">
        <v>477</v>
      </c>
      <c r="E510" s="13" t="str">
        <f>IFERROR(INDEX('CENTROS DE COSTOS RESOLUCION'!$C:$C,MATCH(D510,'CENTROS DE COSTOS RESOLUCION'!$B:$B,0)),"CÓDIGO NO VÁLIDO")</f>
        <v>MANTENIMIENTO HOSPITALARIO</v>
      </c>
      <c r="F510" s="15" t="str">
        <f>IF(COUNTIF('CENTROS DE COSTOS UTILIZADOS'!$B:$B,D510)&gt;0,"SÍ","NO")</f>
        <v>SÍ</v>
      </c>
      <c r="G510" s="13" t="str">
        <f t="shared" si="7"/>
        <v>P02|HSLA</v>
      </c>
      <c r="H510" s="13" t="s">
        <v>19</v>
      </c>
      <c r="I510" s="13" t="s">
        <v>42</v>
      </c>
      <c r="J510" s="15" t="s">
        <v>5</v>
      </c>
      <c r="K510" s="15" t="s">
        <v>43</v>
      </c>
      <c r="L510" s="16" t="s">
        <v>492</v>
      </c>
      <c r="M510" s="13" t="s">
        <v>45</v>
      </c>
    </row>
    <row r="511" spans="1:13" x14ac:dyDescent="0.25">
      <c r="A511" s="13">
        <v>4042217</v>
      </c>
      <c r="B511" s="13" t="s">
        <v>718</v>
      </c>
      <c r="C511" s="13"/>
      <c r="D511" s="14" t="s">
        <v>477</v>
      </c>
      <c r="E511" s="13" t="str">
        <f>IFERROR(INDEX('CENTROS DE COSTOS RESOLUCION'!$C:$C,MATCH(D511,'CENTROS DE COSTOS RESOLUCION'!$B:$B,0)),"CÓDIGO NO VÁLIDO")</f>
        <v>MANTENIMIENTO HOSPITALARIO</v>
      </c>
      <c r="F511" s="15" t="str">
        <f>IF(COUNTIF('CENTROS DE COSTOS UTILIZADOS'!$B:$B,D511)&gt;0,"SÍ","NO")</f>
        <v>SÍ</v>
      </c>
      <c r="G511" s="13" t="str">
        <f t="shared" si="7"/>
        <v>P02|HSAT</v>
      </c>
      <c r="H511" s="13" t="s">
        <v>19</v>
      </c>
      <c r="I511" s="13" t="s">
        <v>166</v>
      </c>
      <c r="J511" s="15" t="s">
        <v>5</v>
      </c>
      <c r="K511" s="15" t="s">
        <v>43</v>
      </c>
      <c r="L511" s="16" t="s">
        <v>719</v>
      </c>
      <c r="M511" s="13" t="s">
        <v>373</v>
      </c>
    </row>
    <row r="512" spans="1:13" x14ac:dyDescent="0.25">
      <c r="A512" s="13">
        <v>1010706</v>
      </c>
      <c r="B512" s="13" t="s">
        <v>720</v>
      </c>
      <c r="C512" s="13"/>
      <c r="D512" s="14" t="s">
        <v>474</v>
      </c>
      <c r="E512" s="13" t="str">
        <f>IFERROR(INDEX('CENTROS DE COSTOS RESOLUCION'!$C:$C,MATCH(D512,'CENTROS DE COSTOS RESOLUCION'!$B:$B,0)),"CÓDIGO NO VÁLIDO")</f>
        <v>MANTENIMIENTO</v>
      </c>
      <c r="F512" s="15" t="str">
        <f>IF(COUNTIF('CENTROS DE COSTOS UTILIZADOS'!$B:$B,D512)&gt;0,"SÍ","NO")</f>
        <v>SÍ</v>
      </c>
      <c r="G512" s="13" t="str">
        <f t="shared" si="7"/>
        <v>R03|ESE01</v>
      </c>
      <c r="H512" s="13" t="s">
        <v>20</v>
      </c>
      <c r="I512" s="13" t="s">
        <v>371</v>
      </c>
      <c r="J512" s="15" t="s">
        <v>5</v>
      </c>
      <c r="K512" s="15" t="s">
        <v>54</v>
      </c>
      <c r="L512" s="16" t="s">
        <v>721</v>
      </c>
      <c r="M512" s="13" t="s">
        <v>373</v>
      </c>
    </row>
    <row r="513" spans="1:13" x14ac:dyDescent="0.25">
      <c r="A513" s="13">
        <v>5092001</v>
      </c>
      <c r="B513" s="13" t="s">
        <v>722</v>
      </c>
      <c r="C513" s="13"/>
      <c r="D513" s="14" t="s">
        <v>477</v>
      </c>
      <c r="E513" s="13" t="str">
        <f>IFERROR(INDEX('CENTROS DE COSTOS RESOLUCION'!$C:$C,MATCH(D513,'CENTROS DE COSTOS RESOLUCION'!$B:$B,0)),"CÓDIGO NO VÁLIDO")</f>
        <v>MANTENIMIENTO HOSPITALARIO</v>
      </c>
      <c r="F513" s="15" t="str">
        <f>IF(COUNTIF('CENTROS DE COSTOS UTILIZADOS'!$B:$B,D513)&gt;0,"SÍ","NO")</f>
        <v>SÍ</v>
      </c>
      <c r="G513" s="13" t="str">
        <f t="shared" si="7"/>
        <v>P02|CSJSC</v>
      </c>
      <c r="H513" s="13" t="s">
        <v>19</v>
      </c>
      <c r="I513" s="13" t="s">
        <v>336</v>
      </c>
      <c r="J513" s="15" t="s">
        <v>5</v>
      </c>
      <c r="K513" s="15" t="s">
        <v>54</v>
      </c>
      <c r="L513" s="16" t="s">
        <v>723</v>
      </c>
      <c r="M513" s="13" t="s">
        <v>45</v>
      </c>
    </row>
    <row r="514" spans="1:13" x14ac:dyDescent="0.25">
      <c r="A514" s="13">
        <v>4042218</v>
      </c>
      <c r="B514" s="13" t="s">
        <v>724</v>
      </c>
      <c r="C514" s="13"/>
      <c r="D514" s="14" t="s">
        <v>477</v>
      </c>
      <c r="E514" s="13" t="str">
        <f>IFERROR(INDEX('CENTROS DE COSTOS RESOLUCION'!$C:$C,MATCH(D514,'CENTROS DE COSTOS RESOLUCION'!$B:$B,0)),"CÓDIGO NO VÁLIDO")</f>
        <v>MANTENIMIENTO HOSPITALARIO</v>
      </c>
      <c r="F514" s="15" t="str">
        <f>IF(COUNTIF('CENTROS DE COSTOS UTILIZADOS'!$B:$B,D514)&gt;0,"SÍ","NO")</f>
        <v>SÍ</v>
      </c>
      <c r="G514" s="13" t="str">
        <f t="shared" ref="G514:G550" si="8">D514&amp;"|"&amp;LEFT(I514,FIND(" ",I514&amp;" ")-1)</f>
        <v>P02|HSAT</v>
      </c>
      <c r="H514" s="13" t="s">
        <v>19</v>
      </c>
      <c r="I514" s="13" t="s">
        <v>166</v>
      </c>
      <c r="J514" s="15" t="s">
        <v>5</v>
      </c>
      <c r="K514" s="15" t="s">
        <v>43</v>
      </c>
      <c r="L514" s="16" t="s">
        <v>725</v>
      </c>
      <c r="M514" s="13" t="s">
        <v>45</v>
      </c>
    </row>
    <row r="515" spans="1:13" x14ac:dyDescent="0.25">
      <c r="A515" s="13">
        <v>4012221</v>
      </c>
      <c r="B515" s="13" t="s">
        <v>726</v>
      </c>
      <c r="C515" s="13"/>
      <c r="D515" s="14" t="s">
        <v>393</v>
      </c>
      <c r="E515" s="13" t="str">
        <f>IFERROR(INDEX('CENTROS DE COSTOS RESOLUCION'!$C:$C,MATCH(D515,'CENTROS DE COSTOS RESOLUCION'!$B:$B,0)),"CÓDIGO NO VÁLIDO")</f>
        <v>GESTIÓN DOCUMENTAL Y ARCHIVÍSTICA</v>
      </c>
      <c r="F515" s="15" t="str">
        <f>IF(COUNTIF('CENTROS DE COSTOS UTILIZADOS'!$B:$B,D515)&gt;0,"SÍ","NO")</f>
        <v>SÍ</v>
      </c>
      <c r="G515" s="13" t="str">
        <f t="shared" si="8"/>
        <v>R09|ESE01</v>
      </c>
      <c r="H515" s="13" t="s">
        <v>20</v>
      </c>
      <c r="I515" s="13" t="s">
        <v>371</v>
      </c>
      <c r="J515" s="15" t="s">
        <v>5</v>
      </c>
      <c r="K515" s="15" t="s">
        <v>43</v>
      </c>
      <c r="L515" s="16" t="s">
        <v>727</v>
      </c>
      <c r="M515" s="13" t="s">
        <v>373</v>
      </c>
    </row>
    <row r="516" spans="1:13" x14ac:dyDescent="0.25">
      <c r="A516" s="13">
        <v>4042219</v>
      </c>
      <c r="B516" s="13" t="s">
        <v>728</v>
      </c>
      <c r="C516" s="13"/>
      <c r="D516" s="14" t="s">
        <v>477</v>
      </c>
      <c r="E516" s="13" t="str">
        <f>IFERROR(INDEX('CENTROS DE COSTOS RESOLUCION'!$C:$C,MATCH(D516,'CENTROS DE COSTOS RESOLUCION'!$B:$B,0)),"CÓDIGO NO VÁLIDO")</f>
        <v>MANTENIMIENTO HOSPITALARIO</v>
      </c>
      <c r="F516" s="15" t="str">
        <f>IF(COUNTIF('CENTROS DE COSTOS UTILIZADOS'!$B:$B,D516)&gt;0,"SÍ","NO")</f>
        <v>SÍ</v>
      </c>
      <c r="G516" s="13" t="str">
        <f t="shared" si="8"/>
        <v>P02|HSAT</v>
      </c>
      <c r="H516" s="13" t="s">
        <v>19</v>
      </c>
      <c r="I516" s="13" t="s">
        <v>166</v>
      </c>
      <c r="J516" s="15" t="s">
        <v>5</v>
      </c>
      <c r="K516" s="15" t="s">
        <v>43</v>
      </c>
      <c r="L516" s="16" t="s">
        <v>729</v>
      </c>
      <c r="M516" s="13" t="s">
        <v>45</v>
      </c>
    </row>
    <row r="517" spans="1:13" ht="25.5" x14ac:dyDescent="0.25">
      <c r="A517" s="13">
        <v>3012107</v>
      </c>
      <c r="B517" s="13" t="s">
        <v>730</v>
      </c>
      <c r="C517" s="13"/>
      <c r="D517" s="14" t="s">
        <v>570</v>
      </c>
      <c r="E517" s="13" t="str">
        <f>IFERROR(INDEX('CENTROS DE COSTOS RESOLUCION'!$C:$C,MATCH(D517,'CENTROS DE COSTOS RESOLUCION'!$B:$B,0)),"CÓDIGO NO VÁLIDO")</f>
        <v>COORDINACIÓN ADMINISTRATIVA</v>
      </c>
      <c r="F517" s="15" t="str">
        <f>IF(COUNTIF('CENTROS DE COSTOS UTILIZADOS'!$B:$B,D517)&gt;0,"SÍ","NO")</f>
        <v>SÍ</v>
      </c>
      <c r="G517" s="13" t="str">
        <f t="shared" si="8"/>
        <v>R01|ESE01</v>
      </c>
      <c r="H517" s="13" t="s">
        <v>20</v>
      </c>
      <c r="I517" s="13" t="s">
        <v>371</v>
      </c>
      <c r="J517" s="15" t="s">
        <v>5</v>
      </c>
      <c r="K517" s="15" t="s">
        <v>54</v>
      </c>
      <c r="L517" s="16" t="s">
        <v>731</v>
      </c>
      <c r="M517" s="13" t="s">
        <v>373</v>
      </c>
    </row>
    <row r="518" spans="1:13" x14ac:dyDescent="0.25">
      <c r="A518" s="13">
        <v>4042220</v>
      </c>
      <c r="B518" s="13" t="s">
        <v>732</v>
      </c>
      <c r="C518" s="13"/>
      <c r="D518" s="14" t="s">
        <v>477</v>
      </c>
      <c r="E518" s="13" t="str">
        <f>IFERROR(INDEX('CENTROS DE COSTOS RESOLUCION'!$C:$C,MATCH(D518,'CENTROS DE COSTOS RESOLUCION'!$B:$B,0)),"CÓDIGO NO VÁLIDO")</f>
        <v>MANTENIMIENTO HOSPITALARIO</v>
      </c>
      <c r="F518" s="15" t="str">
        <f>IF(COUNTIF('CENTROS DE COSTOS UTILIZADOS'!$B:$B,D518)&gt;0,"SÍ","NO")</f>
        <v>SÍ</v>
      </c>
      <c r="G518" s="13" t="str">
        <f t="shared" si="8"/>
        <v>P02|HSAT</v>
      </c>
      <c r="H518" s="13" t="s">
        <v>19</v>
      </c>
      <c r="I518" s="13" t="s">
        <v>166</v>
      </c>
      <c r="J518" s="15" t="s">
        <v>5</v>
      </c>
      <c r="K518" s="15" t="s">
        <v>43</v>
      </c>
      <c r="L518" s="16" t="s">
        <v>733</v>
      </c>
      <c r="M518" s="13" t="s">
        <v>45</v>
      </c>
    </row>
    <row r="519" spans="1:13" x14ac:dyDescent="0.25">
      <c r="A519" s="13">
        <v>4022220</v>
      </c>
      <c r="B519" s="13" t="s">
        <v>734</v>
      </c>
      <c r="C519" s="13"/>
      <c r="D519" s="14" t="s">
        <v>477</v>
      </c>
      <c r="E519" s="13" t="str">
        <f>IFERROR(INDEX('CENTROS DE COSTOS RESOLUCION'!$C:$C,MATCH(D519,'CENTROS DE COSTOS RESOLUCION'!$B:$B,0)),"CÓDIGO NO VÁLIDO")</f>
        <v>MANTENIMIENTO HOSPITALARIO</v>
      </c>
      <c r="F519" s="15" t="str">
        <f>IF(COUNTIF('CENTROS DE COSTOS UTILIZADOS'!$B:$B,D519)&gt;0,"SÍ","NO")</f>
        <v>SÍ</v>
      </c>
      <c r="G519" s="13" t="str">
        <f t="shared" si="8"/>
        <v>P02|HSLA</v>
      </c>
      <c r="H519" s="13" t="s">
        <v>19</v>
      </c>
      <c r="I519" s="13" t="s">
        <v>42</v>
      </c>
      <c r="J519" s="15" t="s">
        <v>5</v>
      </c>
      <c r="K519" s="15" t="s">
        <v>43</v>
      </c>
      <c r="L519" s="16" t="s">
        <v>733</v>
      </c>
      <c r="M519" s="13" t="s">
        <v>45</v>
      </c>
    </row>
    <row r="520" spans="1:13" x14ac:dyDescent="0.25">
      <c r="A520" s="13">
        <v>4032220</v>
      </c>
      <c r="B520" s="13" t="s">
        <v>735</v>
      </c>
      <c r="C520" s="13"/>
      <c r="D520" s="14" t="s">
        <v>477</v>
      </c>
      <c r="E520" s="13" t="str">
        <f>IFERROR(INDEX('CENTROS DE COSTOS RESOLUCION'!$C:$C,MATCH(D520,'CENTROS DE COSTOS RESOLUCION'!$B:$B,0)),"CÓDIGO NO VÁLIDO")</f>
        <v>MANTENIMIENTO HOSPITALARIO</v>
      </c>
      <c r="F520" s="15" t="str">
        <f>IF(COUNTIF('CENTROS DE COSTOS UTILIZADOS'!$B:$B,D520)&gt;0,"SÍ","NO")</f>
        <v>SÍ</v>
      </c>
      <c r="G520" s="13" t="str">
        <f t="shared" si="8"/>
        <v>P02|HSFF</v>
      </c>
      <c r="H520" s="13" t="s">
        <v>19</v>
      </c>
      <c r="I520" s="13" t="s">
        <v>132</v>
      </c>
      <c r="J520" s="15" t="s">
        <v>5</v>
      </c>
      <c r="K520" s="15" t="s">
        <v>43</v>
      </c>
      <c r="L520" s="16" t="s">
        <v>733</v>
      </c>
      <c r="M520" s="13" t="s">
        <v>45</v>
      </c>
    </row>
    <row r="521" spans="1:13" x14ac:dyDescent="0.25">
      <c r="A521" s="13">
        <v>4052220</v>
      </c>
      <c r="B521" s="13" t="s">
        <v>736</v>
      </c>
      <c r="C521" s="13"/>
      <c r="D521" s="14" t="s">
        <v>477</v>
      </c>
      <c r="E521" s="13" t="str">
        <f>IFERROR(INDEX('CENTROS DE COSTOS RESOLUCION'!$C:$C,MATCH(D521,'CENTROS DE COSTOS RESOLUCION'!$B:$B,0)),"CÓDIGO NO VÁLIDO")</f>
        <v>MANTENIMIENTO HOSPITALARIO</v>
      </c>
      <c r="F521" s="15" t="str">
        <f>IF(COUNTIF('CENTROS DE COSTOS UTILIZADOS'!$B:$B,D521)&gt;0,"SÍ","NO")</f>
        <v>SÍ</v>
      </c>
      <c r="G521" s="13" t="str">
        <f t="shared" si="8"/>
        <v>P02|HSJDP</v>
      </c>
      <c r="H521" s="13" t="s">
        <v>19</v>
      </c>
      <c r="I521" s="13" t="s">
        <v>200</v>
      </c>
      <c r="J521" s="15" t="s">
        <v>5</v>
      </c>
      <c r="K521" s="15" t="s">
        <v>43</v>
      </c>
      <c r="L521" s="16" t="s">
        <v>733</v>
      </c>
      <c r="M521" s="13" t="s">
        <v>45</v>
      </c>
    </row>
    <row r="522" spans="1:13" x14ac:dyDescent="0.25">
      <c r="A522" s="13">
        <v>4062220</v>
      </c>
      <c r="B522" s="13" t="s">
        <v>737</v>
      </c>
      <c r="C522" s="13"/>
      <c r="D522" s="14" t="s">
        <v>477</v>
      </c>
      <c r="E522" s="13" t="str">
        <f>IFERROR(INDEX('CENTROS DE COSTOS RESOLUCION'!$C:$C,MATCH(D522,'CENTROS DE COSTOS RESOLUCION'!$B:$B,0)),"CÓDIGO NO VÁLIDO")</f>
        <v>MANTENIMIENTO HOSPITALARIO</v>
      </c>
      <c r="F522" s="15" t="str">
        <f>IF(COUNTIF('CENTROS DE COSTOS UTILIZADOS'!$B:$B,D522)&gt;0,"SÍ","NO")</f>
        <v>SÍ</v>
      </c>
      <c r="G522" s="13" t="str">
        <f t="shared" si="8"/>
        <v>P02|HSJCN</v>
      </c>
      <c r="H522" s="13" t="s">
        <v>19</v>
      </c>
      <c r="I522" s="13" t="s">
        <v>234</v>
      </c>
      <c r="J522" s="15" t="s">
        <v>5</v>
      </c>
      <c r="K522" s="15" t="s">
        <v>43</v>
      </c>
      <c r="L522" s="16" t="s">
        <v>733</v>
      </c>
      <c r="M522" s="13" t="s">
        <v>45</v>
      </c>
    </row>
    <row r="523" spans="1:13" x14ac:dyDescent="0.25">
      <c r="A523" s="13">
        <v>4082220</v>
      </c>
      <c r="B523" s="13" t="s">
        <v>738</v>
      </c>
      <c r="C523" s="13"/>
      <c r="D523" s="14" t="s">
        <v>477</v>
      </c>
      <c r="E523" s="13" t="str">
        <f>IFERROR(INDEX('CENTROS DE COSTOS RESOLUCION'!$C:$C,MATCH(D523,'CENTROS DE COSTOS RESOLUCION'!$B:$B,0)),"CÓDIGO NO VÁLIDO")</f>
        <v>MANTENIMIENTO HOSPITALARIO</v>
      </c>
      <c r="F523" s="15" t="str">
        <f>IF(COUNTIF('CENTROS DE COSTOS UTILIZADOS'!$B:$B,D523)&gt;0,"SÍ","NO")</f>
        <v>SÍ</v>
      </c>
      <c r="G523" s="13" t="str">
        <f t="shared" si="8"/>
        <v>P02|CSPA</v>
      </c>
      <c r="H523" s="13" t="s">
        <v>19</v>
      </c>
      <c r="I523" s="13" t="s">
        <v>302</v>
      </c>
      <c r="J523" s="15" t="s">
        <v>5</v>
      </c>
      <c r="K523" s="15" t="s">
        <v>43</v>
      </c>
      <c r="L523" s="16" t="s">
        <v>733</v>
      </c>
      <c r="M523" s="13" t="s">
        <v>45</v>
      </c>
    </row>
    <row r="524" spans="1:13" x14ac:dyDescent="0.25">
      <c r="A524" s="13">
        <v>4072220</v>
      </c>
      <c r="B524" s="13" t="s">
        <v>739</v>
      </c>
      <c r="C524" s="13"/>
      <c r="D524" s="14" t="s">
        <v>477</v>
      </c>
      <c r="E524" s="13" t="str">
        <f>IFERROR(INDEX('CENTROS DE COSTOS RESOLUCION'!$C:$C,MATCH(D524,'CENTROS DE COSTOS RESOLUCION'!$B:$B,0)),"CÓDIGO NO VÁLIDO")</f>
        <v>MANTENIMIENTO HOSPITALARIO</v>
      </c>
      <c r="F524" s="15" t="str">
        <f>IF(COUNTIF('CENTROS DE COSTOS UTILIZADOS'!$B:$B,D524)&gt;0,"SÍ","NO")</f>
        <v>SÍ</v>
      </c>
      <c r="G524" s="13" t="str">
        <f t="shared" si="8"/>
        <v>P02|HSRP</v>
      </c>
      <c r="H524" s="13" t="s">
        <v>19</v>
      </c>
      <c r="I524" s="13" t="s">
        <v>268</v>
      </c>
      <c r="J524" s="15" t="s">
        <v>5</v>
      </c>
      <c r="K524" s="15" t="s">
        <v>43</v>
      </c>
      <c r="L524" s="16" t="s">
        <v>733</v>
      </c>
      <c r="M524" s="13" t="s">
        <v>45</v>
      </c>
    </row>
    <row r="525" spans="1:13" x14ac:dyDescent="0.25">
      <c r="A525" s="13">
        <v>5012220</v>
      </c>
      <c r="B525" s="13" t="s">
        <v>740</v>
      </c>
      <c r="C525" s="13"/>
      <c r="D525" s="14" t="s">
        <v>474</v>
      </c>
      <c r="E525" s="13" t="str">
        <f>IFERROR(INDEX('CENTROS DE COSTOS RESOLUCION'!$C:$C,MATCH(D525,'CENTROS DE COSTOS RESOLUCION'!$B:$B,0)),"CÓDIGO NO VÁLIDO")</f>
        <v>MANTENIMIENTO</v>
      </c>
      <c r="F525" s="15" t="str">
        <f>IF(COUNTIF('CENTROS DE COSTOS UTILIZADOS'!$B:$B,D525)&gt;0,"SÍ","NO")</f>
        <v>SÍ</v>
      </c>
      <c r="G525" s="13" t="str">
        <f t="shared" si="8"/>
        <v>R03|ESE01</v>
      </c>
      <c r="H525" s="13" t="s">
        <v>20</v>
      </c>
      <c r="I525" s="13" t="s">
        <v>371</v>
      </c>
      <c r="J525" s="15" t="s">
        <v>5</v>
      </c>
      <c r="K525" s="15" t="s">
        <v>43</v>
      </c>
      <c r="L525" s="16" t="s">
        <v>741</v>
      </c>
      <c r="M525" s="13" t="s">
        <v>373</v>
      </c>
    </row>
    <row r="526" spans="1:13" x14ac:dyDescent="0.25">
      <c r="A526" s="13">
        <v>7010101</v>
      </c>
      <c r="B526" s="13" t="s">
        <v>742</v>
      </c>
      <c r="C526" s="13"/>
      <c r="D526" s="14" t="s">
        <v>469</v>
      </c>
      <c r="E526" s="13" t="str">
        <f>IFERROR(INDEX('CENTROS DE COSTOS RESOLUCION'!$C:$C,MATCH(D526,'CENTROS DE COSTOS RESOLUCION'!$B:$B,0)),"CÓDIGO NO VÁLIDO")</f>
        <v>OTROS VEHÍCULOS Y CONDUCTORES</v>
      </c>
      <c r="F526" s="15" t="str">
        <f>IF(COUNTIF('CENTROS DE COSTOS UTILIZADOS'!$B:$B,D526)&gt;0,"SÍ","NO")</f>
        <v>SÍ</v>
      </c>
      <c r="G526" s="13" t="str">
        <f t="shared" si="8"/>
        <v>R07|ESE01</v>
      </c>
      <c r="H526" s="13" t="s">
        <v>20</v>
      </c>
      <c r="I526" s="13" t="s">
        <v>371</v>
      </c>
      <c r="J526" s="15" t="s">
        <v>5</v>
      </c>
      <c r="K526" s="15" t="s">
        <v>43</v>
      </c>
      <c r="L526" s="16" t="s">
        <v>743</v>
      </c>
      <c r="M526" s="13" t="s">
        <v>373</v>
      </c>
    </row>
    <row r="527" spans="1:13" x14ac:dyDescent="0.25">
      <c r="A527" s="13">
        <v>7020101</v>
      </c>
      <c r="B527" s="13" t="s">
        <v>744</v>
      </c>
      <c r="C527" s="13"/>
      <c r="D527" s="14" t="s">
        <v>469</v>
      </c>
      <c r="E527" s="13" t="str">
        <f>IFERROR(INDEX('CENTROS DE COSTOS RESOLUCION'!$C:$C,MATCH(D527,'CENTROS DE COSTOS RESOLUCION'!$B:$B,0)),"CÓDIGO NO VÁLIDO")</f>
        <v>OTROS VEHÍCULOS Y CONDUCTORES</v>
      </c>
      <c r="F527" s="15" t="str">
        <f>IF(COUNTIF('CENTROS DE COSTOS UTILIZADOS'!$B:$B,D527)&gt;0,"SÍ","NO")</f>
        <v>SÍ</v>
      </c>
      <c r="G527" s="13" t="str">
        <f t="shared" si="8"/>
        <v>R07|HSLA</v>
      </c>
      <c r="H527" s="13" t="s">
        <v>20</v>
      </c>
      <c r="I527" s="13" t="s">
        <v>42</v>
      </c>
      <c r="J527" s="15" t="s">
        <v>5</v>
      </c>
      <c r="K527" s="15" t="s">
        <v>43</v>
      </c>
      <c r="L527" s="16" t="s">
        <v>745</v>
      </c>
      <c r="M527" s="13" t="s">
        <v>28</v>
      </c>
    </row>
    <row r="528" spans="1:13" x14ac:dyDescent="0.25">
      <c r="A528" s="13">
        <v>7060101</v>
      </c>
      <c r="B528" s="13" t="s">
        <v>746</v>
      </c>
      <c r="C528" s="13"/>
      <c r="D528" s="14" t="s">
        <v>469</v>
      </c>
      <c r="E528" s="13" t="str">
        <f>IFERROR(INDEX('CENTROS DE COSTOS RESOLUCION'!$C:$C,MATCH(D528,'CENTROS DE COSTOS RESOLUCION'!$B:$B,0)),"CÓDIGO NO VÁLIDO")</f>
        <v>OTROS VEHÍCULOS Y CONDUCTORES</v>
      </c>
      <c r="F528" s="15" t="str">
        <f>IF(COUNTIF('CENTROS DE COSTOS UTILIZADOS'!$B:$B,D528)&gt;0,"SÍ","NO")</f>
        <v>SÍ</v>
      </c>
      <c r="G528" s="13" t="str">
        <f t="shared" si="8"/>
        <v>R07|HSJCN</v>
      </c>
      <c r="H528" s="13" t="s">
        <v>20</v>
      </c>
      <c r="I528" s="13" t="s">
        <v>234</v>
      </c>
      <c r="J528" s="15" t="s">
        <v>5</v>
      </c>
      <c r="K528" s="15" t="s">
        <v>43</v>
      </c>
      <c r="L528" s="16" t="s">
        <v>745</v>
      </c>
      <c r="M528" s="13" t="s">
        <v>28</v>
      </c>
    </row>
    <row r="529" spans="1:13" x14ac:dyDescent="0.25">
      <c r="A529" s="13">
        <v>7080101</v>
      </c>
      <c r="B529" s="13" t="s">
        <v>747</v>
      </c>
      <c r="C529" s="13"/>
      <c r="D529" s="14" t="s">
        <v>469</v>
      </c>
      <c r="E529" s="13" t="str">
        <f>IFERROR(INDEX('CENTROS DE COSTOS RESOLUCION'!$C:$C,MATCH(D529,'CENTROS DE COSTOS RESOLUCION'!$B:$B,0)),"CÓDIGO NO VÁLIDO")</f>
        <v>OTROS VEHÍCULOS Y CONDUCTORES</v>
      </c>
      <c r="F529" s="15" t="str">
        <f>IF(COUNTIF('CENTROS DE COSTOS UTILIZADOS'!$B:$B,D529)&gt;0,"SÍ","NO")</f>
        <v>SÍ</v>
      </c>
      <c r="G529" s="13" t="str">
        <f t="shared" si="8"/>
        <v>R07|CSPA</v>
      </c>
      <c r="H529" s="13" t="s">
        <v>20</v>
      </c>
      <c r="I529" s="13" t="s">
        <v>302</v>
      </c>
      <c r="J529" s="15" t="s">
        <v>5</v>
      </c>
      <c r="K529" s="15" t="s">
        <v>43</v>
      </c>
      <c r="L529" s="16" t="s">
        <v>745</v>
      </c>
      <c r="M529" s="13" t="s">
        <v>28</v>
      </c>
    </row>
    <row r="530" spans="1:13" x14ac:dyDescent="0.25">
      <c r="A530" s="13">
        <v>7090101</v>
      </c>
      <c r="B530" s="13" t="s">
        <v>748</v>
      </c>
      <c r="C530" s="13"/>
      <c r="D530" s="14" t="s">
        <v>570</v>
      </c>
      <c r="E530" s="13" t="str">
        <f>IFERROR(INDEX('CENTROS DE COSTOS RESOLUCION'!$C:$C,MATCH(D530,'CENTROS DE COSTOS RESOLUCION'!$B:$B,0)),"CÓDIGO NO VÁLIDO")</f>
        <v>COORDINACIÓN ADMINISTRATIVA</v>
      </c>
      <c r="F530" s="15" t="str">
        <f>IF(COUNTIF('CENTROS DE COSTOS UTILIZADOS'!$B:$B,D530)&gt;0,"SÍ","NO")</f>
        <v>SÍ</v>
      </c>
      <c r="G530" s="13" t="str">
        <f t="shared" si="8"/>
        <v>R01|ESE01</v>
      </c>
      <c r="H530" s="13" t="s">
        <v>20</v>
      </c>
      <c r="I530" s="13" t="s">
        <v>371</v>
      </c>
      <c r="J530" s="15" t="s">
        <v>6</v>
      </c>
      <c r="K530" s="15" t="s">
        <v>123</v>
      </c>
      <c r="L530" s="16" t="s">
        <v>749</v>
      </c>
      <c r="M530" s="13" t="s">
        <v>373</v>
      </c>
    </row>
    <row r="531" spans="1:13" x14ac:dyDescent="0.25">
      <c r="A531" s="13">
        <v>4012222</v>
      </c>
      <c r="B531" s="13" t="s">
        <v>750</v>
      </c>
      <c r="C531" s="13"/>
      <c r="D531" s="14" t="s">
        <v>92</v>
      </c>
      <c r="E531" s="13" t="str">
        <f>IFERROR(INDEX('CENTROS DE COSTOS RESOLUCION'!$C:$C,MATCH(D531,'CENTROS DE COSTOS RESOLUCION'!$B:$B,0)),"CÓDIGO NO VÁLIDO")</f>
        <v>IMAGENEOLOGÍA RADIOLÓGICA</v>
      </c>
      <c r="F531" s="15" t="str">
        <f>IF(COUNTIF('CENTROS DE COSTOS UTILIZADOS'!$B:$B,D531)&gt;0,"SÍ","NO")</f>
        <v>SÍ</v>
      </c>
      <c r="G531" s="13" t="str">
        <f t="shared" si="8"/>
        <v>L02|ESE01</v>
      </c>
      <c r="H531" s="13" t="s">
        <v>18</v>
      </c>
      <c r="I531" s="13" t="s">
        <v>371</v>
      </c>
      <c r="J531" s="15" t="s">
        <v>5</v>
      </c>
      <c r="K531" s="15" t="s">
        <v>54</v>
      </c>
      <c r="L531" s="16" t="s">
        <v>751</v>
      </c>
      <c r="M531" s="13" t="s">
        <v>373</v>
      </c>
    </row>
    <row r="532" spans="1:13" x14ac:dyDescent="0.25">
      <c r="A532" s="13">
        <v>4042221</v>
      </c>
      <c r="B532" s="13" t="s">
        <v>752</v>
      </c>
      <c r="C532" s="13"/>
      <c r="D532" s="14" t="s">
        <v>92</v>
      </c>
      <c r="E532" s="13" t="str">
        <f>IFERROR(INDEX('CENTROS DE COSTOS RESOLUCION'!$C:$C,MATCH(D532,'CENTROS DE COSTOS RESOLUCION'!$B:$B,0)),"CÓDIGO NO VÁLIDO")</f>
        <v>IMAGENEOLOGÍA RADIOLÓGICA</v>
      </c>
      <c r="F532" s="15" t="str">
        <f>IF(COUNTIF('CENTROS DE COSTOS UTILIZADOS'!$B:$B,D532)&gt;0,"SÍ","NO")</f>
        <v>SÍ</v>
      </c>
      <c r="G532" s="13" t="str">
        <f t="shared" si="8"/>
        <v>L02|HSAT</v>
      </c>
      <c r="H532" s="13" t="s">
        <v>18</v>
      </c>
      <c r="I532" s="13" t="s">
        <v>166</v>
      </c>
      <c r="J532" s="15" t="s">
        <v>5</v>
      </c>
      <c r="K532" s="15" t="s">
        <v>54</v>
      </c>
      <c r="L532" s="16" t="s">
        <v>753</v>
      </c>
      <c r="M532" s="13" t="s">
        <v>45</v>
      </c>
    </row>
    <row r="533" spans="1:13" x14ac:dyDescent="0.25">
      <c r="A533" s="13">
        <v>4062221</v>
      </c>
      <c r="B533" s="13" t="s">
        <v>754</v>
      </c>
      <c r="C533" s="13"/>
      <c r="D533" s="14" t="s">
        <v>92</v>
      </c>
      <c r="E533" s="13" t="str">
        <f>IFERROR(INDEX('CENTROS DE COSTOS RESOLUCION'!$C:$C,MATCH(D533,'CENTROS DE COSTOS RESOLUCION'!$B:$B,0)),"CÓDIGO NO VÁLIDO")</f>
        <v>IMAGENEOLOGÍA RADIOLÓGICA</v>
      </c>
      <c r="F533" s="15" t="str">
        <f>IF(COUNTIF('CENTROS DE COSTOS UTILIZADOS'!$B:$B,D533)&gt;0,"SÍ","NO")</f>
        <v>SÍ</v>
      </c>
      <c r="G533" s="13" t="str">
        <f t="shared" si="8"/>
        <v>L02|HSJCN</v>
      </c>
      <c r="H533" s="13" t="s">
        <v>18</v>
      </c>
      <c r="I533" s="13" t="s">
        <v>234</v>
      </c>
      <c r="J533" s="15" t="s">
        <v>5</v>
      </c>
      <c r="K533" s="15" t="s">
        <v>54</v>
      </c>
      <c r="L533" s="16" t="s">
        <v>753</v>
      </c>
      <c r="M533" s="13" t="s">
        <v>45</v>
      </c>
    </row>
    <row r="534" spans="1:13" x14ac:dyDescent="0.25">
      <c r="A534" s="13">
        <v>4052221</v>
      </c>
      <c r="B534" s="13" t="s">
        <v>755</v>
      </c>
      <c r="C534" s="13"/>
      <c r="D534" s="14" t="s">
        <v>92</v>
      </c>
      <c r="E534" s="13" t="str">
        <f>IFERROR(INDEX('CENTROS DE COSTOS RESOLUCION'!$C:$C,MATCH(D534,'CENTROS DE COSTOS RESOLUCION'!$B:$B,0)),"CÓDIGO NO VÁLIDO")</f>
        <v>IMAGENEOLOGÍA RADIOLÓGICA</v>
      </c>
      <c r="F534" s="15" t="str">
        <f>IF(COUNTIF('CENTROS DE COSTOS UTILIZADOS'!$B:$B,D534)&gt;0,"SÍ","NO")</f>
        <v>SÍ</v>
      </c>
      <c r="G534" s="13" t="str">
        <f t="shared" si="8"/>
        <v>L02|HSJDP</v>
      </c>
      <c r="H534" s="13" t="s">
        <v>18</v>
      </c>
      <c r="I534" s="13" t="s">
        <v>200</v>
      </c>
      <c r="J534" s="15" t="s">
        <v>5</v>
      </c>
      <c r="K534" s="15" t="s">
        <v>54</v>
      </c>
      <c r="L534" s="16" t="s">
        <v>753</v>
      </c>
      <c r="M534" s="13" t="s">
        <v>45</v>
      </c>
    </row>
    <row r="535" spans="1:13" x14ac:dyDescent="0.25">
      <c r="A535" s="13">
        <v>4022221</v>
      </c>
      <c r="B535" s="13" t="s">
        <v>756</v>
      </c>
      <c r="C535" s="13"/>
      <c r="D535" s="14" t="s">
        <v>92</v>
      </c>
      <c r="E535" s="13" t="str">
        <f>IFERROR(INDEX('CENTROS DE COSTOS RESOLUCION'!$C:$C,MATCH(D535,'CENTROS DE COSTOS RESOLUCION'!$B:$B,0)),"CÓDIGO NO VÁLIDO")</f>
        <v>IMAGENEOLOGÍA RADIOLÓGICA</v>
      </c>
      <c r="F535" s="15" t="str">
        <f>IF(COUNTIF('CENTROS DE COSTOS UTILIZADOS'!$B:$B,D535)&gt;0,"SÍ","NO")</f>
        <v>SÍ</v>
      </c>
      <c r="G535" s="13" t="str">
        <f t="shared" si="8"/>
        <v>L02|HSLA</v>
      </c>
      <c r="H535" s="13" t="s">
        <v>18</v>
      </c>
      <c r="I535" s="13" t="s">
        <v>42</v>
      </c>
      <c r="J535" s="15" t="s">
        <v>5</v>
      </c>
      <c r="K535" s="15" t="s">
        <v>54</v>
      </c>
      <c r="L535" s="16" t="s">
        <v>753</v>
      </c>
      <c r="M535" s="13" t="s">
        <v>45</v>
      </c>
    </row>
    <row r="536" spans="1:13" x14ac:dyDescent="0.25">
      <c r="A536" s="13">
        <v>4032221</v>
      </c>
      <c r="B536" s="13" t="s">
        <v>757</v>
      </c>
      <c r="C536" s="13"/>
      <c r="D536" s="14" t="s">
        <v>92</v>
      </c>
      <c r="E536" s="13" t="str">
        <f>IFERROR(INDEX('CENTROS DE COSTOS RESOLUCION'!$C:$C,MATCH(D536,'CENTROS DE COSTOS RESOLUCION'!$B:$B,0)),"CÓDIGO NO VÁLIDO")</f>
        <v>IMAGENEOLOGÍA RADIOLÓGICA</v>
      </c>
      <c r="F536" s="15" t="str">
        <f>IF(COUNTIF('CENTROS DE COSTOS UTILIZADOS'!$B:$B,D536)&gt;0,"SÍ","NO")</f>
        <v>SÍ</v>
      </c>
      <c r="G536" s="13" t="str">
        <f t="shared" si="8"/>
        <v>L02|HSFF</v>
      </c>
      <c r="H536" s="13" t="s">
        <v>18</v>
      </c>
      <c r="I536" s="13" t="s">
        <v>132</v>
      </c>
      <c r="J536" s="15" t="s">
        <v>5</v>
      </c>
      <c r="K536" s="15" t="s">
        <v>54</v>
      </c>
      <c r="L536" s="16" t="s">
        <v>753</v>
      </c>
      <c r="M536" s="13" t="s">
        <v>45</v>
      </c>
    </row>
    <row r="537" spans="1:13" x14ac:dyDescent="0.25">
      <c r="A537" s="13">
        <v>4072215</v>
      </c>
      <c r="B537" s="13" t="s">
        <v>758</v>
      </c>
      <c r="C537" s="13"/>
      <c r="D537" s="14" t="s">
        <v>393</v>
      </c>
      <c r="E537" s="13" t="str">
        <f>IFERROR(INDEX('CENTROS DE COSTOS RESOLUCION'!$C:$C,MATCH(D537,'CENTROS DE COSTOS RESOLUCION'!$B:$B,0)),"CÓDIGO NO VÁLIDO")</f>
        <v>GESTIÓN DOCUMENTAL Y ARCHIVÍSTICA</v>
      </c>
      <c r="F537" s="15" t="str">
        <f>IF(COUNTIF('CENTROS DE COSTOS UTILIZADOS'!$B:$B,D537)&gt;0,"SÍ","NO")</f>
        <v>SÍ</v>
      </c>
      <c r="G537" s="13" t="str">
        <f t="shared" si="8"/>
        <v>R09|HSRP</v>
      </c>
      <c r="H537" s="13" t="s">
        <v>20</v>
      </c>
      <c r="I537" s="13" t="s">
        <v>268</v>
      </c>
      <c r="J537" s="15" t="s">
        <v>5</v>
      </c>
      <c r="K537" s="15" t="s">
        <v>43</v>
      </c>
      <c r="L537" s="16" t="s">
        <v>658</v>
      </c>
      <c r="M537" s="13" t="s">
        <v>45</v>
      </c>
    </row>
    <row r="538" spans="1:13" x14ac:dyDescent="0.25">
      <c r="A538" s="13">
        <v>4092220</v>
      </c>
      <c r="B538" s="13" t="s">
        <v>759</v>
      </c>
      <c r="C538" s="13"/>
      <c r="D538" s="14" t="s">
        <v>477</v>
      </c>
      <c r="E538" s="13" t="str">
        <f>IFERROR(INDEX('CENTROS DE COSTOS RESOLUCION'!$C:$C,MATCH(D538,'CENTROS DE COSTOS RESOLUCION'!$B:$B,0)),"CÓDIGO NO VÁLIDO")</f>
        <v>MANTENIMIENTO HOSPITALARIO</v>
      </c>
      <c r="F538" s="15" t="str">
        <f>IF(COUNTIF('CENTROS DE COSTOS UTILIZADOS'!$B:$B,D538)&gt;0,"SÍ","NO")</f>
        <v>SÍ</v>
      </c>
      <c r="G538" s="13" t="str">
        <f t="shared" si="8"/>
        <v>P02|Puerto</v>
      </c>
      <c r="H538" s="13" t="s">
        <v>19</v>
      </c>
      <c r="I538" s="13" t="s">
        <v>760</v>
      </c>
      <c r="J538" s="15" t="s">
        <v>5</v>
      </c>
      <c r="K538" s="15" t="s">
        <v>43</v>
      </c>
      <c r="L538" s="16" t="s">
        <v>733</v>
      </c>
      <c r="M538" s="13" t="s">
        <v>45</v>
      </c>
    </row>
    <row r="539" spans="1:13" x14ac:dyDescent="0.25">
      <c r="A539" s="13">
        <v>4072221</v>
      </c>
      <c r="B539" s="13" t="s">
        <v>761</v>
      </c>
      <c r="C539" s="13"/>
      <c r="D539" s="14" t="s">
        <v>92</v>
      </c>
      <c r="E539" s="13" t="str">
        <f>IFERROR(INDEX('CENTROS DE COSTOS RESOLUCION'!$C:$C,MATCH(D539,'CENTROS DE COSTOS RESOLUCION'!$B:$B,0)),"CÓDIGO NO VÁLIDO")</f>
        <v>IMAGENEOLOGÍA RADIOLÓGICA</v>
      </c>
      <c r="F539" s="15" t="str">
        <f>IF(COUNTIF('CENTROS DE COSTOS UTILIZADOS'!$B:$B,D539)&gt;0,"SÍ","NO")</f>
        <v>SÍ</v>
      </c>
      <c r="G539" s="13" t="str">
        <f t="shared" si="8"/>
        <v>L02|HSRP</v>
      </c>
      <c r="H539" s="13" t="s">
        <v>18</v>
      </c>
      <c r="I539" s="13" t="s">
        <v>268</v>
      </c>
      <c r="J539" s="15" t="s">
        <v>5</v>
      </c>
      <c r="K539" s="15" t="s">
        <v>54</v>
      </c>
      <c r="L539" s="16" t="s">
        <v>753</v>
      </c>
      <c r="M539" s="13" t="s">
        <v>45</v>
      </c>
    </row>
    <row r="540" spans="1:13" x14ac:dyDescent="0.25">
      <c r="A540" s="13">
        <v>4082215</v>
      </c>
      <c r="B540" s="13" t="s">
        <v>762</v>
      </c>
      <c r="C540" s="13"/>
      <c r="D540" s="14" t="s">
        <v>393</v>
      </c>
      <c r="E540" s="13" t="str">
        <f>IFERROR(INDEX('CENTROS DE COSTOS RESOLUCION'!$C:$C,MATCH(D540,'CENTROS DE COSTOS RESOLUCION'!$B:$B,0)),"CÓDIGO NO VÁLIDO")</f>
        <v>GESTIÓN DOCUMENTAL Y ARCHIVÍSTICA</v>
      </c>
      <c r="F540" s="15" t="str">
        <f>IF(COUNTIF('CENTROS DE COSTOS UTILIZADOS'!$B:$B,D540)&gt;0,"SÍ","NO")</f>
        <v>SÍ</v>
      </c>
      <c r="G540" s="13" t="str">
        <f t="shared" si="8"/>
        <v>R09|CSPA</v>
      </c>
      <c r="H540" s="13" t="s">
        <v>20</v>
      </c>
      <c r="I540" s="13" t="s">
        <v>302</v>
      </c>
      <c r="J540" s="15" t="s">
        <v>5</v>
      </c>
      <c r="K540" s="15" t="s">
        <v>43</v>
      </c>
      <c r="L540" s="16" t="s">
        <v>658</v>
      </c>
      <c r="M540" s="13" t="s">
        <v>45</v>
      </c>
    </row>
    <row r="541" spans="1:13" x14ac:dyDescent="0.25">
      <c r="A541" s="13">
        <v>7030101</v>
      </c>
      <c r="B541" s="13" t="s">
        <v>763</v>
      </c>
      <c r="C541" s="13"/>
      <c r="D541" s="14" t="s">
        <v>469</v>
      </c>
      <c r="E541" s="13" t="str">
        <f>IFERROR(INDEX('CENTROS DE COSTOS RESOLUCION'!$C:$C,MATCH(D541,'CENTROS DE COSTOS RESOLUCION'!$B:$B,0)),"CÓDIGO NO VÁLIDO")</f>
        <v>OTROS VEHÍCULOS Y CONDUCTORES</v>
      </c>
      <c r="F541" s="15" t="str">
        <f>IF(COUNTIF('CENTROS DE COSTOS UTILIZADOS'!$B:$B,D541)&gt;0,"SÍ","NO")</f>
        <v>SÍ</v>
      </c>
      <c r="G541" s="13" t="str">
        <f t="shared" si="8"/>
        <v>R07|HSFF</v>
      </c>
      <c r="H541" s="13" t="s">
        <v>20</v>
      </c>
      <c r="I541" s="13" t="s">
        <v>132</v>
      </c>
      <c r="J541" s="15" t="s">
        <v>5</v>
      </c>
      <c r="K541" s="15" t="s">
        <v>43</v>
      </c>
      <c r="L541" s="16" t="s">
        <v>745</v>
      </c>
      <c r="M541" s="13" t="s">
        <v>28</v>
      </c>
    </row>
    <row r="542" spans="1:13" x14ac:dyDescent="0.25">
      <c r="A542" s="13">
        <v>7040101</v>
      </c>
      <c r="B542" s="13" t="s">
        <v>764</v>
      </c>
      <c r="C542" s="13"/>
      <c r="D542" s="14" t="s">
        <v>469</v>
      </c>
      <c r="E542" s="13" t="str">
        <f>IFERROR(INDEX('CENTROS DE COSTOS RESOLUCION'!$C:$C,MATCH(D542,'CENTROS DE COSTOS RESOLUCION'!$B:$B,0)),"CÓDIGO NO VÁLIDO")</f>
        <v>OTROS VEHÍCULOS Y CONDUCTORES</v>
      </c>
      <c r="F542" s="15" t="str">
        <f>IF(COUNTIF('CENTROS DE COSTOS UTILIZADOS'!$B:$B,D542)&gt;0,"SÍ","NO")</f>
        <v>SÍ</v>
      </c>
      <c r="G542" s="13" t="str">
        <f t="shared" si="8"/>
        <v>R07|HSAT</v>
      </c>
      <c r="H542" s="13" t="s">
        <v>20</v>
      </c>
      <c r="I542" s="13" t="s">
        <v>166</v>
      </c>
      <c r="J542" s="15" t="s">
        <v>5</v>
      </c>
      <c r="K542" s="15" t="s">
        <v>43</v>
      </c>
      <c r="L542" s="16" t="s">
        <v>745</v>
      </c>
      <c r="M542" s="13" t="s">
        <v>28</v>
      </c>
    </row>
    <row r="543" spans="1:13" x14ac:dyDescent="0.25">
      <c r="A543" s="13">
        <v>7050101</v>
      </c>
      <c r="B543" s="13" t="s">
        <v>765</v>
      </c>
      <c r="C543" s="13"/>
      <c r="D543" s="14" t="s">
        <v>469</v>
      </c>
      <c r="E543" s="13" t="str">
        <f>IFERROR(INDEX('CENTROS DE COSTOS RESOLUCION'!$C:$C,MATCH(D543,'CENTROS DE COSTOS RESOLUCION'!$B:$B,0)),"CÓDIGO NO VÁLIDO")</f>
        <v>OTROS VEHÍCULOS Y CONDUCTORES</v>
      </c>
      <c r="F543" s="15" t="str">
        <f>IF(COUNTIF('CENTROS DE COSTOS UTILIZADOS'!$B:$B,D543)&gt;0,"SÍ","NO")</f>
        <v>SÍ</v>
      </c>
      <c r="G543" s="13" t="str">
        <f t="shared" si="8"/>
        <v>R07|HSJDP</v>
      </c>
      <c r="H543" s="13" t="s">
        <v>20</v>
      </c>
      <c r="I543" s="13" t="s">
        <v>200</v>
      </c>
      <c r="J543" s="15" t="s">
        <v>5</v>
      </c>
      <c r="K543" s="15" t="s">
        <v>43</v>
      </c>
      <c r="L543" s="16" t="s">
        <v>745</v>
      </c>
      <c r="M543" s="13" t="s">
        <v>28</v>
      </c>
    </row>
    <row r="544" spans="1:13" x14ac:dyDescent="0.25">
      <c r="A544" s="13">
        <v>3012108</v>
      </c>
      <c r="B544" s="13" t="s">
        <v>766</v>
      </c>
      <c r="C544" s="13"/>
      <c r="D544" s="14" t="s">
        <v>466</v>
      </c>
      <c r="E544" s="13" t="str">
        <f>IFERROR(INDEX('CENTROS DE COSTOS RESOLUCION'!$C:$C,MATCH(D544,'CENTROS DE COSTOS RESOLUCION'!$B:$B,0)),"CÓDIGO NO VÁLIDO")</f>
        <v>COORDINACION EN SALUD</v>
      </c>
      <c r="F544" s="15" t="str">
        <f>IF(COUNTIF('CENTROS DE COSTOS UTILIZADOS'!$B:$B,D544)&gt;0,"SÍ","NO")</f>
        <v>SÍ</v>
      </c>
      <c r="G544" s="13" t="str">
        <f t="shared" si="8"/>
        <v>U05|ESE01</v>
      </c>
      <c r="H544" s="13" t="s">
        <v>20</v>
      </c>
      <c r="I544" s="13" t="s">
        <v>371</v>
      </c>
      <c r="J544" s="15" t="s">
        <v>5</v>
      </c>
      <c r="K544" s="15" t="s">
        <v>43</v>
      </c>
      <c r="L544" s="16" t="s">
        <v>767</v>
      </c>
      <c r="M544" s="13" t="s">
        <v>373</v>
      </c>
    </row>
    <row r="545" spans="1:13" x14ac:dyDescent="0.25">
      <c r="A545" s="13">
        <v>1091606</v>
      </c>
      <c r="B545" s="13" t="s">
        <v>768</v>
      </c>
      <c r="C545" s="13"/>
      <c r="D545" s="14" t="s">
        <v>111</v>
      </c>
      <c r="E545" s="13" t="str">
        <f>IFERROR(INDEX('CENTROS DE COSTOS RESOLUCION'!$C:$C,MATCH(D545,'CENTROS DE COSTOS RESOLUCION'!$B:$B,0)),"CÓDIGO NO VÁLIDO")</f>
        <v>FARMACIA</v>
      </c>
      <c r="F545" s="15" t="str">
        <f>IF(COUNTIF('CENTROS DE COSTOS UTILIZADOS'!$B:$B,D545)&gt;0,"SÍ","NO")</f>
        <v>SÍ</v>
      </c>
      <c r="G545" s="13" t="str">
        <f t="shared" si="8"/>
        <v>M05|HSAT</v>
      </c>
      <c r="H545" s="13" t="s">
        <v>18</v>
      </c>
      <c r="I545" s="13" t="s">
        <v>695</v>
      </c>
      <c r="J545" s="15" t="s">
        <v>5</v>
      </c>
      <c r="K545" s="15" t="s">
        <v>43</v>
      </c>
      <c r="L545" s="16" t="s">
        <v>769</v>
      </c>
      <c r="M545" s="13" t="s">
        <v>373</v>
      </c>
    </row>
    <row r="546" spans="1:13" ht="25.5" x14ac:dyDescent="0.25">
      <c r="A546" s="13">
        <v>4093212</v>
      </c>
      <c r="B546" s="13" t="s">
        <v>770</v>
      </c>
      <c r="C546" s="13"/>
      <c r="D546" s="14" t="s">
        <v>469</v>
      </c>
      <c r="E546" s="13" t="str">
        <f>IFERROR(INDEX('CENTROS DE COSTOS RESOLUCION'!$C:$C,MATCH(D546,'CENTROS DE COSTOS RESOLUCION'!$B:$B,0)),"CÓDIGO NO VÁLIDO")</f>
        <v>OTROS VEHÍCULOS Y CONDUCTORES</v>
      </c>
      <c r="F546" s="15" t="str">
        <f>IF(COUNTIF('CENTROS DE COSTOS UTILIZADOS'!$B:$B,D546)&gt;0,"SÍ","NO")</f>
        <v>SÍ</v>
      </c>
      <c r="G546" s="13" t="str">
        <f t="shared" si="8"/>
        <v>R07|HSAT</v>
      </c>
      <c r="H546" s="13" t="s">
        <v>20</v>
      </c>
      <c r="I546" s="13" t="s">
        <v>695</v>
      </c>
      <c r="J546" s="15" t="s">
        <v>6</v>
      </c>
      <c r="K546" s="15" t="s">
        <v>123</v>
      </c>
      <c r="L546" s="16" t="s">
        <v>771</v>
      </c>
      <c r="M546" s="13" t="s">
        <v>373</v>
      </c>
    </row>
    <row r="547" spans="1:13" x14ac:dyDescent="0.25">
      <c r="A547" s="13">
        <v>4093202</v>
      </c>
      <c r="B547" s="13" t="s">
        <v>772</v>
      </c>
      <c r="C547" s="13"/>
      <c r="D547" s="14" t="s">
        <v>469</v>
      </c>
      <c r="E547" s="13" t="str">
        <f>IFERROR(INDEX('CENTROS DE COSTOS RESOLUCION'!$C:$C,MATCH(D547,'CENTROS DE COSTOS RESOLUCION'!$B:$B,0)),"CÓDIGO NO VÁLIDO")</f>
        <v>OTROS VEHÍCULOS Y CONDUCTORES</v>
      </c>
      <c r="F547" s="15" t="str">
        <f>IF(COUNTIF('CENTROS DE COSTOS UTILIZADOS'!$B:$B,D547)&gt;0,"SÍ","NO")</f>
        <v>SÍ</v>
      </c>
      <c r="G547" s="13" t="str">
        <f t="shared" si="8"/>
        <v>R07|HSAT</v>
      </c>
      <c r="H547" s="13" t="s">
        <v>20</v>
      </c>
      <c r="I547" s="13" t="s">
        <v>695</v>
      </c>
      <c r="J547" s="15" t="s">
        <v>6</v>
      </c>
      <c r="K547" s="15" t="s">
        <v>123</v>
      </c>
      <c r="L547" s="16" t="s">
        <v>773</v>
      </c>
      <c r="M547" s="13" t="s">
        <v>373</v>
      </c>
    </row>
    <row r="548" spans="1:13" x14ac:dyDescent="0.25">
      <c r="A548" s="13">
        <v>1010220</v>
      </c>
      <c r="B548" s="13" t="s">
        <v>774</v>
      </c>
      <c r="C548" s="13"/>
      <c r="D548" s="14" t="s">
        <v>474</v>
      </c>
      <c r="E548" s="13" t="str">
        <f>IFERROR(INDEX('CENTROS DE COSTOS RESOLUCION'!$C:$C,MATCH(D548,'CENTROS DE COSTOS RESOLUCION'!$B:$B,0)),"CÓDIGO NO VÁLIDO")</f>
        <v>MANTENIMIENTO</v>
      </c>
      <c r="F548" s="15" t="str">
        <f>IF(COUNTIF('CENTROS DE COSTOS UTILIZADOS'!$B:$B,D548)&gt;0,"SÍ","NO")</f>
        <v>SÍ</v>
      </c>
      <c r="G548" s="13" t="str">
        <f t="shared" si="8"/>
        <v>R03|ESE01</v>
      </c>
      <c r="H548" s="13" t="s">
        <v>20</v>
      </c>
      <c r="I548" s="13" t="s">
        <v>371</v>
      </c>
      <c r="J548" s="15" t="s">
        <v>5</v>
      </c>
      <c r="K548" s="15" t="s">
        <v>54</v>
      </c>
      <c r="L548" s="16" t="s">
        <v>775</v>
      </c>
      <c r="M548" s="13" t="s">
        <v>373</v>
      </c>
    </row>
    <row r="549" spans="1:13" x14ac:dyDescent="0.25">
      <c r="A549" s="13">
        <v>3012109</v>
      </c>
      <c r="B549" s="13" t="s">
        <v>776</v>
      </c>
      <c r="C549" s="13"/>
      <c r="D549" s="14" t="s">
        <v>477</v>
      </c>
      <c r="E549" s="13" t="str">
        <f>IFERROR(INDEX('CENTROS DE COSTOS RESOLUCION'!$C:$C,MATCH(D549,'CENTROS DE COSTOS RESOLUCION'!$B:$B,0)),"CÓDIGO NO VÁLIDO")</f>
        <v>MANTENIMIENTO HOSPITALARIO</v>
      </c>
      <c r="F549" s="15" t="str">
        <f>IF(COUNTIF('CENTROS DE COSTOS UTILIZADOS'!$B:$B,D549)&gt;0,"SÍ","NO")</f>
        <v>SÍ</v>
      </c>
      <c r="G549" s="13" t="str">
        <f t="shared" si="8"/>
        <v>P02|ESE01</v>
      </c>
      <c r="H549" s="13" t="s">
        <v>19</v>
      </c>
      <c r="I549" s="13" t="s">
        <v>371</v>
      </c>
      <c r="J549" s="15" t="s">
        <v>5</v>
      </c>
      <c r="K549" s="15" t="s">
        <v>43</v>
      </c>
      <c r="L549" s="16" t="s">
        <v>777</v>
      </c>
      <c r="M549" s="13" t="s">
        <v>45</v>
      </c>
    </row>
    <row r="550" spans="1:13" x14ac:dyDescent="0.25">
      <c r="A550" s="13">
        <v>4142217</v>
      </c>
      <c r="B550" s="13" t="s">
        <v>778</v>
      </c>
      <c r="C550" s="13"/>
      <c r="D550" s="14" t="s">
        <v>474</v>
      </c>
      <c r="E550" s="13" t="str">
        <f>IFERROR(INDEX('CENTROS DE COSTOS RESOLUCION'!$C:$C,MATCH(D550,'CENTROS DE COSTOS RESOLUCION'!$B:$B,0)),"CÓDIGO NO VÁLIDO")</f>
        <v>MANTENIMIENTO</v>
      </c>
      <c r="F550" s="15" t="str">
        <f>IF(COUNTIF('CENTROS DE COSTOS UTILIZADOS'!$B:$B,D550)&gt;0,"SÍ","NO")</f>
        <v>SÍ</v>
      </c>
      <c r="G550" s="13" t="str">
        <f t="shared" si="8"/>
        <v>R03|ESE01</v>
      </c>
      <c r="H550" s="13" t="s">
        <v>20</v>
      </c>
      <c r="I550" s="13" t="s">
        <v>371</v>
      </c>
      <c r="J550" s="15" t="s">
        <v>5</v>
      </c>
      <c r="K550" s="15" t="s">
        <v>54</v>
      </c>
      <c r="L550" s="16" t="s">
        <v>779</v>
      </c>
      <c r="M550" s="13" t="s">
        <v>373</v>
      </c>
    </row>
  </sheetData>
  <autoFilter ref="A1:M550" xr:uid="{00000000-0009-0000-0000-000001000000}"/>
  <conditionalFormatting sqref="A2:M550">
    <cfRule type="expression" dxfId="3" priority="2">
      <formula>$J2="NO APLICA"</formula>
    </cfRule>
    <cfRule type="expression" dxfId="2" priority="3">
      <formula>$J2="EXCLUIR"</formula>
    </cfRule>
    <cfRule type="expression" dxfId="1" priority="4">
      <formula>$J2="VERIFICAR"</formula>
    </cfRule>
  </conditionalFormatting>
  <conditionalFormatting sqref="F2:F550">
    <cfRule type="expression" dxfId="0" priority="5">
      <formula>AND($F2="NO",$J2="ACTIVO")</formula>
    </cfRule>
  </conditionalFormatting>
  <dataValidations count="1">
    <dataValidation type="list" sqref="J2:J550" xr:uid="{00000000-0002-0000-0100-000001000000}">
      <formula1>"ACTIVO,VERIFICAR,NO APLICA,EXCLUIR"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'CENTROS DE COSTOS RESOLUCION'!$B$4:$B$187</xm:f>
          </x14:formula1>
          <x14:formula2>
            <xm:f>0</xm:f>
          </x14:formula2>
          <xm:sqref>D2:D550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49"/>
  <sheetViews>
    <sheetView zoomScaleNormal="100" workbookViewId="0">
      <pane ySplit="3" topLeftCell="A16" activePane="bottomLeft" state="frozen"/>
      <selection pane="bottomLeft"/>
    </sheetView>
  </sheetViews>
  <sheetFormatPr baseColWidth="10" defaultColWidth="8.7109375" defaultRowHeight="15" x14ac:dyDescent="0.25"/>
  <cols>
    <col min="1" max="1" width="3" customWidth="1"/>
    <col min="2" max="2" width="13" customWidth="1"/>
    <col min="3" max="3" width="62" customWidth="1"/>
    <col min="4" max="4" width="16" customWidth="1"/>
    <col min="5" max="5" width="14" customWidth="1"/>
  </cols>
  <sheetData>
    <row r="1" spans="2:4" ht="15.75" x14ac:dyDescent="0.25">
      <c r="B1" s="17" t="s">
        <v>780</v>
      </c>
    </row>
    <row r="3" spans="2:4" ht="39" x14ac:dyDescent="0.25">
      <c r="B3" s="18" t="s">
        <v>781</v>
      </c>
      <c r="C3" s="18" t="s">
        <v>782</v>
      </c>
      <c r="D3" s="18" t="s">
        <v>783</v>
      </c>
    </row>
    <row r="4" spans="2:4" x14ac:dyDescent="0.25">
      <c r="B4" s="19" t="s">
        <v>50</v>
      </c>
      <c r="C4" s="19" t="s">
        <v>784</v>
      </c>
      <c r="D4" s="19">
        <f>COUNTIFS('C COSTOS ESTADO FINANCIERO'!$D:$D,B4,'C COSTOS ESTADO FINANCIERO'!$J:$J,"ACTIVO")</f>
        <v>8</v>
      </c>
    </row>
    <row r="5" spans="2:4" x14ac:dyDescent="0.25">
      <c r="B5" s="19" t="s">
        <v>785</v>
      </c>
      <c r="C5" s="19" t="s">
        <v>786</v>
      </c>
      <c r="D5" s="19">
        <f>COUNTIFS('C COSTOS ESTADO FINANCIERO'!$D:$D,B5,'C COSTOS ESTADO FINANCIERO'!$J:$J,"ACTIVO")</f>
        <v>0</v>
      </c>
    </row>
    <row r="6" spans="2:4" x14ac:dyDescent="0.25">
      <c r="B6" s="19" t="s">
        <v>787</v>
      </c>
      <c r="C6" s="19" t="s">
        <v>788</v>
      </c>
      <c r="D6" s="19">
        <f>COUNTIFS('C COSTOS ESTADO FINANCIERO'!$D:$D,B6,'C COSTOS ESTADO FINANCIERO'!$J:$J,"ACTIVO")</f>
        <v>0</v>
      </c>
    </row>
    <row r="7" spans="2:4" x14ac:dyDescent="0.25">
      <c r="B7" s="19" t="s">
        <v>789</v>
      </c>
      <c r="C7" s="19" t="s">
        <v>790</v>
      </c>
      <c r="D7" s="19">
        <f>COUNTIFS('C COSTOS ESTADO FINANCIERO'!$D:$D,B7,'C COSTOS ESTADO FINANCIERO'!$J:$J,"ACTIVO")</f>
        <v>0</v>
      </c>
    </row>
    <row r="8" spans="2:4" x14ac:dyDescent="0.25">
      <c r="B8" s="19" t="s">
        <v>791</v>
      </c>
      <c r="C8" s="19" t="s">
        <v>792</v>
      </c>
      <c r="D8" s="19">
        <f>COUNTIFS('C COSTOS ESTADO FINANCIERO'!$D:$D,B8,'C COSTOS ESTADO FINANCIERO'!$J:$J,"ACTIVO")</f>
        <v>0</v>
      </c>
    </row>
    <row r="9" spans="2:4" x14ac:dyDescent="0.25">
      <c r="B9" s="19" t="s">
        <v>41</v>
      </c>
      <c r="C9" s="19" t="s">
        <v>793</v>
      </c>
      <c r="D9" s="19">
        <f>COUNTIFS('C COSTOS ESTADO FINANCIERO'!$D:$D,B9,'C COSTOS ESTADO FINANCIERO'!$J:$J,"ACTIVO")</f>
        <v>8</v>
      </c>
    </row>
    <row r="10" spans="2:4" x14ac:dyDescent="0.25">
      <c r="B10" s="19" t="s">
        <v>47</v>
      </c>
      <c r="C10" s="19" t="s">
        <v>794</v>
      </c>
      <c r="D10" s="19">
        <f>COUNTIFS('C COSTOS ESTADO FINANCIERO'!$D:$D,B10,'C COSTOS ESTADO FINANCIERO'!$J:$J,"ACTIVO")</f>
        <v>8</v>
      </c>
    </row>
    <row r="11" spans="2:4" x14ac:dyDescent="0.25">
      <c r="B11" s="19" t="s">
        <v>795</v>
      </c>
      <c r="C11" s="19" t="s">
        <v>796</v>
      </c>
      <c r="D11" s="19">
        <f>COUNTIFS('C COSTOS ESTADO FINANCIERO'!$D:$D,B11,'C COSTOS ESTADO FINANCIERO'!$J:$J,"ACTIVO")</f>
        <v>0</v>
      </c>
    </row>
    <row r="12" spans="2:4" x14ac:dyDescent="0.25">
      <c r="B12" s="19" t="s">
        <v>57</v>
      </c>
      <c r="C12" s="19" t="s">
        <v>797</v>
      </c>
      <c r="D12" s="19">
        <f>COUNTIFS('C COSTOS ESTADO FINANCIERO'!$D:$D,B12,'C COSTOS ESTADO FINANCIERO'!$J:$J,"ACTIVO")</f>
        <v>8</v>
      </c>
    </row>
    <row r="13" spans="2:4" x14ac:dyDescent="0.25">
      <c r="B13" s="19" t="s">
        <v>118</v>
      </c>
      <c r="C13" s="19" t="s">
        <v>798</v>
      </c>
      <c r="D13" s="19">
        <f>COUNTIFS('C COSTOS ESTADO FINANCIERO'!$D:$D,B13,'C COSTOS ESTADO FINANCIERO'!$J:$J,"ACTIVO")</f>
        <v>8</v>
      </c>
    </row>
    <row r="14" spans="2:4" x14ac:dyDescent="0.25">
      <c r="B14" s="19" t="s">
        <v>799</v>
      </c>
      <c r="C14" s="19" t="s">
        <v>800</v>
      </c>
      <c r="D14" s="19">
        <f>COUNTIFS('C COSTOS ESTADO FINANCIERO'!$D:$D,B14,'C COSTOS ESTADO FINANCIERO'!$J:$J,"ACTIVO")</f>
        <v>0</v>
      </c>
    </row>
    <row r="15" spans="2:4" x14ac:dyDescent="0.25">
      <c r="B15" s="19" t="s">
        <v>801</v>
      </c>
      <c r="C15" s="19" t="s">
        <v>802</v>
      </c>
      <c r="D15" s="19">
        <f>COUNTIFS('C COSTOS ESTADO FINANCIERO'!$D:$D,B15,'C COSTOS ESTADO FINANCIERO'!$J:$J,"ACTIVO")</f>
        <v>0</v>
      </c>
    </row>
    <row r="16" spans="2:4" x14ac:dyDescent="0.25">
      <c r="B16" s="19" t="s">
        <v>803</v>
      </c>
      <c r="C16" s="19" t="s">
        <v>804</v>
      </c>
      <c r="D16" s="19">
        <f>COUNTIFS('C COSTOS ESTADO FINANCIERO'!$D:$D,B16,'C COSTOS ESTADO FINANCIERO'!$J:$J,"ACTIVO")</f>
        <v>0</v>
      </c>
    </row>
    <row r="17" spans="2:4" x14ac:dyDescent="0.25">
      <c r="B17" s="19" t="s">
        <v>63</v>
      </c>
      <c r="C17" s="19" t="s">
        <v>805</v>
      </c>
      <c r="D17" s="19">
        <f>COUNTIFS('C COSTOS ESTADO FINANCIERO'!$D:$D,B17,'C COSTOS ESTADO FINANCIERO'!$J:$J,"ACTIVO")</f>
        <v>10</v>
      </c>
    </row>
    <row r="18" spans="2:4" x14ac:dyDescent="0.25">
      <c r="B18" s="19" t="s">
        <v>92</v>
      </c>
      <c r="C18" s="19" t="s">
        <v>806</v>
      </c>
      <c r="D18" s="19">
        <f>COUNTIFS('C COSTOS ESTADO FINANCIERO'!$D:$D,B18,'C COSTOS ESTADO FINANCIERO'!$J:$J,"ACTIVO")</f>
        <v>15</v>
      </c>
    </row>
    <row r="19" spans="2:4" x14ac:dyDescent="0.25">
      <c r="B19" s="19" t="s">
        <v>89</v>
      </c>
      <c r="C19" s="19" t="s">
        <v>807</v>
      </c>
      <c r="D19" s="19">
        <f>COUNTIFS('C COSTOS ESTADO FINANCIERO'!$D:$D,B19,'C COSTOS ESTADO FINANCIERO'!$J:$J,"ACTIVO")</f>
        <v>8</v>
      </c>
    </row>
    <row r="20" spans="2:4" x14ac:dyDescent="0.25">
      <c r="B20" s="19" t="s">
        <v>111</v>
      </c>
      <c r="C20" s="19" t="s">
        <v>808</v>
      </c>
      <c r="D20" s="19">
        <f>COUNTIFS('C COSTOS ESTADO FINANCIERO'!$D:$D,B20,'C COSTOS ESTADO FINANCIERO'!$J:$J,"ACTIVO")</f>
        <v>14</v>
      </c>
    </row>
    <row r="21" spans="2:4" x14ac:dyDescent="0.25">
      <c r="B21" s="19" t="s">
        <v>100</v>
      </c>
      <c r="C21" s="19" t="s">
        <v>809</v>
      </c>
      <c r="D21" s="19">
        <f>COUNTIFS('C COSTOS ESTADO FINANCIERO'!$D:$D,B21,'C COSTOS ESTADO FINANCIERO'!$J:$J,"ACTIVO")</f>
        <v>8</v>
      </c>
    </row>
    <row r="22" spans="2:4" x14ac:dyDescent="0.25">
      <c r="B22" s="19" t="s">
        <v>60</v>
      </c>
      <c r="C22" s="19" t="s">
        <v>810</v>
      </c>
      <c r="D22" s="19">
        <f>COUNTIFS('C COSTOS ESTADO FINANCIERO'!$D:$D,B22,'C COSTOS ESTADO FINANCIERO'!$J:$J,"ACTIVO")</f>
        <v>9</v>
      </c>
    </row>
    <row r="23" spans="2:4" x14ac:dyDescent="0.25">
      <c r="B23" s="19" t="s">
        <v>126</v>
      </c>
      <c r="C23" s="19" t="s">
        <v>811</v>
      </c>
      <c r="D23" s="19">
        <f>COUNTIFS('C COSTOS ESTADO FINANCIERO'!$D:$D,B23,'C COSTOS ESTADO FINANCIERO'!$J:$J,"ACTIVO")</f>
        <v>40</v>
      </c>
    </row>
    <row r="24" spans="2:4" x14ac:dyDescent="0.25">
      <c r="B24" s="19" t="s">
        <v>390</v>
      </c>
      <c r="C24" s="19" t="s">
        <v>812</v>
      </c>
      <c r="D24" s="19">
        <f>COUNTIFS('C COSTOS ESTADO FINANCIERO'!$D:$D,B24,'C COSTOS ESTADO FINANCIERO'!$J:$J,"ACTIVO")</f>
        <v>9</v>
      </c>
    </row>
    <row r="25" spans="2:4" x14ac:dyDescent="0.25">
      <c r="B25" s="19" t="s">
        <v>477</v>
      </c>
      <c r="C25" s="19" t="s">
        <v>813</v>
      </c>
      <c r="D25" s="19">
        <f>COUNTIFS('C COSTOS ESTADO FINANCIERO'!$D:$D,B25,'C COSTOS ESTADO FINANCIERO'!$J:$J,"ACTIVO")</f>
        <v>59</v>
      </c>
    </row>
    <row r="26" spans="2:4" x14ac:dyDescent="0.25">
      <c r="B26" s="19" t="s">
        <v>407</v>
      </c>
      <c r="C26" s="19" t="s">
        <v>814</v>
      </c>
      <c r="D26" s="19">
        <f>COUNTIFS('C COSTOS ESTADO FINANCIERO'!$D:$D,B26,'C COSTOS ESTADO FINANCIERO'!$J:$J,"ACTIVO")</f>
        <v>9</v>
      </c>
    </row>
    <row r="27" spans="2:4" x14ac:dyDescent="0.25">
      <c r="B27" s="19" t="s">
        <v>570</v>
      </c>
      <c r="C27" s="19" t="s">
        <v>815</v>
      </c>
      <c r="D27" s="19">
        <f>COUNTIFS('C COSTOS ESTADO FINANCIERO'!$D:$D,B27,'C COSTOS ESTADO FINANCIERO'!$J:$J,"ACTIVO")</f>
        <v>12</v>
      </c>
    </row>
    <row r="28" spans="2:4" x14ac:dyDescent="0.25">
      <c r="B28" s="19" t="s">
        <v>381</v>
      </c>
      <c r="C28" s="19" t="s">
        <v>816</v>
      </c>
      <c r="D28" s="19">
        <f>COUNTIFS('C COSTOS ESTADO FINANCIERO'!$D:$D,B28,'C COSTOS ESTADO FINANCIERO'!$J:$J,"ACTIVO")</f>
        <v>19</v>
      </c>
    </row>
    <row r="29" spans="2:4" x14ac:dyDescent="0.25">
      <c r="B29" s="19" t="s">
        <v>474</v>
      </c>
      <c r="C29" s="19" t="s">
        <v>817</v>
      </c>
      <c r="D29" s="19">
        <f>COUNTIFS('C COSTOS ESTADO FINANCIERO'!$D:$D,B29,'C COSTOS ESTADO FINANCIERO'!$J:$J,"ACTIVO")</f>
        <v>6</v>
      </c>
    </row>
    <row r="30" spans="2:4" x14ac:dyDescent="0.25">
      <c r="B30" s="19" t="s">
        <v>404</v>
      </c>
      <c r="C30" s="19" t="s">
        <v>818</v>
      </c>
      <c r="D30" s="19">
        <f>COUNTIFS('C COSTOS ESTADO FINANCIERO'!$D:$D,B30,'C COSTOS ESTADO FINANCIERO'!$J:$J,"ACTIVO")</f>
        <v>18</v>
      </c>
    </row>
    <row r="31" spans="2:4" x14ac:dyDescent="0.25">
      <c r="B31" s="19" t="s">
        <v>378</v>
      </c>
      <c r="C31" s="19" t="s">
        <v>819</v>
      </c>
      <c r="D31" s="19">
        <f>COUNTIFS('C COSTOS ESTADO FINANCIERO'!$D:$D,B31,'C COSTOS ESTADO FINANCIERO'!$J:$J,"ACTIVO")</f>
        <v>7</v>
      </c>
    </row>
    <row r="32" spans="2:4" x14ac:dyDescent="0.25">
      <c r="B32" s="19" t="s">
        <v>820</v>
      </c>
      <c r="C32" s="19" t="s">
        <v>821</v>
      </c>
      <c r="D32" s="19">
        <f>COUNTIFS('C COSTOS ESTADO FINANCIERO'!$D:$D,B32,'C COSTOS ESTADO FINANCIERO'!$J:$J,"ACTIVO")</f>
        <v>0</v>
      </c>
    </row>
    <row r="33" spans="2:4" x14ac:dyDescent="0.25">
      <c r="B33" s="19" t="s">
        <v>469</v>
      </c>
      <c r="C33" s="19" t="s">
        <v>822</v>
      </c>
      <c r="D33" s="19">
        <f>COUNTIFS('C COSTOS ESTADO FINANCIERO'!$D:$D,B33,'C COSTOS ESTADO FINANCIERO'!$J:$J,"ACTIVO")</f>
        <v>12</v>
      </c>
    </row>
    <row r="34" spans="2:4" x14ac:dyDescent="0.25">
      <c r="B34" s="19" t="s">
        <v>644</v>
      </c>
      <c r="C34" s="19" t="s">
        <v>823</v>
      </c>
      <c r="D34" s="19">
        <f>COUNTIFS('C COSTOS ESTADO FINANCIERO'!$D:$D,B34,'C COSTOS ESTADO FINANCIERO'!$J:$J,"ACTIVO")</f>
        <v>10</v>
      </c>
    </row>
    <row r="35" spans="2:4" x14ac:dyDescent="0.25">
      <c r="B35" s="19" t="s">
        <v>393</v>
      </c>
      <c r="C35" s="19" t="s">
        <v>824</v>
      </c>
      <c r="D35" s="19">
        <f>COUNTIFS('C COSTOS ESTADO FINANCIERO'!$D:$D,B35,'C COSTOS ESTADO FINANCIERO'!$J:$J,"ACTIVO")</f>
        <v>11</v>
      </c>
    </row>
    <row r="36" spans="2:4" x14ac:dyDescent="0.25">
      <c r="B36" s="19" t="s">
        <v>825</v>
      </c>
      <c r="C36" s="19" t="s">
        <v>826</v>
      </c>
      <c r="D36" s="19">
        <f>COUNTIFS('C COSTOS ESTADO FINANCIERO'!$D:$D,B36,'C COSTOS ESTADO FINANCIERO'!$J:$J,"ACTIVO")</f>
        <v>0</v>
      </c>
    </row>
    <row r="37" spans="2:4" x14ac:dyDescent="0.25">
      <c r="B37" s="19" t="s">
        <v>410</v>
      </c>
      <c r="C37" s="19" t="s">
        <v>827</v>
      </c>
      <c r="D37" s="19">
        <f>COUNTIFS('C COSTOS ESTADO FINANCIERO'!$D:$D,B37,'C COSTOS ESTADO FINANCIERO'!$J:$J,"ACTIVO")</f>
        <v>1</v>
      </c>
    </row>
    <row r="38" spans="2:4" x14ac:dyDescent="0.25">
      <c r="B38" s="19" t="s">
        <v>416</v>
      </c>
      <c r="C38" s="19" t="s">
        <v>828</v>
      </c>
      <c r="D38" s="19">
        <f>COUNTIFS('C COSTOS ESTADO FINANCIERO'!$D:$D,B38,'C COSTOS ESTADO FINANCIERO'!$J:$J,"ACTIVO")</f>
        <v>1</v>
      </c>
    </row>
    <row r="39" spans="2:4" x14ac:dyDescent="0.25">
      <c r="B39" s="19" t="s">
        <v>422</v>
      </c>
      <c r="C39" s="19" t="s">
        <v>829</v>
      </c>
      <c r="D39" s="19">
        <f>COUNTIFS('C COSTOS ESTADO FINANCIERO'!$D:$D,B39,'C COSTOS ESTADO FINANCIERO'!$J:$J,"ACTIVO")</f>
        <v>9</v>
      </c>
    </row>
    <row r="40" spans="2:4" x14ac:dyDescent="0.25">
      <c r="B40" s="19" t="s">
        <v>419</v>
      </c>
      <c r="C40" s="19" t="s">
        <v>830</v>
      </c>
      <c r="D40" s="19">
        <f>COUNTIFS('C COSTOS ESTADO FINANCIERO'!$D:$D,B40,'C COSTOS ESTADO FINANCIERO'!$J:$J,"ACTIVO")</f>
        <v>10</v>
      </c>
    </row>
    <row r="41" spans="2:4" x14ac:dyDescent="0.25">
      <c r="B41" s="19" t="s">
        <v>413</v>
      </c>
      <c r="C41" s="19" t="s">
        <v>831</v>
      </c>
      <c r="D41" s="19">
        <f>COUNTIFS('C COSTOS ESTADO FINANCIERO'!$D:$D,B41,'C COSTOS ESTADO FINANCIERO'!$J:$J,"ACTIVO")</f>
        <v>1</v>
      </c>
    </row>
    <row r="42" spans="2:4" x14ac:dyDescent="0.25">
      <c r="B42" s="19" t="s">
        <v>370</v>
      </c>
      <c r="C42" s="19" t="s">
        <v>832</v>
      </c>
      <c r="D42" s="19">
        <f>COUNTIFS('C COSTOS ESTADO FINANCIERO'!$D:$D,B42,'C COSTOS ESTADO FINANCIERO'!$J:$J,"ACTIVO")</f>
        <v>1</v>
      </c>
    </row>
    <row r="43" spans="2:4" x14ac:dyDescent="0.25">
      <c r="B43" s="19" t="s">
        <v>375</v>
      </c>
      <c r="C43" s="19" t="s">
        <v>833</v>
      </c>
      <c r="D43" s="19">
        <f>COUNTIFS('C COSTOS ESTADO FINANCIERO'!$D:$D,B43,'C COSTOS ESTADO FINANCIERO'!$J:$J,"ACTIVO")</f>
        <v>1</v>
      </c>
    </row>
    <row r="44" spans="2:4" x14ac:dyDescent="0.25">
      <c r="B44" s="19" t="s">
        <v>396</v>
      </c>
      <c r="C44" s="19" t="s">
        <v>834</v>
      </c>
      <c r="D44" s="19">
        <f>COUNTIFS('C COSTOS ESTADO FINANCIERO'!$D:$D,B44,'C COSTOS ESTADO FINANCIERO'!$J:$J,"ACTIVO")</f>
        <v>9</v>
      </c>
    </row>
    <row r="45" spans="2:4" x14ac:dyDescent="0.25">
      <c r="B45" s="19" t="s">
        <v>461</v>
      </c>
      <c r="C45" s="19" t="s">
        <v>835</v>
      </c>
      <c r="D45" s="19">
        <f>COUNTIFS('C COSTOS ESTADO FINANCIERO'!$D:$D,B45,'C COSTOS ESTADO FINANCIERO'!$J:$J,"ACTIVO")</f>
        <v>2</v>
      </c>
    </row>
    <row r="46" spans="2:4" x14ac:dyDescent="0.25">
      <c r="B46" s="19" t="s">
        <v>387</v>
      </c>
      <c r="C46" s="19" t="s">
        <v>836</v>
      </c>
      <c r="D46" s="19">
        <f>COUNTIFS('C COSTOS ESTADO FINANCIERO'!$D:$D,B46,'C COSTOS ESTADO FINANCIERO'!$J:$J,"ACTIVO")</f>
        <v>1</v>
      </c>
    </row>
    <row r="47" spans="2:4" x14ac:dyDescent="0.25">
      <c r="B47" s="19" t="s">
        <v>384</v>
      </c>
      <c r="C47" s="19" t="s">
        <v>837</v>
      </c>
      <c r="D47" s="19">
        <f>COUNTIFS('C COSTOS ESTADO FINANCIERO'!$D:$D,B47,'C COSTOS ESTADO FINANCIERO'!$J:$J,"ACTIVO")</f>
        <v>1</v>
      </c>
    </row>
    <row r="48" spans="2:4" x14ac:dyDescent="0.25">
      <c r="B48" s="19" t="s">
        <v>401</v>
      </c>
      <c r="C48" s="19" t="s">
        <v>838</v>
      </c>
      <c r="D48" s="19">
        <f>COUNTIFS('C COSTOS ESTADO FINANCIERO'!$D:$D,B48,'C COSTOS ESTADO FINANCIERO'!$J:$J,"ACTIVO")</f>
        <v>1</v>
      </c>
    </row>
    <row r="49" spans="2:4" x14ac:dyDescent="0.25">
      <c r="B49" s="19" t="s">
        <v>466</v>
      </c>
      <c r="C49" s="19" t="s">
        <v>839</v>
      </c>
      <c r="D49" s="19">
        <f>COUNTIFS('C COSTOS ESTADO FINANCIERO'!$D:$D,B49,'C COSTOS ESTADO FINANCIERO'!$J:$J,"ACTIVO")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87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3" customWidth="1"/>
    <col min="2" max="2" width="13" customWidth="1"/>
    <col min="3" max="3" width="62" customWidth="1"/>
    <col min="4" max="4" width="16" customWidth="1"/>
    <col min="5" max="5" width="14" customWidth="1"/>
  </cols>
  <sheetData>
    <row r="1" spans="2:5" ht="15.75" x14ac:dyDescent="0.25">
      <c r="B1" s="17" t="s">
        <v>840</v>
      </c>
    </row>
    <row r="3" spans="2:5" ht="39" x14ac:dyDescent="0.25">
      <c r="B3" s="18" t="s">
        <v>781</v>
      </c>
      <c r="C3" s="18" t="s">
        <v>782</v>
      </c>
      <c r="D3" s="18" t="s">
        <v>783</v>
      </c>
      <c r="E3" s="18" t="s">
        <v>32</v>
      </c>
    </row>
    <row r="4" spans="2:5" x14ac:dyDescent="0.25">
      <c r="B4" s="19" t="s">
        <v>841</v>
      </c>
      <c r="C4" s="19" t="s">
        <v>842</v>
      </c>
      <c r="D4" s="19">
        <f>COUNTIFS('C COSTOS ESTADO FINANCIERO'!$D:$D,B4,'C COSTOS ESTADO FINANCIERO'!$J:$J,"ACTIVO")</f>
        <v>0</v>
      </c>
      <c r="E4" s="19" t="str">
        <f>IF(COUNTIF('CENTROS DE COSTOS UTILIZADOS'!$B:$B,B4)&gt;0,"SÍ","NO")</f>
        <v>NO</v>
      </c>
    </row>
    <row r="5" spans="2:5" x14ac:dyDescent="0.25">
      <c r="B5" s="19" t="s">
        <v>843</v>
      </c>
      <c r="C5" s="19" t="s">
        <v>844</v>
      </c>
      <c r="D5" s="19">
        <f>COUNTIFS('C COSTOS ESTADO FINANCIERO'!$D:$D,B5,'C COSTOS ESTADO FINANCIERO'!$J:$J,"ACTIVO")</f>
        <v>0</v>
      </c>
      <c r="E5" s="19" t="str">
        <f>IF(COUNTIF('CENTROS DE COSTOS UTILIZADOS'!$B:$B,B5)&gt;0,"SÍ","NO")</f>
        <v>NO</v>
      </c>
    </row>
    <row r="6" spans="2:5" x14ac:dyDescent="0.25">
      <c r="B6" s="19" t="s">
        <v>845</v>
      </c>
      <c r="C6" s="19" t="s">
        <v>846</v>
      </c>
      <c r="D6" s="19">
        <f>COUNTIFS('C COSTOS ESTADO FINANCIERO'!$D:$D,B6,'C COSTOS ESTADO FINANCIERO'!$J:$J,"ACTIVO")</f>
        <v>0</v>
      </c>
      <c r="E6" s="19" t="str">
        <f>IF(COUNTIF('CENTROS DE COSTOS UTILIZADOS'!$B:$B,B6)&gt;0,"SÍ","NO")</f>
        <v>NO</v>
      </c>
    </row>
    <row r="7" spans="2:5" x14ac:dyDescent="0.25">
      <c r="B7" s="19" t="s">
        <v>847</v>
      </c>
      <c r="C7" s="19" t="s">
        <v>848</v>
      </c>
      <c r="D7" s="19">
        <f>COUNTIFS('C COSTOS ESTADO FINANCIERO'!$D:$D,B7,'C COSTOS ESTADO FINANCIERO'!$J:$J,"ACTIVO")</f>
        <v>0</v>
      </c>
      <c r="E7" s="19" t="str">
        <f>IF(COUNTIF('CENTROS DE COSTOS UTILIZADOS'!$B:$B,B7)&gt;0,"SÍ","NO")</f>
        <v>NO</v>
      </c>
    </row>
    <row r="8" spans="2:5" x14ac:dyDescent="0.25">
      <c r="B8" s="19" t="s">
        <v>849</v>
      </c>
      <c r="C8" s="19" t="s">
        <v>850</v>
      </c>
      <c r="D8" s="19">
        <f>COUNTIFS('C COSTOS ESTADO FINANCIERO'!$D:$D,B8,'C COSTOS ESTADO FINANCIERO'!$J:$J,"ACTIVO")</f>
        <v>0</v>
      </c>
      <c r="E8" s="19" t="str">
        <f>IF(COUNTIF('CENTROS DE COSTOS UTILIZADOS'!$B:$B,B8)&gt;0,"SÍ","NO")</f>
        <v>NO</v>
      </c>
    </row>
    <row r="9" spans="2:5" x14ac:dyDescent="0.25">
      <c r="B9" s="19" t="s">
        <v>851</v>
      </c>
      <c r="C9" s="19" t="s">
        <v>852</v>
      </c>
      <c r="D9" s="19">
        <f>COUNTIFS('C COSTOS ESTADO FINANCIERO'!$D:$D,B9,'C COSTOS ESTADO FINANCIERO'!$J:$J,"ACTIVO")</f>
        <v>0</v>
      </c>
      <c r="E9" s="19" t="str">
        <f>IF(COUNTIF('CENTROS DE COSTOS UTILIZADOS'!$B:$B,B9)&gt;0,"SÍ","NO")</f>
        <v>NO</v>
      </c>
    </row>
    <row r="10" spans="2:5" x14ac:dyDescent="0.25">
      <c r="B10" s="19" t="s">
        <v>853</v>
      </c>
      <c r="C10" s="19" t="s">
        <v>854</v>
      </c>
      <c r="D10" s="19">
        <f>COUNTIFS('C COSTOS ESTADO FINANCIERO'!$D:$D,B10,'C COSTOS ESTADO FINANCIERO'!$J:$J,"ACTIVO")</f>
        <v>0</v>
      </c>
      <c r="E10" s="19" t="str">
        <f>IF(COUNTIF('CENTROS DE COSTOS UTILIZADOS'!$B:$B,B10)&gt;0,"SÍ","NO")</f>
        <v>NO</v>
      </c>
    </row>
    <row r="11" spans="2:5" x14ac:dyDescent="0.25">
      <c r="B11" s="19" t="s">
        <v>855</v>
      </c>
      <c r="C11" s="19" t="s">
        <v>856</v>
      </c>
      <c r="D11" s="19">
        <f>COUNTIFS('C COSTOS ESTADO FINANCIERO'!$D:$D,B11,'C COSTOS ESTADO FINANCIERO'!$J:$J,"ACTIVO")</f>
        <v>0</v>
      </c>
      <c r="E11" s="19" t="str">
        <f>IF(COUNTIF('CENTROS DE COSTOS UTILIZADOS'!$B:$B,B11)&gt;0,"SÍ","NO")</f>
        <v>NO</v>
      </c>
    </row>
    <row r="12" spans="2:5" x14ac:dyDescent="0.25">
      <c r="B12" s="19" t="s">
        <v>857</v>
      </c>
      <c r="C12" s="19" t="s">
        <v>858</v>
      </c>
      <c r="D12" s="19">
        <f>COUNTIFS('C COSTOS ESTADO FINANCIERO'!$D:$D,B12,'C COSTOS ESTADO FINANCIERO'!$J:$J,"ACTIVO")</f>
        <v>0</v>
      </c>
      <c r="E12" s="19" t="str">
        <f>IF(COUNTIF('CENTROS DE COSTOS UTILIZADOS'!$B:$B,B12)&gt;0,"SÍ","NO")</f>
        <v>NO</v>
      </c>
    </row>
    <row r="13" spans="2:5" x14ac:dyDescent="0.25">
      <c r="B13" s="19" t="s">
        <v>50</v>
      </c>
      <c r="C13" s="19" t="s">
        <v>784</v>
      </c>
      <c r="D13" s="19">
        <f>COUNTIFS('C COSTOS ESTADO FINANCIERO'!$D:$D,B13,'C COSTOS ESTADO FINANCIERO'!$J:$J,"ACTIVO")</f>
        <v>8</v>
      </c>
      <c r="E13" s="19" t="str">
        <f>IF(COUNTIF('CENTROS DE COSTOS UTILIZADOS'!$B:$B,B13)&gt;0,"SÍ","NO")</f>
        <v>SÍ</v>
      </c>
    </row>
    <row r="14" spans="2:5" x14ac:dyDescent="0.25">
      <c r="B14" s="19" t="s">
        <v>859</v>
      </c>
      <c r="C14" s="19" t="s">
        <v>860</v>
      </c>
      <c r="D14" s="19">
        <f>COUNTIFS('C COSTOS ESTADO FINANCIERO'!$D:$D,B14,'C COSTOS ESTADO FINANCIERO'!$J:$J,"ACTIVO")</f>
        <v>0</v>
      </c>
      <c r="E14" s="19" t="str">
        <f>IF(COUNTIF('CENTROS DE COSTOS UTILIZADOS'!$B:$B,B14)&gt;0,"SÍ","NO")</f>
        <v>NO</v>
      </c>
    </row>
    <row r="15" spans="2:5" x14ac:dyDescent="0.25">
      <c r="B15" s="19" t="s">
        <v>861</v>
      </c>
      <c r="C15" s="19" t="s">
        <v>862</v>
      </c>
      <c r="D15" s="19">
        <f>COUNTIFS('C COSTOS ESTADO FINANCIERO'!$D:$D,B15,'C COSTOS ESTADO FINANCIERO'!$J:$J,"ACTIVO")</f>
        <v>0</v>
      </c>
      <c r="E15" s="19" t="str">
        <f>IF(COUNTIF('CENTROS DE COSTOS UTILIZADOS'!$B:$B,B15)&gt;0,"SÍ","NO")</f>
        <v>NO</v>
      </c>
    </row>
    <row r="16" spans="2:5" x14ac:dyDescent="0.25">
      <c r="B16" s="19" t="s">
        <v>863</v>
      </c>
      <c r="C16" s="19" t="s">
        <v>864</v>
      </c>
      <c r="D16" s="19">
        <f>COUNTIFS('C COSTOS ESTADO FINANCIERO'!$D:$D,B16,'C COSTOS ESTADO FINANCIERO'!$J:$J,"ACTIVO")</f>
        <v>0</v>
      </c>
      <c r="E16" s="19" t="str">
        <f>IF(COUNTIF('CENTROS DE COSTOS UTILIZADOS'!$B:$B,B16)&gt;0,"SÍ","NO")</f>
        <v>NO</v>
      </c>
    </row>
    <row r="17" spans="2:5" x14ac:dyDescent="0.25">
      <c r="B17" s="19" t="s">
        <v>865</v>
      </c>
      <c r="C17" s="19" t="s">
        <v>866</v>
      </c>
      <c r="D17" s="19">
        <f>COUNTIFS('C COSTOS ESTADO FINANCIERO'!$D:$D,B17,'C COSTOS ESTADO FINANCIERO'!$J:$J,"ACTIVO")</f>
        <v>0</v>
      </c>
      <c r="E17" s="19" t="str">
        <f>IF(COUNTIF('CENTROS DE COSTOS UTILIZADOS'!$B:$B,B17)&gt;0,"SÍ","NO")</f>
        <v>NO</v>
      </c>
    </row>
    <row r="18" spans="2:5" x14ac:dyDescent="0.25">
      <c r="B18" s="19" t="s">
        <v>867</v>
      </c>
      <c r="C18" s="19" t="s">
        <v>868</v>
      </c>
      <c r="D18" s="19">
        <f>COUNTIFS('C COSTOS ESTADO FINANCIERO'!$D:$D,B18,'C COSTOS ESTADO FINANCIERO'!$J:$J,"ACTIVO")</f>
        <v>0</v>
      </c>
      <c r="E18" s="19" t="str">
        <f>IF(COUNTIF('CENTROS DE COSTOS UTILIZADOS'!$B:$B,B18)&gt;0,"SÍ","NO")</f>
        <v>NO</v>
      </c>
    </row>
    <row r="19" spans="2:5" x14ac:dyDescent="0.25">
      <c r="B19" s="19" t="s">
        <v>869</v>
      </c>
      <c r="C19" s="19" t="s">
        <v>870</v>
      </c>
      <c r="D19" s="19">
        <f>COUNTIFS('C COSTOS ESTADO FINANCIERO'!$D:$D,B19,'C COSTOS ESTADO FINANCIERO'!$J:$J,"ACTIVO")</f>
        <v>0</v>
      </c>
      <c r="E19" s="19" t="str">
        <f>IF(COUNTIF('CENTROS DE COSTOS UTILIZADOS'!$B:$B,B19)&gt;0,"SÍ","NO")</f>
        <v>NO</v>
      </c>
    </row>
    <row r="20" spans="2:5" x14ac:dyDescent="0.25">
      <c r="B20" s="19" t="s">
        <v>871</v>
      </c>
      <c r="C20" s="19" t="s">
        <v>872</v>
      </c>
      <c r="D20" s="19">
        <f>COUNTIFS('C COSTOS ESTADO FINANCIERO'!$D:$D,B20,'C COSTOS ESTADO FINANCIERO'!$J:$J,"ACTIVO")</f>
        <v>0</v>
      </c>
      <c r="E20" s="19" t="str">
        <f>IF(COUNTIF('CENTROS DE COSTOS UTILIZADOS'!$B:$B,B20)&gt;0,"SÍ","NO")</f>
        <v>NO</v>
      </c>
    </row>
    <row r="21" spans="2:5" x14ac:dyDescent="0.25">
      <c r="B21" s="19" t="s">
        <v>785</v>
      </c>
      <c r="C21" s="19" t="s">
        <v>786</v>
      </c>
      <c r="D21" s="19">
        <f>COUNTIFS('C COSTOS ESTADO FINANCIERO'!$D:$D,B21,'C COSTOS ESTADO FINANCIERO'!$J:$J,"ACTIVO")</f>
        <v>0</v>
      </c>
      <c r="E21" s="19" t="str">
        <f>IF(COUNTIF('CENTROS DE COSTOS UTILIZADOS'!$B:$B,B21)&gt;0,"SÍ","NO")</f>
        <v>SÍ</v>
      </c>
    </row>
    <row r="22" spans="2:5" x14ac:dyDescent="0.25">
      <c r="B22" s="19" t="s">
        <v>873</v>
      </c>
      <c r="C22" s="19" t="s">
        <v>874</v>
      </c>
      <c r="D22" s="19">
        <f>COUNTIFS('C COSTOS ESTADO FINANCIERO'!$D:$D,B22,'C COSTOS ESTADO FINANCIERO'!$J:$J,"ACTIVO")</f>
        <v>0</v>
      </c>
      <c r="E22" s="19" t="str">
        <f>IF(COUNTIF('CENTROS DE COSTOS UTILIZADOS'!$B:$B,B22)&gt;0,"SÍ","NO")</f>
        <v>NO</v>
      </c>
    </row>
    <row r="23" spans="2:5" x14ac:dyDescent="0.25">
      <c r="B23" s="19" t="s">
        <v>875</v>
      </c>
      <c r="C23" s="19" t="s">
        <v>876</v>
      </c>
      <c r="D23" s="19">
        <f>COUNTIFS('C COSTOS ESTADO FINANCIERO'!$D:$D,B23,'C COSTOS ESTADO FINANCIERO'!$J:$J,"ACTIVO")</f>
        <v>0</v>
      </c>
      <c r="E23" s="19" t="str">
        <f>IF(COUNTIF('CENTROS DE COSTOS UTILIZADOS'!$B:$B,B23)&gt;0,"SÍ","NO")</f>
        <v>NO</v>
      </c>
    </row>
    <row r="24" spans="2:5" x14ac:dyDescent="0.25">
      <c r="B24" s="19" t="s">
        <v>877</v>
      </c>
      <c r="C24" s="19" t="s">
        <v>878</v>
      </c>
      <c r="D24" s="19">
        <f>COUNTIFS('C COSTOS ESTADO FINANCIERO'!$D:$D,B24,'C COSTOS ESTADO FINANCIERO'!$J:$J,"ACTIVO")</f>
        <v>0</v>
      </c>
      <c r="E24" s="19" t="str">
        <f>IF(COUNTIF('CENTROS DE COSTOS UTILIZADOS'!$B:$B,B24)&gt;0,"SÍ","NO")</f>
        <v>NO</v>
      </c>
    </row>
    <row r="25" spans="2:5" x14ac:dyDescent="0.25">
      <c r="B25" s="19" t="s">
        <v>879</v>
      </c>
      <c r="C25" s="19" t="s">
        <v>880</v>
      </c>
      <c r="D25" s="19">
        <f>COUNTIFS('C COSTOS ESTADO FINANCIERO'!$D:$D,B25,'C COSTOS ESTADO FINANCIERO'!$J:$J,"ACTIVO")</f>
        <v>0</v>
      </c>
      <c r="E25" s="19" t="str">
        <f>IF(COUNTIF('CENTROS DE COSTOS UTILIZADOS'!$B:$B,B25)&gt;0,"SÍ","NO")</f>
        <v>NO</v>
      </c>
    </row>
    <row r="26" spans="2:5" x14ac:dyDescent="0.25">
      <c r="B26" s="19" t="s">
        <v>881</v>
      </c>
      <c r="C26" s="19" t="s">
        <v>882</v>
      </c>
      <c r="D26" s="19">
        <f>COUNTIFS('C COSTOS ESTADO FINANCIERO'!$D:$D,B26,'C COSTOS ESTADO FINANCIERO'!$J:$J,"ACTIVO")</f>
        <v>0</v>
      </c>
      <c r="E26" s="19" t="str">
        <f>IF(COUNTIF('CENTROS DE COSTOS UTILIZADOS'!$B:$B,B26)&gt;0,"SÍ","NO")</f>
        <v>NO</v>
      </c>
    </row>
    <row r="27" spans="2:5" x14ac:dyDescent="0.25">
      <c r="B27" s="19" t="s">
        <v>787</v>
      </c>
      <c r="C27" s="19" t="s">
        <v>788</v>
      </c>
      <c r="D27" s="19">
        <f>COUNTIFS('C COSTOS ESTADO FINANCIERO'!$D:$D,B27,'C COSTOS ESTADO FINANCIERO'!$J:$J,"ACTIVO")</f>
        <v>0</v>
      </c>
      <c r="E27" s="19" t="str">
        <f>IF(COUNTIF('CENTROS DE COSTOS UTILIZADOS'!$B:$B,B27)&gt;0,"SÍ","NO")</f>
        <v>SÍ</v>
      </c>
    </row>
    <row r="28" spans="2:5" x14ac:dyDescent="0.25">
      <c r="B28" s="19" t="s">
        <v>883</v>
      </c>
      <c r="C28" s="19" t="s">
        <v>884</v>
      </c>
      <c r="D28" s="19">
        <f>COUNTIFS('C COSTOS ESTADO FINANCIERO'!$D:$D,B28,'C COSTOS ESTADO FINANCIERO'!$J:$J,"ACTIVO")</f>
        <v>0</v>
      </c>
      <c r="E28" s="19" t="str">
        <f>IF(COUNTIF('CENTROS DE COSTOS UTILIZADOS'!$B:$B,B28)&gt;0,"SÍ","NO")</f>
        <v>NO</v>
      </c>
    </row>
    <row r="29" spans="2:5" x14ac:dyDescent="0.25">
      <c r="B29" s="19" t="s">
        <v>789</v>
      </c>
      <c r="C29" s="19" t="s">
        <v>790</v>
      </c>
      <c r="D29" s="19">
        <f>COUNTIFS('C COSTOS ESTADO FINANCIERO'!$D:$D,B29,'C COSTOS ESTADO FINANCIERO'!$J:$J,"ACTIVO")</f>
        <v>0</v>
      </c>
      <c r="E29" s="19" t="str">
        <f>IF(COUNTIF('CENTROS DE COSTOS UTILIZADOS'!$B:$B,B29)&gt;0,"SÍ","NO")</f>
        <v>SÍ</v>
      </c>
    </row>
    <row r="30" spans="2:5" x14ac:dyDescent="0.25">
      <c r="B30" s="19" t="s">
        <v>885</v>
      </c>
      <c r="C30" s="19" t="s">
        <v>886</v>
      </c>
      <c r="D30" s="19">
        <f>COUNTIFS('C COSTOS ESTADO FINANCIERO'!$D:$D,B30,'C COSTOS ESTADO FINANCIERO'!$J:$J,"ACTIVO")</f>
        <v>0</v>
      </c>
      <c r="E30" s="19" t="str">
        <f>IF(COUNTIF('CENTROS DE COSTOS UTILIZADOS'!$B:$B,B30)&gt;0,"SÍ","NO")</f>
        <v>NO</v>
      </c>
    </row>
    <row r="31" spans="2:5" x14ac:dyDescent="0.25">
      <c r="B31" s="19" t="s">
        <v>791</v>
      </c>
      <c r="C31" s="19" t="s">
        <v>792</v>
      </c>
      <c r="D31" s="19">
        <f>COUNTIFS('C COSTOS ESTADO FINANCIERO'!$D:$D,B31,'C COSTOS ESTADO FINANCIERO'!$J:$J,"ACTIVO")</f>
        <v>0</v>
      </c>
      <c r="E31" s="19" t="str">
        <f>IF(COUNTIF('CENTROS DE COSTOS UTILIZADOS'!$B:$B,B31)&gt;0,"SÍ","NO")</f>
        <v>SÍ</v>
      </c>
    </row>
    <row r="32" spans="2:5" x14ac:dyDescent="0.25">
      <c r="B32" s="19" t="s">
        <v>887</v>
      </c>
      <c r="C32" s="19" t="s">
        <v>888</v>
      </c>
      <c r="D32" s="19">
        <f>COUNTIFS('C COSTOS ESTADO FINANCIERO'!$D:$D,B32,'C COSTOS ESTADO FINANCIERO'!$J:$J,"ACTIVO")</f>
        <v>0</v>
      </c>
      <c r="E32" s="19" t="str">
        <f>IF(COUNTIF('CENTROS DE COSTOS UTILIZADOS'!$B:$B,B32)&gt;0,"SÍ","NO")</f>
        <v>NO</v>
      </c>
    </row>
    <row r="33" spans="2:5" x14ac:dyDescent="0.25">
      <c r="B33" s="19" t="s">
        <v>889</v>
      </c>
      <c r="C33" s="19" t="s">
        <v>890</v>
      </c>
      <c r="D33" s="19">
        <f>COUNTIFS('C COSTOS ESTADO FINANCIERO'!$D:$D,B33,'C COSTOS ESTADO FINANCIERO'!$J:$J,"ACTIVO")</f>
        <v>0</v>
      </c>
      <c r="E33" s="19" t="str">
        <f>IF(COUNTIF('CENTROS DE COSTOS UTILIZADOS'!$B:$B,B33)&gt;0,"SÍ","NO")</f>
        <v>NO</v>
      </c>
    </row>
    <row r="34" spans="2:5" x14ac:dyDescent="0.25">
      <c r="B34" s="19" t="s">
        <v>891</v>
      </c>
      <c r="C34" s="19" t="s">
        <v>892</v>
      </c>
      <c r="D34" s="19">
        <f>COUNTIFS('C COSTOS ESTADO FINANCIERO'!$D:$D,B34,'C COSTOS ESTADO FINANCIERO'!$J:$J,"ACTIVO")</f>
        <v>0</v>
      </c>
      <c r="E34" s="19" t="str">
        <f>IF(COUNTIF('CENTROS DE COSTOS UTILIZADOS'!$B:$B,B34)&gt;0,"SÍ","NO")</f>
        <v>NO</v>
      </c>
    </row>
    <row r="35" spans="2:5" x14ac:dyDescent="0.25">
      <c r="B35" s="19" t="s">
        <v>53</v>
      </c>
      <c r="C35" s="19" t="s">
        <v>893</v>
      </c>
      <c r="D35" s="19">
        <f>COUNTIFS('C COSTOS ESTADO FINANCIERO'!$D:$D,B35,'C COSTOS ESTADO FINANCIERO'!$J:$J,"ACTIVO")</f>
        <v>8</v>
      </c>
      <c r="E35" s="19" t="str">
        <f>IF(COUNTIF('CENTROS DE COSTOS UTILIZADOS'!$B:$B,B35)&gt;0,"SÍ","NO")</f>
        <v>NO</v>
      </c>
    </row>
    <row r="36" spans="2:5" x14ac:dyDescent="0.25">
      <c r="B36" s="19" t="s">
        <v>894</v>
      </c>
      <c r="C36" s="19" t="s">
        <v>895</v>
      </c>
      <c r="D36" s="19">
        <f>COUNTIFS('C COSTOS ESTADO FINANCIERO'!$D:$D,B36,'C COSTOS ESTADO FINANCIERO'!$J:$J,"ACTIVO")</f>
        <v>0</v>
      </c>
      <c r="E36" s="19" t="str">
        <f>IF(COUNTIF('CENTROS DE COSTOS UTILIZADOS'!$B:$B,B36)&gt;0,"SÍ","NO")</f>
        <v>NO</v>
      </c>
    </row>
    <row r="37" spans="2:5" x14ac:dyDescent="0.25">
      <c r="B37" s="19" t="s">
        <v>41</v>
      </c>
      <c r="C37" s="19" t="s">
        <v>793</v>
      </c>
      <c r="D37" s="19">
        <f>COUNTIFS('C COSTOS ESTADO FINANCIERO'!$D:$D,B37,'C COSTOS ESTADO FINANCIERO'!$J:$J,"ACTIVO")</f>
        <v>8</v>
      </c>
      <c r="E37" s="19" t="str">
        <f>IF(COUNTIF('CENTROS DE COSTOS UTILIZADOS'!$B:$B,B37)&gt;0,"SÍ","NO")</f>
        <v>SÍ</v>
      </c>
    </row>
    <row r="38" spans="2:5" x14ac:dyDescent="0.25">
      <c r="B38" s="19" t="s">
        <v>47</v>
      </c>
      <c r="C38" s="19" t="s">
        <v>794</v>
      </c>
      <c r="D38" s="19">
        <f>COUNTIFS('C COSTOS ESTADO FINANCIERO'!$D:$D,B38,'C COSTOS ESTADO FINANCIERO'!$J:$J,"ACTIVO")</f>
        <v>8</v>
      </c>
      <c r="E38" s="19" t="str">
        <f>IF(COUNTIF('CENTROS DE COSTOS UTILIZADOS'!$B:$B,B38)&gt;0,"SÍ","NO")</f>
        <v>SÍ</v>
      </c>
    </row>
    <row r="39" spans="2:5" x14ac:dyDescent="0.25">
      <c r="B39" s="19" t="s">
        <v>795</v>
      </c>
      <c r="C39" s="19" t="s">
        <v>796</v>
      </c>
      <c r="D39" s="19">
        <f>COUNTIFS('C COSTOS ESTADO FINANCIERO'!$D:$D,B39,'C COSTOS ESTADO FINANCIERO'!$J:$J,"ACTIVO")</f>
        <v>0</v>
      </c>
      <c r="E39" s="19" t="str">
        <f>IF(COUNTIF('CENTROS DE COSTOS UTILIZADOS'!$B:$B,B39)&gt;0,"SÍ","NO")</f>
        <v>SÍ</v>
      </c>
    </row>
    <row r="40" spans="2:5" x14ac:dyDescent="0.25">
      <c r="B40" s="19" t="s">
        <v>896</v>
      </c>
      <c r="C40" s="19" t="s">
        <v>897</v>
      </c>
      <c r="D40" s="19">
        <f>COUNTIFS('C COSTOS ESTADO FINANCIERO'!$D:$D,B40,'C COSTOS ESTADO FINANCIERO'!$J:$J,"ACTIVO")</f>
        <v>0</v>
      </c>
      <c r="E40" s="19" t="str">
        <f>IF(COUNTIF('CENTROS DE COSTOS UTILIZADOS'!$B:$B,B40)&gt;0,"SÍ","NO")</f>
        <v>NO</v>
      </c>
    </row>
    <row r="41" spans="2:5" x14ac:dyDescent="0.25">
      <c r="B41" s="19" t="s">
        <v>898</v>
      </c>
      <c r="C41" s="19" t="s">
        <v>899</v>
      </c>
      <c r="D41" s="19">
        <f>COUNTIFS('C COSTOS ESTADO FINANCIERO'!$D:$D,B41,'C COSTOS ESTADO FINANCIERO'!$J:$J,"ACTIVO")</f>
        <v>0</v>
      </c>
      <c r="E41" s="19" t="str">
        <f>IF(COUNTIF('CENTROS DE COSTOS UTILIZADOS'!$B:$B,B41)&gt;0,"SÍ","NO")</f>
        <v>NO</v>
      </c>
    </row>
    <row r="42" spans="2:5" x14ac:dyDescent="0.25">
      <c r="B42" s="19" t="s">
        <v>83</v>
      </c>
      <c r="C42" s="19" t="s">
        <v>900</v>
      </c>
      <c r="D42" s="19">
        <f>COUNTIFS('C COSTOS ESTADO FINANCIERO'!$D:$D,B42,'C COSTOS ESTADO FINANCIERO'!$J:$J,"ACTIVO")</f>
        <v>0</v>
      </c>
      <c r="E42" s="19" t="str">
        <f>IF(COUNTIF('CENTROS DE COSTOS UTILIZADOS'!$B:$B,B42)&gt;0,"SÍ","NO")</f>
        <v>NO</v>
      </c>
    </row>
    <row r="43" spans="2:5" x14ac:dyDescent="0.25">
      <c r="B43" s="19" t="s">
        <v>901</v>
      </c>
      <c r="C43" s="19" t="s">
        <v>880</v>
      </c>
      <c r="D43" s="19">
        <f>COUNTIFS('C COSTOS ESTADO FINANCIERO'!$D:$D,B43,'C COSTOS ESTADO FINANCIERO'!$J:$J,"ACTIVO")</f>
        <v>0</v>
      </c>
      <c r="E43" s="19" t="str">
        <f>IF(COUNTIF('CENTROS DE COSTOS UTILIZADOS'!$B:$B,B43)&gt;0,"SÍ","NO")</f>
        <v>NO</v>
      </c>
    </row>
    <row r="44" spans="2:5" x14ac:dyDescent="0.25">
      <c r="B44" s="19" t="s">
        <v>902</v>
      </c>
      <c r="C44" s="19" t="s">
        <v>886</v>
      </c>
      <c r="D44" s="19">
        <f>COUNTIFS('C COSTOS ESTADO FINANCIERO'!$D:$D,B44,'C COSTOS ESTADO FINANCIERO'!$J:$J,"ACTIVO")</f>
        <v>0</v>
      </c>
      <c r="E44" s="19" t="str">
        <f>IF(COUNTIF('CENTROS DE COSTOS UTILIZADOS'!$B:$B,B44)&gt;0,"SÍ","NO")</f>
        <v>NO</v>
      </c>
    </row>
    <row r="45" spans="2:5" x14ac:dyDescent="0.25">
      <c r="B45" s="19" t="s">
        <v>903</v>
      </c>
      <c r="C45" s="19" t="s">
        <v>888</v>
      </c>
      <c r="D45" s="19">
        <f>COUNTIFS('C COSTOS ESTADO FINANCIERO'!$D:$D,B45,'C COSTOS ESTADO FINANCIERO'!$J:$J,"ACTIVO")</f>
        <v>0</v>
      </c>
      <c r="E45" s="19" t="str">
        <f>IF(COUNTIF('CENTROS DE COSTOS UTILIZADOS'!$B:$B,B45)&gt;0,"SÍ","NO")</f>
        <v>NO</v>
      </c>
    </row>
    <row r="46" spans="2:5" x14ac:dyDescent="0.25">
      <c r="B46" s="19" t="s">
        <v>107</v>
      </c>
      <c r="C46" s="19" t="s">
        <v>892</v>
      </c>
      <c r="D46" s="19">
        <f>COUNTIFS('C COSTOS ESTADO FINANCIERO'!$D:$D,B46,'C COSTOS ESTADO FINANCIERO'!$J:$J,"ACTIVO")</f>
        <v>0</v>
      </c>
      <c r="E46" s="19" t="str">
        <f>IF(COUNTIF('CENTROS DE COSTOS UTILIZADOS'!$B:$B,B46)&gt;0,"SÍ","NO")</f>
        <v>NO</v>
      </c>
    </row>
    <row r="47" spans="2:5" x14ac:dyDescent="0.25">
      <c r="B47" s="19" t="s">
        <v>904</v>
      </c>
      <c r="C47" s="19" t="s">
        <v>846</v>
      </c>
      <c r="D47" s="19">
        <f>COUNTIFS('C COSTOS ESTADO FINANCIERO'!$D:$D,B47,'C COSTOS ESTADO FINANCIERO'!$J:$J,"ACTIVO")</f>
        <v>0</v>
      </c>
      <c r="E47" s="19" t="str">
        <f>IF(COUNTIF('CENTROS DE COSTOS UTILIZADOS'!$B:$B,B47)&gt;0,"SÍ","NO")</f>
        <v>NO</v>
      </c>
    </row>
    <row r="48" spans="2:5" x14ac:dyDescent="0.25">
      <c r="B48" s="19" t="s">
        <v>905</v>
      </c>
      <c r="C48" s="19" t="s">
        <v>848</v>
      </c>
      <c r="D48" s="19">
        <f>COUNTIFS('C COSTOS ESTADO FINANCIERO'!$D:$D,B48,'C COSTOS ESTADO FINANCIERO'!$J:$J,"ACTIVO")</f>
        <v>0</v>
      </c>
      <c r="E48" s="19" t="str">
        <f>IF(COUNTIF('CENTROS DE COSTOS UTILIZADOS'!$B:$B,B48)&gt;0,"SÍ","NO")</f>
        <v>NO</v>
      </c>
    </row>
    <row r="49" spans="2:5" x14ac:dyDescent="0.25">
      <c r="B49" s="19" t="s">
        <v>906</v>
      </c>
      <c r="C49" s="19" t="s">
        <v>907</v>
      </c>
      <c r="D49" s="19">
        <f>COUNTIFS('C COSTOS ESTADO FINANCIERO'!$D:$D,B49,'C COSTOS ESTADO FINANCIERO'!$J:$J,"ACTIVO")</f>
        <v>0</v>
      </c>
      <c r="E49" s="19" t="str">
        <f>IF(COUNTIF('CENTROS DE COSTOS UTILIZADOS'!$B:$B,B49)&gt;0,"SÍ","NO")</f>
        <v>NO</v>
      </c>
    </row>
    <row r="50" spans="2:5" x14ac:dyDescent="0.25">
      <c r="B50" s="19" t="s">
        <v>908</v>
      </c>
      <c r="C50" s="19" t="s">
        <v>876</v>
      </c>
      <c r="D50" s="19">
        <f>COUNTIFS('C COSTOS ESTADO FINANCIERO'!$D:$D,B50,'C COSTOS ESTADO FINANCIERO'!$J:$J,"ACTIVO")</f>
        <v>0</v>
      </c>
      <c r="E50" s="19" t="str">
        <f>IF(COUNTIF('CENTROS DE COSTOS UTILIZADOS'!$B:$B,B50)&gt;0,"SÍ","NO")</f>
        <v>NO</v>
      </c>
    </row>
    <row r="51" spans="2:5" x14ac:dyDescent="0.25">
      <c r="B51" s="19" t="s">
        <v>909</v>
      </c>
      <c r="C51" s="19" t="s">
        <v>788</v>
      </c>
      <c r="D51" s="19">
        <f>COUNTIFS('C COSTOS ESTADO FINANCIERO'!$D:$D,B51,'C COSTOS ESTADO FINANCIERO'!$J:$J,"ACTIVO")</f>
        <v>0</v>
      </c>
      <c r="E51" s="19" t="str">
        <f>IF(COUNTIF('CENTROS DE COSTOS UTILIZADOS'!$B:$B,B51)&gt;0,"SÍ","NO")</f>
        <v>NO</v>
      </c>
    </row>
    <row r="52" spans="2:5" x14ac:dyDescent="0.25">
      <c r="B52" s="19" t="s">
        <v>910</v>
      </c>
      <c r="C52" s="19" t="s">
        <v>884</v>
      </c>
      <c r="D52" s="19">
        <f>COUNTIFS('C COSTOS ESTADO FINANCIERO'!$D:$D,B52,'C COSTOS ESTADO FINANCIERO'!$J:$J,"ACTIVO")</f>
        <v>0</v>
      </c>
      <c r="E52" s="19" t="str">
        <f>IF(COUNTIF('CENTROS DE COSTOS UTILIZADOS'!$B:$B,B52)&gt;0,"SÍ","NO")</f>
        <v>NO</v>
      </c>
    </row>
    <row r="53" spans="2:5" x14ac:dyDescent="0.25">
      <c r="B53" s="19" t="s">
        <v>911</v>
      </c>
      <c r="C53" s="19" t="s">
        <v>866</v>
      </c>
      <c r="D53" s="19">
        <f>COUNTIFS('C COSTOS ESTADO FINANCIERO'!$D:$D,B53,'C COSTOS ESTADO FINANCIERO'!$J:$J,"ACTIVO")</f>
        <v>0</v>
      </c>
      <c r="E53" s="19" t="str">
        <f>IF(COUNTIF('CENTROS DE COSTOS UTILIZADOS'!$B:$B,B53)&gt;0,"SÍ","NO")</f>
        <v>NO</v>
      </c>
    </row>
    <row r="54" spans="2:5" x14ac:dyDescent="0.25">
      <c r="B54" s="19" t="s">
        <v>912</v>
      </c>
      <c r="C54" s="19" t="s">
        <v>790</v>
      </c>
      <c r="D54" s="19">
        <f>COUNTIFS('C COSTOS ESTADO FINANCIERO'!$D:$D,B54,'C COSTOS ESTADO FINANCIERO'!$J:$J,"ACTIVO")</f>
        <v>0</v>
      </c>
      <c r="E54" s="19" t="str">
        <f>IF(COUNTIF('CENTROS DE COSTOS UTILIZADOS'!$B:$B,B54)&gt;0,"SÍ","NO")</f>
        <v>NO</v>
      </c>
    </row>
    <row r="55" spans="2:5" x14ac:dyDescent="0.25">
      <c r="B55" s="19" t="s">
        <v>913</v>
      </c>
      <c r="C55" s="19" t="s">
        <v>878</v>
      </c>
      <c r="D55" s="19">
        <f>COUNTIFS('C COSTOS ESTADO FINANCIERO'!$D:$D,B55,'C COSTOS ESTADO FINANCIERO'!$J:$J,"ACTIVO")</f>
        <v>0</v>
      </c>
      <c r="E55" s="19" t="str">
        <f>IF(COUNTIF('CENTROS DE COSTOS UTILIZADOS'!$B:$B,B55)&gt;0,"SÍ","NO")</f>
        <v>NO</v>
      </c>
    </row>
    <row r="56" spans="2:5" x14ac:dyDescent="0.25">
      <c r="B56" s="19" t="s">
        <v>914</v>
      </c>
      <c r="C56" s="19" t="s">
        <v>915</v>
      </c>
      <c r="D56" s="19">
        <f>COUNTIFS('C COSTOS ESTADO FINANCIERO'!$D:$D,B56,'C COSTOS ESTADO FINANCIERO'!$J:$J,"ACTIVO")</f>
        <v>0</v>
      </c>
      <c r="E56" s="19" t="str">
        <f>IF(COUNTIF('CENTROS DE COSTOS UTILIZADOS'!$B:$B,B56)&gt;0,"SÍ","NO")</f>
        <v>NO</v>
      </c>
    </row>
    <row r="57" spans="2:5" x14ac:dyDescent="0.25">
      <c r="B57" s="19" t="s">
        <v>916</v>
      </c>
      <c r="C57" s="19" t="s">
        <v>870</v>
      </c>
      <c r="D57" s="19">
        <f>COUNTIFS('C COSTOS ESTADO FINANCIERO'!$D:$D,B57,'C COSTOS ESTADO FINANCIERO'!$J:$J,"ACTIVO")</f>
        <v>0</v>
      </c>
      <c r="E57" s="19" t="str">
        <f>IF(COUNTIF('CENTROS DE COSTOS UTILIZADOS'!$B:$B,B57)&gt;0,"SÍ","NO")</f>
        <v>NO</v>
      </c>
    </row>
    <row r="58" spans="2:5" x14ac:dyDescent="0.25">
      <c r="B58" s="19" t="s">
        <v>917</v>
      </c>
      <c r="C58" s="19" t="s">
        <v>890</v>
      </c>
      <c r="D58" s="19">
        <f>COUNTIFS('C COSTOS ESTADO FINANCIERO'!$D:$D,B58,'C COSTOS ESTADO FINANCIERO'!$J:$J,"ACTIVO")</f>
        <v>0</v>
      </c>
      <c r="E58" s="19" t="str">
        <f>IF(COUNTIF('CENTROS DE COSTOS UTILIZADOS'!$B:$B,B58)&gt;0,"SÍ","NO")</f>
        <v>NO</v>
      </c>
    </row>
    <row r="59" spans="2:5" x14ac:dyDescent="0.25">
      <c r="B59" s="19" t="s">
        <v>918</v>
      </c>
      <c r="C59" s="19" t="s">
        <v>895</v>
      </c>
      <c r="D59" s="19">
        <f>COUNTIFS('C COSTOS ESTADO FINANCIERO'!$D:$D,B59,'C COSTOS ESTADO FINANCIERO'!$J:$J,"ACTIVO")</f>
        <v>0</v>
      </c>
      <c r="E59" s="19" t="str">
        <f>IF(COUNTIF('CENTROS DE COSTOS UTILIZADOS'!$B:$B,B59)&gt;0,"SÍ","NO")</f>
        <v>NO</v>
      </c>
    </row>
    <row r="60" spans="2:5" x14ac:dyDescent="0.25">
      <c r="B60" s="19" t="s">
        <v>86</v>
      </c>
      <c r="C60" s="19" t="s">
        <v>919</v>
      </c>
      <c r="D60" s="19">
        <f>COUNTIFS('C COSTOS ESTADO FINANCIERO'!$D:$D,B60,'C COSTOS ESTADO FINANCIERO'!$J:$J,"ACTIVO")</f>
        <v>8</v>
      </c>
      <c r="E60" s="19" t="str">
        <f>IF(COUNTIF('CENTROS DE COSTOS UTILIZADOS'!$B:$B,B60)&gt;0,"SÍ","NO")</f>
        <v>NO</v>
      </c>
    </row>
    <row r="61" spans="2:5" x14ac:dyDescent="0.25">
      <c r="B61" s="19" t="s">
        <v>920</v>
      </c>
      <c r="C61" s="19" t="s">
        <v>921</v>
      </c>
      <c r="D61" s="19">
        <f>COUNTIFS('C COSTOS ESTADO FINANCIERO'!$D:$D,B61,'C COSTOS ESTADO FINANCIERO'!$J:$J,"ACTIVO")</f>
        <v>0</v>
      </c>
      <c r="E61" s="19" t="str">
        <f>IF(COUNTIF('CENTROS DE COSTOS UTILIZADOS'!$B:$B,B61)&gt;0,"SÍ","NO")</f>
        <v>NO</v>
      </c>
    </row>
    <row r="62" spans="2:5" x14ac:dyDescent="0.25">
      <c r="B62" s="19" t="s">
        <v>922</v>
      </c>
      <c r="C62" s="19" t="s">
        <v>923</v>
      </c>
      <c r="D62" s="19">
        <f>COUNTIFS('C COSTOS ESTADO FINANCIERO'!$D:$D,B62,'C COSTOS ESTADO FINANCIERO'!$J:$J,"ACTIVO")</f>
        <v>0</v>
      </c>
      <c r="E62" s="19" t="str">
        <f>IF(COUNTIF('CENTROS DE COSTOS UTILIZADOS'!$B:$B,B62)&gt;0,"SÍ","NO")</f>
        <v>NO</v>
      </c>
    </row>
    <row r="63" spans="2:5" x14ac:dyDescent="0.25">
      <c r="B63" s="19" t="s">
        <v>57</v>
      </c>
      <c r="C63" s="19" t="s">
        <v>797</v>
      </c>
      <c r="D63" s="19">
        <f>COUNTIFS('C COSTOS ESTADO FINANCIERO'!$D:$D,B63,'C COSTOS ESTADO FINANCIERO'!$J:$J,"ACTIVO")</f>
        <v>8</v>
      </c>
      <c r="E63" s="19" t="str">
        <f>IF(COUNTIF('CENTROS DE COSTOS UTILIZADOS'!$B:$B,B63)&gt;0,"SÍ","NO")</f>
        <v>SÍ</v>
      </c>
    </row>
    <row r="64" spans="2:5" x14ac:dyDescent="0.25">
      <c r="B64" s="19" t="s">
        <v>924</v>
      </c>
      <c r="C64" s="19" t="s">
        <v>925</v>
      </c>
      <c r="D64" s="19">
        <f>COUNTIFS('C COSTOS ESTADO FINANCIERO'!$D:$D,B64,'C COSTOS ESTADO FINANCIERO'!$J:$J,"ACTIVO")</f>
        <v>0</v>
      </c>
      <c r="E64" s="19" t="str">
        <f>IF(COUNTIF('CENTROS DE COSTOS UTILIZADOS'!$B:$B,B64)&gt;0,"SÍ","NO")</f>
        <v>NO</v>
      </c>
    </row>
    <row r="65" spans="2:5" x14ac:dyDescent="0.25">
      <c r="B65" s="19" t="s">
        <v>926</v>
      </c>
      <c r="C65" s="19" t="s">
        <v>927</v>
      </c>
      <c r="D65" s="19">
        <f>COUNTIFS('C COSTOS ESTADO FINANCIERO'!$D:$D,B65,'C COSTOS ESTADO FINANCIERO'!$J:$J,"ACTIVO")</f>
        <v>0</v>
      </c>
      <c r="E65" s="19" t="str">
        <f>IF(COUNTIF('CENTROS DE COSTOS UTILIZADOS'!$B:$B,B65)&gt;0,"SÍ","NO")</f>
        <v>NO</v>
      </c>
    </row>
    <row r="66" spans="2:5" x14ac:dyDescent="0.25">
      <c r="B66" s="19" t="s">
        <v>928</v>
      </c>
      <c r="C66" s="19" t="s">
        <v>929</v>
      </c>
      <c r="D66" s="19">
        <f>COUNTIFS('C COSTOS ESTADO FINANCIERO'!$D:$D,B66,'C COSTOS ESTADO FINANCIERO'!$J:$J,"ACTIVO")</f>
        <v>0</v>
      </c>
      <c r="E66" s="19" t="str">
        <f>IF(COUNTIF('CENTROS DE COSTOS UTILIZADOS'!$B:$B,B66)&gt;0,"SÍ","NO")</f>
        <v>NO</v>
      </c>
    </row>
    <row r="67" spans="2:5" x14ac:dyDescent="0.25">
      <c r="B67" s="19" t="s">
        <v>930</v>
      </c>
      <c r="C67" s="19" t="s">
        <v>931</v>
      </c>
      <c r="D67" s="19">
        <f>COUNTIFS('C COSTOS ESTADO FINANCIERO'!$D:$D,B67,'C COSTOS ESTADO FINANCIERO'!$J:$J,"ACTIVO")</f>
        <v>0</v>
      </c>
      <c r="E67" s="19" t="str">
        <f>IF(COUNTIF('CENTROS DE COSTOS UTILIZADOS'!$B:$B,B67)&gt;0,"SÍ","NO")</f>
        <v>NO</v>
      </c>
    </row>
    <row r="68" spans="2:5" x14ac:dyDescent="0.25">
      <c r="B68" s="19" t="s">
        <v>66</v>
      </c>
      <c r="C68" s="19" t="s">
        <v>932</v>
      </c>
      <c r="D68" s="19">
        <f>COUNTIFS('C COSTOS ESTADO FINANCIERO'!$D:$D,B68,'C COSTOS ESTADO FINANCIERO'!$J:$J,"ACTIVO")</f>
        <v>8</v>
      </c>
      <c r="E68" s="19" t="str">
        <f>IF(COUNTIF('CENTROS DE COSTOS UTILIZADOS'!$B:$B,B68)&gt;0,"SÍ","NO")</f>
        <v>NO</v>
      </c>
    </row>
    <row r="69" spans="2:5" x14ac:dyDescent="0.25">
      <c r="B69" s="19" t="s">
        <v>933</v>
      </c>
      <c r="C69" s="19" t="s">
        <v>884</v>
      </c>
      <c r="D69" s="19">
        <f>COUNTIFS('C COSTOS ESTADO FINANCIERO'!$D:$D,B69,'C COSTOS ESTADO FINANCIERO'!$J:$J,"ACTIVO")</f>
        <v>0</v>
      </c>
      <c r="E69" s="19" t="str">
        <f>IF(COUNTIF('CENTROS DE COSTOS UTILIZADOS'!$B:$B,B69)&gt;0,"SÍ","NO")</f>
        <v>NO</v>
      </c>
    </row>
    <row r="70" spans="2:5" x14ac:dyDescent="0.25">
      <c r="B70" s="19" t="s">
        <v>934</v>
      </c>
      <c r="C70" s="19" t="s">
        <v>788</v>
      </c>
      <c r="D70" s="19">
        <f>COUNTIFS('C COSTOS ESTADO FINANCIERO'!$D:$D,B70,'C COSTOS ESTADO FINANCIERO'!$J:$J,"ACTIVO")</f>
        <v>0</v>
      </c>
      <c r="E70" s="19" t="str">
        <f>IF(COUNTIF('CENTROS DE COSTOS UTILIZADOS'!$B:$B,B70)&gt;0,"SÍ","NO")</f>
        <v>NO</v>
      </c>
    </row>
    <row r="71" spans="2:5" x14ac:dyDescent="0.25">
      <c r="B71" s="19" t="s">
        <v>935</v>
      </c>
      <c r="C71" s="19" t="s">
        <v>878</v>
      </c>
      <c r="D71" s="19">
        <f>COUNTIFS('C COSTOS ESTADO FINANCIERO'!$D:$D,B71,'C COSTOS ESTADO FINANCIERO'!$J:$J,"ACTIVO")</f>
        <v>0</v>
      </c>
      <c r="E71" s="19" t="str">
        <f>IF(COUNTIF('CENTROS DE COSTOS UTILIZADOS'!$B:$B,B71)&gt;0,"SÍ","NO")</f>
        <v>NO</v>
      </c>
    </row>
    <row r="72" spans="2:5" x14ac:dyDescent="0.25">
      <c r="B72" s="19" t="s">
        <v>936</v>
      </c>
      <c r="C72" s="19" t="s">
        <v>790</v>
      </c>
      <c r="D72" s="19">
        <f>COUNTIFS('C COSTOS ESTADO FINANCIERO'!$D:$D,B72,'C COSTOS ESTADO FINANCIERO'!$J:$J,"ACTIVO")</f>
        <v>0</v>
      </c>
      <c r="E72" s="19" t="str">
        <f>IF(COUNTIF('CENTROS DE COSTOS UTILIZADOS'!$B:$B,B72)&gt;0,"SÍ","NO")</f>
        <v>NO</v>
      </c>
    </row>
    <row r="73" spans="2:5" x14ac:dyDescent="0.25">
      <c r="B73" s="19" t="s">
        <v>937</v>
      </c>
      <c r="C73" s="19" t="s">
        <v>860</v>
      </c>
      <c r="D73" s="19">
        <f>COUNTIFS('C COSTOS ESTADO FINANCIERO'!$D:$D,B73,'C COSTOS ESTADO FINANCIERO'!$J:$J,"ACTIVO")</f>
        <v>0</v>
      </c>
      <c r="E73" s="19" t="str">
        <f>IF(COUNTIF('CENTROS DE COSTOS UTILIZADOS'!$B:$B,B73)&gt;0,"SÍ","NO")</f>
        <v>NO</v>
      </c>
    </row>
    <row r="74" spans="2:5" x14ac:dyDescent="0.25">
      <c r="B74" s="19" t="s">
        <v>938</v>
      </c>
      <c r="C74" s="19" t="s">
        <v>880</v>
      </c>
      <c r="D74" s="19">
        <f>COUNTIFS('C COSTOS ESTADO FINANCIERO'!$D:$D,B74,'C COSTOS ESTADO FINANCIERO'!$J:$J,"ACTIVO")</f>
        <v>0</v>
      </c>
      <c r="E74" s="19" t="str">
        <f>IF(COUNTIF('CENTROS DE COSTOS UTILIZADOS'!$B:$B,B74)&gt;0,"SÍ","NO")</f>
        <v>NO</v>
      </c>
    </row>
    <row r="75" spans="2:5" x14ac:dyDescent="0.25">
      <c r="B75" s="19" t="s">
        <v>939</v>
      </c>
      <c r="C75" s="19" t="s">
        <v>886</v>
      </c>
      <c r="D75" s="19">
        <f>COUNTIFS('C COSTOS ESTADO FINANCIERO'!$D:$D,B75,'C COSTOS ESTADO FINANCIERO'!$J:$J,"ACTIVO")</f>
        <v>0</v>
      </c>
      <c r="E75" s="19" t="str">
        <f>IF(COUNTIF('CENTROS DE COSTOS UTILIZADOS'!$B:$B,B75)&gt;0,"SÍ","NO")</f>
        <v>NO</v>
      </c>
    </row>
    <row r="76" spans="2:5" x14ac:dyDescent="0.25">
      <c r="B76" s="19" t="s">
        <v>940</v>
      </c>
      <c r="C76" s="19" t="s">
        <v>888</v>
      </c>
      <c r="D76" s="19">
        <f>COUNTIFS('C COSTOS ESTADO FINANCIERO'!$D:$D,B76,'C COSTOS ESTADO FINANCIERO'!$J:$J,"ACTIVO")</f>
        <v>0</v>
      </c>
      <c r="E76" s="19" t="str">
        <f>IF(COUNTIF('CENTROS DE COSTOS UTILIZADOS'!$B:$B,B76)&gt;0,"SÍ","NO")</f>
        <v>NO</v>
      </c>
    </row>
    <row r="77" spans="2:5" x14ac:dyDescent="0.25">
      <c r="B77" s="19" t="s">
        <v>941</v>
      </c>
      <c r="C77" s="19" t="s">
        <v>892</v>
      </c>
      <c r="D77" s="19">
        <f>COUNTIFS('C COSTOS ESTADO FINANCIERO'!$D:$D,B77,'C COSTOS ESTADO FINANCIERO'!$J:$J,"ACTIVO")</f>
        <v>0</v>
      </c>
      <c r="E77" s="19" t="str">
        <f>IF(COUNTIF('CENTROS DE COSTOS UTILIZADOS'!$B:$B,B77)&gt;0,"SÍ","NO")</f>
        <v>NO</v>
      </c>
    </row>
    <row r="78" spans="2:5" x14ac:dyDescent="0.25">
      <c r="B78" s="19" t="s">
        <v>942</v>
      </c>
      <c r="C78" s="19" t="s">
        <v>943</v>
      </c>
      <c r="D78" s="19">
        <f>COUNTIFS('C COSTOS ESTADO FINANCIERO'!$D:$D,B78,'C COSTOS ESTADO FINANCIERO'!$J:$J,"ACTIVO")</f>
        <v>0</v>
      </c>
      <c r="E78" s="19" t="str">
        <f>IF(COUNTIF('CENTROS DE COSTOS UTILIZADOS'!$B:$B,B78)&gt;0,"SÍ","NO")</f>
        <v>NO</v>
      </c>
    </row>
    <row r="79" spans="2:5" x14ac:dyDescent="0.25">
      <c r="B79" s="19" t="s">
        <v>944</v>
      </c>
      <c r="C79" s="19" t="s">
        <v>907</v>
      </c>
      <c r="D79" s="19">
        <f>COUNTIFS('C COSTOS ESTADO FINANCIERO'!$D:$D,B79,'C COSTOS ESTADO FINANCIERO'!$J:$J,"ACTIVO")</f>
        <v>0</v>
      </c>
      <c r="E79" s="19" t="str">
        <f>IF(COUNTIF('CENTROS DE COSTOS UTILIZADOS'!$B:$B,B79)&gt;0,"SÍ","NO")</f>
        <v>NO</v>
      </c>
    </row>
    <row r="80" spans="2:5" x14ac:dyDescent="0.25">
      <c r="B80" s="19" t="s">
        <v>945</v>
      </c>
      <c r="C80" s="19" t="s">
        <v>866</v>
      </c>
      <c r="D80" s="19">
        <f>COUNTIFS('C COSTOS ESTADO FINANCIERO'!$D:$D,B80,'C COSTOS ESTADO FINANCIERO'!$J:$J,"ACTIVO")</f>
        <v>0</v>
      </c>
      <c r="E80" s="19" t="str">
        <f>IF(COUNTIF('CENTROS DE COSTOS UTILIZADOS'!$B:$B,B80)&gt;0,"SÍ","NO")</f>
        <v>NO</v>
      </c>
    </row>
    <row r="81" spans="2:5" x14ac:dyDescent="0.25">
      <c r="B81" s="19" t="s">
        <v>946</v>
      </c>
      <c r="C81" s="19" t="s">
        <v>947</v>
      </c>
      <c r="D81" s="19">
        <f>COUNTIFS('C COSTOS ESTADO FINANCIERO'!$D:$D,B81,'C COSTOS ESTADO FINANCIERO'!$J:$J,"ACTIVO")</f>
        <v>0</v>
      </c>
      <c r="E81" s="19" t="str">
        <f>IF(COUNTIF('CENTROS DE COSTOS UTILIZADOS'!$B:$B,B81)&gt;0,"SÍ","NO")</f>
        <v>NO</v>
      </c>
    </row>
    <row r="82" spans="2:5" x14ac:dyDescent="0.25">
      <c r="B82" s="19" t="s">
        <v>948</v>
      </c>
      <c r="C82" s="19" t="s">
        <v>949</v>
      </c>
      <c r="D82" s="19">
        <f>COUNTIFS('C COSTOS ESTADO FINANCIERO'!$D:$D,B82,'C COSTOS ESTADO FINANCIERO'!$J:$J,"ACTIVO")</f>
        <v>0</v>
      </c>
      <c r="E82" s="19" t="str">
        <f>IF(COUNTIF('CENTROS DE COSTOS UTILIZADOS'!$B:$B,B82)&gt;0,"SÍ","NO")</f>
        <v>NO</v>
      </c>
    </row>
    <row r="83" spans="2:5" x14ac:dyDescent="0.25">
      <c r="B83" s="19" t="s">
        <v>950</v>
      </c>
      <c r="C83" s="19" t="s">
        <v>951</v>
      </c>
      <c r="D83" s="19">
        <f>COUNTIFS('C COSTOS ESTADO FINANCIERO'!$D:$D,B83,'C COSTOS ESTADO FINANCIERO'!$J:$J,"ACTIVO")</f>
        <v>0</v>
      </c>
      <c r="E83" s="19" t="str">
        <f>IF(COUNTIF('CENTROS DE COSTOS UTILIZADOS'!$B:$B,B83)&gt;0,"SÍ","NO")</f>
        <v>NO</v>
      </c>
    </row>
    <row r="84" spans="2:5" x14ac:dyDescent="0.25">
      <c r="B84" s="19" t="s">
        <v>116</v>
      </c>
      <c r="C84" s="19" t="s">
        <v>952</v>
      </c>
      <c r="D84" s="19">
        <f>COUNTIFS('C COSTOS ESTADO FINANCIERO'!$D:$D,B84,'C COSTOS ESTADO FINANCIERO'!$J:$J,"ACTIVO")</f>
        <v>0</v>
      </c>
      <c r="E84" s="19" t="str">
        <f>IF(COUNTIF('CENTROS DE COSTOS UTILIZADOS'!$B:$B,B84)&gt;0,"SÍ","NO")</f>
        <v>NO</v>
      </c>
    </row>
    <row r="85" spans="2:5" x14ac:dyDescent="0.25">
      <c r="B85" s="19" t="s">
        <v>69</v>
      </c>
      <c r="C85" s="19" t="s">
        <v>953</v>
      </c>
      <c r="D85" s="19">
        <f>COUNTIFS('C COSTOS ESTADO FINANCIERO'!$D:$D,B85,'C COSTOS ESTADO FINANCIERO'!$J:$J,"ACTIVO")</f>
        <v>0</v>
      </c>
      <c r="E85" s="19" t="str">
        <f>IF(COUNTIF('CENTROS DE COSTOS UTILIZADOS'!$B:$B,B85)&gt;0,"SÍ","NO")</f>
        <v>NO</v>
      </c>
    </row>
    <row r="86" spans="2:5" x14ac:dyDescent="0.25">
      <c r="B86" s="19" t="s">
        <v>954</v>
      </c>
      <c r="C86" s="19" t="s">
        <v>955</v>
      </c>
      <c r="D86" s="19">
        <f>COUNTIFS('C COSTOS ESTADO FINANCIERO'!$D:$D,B86,'C COSTOS ESTADO FINANCIERO'!$J:$J,"ACTIVO")</f>
        <v>0</v>
      </c>
      <c r="E86" s="19" t="str">
        <f>IF(COUNTIF('CENTROS DE COSTOS UTILIZADOS'!$B:$B,B86)&gt;0,"SÍ","NO")</f>
        <v>NO</v>
      </c>
    </row>
    <row r="87" spans="2:5" x14ac:dyDescent="0.25">
      <c r="B87" s="19" t="s">
        <v>956</v>
      </c>
      <c r="C87" s="19" t="s">
        <v>957</v>
      </c>
      <c r="D87" s="19">
        <f>COUNTIFS('C COSTOS ESTADO FINANCIERO'!$D:$D,B87,'C COSTOS ESTADO FINANCIERO'!$J:$J,"ACTIVO")</f>
        <v>0</v>
      </c>
      <c r="E87" s="19" t="str">
        <f>IF(COUNTIF('CENTROS DE COSTOS UTILIZADOS'!$B:$B,B87)&gt;0,"SÍ","NO")</f>
        <v>NO</v>
      </c>
    </row>
    <row r="88" spans="2:5" x14ac:dyDescent="0.25">
      <c r="B88" s="19" t="s">
        <v>72</v>
      </c>
      <c r="C88" s="19" t="s">
        <v>958</v>
      </c>
      <c r="D88" s="19">
        <f>COUNTIFS('C COSTOS ESTADO FINANCIERO'!$D:$D,B88,'C COSTOS ESTADO FINANCIERO'!$J:$J,"ACTIVO")</f>
        <v>0</v>
      </c>
      <c r="E88" s="19" t="str">
        <f>IF(COUNTIF('CENTROS DE COSTOS UTILIZADOS'!$B:$B,B88)&gt;0,"SÍ","NO")</f>
        <v>NO</v>
      </c>
    </row>
    <row r="89" spans="2:5" x14ac:dyDescent="0.25">
      <c r="B89" s="19" t="s">
        <v>959</v>
      </c>
      <c r="C89" s="19" t="s">
        <v>960</v>
      </c>
      <c r="D89" s="19">
        <f>COUNTIFS('C COSTOS ESTADO FINANCIERO'!$D:$D,B89,'C COSTOS ESTADO FINANCIERO'!$J:$J,"ACTIVO")</f>
        <v>0</v>
      </c>
      <c r="E89" s="19" t="str">
        <f>IF(COUNTIF('CENTROS DE COSTOS UTILIZADOS'!$B:$B,B89)&gt;0,"SÍ","NO")</f>
        <v>NO</v>
      </c>
    </row>
    <row r="90" spans="2:5" x14ac:dyDescent="0.25">
      <c r="B90" s="19" t="s">
        <v>961</v>
      </c>
      <c r="C90" s="19" t="s">
        <v>962</v>
      </c>
      <c r="D90" s="19">
        <f>COUNTIFS('C COSTOS ESTADO FINANCIERO'!$D:$D,B90,'C COSTOS ESTADO FINANCIERO'!$J:$J,"ACTIVO")</f>
        <v>0</v>
      </c>
      <c r="E90" s="19" t="str">
        <f>IF(COUNTIF('CENTROS DE COSTOS UTILIZADOS'!$B:$B,B90)&gt;0,"SÍ","NO")</f>
        <v>NO</v>
      </c>
    </row>
    <row r="91" spans="2:5" x14ac:dyDescent="0.25">
      <c r="B91" s="19" t="s">
        <v>79</v>
      </c>
      <c r="C91" s="19" t="s">
        <v>963</v>
      </c>
      <c r="D91" s="19">
        <f>COUNTIFS('C COSTOS ESTADO FINANCIERO'!$D:$D,B91,'C COSTOS ESTADO FINANCIERO'!$J:$J,"ACTIVO")</f>
        <v>0</v>
      </c>
      <c r="E91" s="19" t="str">
        <f>IF(COUNTIF('CENTROS DE COSTOS UTILIZADOS'!$B:$B,B91)&gt;0,"SÍ","NO")</f>
        <v>NO</v>
      </c>
    </row>
    <row r="92" spans="2:5" x14ac:dyDescent="0.25">
      <c r="B92" s="19" t="s">
        <v>74</v>
      </c>
      <c r="C92" s="19" t="s">
        <v>964</v>
      </c>
      <c r="D92" s="19">
        <f>COUNTIFS('C COSTOS ESTADO FINANCIERO'!$D:$D,B92,'C COSTOS ESTADO FINANCIERO'!$J:$J,"ACTIVO")</f>
        <v>0</v>
      </c>
      <c r="E92" s="19" t="str">
        <f>IF(COUNTIF('CENTROS DE COSTOS UTILIZADOS'!$B:$B,B92)&gt;0,"SÍ","NO")</f>
        <v>NO</v>
      </c>
    </row>
    <row r="93" spans="2:5" x14ac:dyDescent="0.25">
      <c r="B93" s="19" t="s">
        <v>77</v>
      </c>
      <c r="C93" s="19" t="s">
        <v>965</v>
      </c>
      <c r="D93" s="19">
        <f>COUNTIFS('C COSTOS ESTADO FINANCIERO'!$D:$D,B93,'C COSTOS ESTADO FINANCIERO'!$J:$J,"ACTIVO")</f>
        <v>0</v>
      </c>
      <c r="E93" s="19" t="str">
        <f>IF(COUNTIF('CENTROS DE COSTOS UTILIZADOS'!$B:$B,B93)&gt;0,"SÍ","NO")</f>
        <v>NO</v>
      </c>
    </row>
    <row r="94" spans="2:5" x14ac:dyDescent="0.25">
      <c r="B94" s="19" t="s">
        <v>966</v>
      </c>
      <c r="C94" s="19" t="s">
        <v>967</v>
      </c>
      <c r="D94" s="19">
        <f>COUNTIFS('C COSTOS ESTADO FINANCIERO'!$D:$D,B94,'C COSTOS ESTADO FINANCIERO'!$J:$J,"ACTIVO")</f>
        <v>0</v>
      </c>
      <c r="E94" s="19" t="str">
        <f>IF(COUNTIF('CENTROS DE COSTOS UTILIZADOS'!$B:$B,B94)&gt;0,"SÍ","NO")</f>
        <v>NO</v>
      </c>
    </row>
    <row r="95" spans="2:5" x14ac:dyDescent="0.25">
      <c r="B95" s="19" t="s">
        <v>968</v>
      </c>
      <c r="C95" s="19" t="s">
        <v>969</v>
      </c>
      <c r="D95" s="19">
        <f>COUNTIFS('C COSTOS ESTADO FINANCIERO'!$D:$D,B95,'C COSTOS ESTADO FINANCIERO'!$J:$J,"ACTIVO")</f>
        <v>0</v>
      </c>
      <c r="E95" s="19" t="str">
        <f>IF(COUNTIF('CENTROS DE COSTOS UTILIZADOS'!$B:$B,B95)&gt;0,"SÍ","NO")</f>
        <v>NO</v>
      </c>
    </row>
    <row r="96" spans="2:5" x14ac:dyDescent="0.25">
      <c r="B96" s="19" t="s">
        <v>81</v>
      </c>
      <c r="C96" s="19" t="s">
        <v>970</v>
      </c>
      <c r="D96" s="19">
        <f>COUNTIFS('C COSTOS ESTADO FINANCIERO'!$D:$D,B96,'C COSTOS ESTADO FINANCIERO'!$J:$J,"ACTIVO")</f>
        <v>0</v>
      </c>
      <c r="E96" s="19" t="str">
        <f>IF(COUNTIF('CENTROS DE COSTOS UTILIZADOS'!$B:$B,B96)&gt;0,"SÍ","NO")</f>
        <v>NO</v>
      </c>
    </row>
    <row r="97" spans="2:5" x14ac:dyDescent="0.25">
      <c r="B97" s="19" t="s">
        <v>971</v>
      </c>
      <c r="C97" s="19" t="s">
        <v>972</v>
      </c>
      <c r="D97" s="19">
        <f>COUNTIFS('C COSTOS ESTADO FINANCIERO'!$D:$D,B97,'C COSTOS ESTADO FINANCIERO'!$J:$J,"ACTIVO")</f>
        <v>0</v>
      </c>
      <c r="E97" s="19" t="str">
        <f>IF(COUNTIF('CENTROS DE COSTOS UTILIZADOS'!$B:$B,B97)&gt;0,"SÍ","NO")</f>
        <v>NO</v>
      </c>
    </row>
    <row r="98" spans="2:5" x14ac:dyDescent="0.25">
      <c r="B98" s="19" t="s">
        <v>973</v>
      </c>
      <c r="C98" s="19" t="s">
        <v>974</v>
      </c>
      <c r="D98" s="19">
        <f>COUNTIFS('C COSTOS ESTADO FINANCIERO'!$D:$D,B98,'C COSTOS ESTADO FINANCIERO'!$J:$J,"ACTIVO")</f>
        <v>0</v>
      </c>
      <c r="E98" s="19" t="str">
        <f>IF(COUNTIF('CENTROS DE COSTOS UTILIZADOS'!$B:$B,B98)&gt;0,"SÍ","NO")</f>
        <v>NO</v>
      </c>
    </row>
    <row r="99" spans="2:5" x14ac:dyDescent="0.25">
      <c r="B99" s="19" t="s">
        <v>975</v>
      </c>
      <c r="C99" s="19" t="s">
        <v>976</v>
      </c>
      <c r="D99" s="19">
        <f>COUNTIFS('C COSTOS ESTADO FINANCIERO'!$D:$D,B99,'C COSTOS ESTADO FINANCIERO'!$J:$J,"ACTIVO")</f>
        <v>0</v>
      </c>
      <c r="E99" s="19" t="str">
        <f>IF(COUNTIF('CENTROS DE COSTOS UTILIZADOS'!$B:$B,B99)&gt;0,"SÍ","NO")</f>
        <v>NO</v>
      </c>
    </row>
    <row r="100" spans="2:5" x14ac:dyDescent="0.25">
      <c r="B100" s="19" t="s">
        <v>118</v>
      </c>
      <c r="C100" s="19" t="s">
        <v>798</v>
      </c>
      <c r="D100" s="19">
        <f>COUNTIFS('C COSTOS ESTADO FINANCIERO'!$D:$D,B100,'C COSTOS ESTADO FINANCIERO'!$J:$J,"ACTIVO")</f>
        <v>8</v>
      </c>
      <c r="E100" s="19" t="str">
        <f>IF(COUNTIF('CENTROS DE COSTOS UTILIZADOS'!$B:$B,B100)&gt;0,"SÍ","NO")</f>
        <v>SÍ</v>
      </c>
    </row>
    <row r="101" spans="2:5" x14ac:dyDescent="0.25">
      <c r="B101" s="19" t="s">
        <v>977</v>
      </c>
      <c r="C101" s="19" t="s">
        <v>978</v>
      </c>
      <c r="D101" s="19">
        <f>COUNTIFS('C COSTOS ESTADO FINANCIERO'!$D:$D,B101,'C COSTOS ESTADO FINANCIERO'!$J:$J,"ACTIVO")</f>
        <v>0</v>
      </c>
      <c r="E101" s="19" t="str">
        <f>IF(COUNTIF('CENTROS DE COSTOS UTILIZADOS'!$B:$B,B101)&gt;0,"SÍ","NO")</f>
        <v>NO</v>
      </c>
    </row>
    <row r="102" spans="2:5" x14ac:dyDescent="0.25">
      <c r="B102" s="19" t="s">
        <v>979</v>
      </c>
      <c r="C102" s="19" t="s">
        <v>980</v>
      </c>
      <c r="D102" s="19">
        <f>COUNTIFS('C COSTOS ESTADO FINANCIERO'!$D:$D,B102,'C COSTOS ESTADO FINANCIERO'!$J:$J,"ACTIVO")</f>
        <v>0</v>
      </c>
      <c r="E102" s="19" t="str">
        <f>IF(COUNTIF('CENTROS DE COSTOS UTILIZADOS'!$B:$B,B102)&gt;0,"SÍ","NO")</f>
        <v>NO</v>
      </c>
    </row>
    <row r="103" spans="2:5" x14ac:dyDescent="0.25">
      <c r="B103" s="19" t="s">
        <v>981</v>
      </c>
      <c r="C103" s="19" t="s">
        <v>982</v>
      </c>
      <c r="D103" s="19">
        <f>COUNTIFS('C COSTOS ESTADO FINANCIERO'!$D:$D,B103,'C COSTOS ESTADO FINANCIERO'!$J:$J,"ACTIVO")</f>
        <v>0</v>
      </c>
      <c r="E103" s="19" t="str">
        <f>IF(COUNTIF('CENTROS DE COSTOS UTILIZADOS'!$B:$B,B103)&gt;0,"SÍ","NO")</f>
        <v>NO</v>
      </c>
    </row>
    <row r="104" spans="2:5" x14ac:dyDescent="0.25">
      <c r="B104" s="19" t="s">
        <v>799</v>
      </c>
      <c r="C104" s="19" t="s">
        <v>800</v>
      </c>
      <c r="D104" s="19">
        <f>COUNTIFS('C COSTOS ESTADO FINANCIERO'!$D:$D,B104,'C COSTOS ESTADO FINANCIERO'!$J:$J,"ACTIVO")</f>
        <v>0</v>
      </c>
      <c r="E104" s="19" t="str">
        <f>IF(COUNTIF('CENTROS DE COSTOS UTILIZADOS'!$B:$B,B104)&gt;0,"SÍ","NO")</f>
        <v>SÍ</v>
      </c>
    </row>
    <row r="105" spans="2:5" x14ac:dyDescent="0.25">
      <c r="B105" s="19" t="s">
        <v>983</v>
      </c>
      <c r="C105" s="19" t="s">
        <v>984</v>
      </c>
      <c r="D105" s="19">
        <f>COUNTIFS('C COSTOS ESTADO FINANCIERO'!$D:$D,B105,'C COSTOS ESTADO FINANCIERO'!$J:$J,"ACTIVO")</f>
        <v>0</v>
      </c>
      <c r="E105" s="19" t="str">
        <f>IF(COUNTIF('CENTROS DE COSTOS UTILIZADOS'!$B:$B,B105)&gt;0,"SÍ","NO")</f>
        <v>NO</v>
      </c>
    </row>
    <row r="106" spans="2:5" x14ac:dyDescent="0.25">
      <c r="B106" s="19" t="s">
        <v>985</v>
      </c>
      <c r="C106" s="19" t="s">
        <v>986</v>
      </c>
      <c r="D106" s="19">
        <f>COUNTIFS('C COSTOS ESTADO FINANCIERO'!$D:$D,B106,'C COSTOS ESTADO FINANCIERO'!$J:$J,"ACTIVO")</f>
        <v>0</v>
      </c>
      <c r="E106" s="19" t="str">
        <f>IF(COUNTIF('CENTROS DE COSTOS UTILIZADOS'!$B:$B,B106)&gt;0,"SÍ","NO")</f>
        <v>NO</v>
      </c>
    </row>
    <row r="107" spans="2:5" x14ac:dyDescent="0.25">
      <c r="B107" s="19" t="s">
        <v>987</v>
      </c>
      <c r="C107" s="19" t="s">
        <v>988</v>
      </c>
      <c r="D107" s="19">
        <f>COUNTIFS('C COSTOS ESTADO FINANCIERO'!$D:$D,B107,'C COSTOS ESTADO FINANCIERO'!$J:$J,"ACTIVO")</f>
        <v>0</v>
      </c>
      <c r="E107" s="19" t="str">
        <f>IF(COUNTIF('CENTROS DE COSTOS UTILIZADOS'!$B:$B,B107)&gt;0,"SÍ","NO")</f>
        <v>NO</v>
      </c>
    </row>
    <row r="108" spans="2:5" x14ac:dyDescent="0.25">
      <c r="B108" s="19" t="s">
        <v>989</v>
      </c>
      <c r="C108" s="19" t="s">
        <v>990</v>
      </c>
      <c r="D108" s="19">
        <f>COUNTIFS('C COSTOS ESTADO FINANCIERO'!$D:$D,B108,'C COSTOS ESTADO FINANCIERO'!$J:$J,"ACTIVO")</f>
        <v>0</v>
      </c>
      <c r="E108" s="19" t="str">
        <f>IF(COUNTIF('CENTROS DE COSTOS UTILIZADOS'!$B:$B,B108)&gt;0,"SÍ","NO")</f>
        <v>NO</v>
      </c>
    </row>
    <row r="109" spans="2:5" x14ac:dyDescent="0.25">
      <c r="B109" s="19" t="s">
        <v>801</v>
      </c>
      <c r="C109" s="19" t="s">
        <v>802</v>
      </c>
      <c r="D109" s="19">
        <f>COUNTIFS('C COSTOS ESTADO FINANCIERO'!$D:$D,B109,'C COSTOS ESTADO FINANCIERO'!$J:$J,"ACTIVO")</f>
        <v>0</v>
      </c>
      <c r="E109" s="19" t="str">
        <f>IF(COUNTIF('CENTROS DE COSTOS UTILIZADOS'!$B:$B,B109)&gt;0,"SÍ","NO")</f>
        <v>SÍ</v>
      </c>
    </row>
    <row r="110" spans="2:5" x14ac:dyDescent="0.25">
      <c r="B110" s="19" t="s">
        <v>991</v>
      </c>
      <c r="C110" s="19" t="s">
        <v>992</v>
      </c>
      <c r="D110" s="19">
        <f>COUNTIFS('C COSTOS ESTADO FINANCIERO'!$D:$D,B110,'C COSTOS ESTADO FINANCIERO'!$J:$J,"ACTIVO")</f>
        <v>0</v>
      </c>
      <c r="E110" s="19" t="str">
        <f>IF(COUNTIF('CENTROS DE COSTOS UTILIZADOS'!$B:$B,B110)&gt;0,"SÍ","NO")</f>
        <v>NO</v>
      </c>
    </row>
    <row r="111" spans="2:5" x14ac:dyDescent="0.25">
      <c r="B111" s="19" t="s">
        <v>803</v>
      </c>
      <c r="C111" s="19" t="s">
        <v>804</v>
      </c>
      <c r="D111" s="19">
        <f>COUNTIFS('C COSTOS ESTADO FINANCIERO'!$D:$D,B111,'C COSTOS ESTADO FINANCIERO'!$J:$J,"ACTIVO")</f>
        <v>0</v>
      </c>
      <c r="E111" s="19" t="str">
        <f>IF(COUNTIF('CENTROS DE COSTOS UTILIZADOS'!$B:$B,B111)&gt;0,"SÍ","NO")</f>
        <v>SÍ</v>
      </c>
    </row>
    <row r="112" spans="2:5" x14ac:dyDescent="0.25">
      <c r="B112" s="19" t="s">
        <v>993</v>
      </c>
      <c r="C112" s="19" t="s">
        <v>994</v>
      </c>
      <c r="D112" s="19">
        <f>COUNTIFS('C COSTOS ESTADO FINANCIERO'!$D:$D,B112,'C COSTOS ESTADO FINANCIERO'!$J:$J,"ACTIVO")</f>
        <v>0</v>
      </c>
      <c r="E112" s="19" t="str">
        <f>IF(COUNTIF('CENTROS DE COSTOS UTILIZADOS'!$B:$B,B112)&gt;0,"SÍ","NO")</f>
        <v>NO</v>
      </c>
    </row>
    <row r="113" spans="2:5" x14ac:dyDescent="0.25">
      <c r="B113" s="19" t="s">
        <v>995</v>
      </c>
      <c r="C113" s="19" t="s">
        <v>996</v>
      </c>
      <c r="D113" s="19">
        <f>COUNTIFS('C COSTOS ESTADO FINANCIERO'!$D:$D,B113,'C COSTOS ESTADO FINANCIERO'!$J:$J,"ACTIVO")</f>
        <v>0</v>
      </c>
      <c r="E113" s="19" t="str">
        <f>IF(COUNTIF('CENTROS DE COSTOS UTILIZADOS'!$B:$B,B113)&gt;0,"SÍ","NO")</f>
        <v>NO</v>
      </c>
    </row>
    <row r="114" spans="2:5" x14ac:dyDescent="0.25">
      <c r="B114" s="19" t="s">
        <v>997</v>
      </c>
      <c r="C114" s="19" t="s">
        <v>998</v>
      </c>
      <c r="D114" s="19">
        <f>COUNTIFS('C COSTOS ESTADO FINANCIERO'!$D:$D,B114,'C COSTOS ESTADO FINANCIERO'!$J:$J,"ACTIVO")</f>
        <v>0</v>
      </c>
      <c r="E114" s="19" t="str">
        <f>IF(COUNTIF('CENTROS DE COSTOS UTILIZADOS'!$B:$B,B114)&gt;0,"SÍ","NO")</f>
        <v>NO</v>
      </c>
    </row>
    <row r="115" spans="2:5" x14ac:dyDescent="0.25">
      <c r="B115" s="19" t="s">
        <v>999</v>
      </c>
      <c r="C115" s="19" t="s">
        <v>1000</v>
      </c>
      <c r="D115" s="19">
        <f>COUNTIFS('C COSTOS ESTADO FINANCIERO'!$D:$D,B115,'C COSTOS ESTADO FINANCIERO'!$J:$J,"ACTIVO")</f>
        <v>0</v>
      </c>
      <c r="E115" s="19" t="str">
        <f>IF(COUNTIF('CENTROS DE COSTOS UTILIZADOS'!$B:$B,B115)&gt;0,"SÍ","NO")</f>
        <v>NO</v>
      </c>
    </row>
    <row r="116" spans="2:5" x14ac:dyDescent="0.25">
      <c r="B116" s="19" t="s">
        <v>1001</v>
      </c>
      <c r="C116" s="19" t="s">
        <v>1002</v>
      </c>
      <c r="D116" s="19">
        <f>COUNTIFS('C COSTOS ESTADO FINANCIERO'!$D:$D,B116,'C COSTOS ESTADO FINANCIERO'!$J:$J,"ACTIVO")</f>
        <v>0</v>
      </c>
      <c r="E116" s="19" t="str">
        <f>IF(COUNTIF('CENTROS DE COSTOS UTILIZADOS'!$B:$B,B116)&gt;0,"SÍ","NO")</f>
        <v>NO</v>
      </c>
    </row>
    <row r="117" spans="2:5" x14ac:dyDescent="0.25">
      <c r="B117" s="19" t="s">
        <v>1003</v>
      </c>
      <c r="C117" s="19" t="s">
        <v>1004</v>
      </c>
      <c r="D117" s="19">
        <f>COUNTIFS('C COSTOS ESTADO FINANCIERO'!$D:$D,B117,'C COSTOS ESTADO FINANCIERO'!$J:$J,"ACTIVO")</f>
        <v>0</v>
      </c>
      <c r="E117" s="19" t="str">
        <f>IF(COUNTIF('CENTROS DE COSTOS UTILIZADOS'!$B:$B,B117)&gt;0,"SÍ","NO")</f>
        <v>NO</v>
      </c>
    </row>
    <row r="118" spans="2:5" x14ac:dyDescent="0.25">
      <c r="B118" s="19" t="s">
        <v>1005</v>
      </c>
      <c r="C118" s="19" t="s">
        <v>1006</v>
      </c>
      <c r="D118" s="19">
        <f>COUNTIFS('C COSTOS ESTADO FINANCIERO'!$D:$D,B118,'C COSTOS ESTADO FINANCIERO'!$J:$J,"ACTIVO")</f>
        <v>0</v>
      </c>
      <c r="E118" s="19" t="str">
        <f>IF(COUNTIF('CENTROS DE COSTOS UTILIZADOS'!$B:$B,B118)&gt;0,"SÍ","NO")</f>
        <v>NO</v>
      </c>
    </row>
    <row r="119" spans="2:5" x14ac:dyDescent="0.25">
      <c r="B119" s="19" t="s">
        <v>63</v>
      </c>
      <c r="C119" s="19" t="s">
        <v>805</v>
      </c>
      <c r="D119" s="19">
        <f>COUNTIFS('C COSTOS ESTADO FINANCIERO'!$D:$D,B119,'C COSTOS ESTADO FINANCIERO'!$J:$J,"ACTIVO")</f>
        <v>10</v>
      </c>
      <c r="E119" s="19" t="str">
        <f>IF(COUNTIF('CENTROS DE COSTOS UTILIZADOS'!$B:$B,B119)&gt;0,"SÍ","NO")</f>
        <v>SÍ</v>
      </c>
    </row>
    <row r="120" spans="2:5" x14ac:dyDescent="0.25">
      <c r="B120" s="19" t="s">
        <v>95</v>
      </c>
      <c r="C120" s="19" t="s">
        <v>1007</v>
      </c>
      <c r="D120" s="19">
        <f>COUNTIFS('C COSTOS ESTADO FINANCIERO'!$D:$D,B120,'C COSTOS ESTADO FINANCIERO'!$J:$J,"ACTIVO")</f>
        <v>0</v>
      </c>
      <c r="E120" s="19" t="str">
        <f>IF(COUNTIF('CENTROS DE COSTOS UTILIZADOS'!$B:$B,B120)&gt;0,"SÍ","NO")</f>
        <v>NO</v>
      </c>
    </row>
    <row r="121" spans="2:5" x14ac:dyDescent="0.25">
      <c r="B121" s="19" t="s">
        <v>92</v>
      </c>
      <c r="C121" s="19" t="s">
        <v>806</v>
      </c>
      <c r="D121" s="19">
        <f>COUNTIFS('C COSTOS ESTADO FINANCIERO'!$D:$D,B121,'C COSTOS ESTADO FINANCIERO'!$J:$J,"ACTIVO")</f>
        <v>15</v>
      </c>
      <c r="E121" s="19" t="str">
        <f>IF(COUNTIF('CENTROS DE COSTOS UTILIZADOS'!$B:$B,B121)&gt;0,"SÍ","NO")</f>
        <v>SÍ</v>
      </c>
    </row>
    <row r="122" spans="2:5" x14ac:dyDescent="0.25">
      <c r="B122" s="19" t="s">
        <v>1008</v>
      </c>
      <c r="C122" s="19" t="s">
        <v>1009</v>
      </c>
      <c r="D122" s="19">
        <f>COUNTIFS('C COSTOS ESTADO FINANCIERO'!$D:$D,B122,'C COSTOS ESTADO FINANCIERO'!$J:$J,"ACTIVO")</f>
        <v>0</v>
      </c>
      <c r="E122" s="19" t="str">
        <f>IF(COUNTIF('CENTROS DE COSTOS UTILIZADOS'!$B:$B,B122)&gt;0,"SÍ","NO")</f>
        <v>NO</v>
      </c>
    </row>
    <row r="123" spans="2:5" x14ac:dyDescent="0.25">
      <c r="B123" s="19" t="s">
        <v>97</v>
      </c>
      <c r="C123" s="19" t="s">
        <v>1010</v>
      </c>
      <c r="D123" s="19">
        <f>COUNTIFS('C COSTOS ESTADO FINANCIERO'!$D:$D,B123,'C COSTOS ESTADO FINANCIERO'!$J:$J,"ACTIVO")</f>
        <v>0</v>
      </c>
      <c r="E123" s="19" t="str">
        <f>IF(COUNTIF('CENTROS DE COSTOS UTILIZADOS'!$B:$B,B123)&gt;0,"SÍ","NO")</f>
        <v>NO</v>
      </c>
    </row>
    <row r="124" spans="2:5" x14ac:dyDescent="0.25">
      <c r="B124" s="19" t="s">
        <v>1011</v>
      </c>
      <c r="C124" s="19" t="s">
        <v>1012</v>
      </c>
      <c r="D124" s="19">
        <f>COUNTIFS('C COSTOS ESTADO FINANCIERO'!$D:$D,B124,'C COSTOS ESTADO FINANCIERO'!$J:$J,"ACTIVO")</f>
        <v>0</v>
      </c>
      <c r="E124" s="19" t="str">
        <f>IF(COUNTIF('CENTROS DE COSTOS UTILIZADOS'!$B:$B,B124)&gt;0,"SÍ","NO")</f>
        <v>NO</v>
      </c>
    </row>
    <row r="125" spans="2:5" x14ac:dyDescent="0.25">
      <c r="B125" s="19" t="s">
        <v>1013</v>
      </c>
      <c r="C125" s="19" t="s">
        <v>1014</v>
      </c>
      <c r="D125" s="19">
        <f>COUNTIFS('C COSTOS ESTADO FINANCIERO'!$D:$D,B125,'C COSTOS ESTADO FINANCIERO'!$J:$J,"ACTIVO")</f>
        <v>0</v>
      </c>
      <c r="E125" s="19" t="str">
        <f>IF(COUNTIF('CENTROS DE COSTOS UTILIZADOS'!$B:$B,B125)&gt;0,"SÍ","NO")</f>
        <v>NO</v>
      </c>
    </row>
    <row r="126" spans="2:5" x14ac:dyDescent="0.25">
      <c r="B126" s="19" t="s">
        <v>89</v>
      </c>
      <c r="C126" s="19" t="s">
        <v>807</v>
      </c>
      <c r="D126" s="19">
        <f>COUNTIFS('C COSTOS ESTADO FINANCIERO'!$D:$D,B126,'C COSTOS ESTADO FINANCIERO'!$J:$J,"ACTIVO")</f>
        <v>8</v>
      </c>
      <c r="E126" s="19" t="str">
        <f>IF(COUNTIF('CENTROS DE COSTOS UTILIZADOS'!$B:$B,B126)&gt;0,"SÍ","NO")</f>
        <v>SÍ</v>
      </c>
    </row>
    <row r="127" spans="2:5" x14ac:dyDescent="0.25">
      <c r="B127" s="19" t="s">
        <v>103</v>
      </c>
      <c r="C127" s="19" t="s">
        <v>1015</v>
      </c>
      <c r="D127" s="19">
        <f>COUNTIFS('C COSTOS ESTADO FINANCIERO'!$D:$D,B127,'C COSTOS ESTADO FINANCIERO'!$J:$J,"ACTIVO")</f>
        <v>0</v>
      </c>
      <c r="E127" s="19" t="str">
        <f>IF(COUNTIF('CENTROS DE COSTOS UTILIZADOS'!$B:$B,B127)&gt;0,"SÍ","NO")</f>
        <v>NO</v>
      </c>
    </row>
    <row r="128" spans="2:5" x14ac:dyDescent="0.25">
      <c r="B128" s="19" t="s">
        <v>1016</v>
      </c>
      <c r="C128" s="19" t="s">
        <v>1017</v>
      </c>
      <c r="D128" s="19">
        <f>COUNTIFS('C COSTOS ESTADO FINANCIERO'!$D:$D,B128,'C COSTOS ESTADO FINANCIERO'!$J:$J,"ACTIVO")</f>
        <v>0</v>
      </c>
      <c r="E128" s="19" t="str">
        <f>IF(COUNTIF('CENTROS DE COSTOS UTILIZADOS'!$B:$B,B128)&gt;0,"SÍ","NO")</f>
        <v>NO</v>
      </c>
    </row>
    <row r="129" spans="2:5" x14ac:dyDescent="0.25">
      <c r="B129" s="19" t="s">
        <v>105</v>
      </c>
      <c r="C129" s="19" t="s">
        <v>1018</v>
      </c>
      <c r="D129" s="19">
        <f>COUNTIFS('C COSTOS ESTADO FINANCIERO'!$D:$D,B129,'C COSTOS ESTADO FINANCIERO'!$J:$J,"ACTIVO")</f>
        <v>0</v>
      </c>
      <c r="E129" s="19" t="str">
        <f>IF(COUNTIF('CENTROS DE COSTOS UTILIZADOS'!$B:$B,B129)&gt;0,"SÍ","NO")</f>
        <v>NO</v>
      </c>
    </row>
    <row r="130" spans="2:5" x14ac:dyDescent="0.25">
      <c r="B130" s="19" t="s">
        <v>1019</v>
      </c>
      <c r="C130" s="19" t="s">
        <v>1020</v>
      </c>
      <c r="D130" s="19">
        <f>COUNTIFS('C COSTOS ESTADO FINANCIERO'!$D:$D,B130,'C COSTOS ESTADO FINANCIERO'!$J:$J,"ACTIVO")</f>
        <v>0</v>
      </c>
      <c r="E130" s="19" t="str">
        <f>IF(COUNTIF('CENTROS DE COSTOS UTILIZADOS'!$B:$B,B130)&gt;0,"SÍ","NO")</f>
        <v>NO</v>
      </c>
    </row>
    <row r="131" spans="2:5" x14ac:dyDescent="0.25">
      <c r="B131" s="19" t="s">
        <v>111</v>
      </c>
      <c r="C131" s="19" t="s">
        <v>808</v>
      </c>
      <c r="D131" s="19">
        <f>COUNTIFS('C COSTOS ESTADO FINANCIERO'!$D:$D,B131,'C COSTOS ESTADO FINANCIERO'!$J:$J,"ACTIVO")</f>
        <v>14</v>
      </c>
      <c r="E131" s="19" t="str">
        <f>IF(COUNTIF('CENTROS DE COSTOS UTILIZADOS'!$B:$B,B131)&gt;0,"SÍ","NO")</f>
        <v>SÍ</v>
      </c>
    </row>
    <row r="132" spans="2:5" x14ac:dyDescent="0.25">
      <c r="B132" s="19" t="s">
        <v>100</v>
      </c>
      <c r="C132" s="19" t="s">
        <v>809</v>
      </c>
      <c r="D132" s="19">
        <f>COUNTIFS('C COSTOS ESTADO FINANCIERO'!$D:$D,B132,'C COSTOS ESTADO FINANCIERO'!$J:$J,"ACTIVO")</f>
        <v>8</v>
      </c>
      <c r="E132" s="19" t="str">
        <f>IF(COUNTIF('CENTROS DE COSTOS UTILIZADOS'!$B:$B,B132)&gt;0,"SÍ","NO")</f>
        <v>SÍ</v>
      </c>
    </row>
    <row r="133" spans="2:5" x14ac:dyDescent="0.25">
      <c r="B133" s="19" t="s">
        <v>109</v>
      </c>
      <c r="C133" s="19" t="s">
        <v>1021</v>
      </c>
      <c r="D133" s="19">
        <f>COUNTIFS('C COSTOS ESTADO FINANCIERO'!$D:$D,B133,'C COSTOS ESTADO FINANCIERO'!$J:$J,"ACTIVO")</f>
        <v>1</v>
      </c>
      <c r="E133" s="19" t="str">
        <f>IF(COUNTIF('CENTROS DE COSTOS UTILIZADOS'!$B:$B,B133)&gt;0,"SÍ","NO")</f>
        <v>NO</v>
      </c>
    </row>
    <row r="134" spans="2:5" x14ac:dyDescent="0.25">
      <c r="B134" s="19" t="s">
        <v>1022</v>
      </c>
      <c r="C134" s="19" t="s">
        <v>1023</v>
      </c>
      <c r="D134" s="19">
        <f>COUNTIFS('C COSTOS ESTADO FINANCIERO'!$D:$D,B134,'C COSTOS ESTADO FINANCIERO'!$J:$J,"ACTIVO")</f>
        <v>0</v>
      </c>
      <c r="E134" s="19" t="str">
        <f>IF(COUNTIF('CENTROS DE COSTOS UTILIZADOS'!$B:$B,B134)&gt;0,"SÍ","NO")</f>
        <v>NO</v>
      </c>
    </row>
    <row r="135" spans="2:5" x14ac:dyDescent="0.25">
      <c r="B135" s="19" t="s">
        <v>1024</v>
      </c>
      <c r="C135" s="19" t="s">
        <v>1025</v>
      </c>
      <c r="D135" s="19">
        <f>COUNTIFS('C COSTOS ESTADO FINANCIERO'!$D:$D,B135,'C COSTOS ESTADO FINANCIERO'!$J:$J,"ACTIVO")</f>
        <v>0</v>
      </c>
      <c r="E135" s="19" t="str">
        <f>IF(COUNTIF('CENTROS DE COSTOS UTILIZADOS'!$B:$B,B135)&gt;0,"SÍ","NO")</f>
        <v>NO</v>
      </c>
    </row>
    <row r="136" spans="2:5" x14ac:dyDescent="0.25">
      <c r="B136" s="19" t="s">
        <v>1026</v>
      </c>
      <c r="C136" s="19" t="s">
        <v>1027</v>
      </c>
      <c r="D136" s="19">
        <f>COUNTIFS('C COSTOS ESTADO FINANCIERO'!$D:$D,B136,'C COSTOS ESTADO FINANCIERO'!$J:$J,"ACTIVO")</f>
        <v>0</v>
      </c>
      <c r="E136" s="19" t="str">
        <f>IF(COUNTIF('CENTROS DE COSTOS UTILIZADOS'!$B:$B,B136)&gt;0,"SÍ","NO")</f>
        <v>NO</v>
      </c>
    </row>
    <row r="137" spans="2:5" x14ac:dyDescent="0.25">
      <c r="B137" s="19" t="s">
        <v>1028</v>
      </c>
      <c r="C137" s="19" t="s">
        <v>1029</v>
      </c>
      <c r="D137" s="19">
        <f>COUNTIFS('C COSTOS ESTADO FINANCIERO'!$D:$D,B137,'C COSTOS ESTADO FINANCIERO'!$J:$J,"ACTIVO")</f>
        <v>0</v>
      </c>
      <c r="E137" s="19" t="str">
        <f>IF(COUNTIF('CENTROS DE COSTOS UTILIZADOS'!$B:$B,B137)&gt;0,"SÍ","NO")</f>
        <v>NO</v>
      </c>
    </row>
    <row r="138" spans="2:5" x14ac:dyDescent="0.25">
      <c r="B138" s="19" t="s">
        <v>60</v>
      </c>
      <c r="C138" s="19" t="s">
        <v>810</v>
      </c>
      <c r="D138" s="19">
        <f>COUNTIFS('C COSTOS ESTADO FINANCIERO'!$D:$D,B138,'C COSTOS ESTADO FINANCIERO'!$J:$J,"ACTIVO")</f>
        <v>9</v>
      </c>
      <c r="E138" s="19" t="str">
        <f>IF(COUNTIF('CENTROS DE COSTOS UTILIZADOS'!$B:$B,B138)&gt;0,"SÍ","NO")</f>
        <v>SÍ</v>
      </c>
    </row>
    <row r="139" spans="2:5" x14ac:dyDescent="0.25">
      <c r="B139" s="19" t="s">
        <v>129</v>
      </c>
      <c r="C139" s="19" t="s">
        <v>1030</v>
      </c>
      <c r="D139" s="19">
        <f>COUNTIFS('C COSTOS ESTADO FINANCIERO'!$D:$D,B139,'C COSTOS ESTADO FINANCIERO'!$J:$J,"ACTIVO")</f>
        <v>0</v>
      </c>
      <c r="E139" s="19" t="str">
        <f>IF(COUNTIF('CENTROS DE COSTOS UTILIZADOS'!$B:$B,B139)&gt;0,"SÍ","NO")</f>
        <v>NO</v>
      </c>
    </row>
    <row r="140" spans="2:5" x14ac:dyDescent="0.25">
      <c r="B140" s="19" t="s">
        <v>1031</v>
      </c>
      <c r="C140" s="19" t="s">
        <v>1032</v>
      </c>
      <c r="D140" s="19">
        <f>COUNTIFS('C COSTOS ESTADO FINANCIERO'!$D:$D,B140,'C COSTOS ESTADO FINANCIERO'!$J:$J,"ACTIVO")</f>
        <v>0</v>
      </c>
      <c r="E140" s="19" t="str">
        <f>IF(COUNTIF('CENTROS DE COSTOS UTILIZADOS'!$B:$B,B140)&gt;0,"SÍ","NO")</f>
        <v>NO</v>
      </c>
    </row>
    <row r="141" spans="2:5" x14ac:dyDescent="0.25">
      <c r="B141" s="19" t="s">
        <v>1033</v>
      </c>
      <c r="C141" s="19" t="s">
        <v>1034</v>
      </c>
      <c r="D141" s="19">
        <f>COUNTIFS('C COSTOS ESTADO FINANCIERO'!$D:$D,B141,'C COSTOS ESTADO FINANCIERO'!$J:$J,"ACTIVO")</f>
        <v>0</v>
      </c>
      <c r="E141" s="19" t="str">
        <f>IF(COUNTIF('CENTROS DE COSTOS UTILIZADOS'!$B:$B,B141)&gt;0,"SÍ","NO")</f>
        <v>NO</v>
      </c>
    </row>
    <row r="142" spans="2:5" x14ac:dyDescent="0.25">
      <c r="B142" s="19" t="s">
        <v>1035</v>
      </c>
      <c r="C142" s="19" t="s">
        <v>1036</v>
      </c>
      <c r="D142" s="19">
        <f>COUNTIFS('C COSTOS ESTADO FINANCIERO'!$D:$D,B142,'C COSTOS ESTADO FINANCIERO'!$J:$J,"ACTIVO")</f>
        <v>0</v>
      </c>
      <c r="E142" s="19" t="str">
        <f>IF(COUNTIF('CENTROS DE COSTOS UTILIZADOS'!$B:$B,B142)&gt;0,"SÍ","NO")</f>
        <v>NO</v>
      </c>
    </row>
    <row r="143" spans="2:5" x14ac:dyDescent="0.25">
      <c r="B143" s="19" t="s">
        <v>126</v>
      </c>
      <c r="C143" s="19" t="s">
        <v>811</v>
      </c>
      <c r="D143" s="19">
        <f>COUNTIFS('C COSTOS ESTADO FINANCIERO'!$D:$D,B143,'C COSTOS ESTADO FINANCIERO'!$J:$J,"ACTIVO")</f>
        <v>40</v>
      </c>
      <c r="E143" s="19" t="str">
        <f>IF(COUNTIF('CENTROS DE COSTOS UTILIZADOS'!$B:$B,B143)&gt;0,"SÍ","NO")</f>
        <v>SÍ</v>
      </c>
    </row>
    <row r="144" spans="2:5" x14ac:dyDescent="0.25">
      <c r="B144" s="19" t="s">
        <v>1037</v>
      </c>
      <c r="C144" s="19" t="s">
        <v>1038</v>
      </c>
      <c r="D144" s="19">
        <f>COUNTIFS('C COSTOS ESTADO FINANCIERO'!$D:$D,B144,'C COSTOS ESTADO FINANCIERO'!$J:$J,"ACTIVO")</f>
        <v>0</v>
      </c>
      <c r="E144" s="19" t="str">
        <f>IF(COUNTIF('CENTROS DE COSTOS UTILIZADOS'!$B:$B,B144)&gt;0,"SÍ","NO")</f>
        <v>NO</v>
      </c>
    </row>
    <row r="145" spans="2:5" x14ac:dyDescent="0.25">
      <c r="B145" s="19" t="s">
        <v>1039</v>
      </c>
      <c r="C145" s="19" t="s">
        <v>1040</v>
      </c>
      <c r="D145" s="19">
        <f>COUNTIFS('C COSTOS ESTADO FINANCIERO'!$D:$D,B145,'C COSTOS ESTADO FINANCIERO'!$J:$J,"ACTIVO")</f>
        <v>0</v>
      </c>
      <c r="E145" s="19" t="str">
        <f>IF(COUNTIF('CENTROS DE COSTOS UTILIZADOS'!$B:$B,B145)&gt;0,"SÍ","NO")</f>
        <v>NO</v>
      </c>
    </row>
    <row r="146" spans="2:5" x14ac:dyDescent="0.25">
      <c r="B146" s="19" t="s">
        <v>1041</v>
      </c>
      <c r="C146" s="19" t="s">
        <v>1042</v>
      </c>
      <c r="D146" s="19">
        <f>COUNTIFS('C COSTOS ESTADO FINANCIERO'!$D:$D,B146,'C COSTOS ESTADO FINANCIERO'!$J:$J,"ACTIVO")</f>
        <v>0</v>
      </c>
      <c r="E146" s="19" t="str">
        <f>IF(COUNTIF('CENTROS DE COSTOS UTILIZADOS'!$B:$B,B146)&gt;0,"SÍ","NO")</f>
        <v>NO</v>
      </c>
    </row>
    <row r="147" spans="2:5" x14ac:dyDescent="0.25">
      <c r="B147" s="19" t="s">
        <v>390</v>
      </c>
      <c r="C147" s="19" t="s">
        <v>812</v>
      </c>
      <c r="D147" s="19">
        <f>COUNTIFS('C COSTOS ESTADO FINANCIERO'!$D:$D,B147,'C COSTOS ESTADO FINANCIERO'!$J:$J,"ACTIVO")</f>
        <v>9</v>
      </c>
      <c r="E147" s="19" t="str">
        <f>IF(COUNTIF('CENTROS DE COSTOS UTILIZADOS'!$B:$B,B147)&gt;0,"SÍ","NO")</f>
        <v>SÍ</v>
      </c>
    </row>
    <row r="148" spans="2:5" x14ac:dyDescent="0.25">
      <c r="B148" s="19" t="s">
        <v>485</v>
      </c>
      <c r="C148" s="19" t="s">
        <v>1043</v>
      </c>
      <c r="D148" s="19">
        <f>COUNTIFS('C COSTOS ESTADO FINANCIERO'!$D:$D,B148,'C COSTOS ESTADO FINANCIERO'!$J:$J,"ACTIVO")</f>
        <v>9</v>
      </c>
      <c r="E148" s="19" t="str">
        <f>IF(COUNTIF('CENTROS DE COSTOS UTILIZADOS'!$B:$B,B148)&gt;0,"SÍ","NO")</f>
        <v>NO</v>
      </c>
    </row>
    <row r="149" spans="2:5" x14ac:dyDescent="0.25">
      <c r="B149" s="19" t="s">
        <v>477</v>
      </c>
      <c r="C149" s="19" t="s">
        <v>813</v>
      </c>
      <c r="D149" s="19">
        <f>COUNTIFS('C COSTOS ESTADO FINANCIERO'!$D:$D,B149,'C COSTOS ESTADO FINANCIERO'!$J:$J,"ACTIVO")</f>
        <v>59</v>
      </c>
      <c r="E149" s="19" t="str">
        <f>IF(COUNTIF('CENTROS DE COSTOS UTILIZADOS'!$B:$B,B149)&gt;0,"SÍ","NO")</f>
        <v>SÍ</v>
      </c>
    </row>
    <row r="150" spans="2:5" x14ac:dyDescent="0.25">
      <c r="B150" s="19" t="s">
        <v>482</v>
      </c>
      <c r="C150" s="19" t="s">
        <v>1044</v>
      </c>
      <c r="D150" s="19">
        <f>COUNTIFS('C COSTOS ESTADO FINANCIERO'!$D:$D,B150,'C COSTOS ESTADO FINANCIERO'!$J:$J,"ACTIVO")</f>
        <v>9</v>
      </c>
      <c r="E150" s="19" t="str">
        <f>IF(COUNTIF('CENTROS DE COSTOS UTILIZADOS'!$B:$B,B150)&gt;0,"SÍ","NO")</f>
        <v>NO</v>
      </c>
    </row>
    <row r="151" spans="2:5" x14ac:dyDescent="0.25">
      <c r="B151" s="19" t="s">
        <v>1045</v>
      </c>
      <c r="C151" s="19" t="s">
        <v>1046</v>
      </c>
      <c r="D151" s="19">
        <f>COUNTIFS('C COSTOS ESTADO FINANCIERO'!$D:$D,B151,'C COSTOS ESTADO FINANCIERO'!$J:$J,"ACTIVO")</f>
        <v>0</v>
      </c>
      <c r="E151" s="19" t="str">
        <f>IF(COUNTIF('CENTROS DE COSTOS UTILIZADOS'!$B:$B,B151)&gt;0,"SÍ","NO")</f>
        <v>NO</v>
      </c>
    </row>
    <row r="152" spans="2:5" x14ac:dyDescent="0.25">
      <c r="B152" s="19" t="s">
        <v>1047</v>
      </c>
      <c r="C152" s="19" t="s">
        <v>1048</v>
      </c>
      <c r="D152" s="19">
        <f>COUNTIFS('C COSTOS ESTADO FINANCIERO'!$D:$D,B152,'C COSTOS ESTADO FINANCIERO'!$J:$J,"ACTIVO")</f>
        <v>0</v>
      </c>
      <c r="E152" s="19" t="str">
        <f>IF(COUNTIF('CENTROS DE COSTOS UTILIZADOS'!$B:$B,B152)&gt;0,"SÍ","NO")</f>
        <v>NO</v>
      </c>
    </row>
    <row r="153" spans="2:5" x14ac:dyDescent="0.25">
      <c r="B153" s="19" t="s">
        <v>1049</v>
      </c>
      <c r="C153" s="19" t="s">
        <v>1050</v>
      </c>
      <c r="D153" s="19">
        <f>COUNTIFS('C COSTOS ESTADO FINANCIERO'!$D:$D,B153,'C COSTOS ESTADO FINANCIERO'!$J:$J,"ACTIVO")</f>
        <v>0</v>
      </c>
      <c r="E153" s="19" t="str">
        <f>IF(COUNTIF('CENTROS DE COSTOS UTILIZADOS'!$B:$B,B153)&gt;0,"SÍ","NO")</f>
        <v>NO</v>
      </c>
    </row>
    <row r="154" spans="2:5" x14ac:dyDescent="0.25">
      <c r="B154" s="19" t="s">
        <v>1051</v>
      </c>
      <c r="C154" s="19" t="s">
        <v>1052</v>
      </c>
      <c r="D154" s="19">
        <f>COUNTIFS('C COSTOS ESTADO FINANCIERO'!$D:$D,B154,'C COSTOS ESTADO FINANCIERO'!$J:$J,"ACTIVO")</f>
        <v>0</v>
      </c>
      <c r="E154" s="19" t="str">
        <f>IF(COUNTIF('CENTROS DE COSTOS UTILIZADOS'!$B:$B,B154)&gt;0,"SÍ","NO")</f>
        <v>NO</v>
      </c>
    </row>
    <row r="155" spans="2:5" x14ac:dyDescent="0.25">
      <c r="B155" s="19" t="s">
        <v>1053</v>
      </c>
      <c r="C155" s="19" t="s">
        <v>1054</v>
      </c>
      <c r="D155" s="19">
        <f>COUNTIFS('C COSTOS ESTADO FINANCIERO'!$D:$D,B155,'C COSTOS ESTADO FINANCIERO'!$J:$J,"ACTIVO")</f>
        <v>0</v>
      </c>
      <c r="E155" s="19" t="str">
        <f>IF(COUNTIF('CENTROS DE COSTOS UTILIZADOS'!$B:$B,B155)&gt;0,"SÍ","NO")</f>
        <v>NO</v>
      </c>
    </row>
    <row r="156" spans="2:5" x14ac:dyDescent="0.25">
      <c r="B156" s="19" t="s">
        <v>407</v>
      </c>
      <c r="C156" s="19" t="s">
        <v>814</v>
      </c>
      <c r="D156" s="19">
        <f>COUNTIFS('C COSTOS ESTADO FINANCIERO'!$D:$D,B156,'C COSTOS ESTADO FINANCIERO'!$J:$J,"ACTIVO")</f>
        <v>9</v>
      </c>
      <c r="E156" s="19" t="str">
        <f>IF(COUNTIF('CENTROS DE COSTOS UTILIZADOS'!$B:$B,B156)&gt;0,"SÍ","NO")</f>
        <v>SÍ</v>
      </c>
    </row>
    <row r="157" spans="2:5" x14ac:dyDescent="0.25">
      <c r="B157" s="19" t="s">
        <v>570</v>
      </c>
      <c r="C157" s="19" t="s">
        <v>815</v>
      </c>
      <c r="D157" s="19">
        <f>COUNTIFS('C COSTOS ESTADO FINANCIERO'!$D:$D,B157,'C COSTOS ESTADO FINANCIERO'!$J:$J,"ACTIVO")</f>
        <v>12</v>
      </c>
      <c r="E157" s="19" t="str">
        <f>IF(COUNTIF('CENTROS DE COSTOS UTILIZADOS'!$B:$B,B157)&gt;0,"SÍ","NO")</f>
        <v>SÍ</v>
      </c>
    </row>
    <row r="158" spans="2:5" x14ac:dyDescent="0.25">
      <c r="B158" s="19" t="s">
        <v>381</v>
      </c>
      <c r="C158" s="19" t="s">
        <v>816</v>
      </c>
      <c r="D158" s="19">
        <f>COUNTIFS('C COSTOS ESTADO FINANCIERO'!$D:$D,B158,'C COSTOS ESTADO FINANCIERO'!$J:$J,"ACTIVO")</f>
        <v>19</v>
      </c>
      <c r="E158" s="19" t="str">
        <f>IF(COUNTIF('CENTROS DE COSTOS UTILIZADOS'!$B:$B,B158)&gt;0,"SÍ","NO")</f>
        <v>SÍ</v>
      </c>
    </row>
    <row r="159" spans="2:5" x14ac:dyDescent="0.25">
      <c r="B159" s="19" t="s">
        <v>474</v>
      </c>
      <c r="C159" s="19" t="s">
        <v>817</v>
      </c>
      <c r="D159" s="19">
        <f>COUNTIFS('C COSTOS ESTADO FINANCIERO'!$D:$D,B159,'C COSTOS ESTADO FINANCIERO'!$J:$J,"ACTIVO")</f>
        <v>6</v>
      </c>
      <c r="E159" s="19" t="str">
        <f>IF(COUNTIF('CENTROS DE COSTOS UTILIZADOS'!$B:$B,B159)&gt;0,"SÍ","NO")</f>
        <v>SÍ</v>
      </c>
    </row>
    <row r="160" spans="2:5" x14ac:dyDescent="0.25">
      <c r="B160" s="19" t="s">
        <v>404</v>
      </c>
      <c r="C160" s="19" t="s">
        <v>818</v>
      </c>
      <c r="D160" s="19">
        <f>COUNTIFS('C COSTOS ESTADO FINANCIERO'!$D:$D,B160,'C COSTOS ESTADO FINANCIERO'!$J:$J,"ACTIVO")</f>
        <v>18</v>
      </c>
      <c r="E160" s="19" t="str">
        <f>IF(COUNTIF('CENTROS DE COSTOS UTILIZADOS'!$B:$B,B160)&gt;0,"SÍ","NO")</f>
        <v>SÍ</v>
      </c>
    </row>
    <row r="161" spans="2:5" x14ac:dyDescent="0.25">
      <c r="B161" s="19" t="s">
        <v>378</v>
      </c>
      <c r="C161" s="19" t="s">
        <v>819</v>
      </c>
      <c r="D161" s="19">
        <f>COUNTIFS('C COSTOS ESTADO FINANCIERO'!$D:$D,B161,'C COSTOS ESTADO FINANCIERO'!$J:$J,"ACTIVO")</f>
        <v>7</v>
      </c>
      <c r="E161" s="19" t="str">
        <f>IF(COUNTIF('CENTROS DE COSTOS UTILIZADOS'!$B:$B,B161)&gt;0,"SÍ","NO")</f>
        <v>SÍ</v>
      </c>
    </row>
    <row r="162" spans="2:5" x14ac:dyDescent="0.25">
      <c r="B162" s="19" t="s">
        <v>820</v>
      </c>
      <c r="C162" s="19" t="s">
        <v>821</v>
      </c>
      <c r="D162" s="19">
        <f>COUNTIFS('C COSTOS ESTADO FINANCIERO'!$D:$D,B162,'C COSTOS ESTADO FINANCIERO'!$J:$J,"ACTIVO")</f>
        <v>0</v>
      </c>
      <c r="E162" s="19" t="str">
        <f>IF(COUNTIF('CENTROS DE COSTOS UTILIZADOS'!$B:$B,B162)&gt;0,"SÍ","NO")</f>
        <v>SÍ</v>
      </c>
    </row>
    <row r="163" spans="2:5" x14ac:dyDescent="0.25">
      <c r="B163" s="19" t="s">
        <v>469</v>
      </c>
      <c r="C163" s="19" t="s">
        <v>822</v>
      </c>
      <c r="D163" s="19">
        <f>COUNTIFS('C COSTOS ESTADO FINANCIERO'!$D:$D,B163,'C COSTOS ESTADO FINANCIERO'!$J:$J,"ACTIVO")</f>
        <v>12</v>
      </c>
      <c r="E163" s="19" t="str">
        <f>IF(COUNTIF('CENTROS DE COSTOS UTILIZADOS'!$B:$B,B163)&gt;0,"SÍ","NO")</f>
        <v>SÍ</v>
      </c>
    </row>
    <row r="164" spans="2:5" x14ac:dyDescent="0.25">
      <c r="B164" s="19" t="s">
        <v>644</v>
      </c>
      <c r="C164" s="19" t="s">
        <v>823</v>
      </c>
      <c r="D164" s="19">
        <f>COUNTIFS('C COSTOS ESTADO FINANCIERO'!$D:$D,B164,'C COSTOS ESTADO FINANCIERO'!$J:$J,"ACTIVO")</f>
        <v>10</v>
      </c>
      <c r="E164" s="19" t="str">
        <f>IF(COUNTIF('CENTROS DE COSTOS UTILIZADOS'!$B:$B,B164)&gt;0,"SÍ","NO")</f>
        <v>SÍ</v>
      </c>
    </row>
    <row r="165" spans="2:5" x14ac:dyDescent="0.25">
      <c r="B165" s="19" t="s">
        <v>393</v>
      </c>
      <c r="C165" s="19" t="s">
        <v>824</v>
      </c>
      <c r="D165" s="19">
        <f>COUNTIFS('C COSTOS ESTADO FINANCIERO'!$D:$D,B165,'C COSTOS ESTADO FINANCIERO'!$J:$J,"ACTIVO")</f>
        <v>11</v>
      </c>
      <c r="E165" s="19" t="str">
        <f>IF(COUNTIF('CENTROS DE COSTOS UTILIZADOS'!$B:$B,B165)&gt;0,"SÍ","NO")</f>
        <v>SÍ</v>
      </c>
    </row>
    <row r="166" spans="2:5" x14ac:dyDescent="0.25">
      <c r="B166" s="19" t="s">
        <v>825</v>
      </c>
      <c r="C166" s="19" t="s">
        <v>826</v>
      </c>
      <c r="D166" s="19">
        <f>COUNTIFS('C COSTOS ESTADO FINANCIERO'!$D:$D,B166,'C COSTOS ESTADO FINANCIERO'!$J:$J,"ACTIVO")</f>
        <v>0</v>
      </c>
      <c r="E166" s="19" t="str">
        <f>IF(COUNTIF('CENTROS DE COSTOS UTILIZADOS'!$B:$B,B166)&gt;0,"SÍ","NO")</f>
        <v>SÍ</v>
      </c>
    </row>
    <row r="167" spans="2:5" x14ac:dyDescent="0.25">
      <c r="B167" s="19" t="s">
        <v>410</v>
      </c>
      <c r="C167" s="19" t="s">
        <v>827</v>
      </c>
      <c r="D167" s="19">
        <f>COUNTIFS('C COSTOS ESTADO FINANCIERO'!$D:$D,B167,'C COSTOS ESTADO FINANCIERO'!$J:$J,"ACTIVO")</f>
        <v>1</v>
      </c>
      <c r="E167" s="19" t="str">
        <f>IF(COUNTIF('CENTROS DE COSTOS UTILIZADOS'!$B:$B,B167)&gt;0,"SÍ","NO")</f>
        <v>SÍ</v>
      </c>
    </row>
    <row r="168" spans="2:5" x14ac:dyDescent="0.25">
      <c r="B168" s="19" t="s">
        <v>416</v>
      </c>
      <c r="C168" s="19" t="s">
        <v>828</v>
      </c>
      <c r="D168" s="19">
        <f>COUNTIFS('C COSTOS ESTADO FINANCIERO'!$D:$D,B168,'C COSTOS ESTADO FINANCIERO'!$J:$J,"ACTIVO")</f>
        <v>1</v>
      </c>
      <c r="E168" s="19" t="str">
        <f>IF(COUNTIF('CENTROS DE COSTOS UTILIZADOS'!$B:$B,B168)&gt;0,"SÍ","NO")</f>
        <v>SÍ</v>
      </c>
    </row>
    <row r="169" spans="2:5" x14ac:dyDescent="0.25">
      <c r="B169" s="19" t="s">
        <v>422</v>
      </c>
      <c r="C169" s="19" t="s">
        <v>829</v>
      </c>
      <c r="D169" s="19">
        <f>COUNTIFS('C COSTOS ESTADO FINANCIERO'!$D:$D,B169,'C COSTOS ESTADO FINANCIERO'!$J:$J,"ACTIVO")</f>
        <v>9</v>
      </c>
      <c r="E169" s="19" t="str">
        <f>IF(COUNTIF('CENTROS DE COSTOS UTILIZADOS'!$B:$B,B169)&gt;0,"SÍ","NO")</f>
        <v>SÍ</v>
      </c>
    </row>
    <row r="170" spans="2:5" x14ac:dyDescent="0.25">
      <c r="B170" s="19" t="s">
        <v>419</v>
      </c>
      <c r="C170" s="19" t="s">
        <v>830</v>
      </c>
      <c r="D170" s="19">
        <f>COUNTIFS('C COSTOS ESTADO FINANCIERO'!$D:$D,B170,'C COSTOS ESTADO FINANCIERO'!$J:$J,"ACTIVO")</f>
        <v>10</v>
      </c>
      <c r="E170" s="19" t="str">
        <f>IF(COUNTIF('CENTROS DE COSTOS UTILIZADOS'!$B:$B,B170)&gt;0,"SÍ","NO")</f>
        <v>SÍ</v>
      </c>
    </row>
    <row r="171" spans="2:5" x14ac:dyDescent="0.25">
      <c r="B171" s="19" t="s">
        <v>413</v>
      </c>
      <c r="C171" s="19" t="s">
        <v>831</v>
      </c>
      <c r="D171" s="19">
        <f>COUNTIFS('C COSTOS ESTADO FINANCIERO'!$D:$D,B171,'C COSTOS ESTADO FINANCIERO'!$J:$J,"ACTIVO")</f>
        <v>1</v>
      </c>
      <c r="E171" s="19" t="str">
        <f>IF(COUNTIF('CENTROS DE COSTOS UTILIZADOS'!$B:$B,B171)&gt;0,"SÍ","NO")</f>
        <v>SÍ</v>
      </c>
    </row>
    <row r="172" spans="2:5" x14ac:dyDescent="0.25">
      <c r="B172" s="19" t="s">
        <v>370</v>
      </c>
      <c r="C172" s="19" t="s">
        <v>832</v>
      </c>
      <c r="D172" s="19">
        <f>COUNTIFS('C COSTOS ESTADO FINANCIERO'!$D:$D,B172,'C COSTOS ESTADO FINANCIERO'!$J:$J,"ACTIVO")</f>
        <v>1</v>
      </c>
      <c r="E172" s="19" t="str">
        <f>IF(COUNTIF('CENTROS DE COSTOS UTILIZADOS'!$B:$B,B172)&gt;0,"SÍ","NO")</f>
        <v>SÍ</v>
      </c>
    </row>
    <row r="173" spans="2:5" x14ac:dyDescent="0.25">
      <c r="B173" s="19" t="s">
        <v>1055</v>
      </c>
      <c r="C173" s="19" t="s">
        <v>1056</v>
      </c>
      <c r="D173" s="19">
        <f>COUNTIFS('C COSTOS ESTADO FINANCIERO'!$D:$D,B173,'C COSTOS ESTADO FINANCIERO'!$J:$J,"ACTIVO")</f>
        <v>0</v>
      </c>
      <c r="E173" s="19" t="str">
        <f>IF(COUNTIF('CENTROS DE COSTOS UTILIZADOS'!$B:$B,B173)&gt;0,"SÍ","NO")</f>
        <v>NO</v>
      </c>
    </row>
    <row r="174" spans="2:5" x14ac:dyDescent="0.25">
      <c r="B174" s="19" t="s">
        <v>1057</v>
      </c>
      <c r="C174" s="19" t="s">
        <v>1058</v>
      </c>
      <c r="D174" s="19">
        <f>COUNTIFS('C COSTOS ESTADO FINANCIERO'!$D:$D,B174,'C COSTOS ESTADO FINANCIERO'!$J:$J,"ACTIVO")</f>
        <v>0</v>
      </c>
      <c r="E174" s="19" t="str">
        <f>IF(COUNTIF('CENTROS DE COSTOS UTILIZADOS'!$B:$B,B174)&gt;0,"SÍ","NO")</f>
        <v>NO</v>
      </c>
    </row>
    <row r="175" spans="2:5" x14ac:dyDescent="0.25">
      <c r="B175" s="19" t="s">
        <v>1059</v>
      </c>
      <c r="C175" s="19" t="s">
        <v>1060</v>
      </c>
      <c r="D175" s="19">
        <f>COUNTIFS('C COSTOS ESTADO FINANCIERO'!$D:$D,B175,'C COSTOS ESTADO FINANCIERO'!$J:$J,"ACTIVO")</f>
        <v>0</v>
      </c>
      <c r="E175" s="19" t="str">
        <f>IF(COUNTIF('CENTROS DE COSTOS UTILIZADOS'!$B:$B,B175)&gt;0,"SÍ","NO")</f>
        <v>NO</v>
      </c>
    </row>
    <row r="176" spans="2:5" x14ac:dyDescent="0.25">
      <c r="B176" s="19" t="s">
        <v>375</v>
      </c>
      <c r="C176" s="19" t="s">
        <v>833</v>
      </c>
      <c r="D176" s="19">
        <f>COUNTIFS('C COSTOS ESTADO FINANCIERO'!$D:$D,B176,'C COSTOS ESTADO FINANCIERO'!$J:$J,"ACTIVO")</f>
        <v>1</v>
      </c>
      <c r="E176" s="19" t="str">
        <f>IF(COUNTIF('CENTROS DE COSTOS UTILIZADOS'!$B:$B,B176)&gt;0,"SÍ","NO")</f>
        <v>SÍ</v>
      </c>
    </row>
    <row r="177" spans="2:5" x14ac:dyDescent="0.25">
      <c r="B177" s="19" t="s">
        <v>1061</v>
      </c>
      <c r="C177" s="19" t="s">
        <v>1062</v>
      </c>
      <c r="D177" s="19">
        <f>COUNTIFS('C COSTOS ESTADO FINANCIERO'!$D:$D,B177,'C COSTOS ESTADO FINANCIERO'!$J:$J,"ACTIVO")</f>
        <v>0</v>
      </c>
      <c r="E177" s="19" t="str">
        <f>IF(COUNTIF('CENTROS DE COSTOS UTILIZADOS'!$B:$B,B177)&gt;0,"SÍ","NO")</f>
        <v>NO</v>
      </c>
    </row>
    <row r="178" spans="2:5" x14ac:dyDescent="0.25">
      <c r="B178" s="19" t="s">
        <v>396</v>
      </c>
      <c r="C178" s="19" t="s">
        <v>834</v>
      </c>
      <c r="D178" s="19">
        <f>COUNTIFS('C COSTOS ESTADO FINANCIERO'!$D:$D,B178,'C COSTOS ESTADO FINANCIERO'!$J:$J,"ACTIVO")</f>
        <v>9</v>
      </c>
      <c r="E178" s="19" t="str">
        <f>IF(COUNTIF('CENTROS DE COSTOS UTILIZADOS'!$B:$B,B178)&gt;0,"SÍ","NO")</f>
        <v>SÍ</v>
      </c>
    </row>
    <row r="179" spans="2:5" x14ac:dyDescent="0.25">
      <c r="B179" s="19" t="s">
        <v>461</v>
      </c>
      <c r="C179" s="19" t="s">
        <v>835</v>
      </c>
      <c r="D179" s="19">
        <f>COUNTIFS('C COSTOS ESTADO FINANCIERO'!$D:$D,B179,'C COSTOS ESTADO FINANCIERO'!$J:$J,"ACTIVO")</f>
        <v>2</v>
      </c>
      <c r="E179" s="19" t="str">
        <f>IF(COUNTIF('CENTROS DE COSTOS UTILIZADOS'!$B:$B,B179)&gt;0,"SÍ","NO")</f>
        <v>SÍ</v>
      </c>
    </row>
    <row r="180" spans="2:5" x14ac:dyDescent="0.25">
      <c r="B180" s="19" t="s">
        <v>1063</v>
      </c>
      <c r="C180" s="19" t="s">
        <v>1064</v>
      </c>
      <c r="D180" s="19">
        <f>COUNTIFS('C COSTOS ESTADO FINANCIERO'!$D:$D,B180,'C COSTOS ESTADO FINANCIERO'!$J:$J,"ACTIVO")</f>
        <v>0</v>
      </c>
      <c r="E180" s="19" t="str">
        <f>IF(COUNTIF('CENTROS DE COSTOS UTILIZADOS'!$B:$B,B180)&gt;0,"SÍ","NO")</f>
        <v>NO</v>
      </c>
    </row>
    <row r="181" spans="2:5" x14ac:dyDescent="0.25">
      <c r="B181" s="19" t="s">
        <v>387</v>
      </c>
      <c r="C181" s="19" t="s">
        <v>836</v>
      </c>
      <c r="D181" s="19">
        <f>COUNTIFS('C COSTOS ESTADO FINANCIERO'!$D:$D,B181,'C COSTOS ESTADO FINANCIERO'!$J:$J,"ACTIVO")</f>
        <v>1</v>
      </c>
      <c r="E181" s="19" t="str">
        <f>IF(COUNTIF('CENTROS DE COSTOS UTILIZADOS'!$B:$B,B181)&gt;0,"SÍ","NO")</f>
        <v>SÍ</v>
      </c>
    </row>
    <row r="182" spans="2:5" x14ac:dyDescent="0.25">
      <c r="B182" s="19" t="s">
        <v>384</v>
      </c>
      <c r="C182" s="19" t="s">
        <v>837</v>
      </c>
      <c r="D182" s="19">
        <f>COUNTIFS('C COSTOS ESTADO FINANCIERO'!$D:$D,B182,'C COSTOS ESTADO FINANCIERO'!$J:$J,"ACTIVO")</f>
        <v>1</v>
      </c>
      <c r="E182" s="19" t="str">
        <f>IF(COUNTIF('CENTROS DE COSTOS UTILIZADOS'!$B:$B,B182)&gt;0,"SÍ","NO")</f>
        <v>SÍ</v>
      </c>
    </row>
    <row r="183" spans="2:5" x14ac:dyDescent="0.25">
      <c r="B183" s="19" t="s">
        <v>1065</v>
      </c>
      <c r="C183" s="19" t="s">
        <v>1066</v>
      </c>
      <c r="D183" s="19">
        <f>COUNTIFS('C COSTOS ESTADO FINANCIERO'!$D:$D,B183,'C COSTOS ESTADO FINANCIERO'!$J:$J,"ACTIVO")</f>
        <v>0</v>
      </c>
      <c r="E183" s="19" t="str">
        <f>IF(COUNTIF('CENTROS DE COSTOS UTILIZADOS'!$B:$B,B183)&gt;0,"SÍ","NO")</f>
        <v>NO</v>
      </c>
    </row>
    <row r="184" spans="2:5" x14ac:dyDescent="0.25">
      <c r="B184" s="19" t="s">
        <v>401</v>
      </c>
      <c r="C184" s="19" t="s">
        <v>838</v>
      </c>
      <c r="D184" s="19">
        <f>COUNTIFS('C COSTOS ESTADO FINANCIERO'!$D:$D,B184,'C COSTOS ESTADO FINANCIERO'!$J:$J,"ACTIVO")</f>
        <v>1</v>
      </c>
      <c r="E184" s="19" t="str">
        <f>IF(COUNTIF('CENTROS DE COSTOS UTILIZADOS'!$B:$B,B184)&gt;0,"SÍ","NO")</f>
        <v>SÍ</v>
      </c>
    </row>
    <row r="185" spans="2:5" x14ac:dyDescent="0.25">
      <c r="B185" s="19" t="s">
        <v>121</v>
      </c>
      <c r="C185" s="19" t="s">
        <v>1067</v>
      </c>
      <c r="D185" s="19">
        <f>COUNTIFS('C COSTOS ESTADO FINANCIERO'!$D:$D,B185,'C COSTOS ESTADO FINANCIERO'!$J:$J,"ACTIVO")</f>
        <v>0</v>
      </c>
      <c r="E185" s="19" t="str">
        <f>IF(COUNTIF('CENTROS DE COSTOS UTILIZADOS'!$B:$B,B185)&gt;0,"SÍ","NO")</f>
        <v>NO</v>
      </c>
    </row>
    <row r="186" spans="2:5" x14ac:dyDescent="0.25">
      <c r="B186" s="19" t="s">
        <v>1068</v>
      </c>
      <c r="C186" s="19" t="s">
        <v>1069</v>
      </c>
      <c r="D186" s="19">
        <f>COUNTIFS('C COSTOS ESTADO FINANCIERO'!$D:$D,B186,'C COSTOS ESTADO FINANCIERO'!$J:$J,"ACTIVO")</f>
        <v>0</v>
      </c>
      <c r="E186" s="19" t="str">
        <f>IF(COUNTIF('CENTROS DE COSTOS UTILIZADOS'!$B:$B,B186)&gt;0,"SÍ","NO")</f>
        <v>NO</v>
      </c>
    </row>
    <row r="187" spans="2:5" x14ac:dyDescent="0.25">
      <c r="B187" s="19" t="s">
        <v>466</v>
      </c>
      <c r="C187" s="19" t="s">
        <v>839</v>
      </c>
      <c r="D187" s="19">
        <f>COUNTIFS('C COSTOS ESTADO FINANCIERO'!$D:$D,B187,'C COSTOS ESTADO FINANCIERO'!$J:$J,"ACTIVO")</f>
        <v>2</v>
      </c>
      <c r="E187" s="19" t="str">
        <f>IF(COUNTIF('CENTROS DE COSTOS UTILIZADOS'!$B:$B,B187)&gt;0,"SÍ","NO")</f>
        <v>SÍ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0"/>
  <sheetViews>
    <sheetView zoomScaleNormal="100" workbookViewId="0">
      <pane ySplit="1" topLeftCell="A2" activePane="bottomLeft" state="frozen"/>
      <selection pane="bottomLeft" activeCell="B7" sqref="B7"/>
    </sheetView>
  </sheetViews>
  <sheetFormatPr baseColWidth="10" defaultColWidth="8.7109375" defaultRowHeight="15" x14ac:dyDescent="0.25"/>
  <cols>
    <col min="1" max="1" width="18.140625" customWidth="1"/>
    <col min="2" max="2" width="52" customWidth="1"/>
    <col min="3" max="3" width="13" customWidth="1"/>
    <col min="4" max="4" width="45.5703125" customWidth="1"/>
    <col min="5" max="5" width="30" customWidth="1"/>
    <col min="6" max="6" width="26" customWidth="1"/>
    <col min="7" max="7" width="13" customWidth="1"/>
  </cols>
  <sheetData>
    <row r="1" spans="1:7" ht="31.5" customHeight="1" x14ac:dyDescent="0.25">
      <c r="A1" s="12" t="s">
        <v>1070</v>
      </c>
      <c r="B1" s="12" t="s">
        <v>1071</v>
      </c>
      <c r="C1" s="12" t="s">
        <v>1072</v>
      </c>
      <c r="D1" s="12" t="s">
        <v>1073</v>
      </c>
      <c r="E1" s="12" t="s">
        <v>1074</v>
      </c>
      <c r="F1" s="12" t="s">
        <v>1075</v>
      </c>
      <c r="G1" s="12" t="s">
        <v>1076</v>
      </c>
    </row>
    <row r="2" spans="1:7" x14ac:dyDescent="0.25">
      <c r="A2" s="20">
        <f>'C COSTOS ESTADO FINANCIERO'!A2</f>
        <v>1020101</v>
      </c>
      <c r="B2" s="20" t="str">
        <f>'C COSTOS ESTADO FINANCIERO'!B2</f>
        <v>HSLA-ARAUQUITA-CONSULTA Y PROCEDIMIENTOS</v>
      </c>
      <c r="C2" s="20" t="str">
        <f>'C COSTOS ESTADO FINANCIERO'!D2</f>
        <v>B01</v>
      </c>
      <c r="D2" s="20" t="str">
        <f>'C COSTOS ESTADO FINANCIERO'!E2</f>
        <v>CONSULTA URGENCIAS</v>
      </c>
      <c r="E2" s="20" t="str">
        <f>'C COSTOS ESTADO FINANCIERO'!I2</f>
        <v>HSLA - Arauquita</v>
      </c>
      <c r="F2" s="20" t="str">
        <f>'C COSTOS ESTADO FINANCIERO'!H2</f>
        <v>PRODUCTIVO (final)</v>
      </c>
      <c r="G2" s="20" t="str">
        <f>'C COSTOS ESTADO FINANCIERO'!J2</f>
        <v>ACTIVO</v>
      </c>
    </row>
    <row r="3" spans="1:7" x14ac:dyDescent="0.25">
      <c r="A3" s="20">
        <f>'C COSTOS ESTADO FINANCIERO'!A3</f>
        <v>1020102</v>
      </c>
      <c r="B3" s="20" t="str">
        <f>'C COSTOS ESTADO FINANCIERO'!B3</f>
        <v>HSLA-ARAUQUITA-OBSERVACIONES</v>
      </c>
      <c r="C3" s="20" t="str">
        <f>'C COSTOS ESTADO FINANCIERO'!D3</f>
        <v>B02</v>
      </c>
      <c r="D3" s="20" t="str">
        <f>'C COSTOS ESTADO FINANCIERO'!E3</f>
        <v>OBSERVACIÓN</v>
      </c>
      <c r="E3" s="20" t="str">
        <f>'C COSTOS ESTADO FINANCIERO'!I3</f>
        <v>HSLA - Arauquita</v>
      </c>
      <c r="F3" s="20" t="str">
        <f>'C COSTOS ESTADO FINANCIERO'!H3</f>
        <v>PRODUCTIVO (final)</v>
      </c>
      <c r="G3" s="20" t="str">
        <f>'C COSTOS ESTADO FINANCIERO'!J3</f>
        <v>ACTIVO</v>
      </c>
    </row>
    <row r="4" spans="1:7" x14ac:dyDescent="0.25">
      <c r="A4" s="20">
        <f>'C COSTOS ESTADO FINANCIERO'!A4</f>
        <v>1020201</v>
      </c>
      <c r="B4" s="20" t="str">
        <f>'C COSTOS ESTADO FINANCIERO'!B4</f>
        <v>HSLA-ARAUQUITA-CONSULTA EXTERNA</v>
      </c>
      <c r="C4" s="20" t="str">
        <f>'C COSTOS ESTADO FINANCIERO'!D4</f>
        <v>A10</v>
      </c>
      <c r="D4" s="20" t="str">
        <f>'C COSTOS ESTADO FINANCIERO'!E4</f>
        <v>MEDICINA GENERAL</v>
      </c>
      <c r="E4" s="20" t="str">
        <f>'C COSTOS ESTADO FINANCIERO'!I4</f>
        <v>HSLA - Arauquita</v>
      </c>
      <c r="F4" s="20" t="str">
        <f>'C COSTOS ESTADO FINANCIERO'!H4</f>
        <v>PRODUCTIVO (final)</v>
      </c>
      <c r="G4" s="20" t="str">
        <f>'C COSTOS ESTADO FINANCIERO'!J4</f>
        <v>ACTIVO</v>
      </c>
    </row>
    <row r="5" spans="1:7" x14ac:dyDescent="0.25">
      <c r="A5" s="20">
        <f>'C COSTOS ESTADO FINANCIERO'!A5</f>
        <v>1020202</v>
      </c>
      <c r="B5" s="20" t="str">
        <f>'C COSTOS ESTADO FINANCIERO'!B5</f>
        <v>HSLA-ARAUQUITA-CONSULTA ESPECIALIZADA</v>
      </c>
      <c r="C5" s="20" t="str">
        <f>'C COSTOS ESTADO FINANCIERO'!D5</f>
        <v>A32</v>
      </c>
      <c r="D5" s="20" t="str">
        <f>'C COSTOS ESTADO FINANCIERO'!E5</f>
        <v>OTRAS CONSULTAS Y PROCEDIMIENTOS</v>
      </c>
      <c r="E5" s="20" t="str">
        <f>'C COSTOS ESTADO FINANCIERO'!I5</f>
        <v>HSLA - Arauquita</v>
      </c>
      <c r="F5" s="20" t="str">
        <f>'C COSTOS ESTADO FINANCIERO'!H5</f>
        <v>PRODUCTIVO (final)</v>
      </c>
      <c r="G5" s="20" t="str">
        <f>'C COSTOS ESTADO FINANCIERO'!J5</f>
        <v>ACTIVO</v>
      </c>
    </row>
    <row r="6" spans="1:7" x14ac:dyDescent="0.25">
      <c r="A6" s="20">
        <f>'C COSTOS ESTADO FINANCIERO'!A6</f>
        <v>1020203</v>
      </c>
      <c r="B6" s="20" t="str">
        <f>'C COSTOS ESTADO FINANCIERO'!B6</f>
        <v>HSLA-ARAUQUITA-SALUD ORAL</v>
      </c>
      <c r="C6" s="20" t="str">
        <f>'C COSTOS ESTADO FINANCIERO'!D6</f>
        <v>E01</v>
      </c>
      <c r="D6" s="20" t="str">
        <f>'C COSTOS ESTADO FINANCIERO'!E6</f>
        <v>ODONTOLOGÍA GENERAL</v>
      </c>
      <c r="E6" s="20" t="str">
        <f>'C COSTOS ESTADO FINANCIERO'!I6</f>
        <v>HSLA - Arauquita</v>
      </c>
      <c r="F6" s="20" t="str">
        <f>'C COSTOS ESTADO FINANCIERO'!H6</f>
        <v>PRODUCTIVO (final)</v>
      </c>
      <c r="G6" s="20" t="str">
        <f>'C COSTOS ESTADO FINANCIERO'!J6</f>
        <v>ACTIVO</v>
      </c>
    </row>
    <row r="7" spans="1:7" x14ac:dyDescent="0.25">
      <c r="A7" s="20">
        <f>'C COSTOS ESTADO FINANCIERO'!A7</f>
        <v>1020204</v>
      </c>
      <c r="B7" s="20" t="str">
        <f>'C COSTOS ESTADO FINANCIERO'!B7</f>
        <v>HSLA-ARAUQUITA-PROMOCION Y MANTENIMIENTO</v>
      </c>
      <c r="C7" s="20" t="str">
        <f>'C COSTOS ESTADO FINANCIERO'!D7</f>
        <v>N03</v>
      </c>
      <c r="D7" s="20" t="str">
        <f>'C COSTOS ESTADO FINANCIERO'!E7</f>
        <v>PROMOCIÓN Y PREVENCIÓN</v>
      </c>
      <c r="E7" s="20" t="str">
        <f>'C COSTOS ESTADO FINANCIERO'!I7</f>
        <v>HSLA - Arauquita</v>
      </c>
      <c r="F7" s="20" t="str">
        <f>'C COSTOS ESTADO FINANCIERO'!H7</f>
        <v>PRODUCTIVO (final)</v>
      </c>
      <c r="G7" s="20" t="str">
        <f>'C COSTOS ESTADO FINANCIERO'!J7</f>
        <v>ACTIVO</v>
      </c>
    </row>
    <row r="8" spans="1:7" x14ac:dyDescent="0.25">
      <c r="A8" s="20">
        <f>'C COSTOS ESTADO FINANCIERO'!A8</f>
        <v>1020205</v>
      </c>
      <c r="B8" s="20" t="str">
        <f>'C COSTOS ESTADO FINANCIERO'!B8</f>
        <v>HSLA-ARAUQUITA-OTRAS ACTIVIDADES EXTRAMURALES</v>
      </c>
      <c r="C8" s="20" t="str">
        <f>'C COSTOS ESTADO FINANCIERO'!D8</f>
        <v>K25</v>
      </c>
      <c r="D8" s="20" t="str">
        <f>'C COSTOS ESTADO FINANCIERO'!E8</f>
        <v>SALUD PUBLICA</v>
      </c>
      <c r="E8" s="20" t="str">
        <f>'C COSTOS ESTADO FINANCIERO'!I8</f>
        <v>HSLA - Arauquita</v>
      </c>
      <c r="F8" s="20" t="str">
        <f>'C COSTOS ESTADO FINANCIERO'!H8</f>
        <v>PRODUCTIVO (final)</v>
      </c>
      <c r="G8" s="20" t="str">
        <f>'C COSTOS ESTADO FINANCIERO'!J8</f>
        <v>ACTIVO</v>
      </c>
    </row>
    <row r="9" spans="1:7" x14ac:dyDescent="0.25">
      <c r="A9" s="20">
        <f>'C COSTOS ESTADO FINANCIERO'!A9</f>
        <v>1020301</v>
      </c>
      <c r="B9" s="20" t="str">
        <f>'C COSTOS ESTADO FINANCIERO'!B9</f>
        <v>HSLA-ARAUQUITA-HOSPITALACION-ESTANCIA GENERAL</v>
      </c>
      <c r="C9" s="20" t="str">
        <f>'C COSTOS ESTADO FINANCIERO'!D9</f>
        <v>I01</v>
      </c>
      <c r="D9" s="20" t="str">
        <f>'C COSTOS ESTADO FINANCIERO'!E9</f>
        <v>HOSPITALIZACIÓN GENERAL</v>
      </c>
      <c r="E9" s="20" t="str">
        <f>'C COSTOS ESTADO FINANCIERO'!I9</f>
        <v>HSLA - Arauquita</v>
      </c>
      <c r="F9" s="20" t="str">
        <f>'C COSTOS ESTADO FINANCIERO'!H9</f>
        <v>PRODUCTIVO (final)</v>
      </c>
      <c r="G9" s="20" t="str">
        <f>'C COSTOS ESTADO FINANCIERO'!J9</f>
        <v>ACTIVO</v>
      </c>
    </row>
    <row r="10" spans="1:7" x14ac:dyDescent="0.25">
      <c r="A10" s="20">
        <f>'C COSTOS ESTADO FINANCIERO'!A10</f>
        <v>1020302</v>
      </c>
      <c r="B10" s="20" t="str">
        <f>'C COSTOS ESTADO FINANCIERO'!B10</f>
        <v>HSLA-ARAUQUITA-CUIDADOS INTENSIVOS</v>
      </c>
      <c r="C10" s="20" t="str">
        <f>'C COSTOS ESTADO FINANCIERO'!D10</f>
        <v>J02</v>
      </c>
      <c r="D10" s="20" t="str">
        <f>'C COSTOS ESTADO FINANCIERO'!E10</f>
        <v>UCI ADULTOS</v>
      </c>
      <c r="E10" s="20" t="str">
        <f>'C COSTOS ESTADO FINANCIERO'!I10</f>
        <v>HSLA - Arauquita</v>
      </c>
      <c r="F10" s="20" t="str">
        <f>'C COSTOS ESTADO FINANCIERO'!H10</f>
        <v>PRODUCTIVO (final)</v>
      </c>
      <c r="G10" s="20" t="str">
        <f>'C COSTOS ESTADO FINANCIERO'!J10</f>
        <v>NO APLICA</v>
      </c>
    </row>
    <row r="11" spans="1:7" x14ac:dyDescent="0.25">
      <c r="A11" s="20">
        <f>'C COSTOS ESTADO FINANCIERO'!A11</f>
        <v>1020303</v>
      </c>
      <c r="B11" s="20" t="str">
        <f>'C COSTOS ESTADO FINANCIERO'!B11</f>
        <v>HSLA-ARAUQUITA-CUIDADOS INTERMEDIOS</v>
      </c>
      <c r="C11" s="20" t="str">
        <f>'C COSTOS ESTADO FINANCIERO'!D11</f>
        <v>J05</v>
      </c>
      <c r="D11" s="20" t="str">
        <f>'C COSTOS ESTADO FINANCIERO'!E11</f>
        <v>UCI INTERMEDIOS ADULTOS</v>
      </c>
      <c r="E11" s="20" t="str">
        <f>'C COSTOS ESTADO FINANCIERO'!I11</f>
        <v>HSLA - Arauquita</v>
      </c>
      <c r="F11" s="20" t="str">
        <f>'C COSTOS ESTADO FINANCIERO'!H11</f>
        <v>PRODUCTIVO (final)</v>
      </c>
      <c r="G11" s="20" t="str">
        <f>'C COSTOS ESTADO FINANCIERO'!J11</f>
        <v>NO APLICA</v>
      </c>
    </row>
    <row r="12" spans="1:7" x14ac:dyDescent="0.25">
      <c r="A12" s="20">
        <f>'C COSTOS ESTADO FINANCIERO'!A12</f>
        <v>1020304</v>
      </c>
      <c r="B12" s="20" t="str">
        <f>'C COSTOS ESTADO FINANCIERO'!B12</f>
        <v>HSLA-ARAUQUITA-RECIEN NACIDOS</v>
      </c>
      <c r="C12" s="20" t="str">
        <f>'C COSTOS ESTADO FINANCIERO'!D12</f>
        <v>J09</v>
      </c>
      <c r="D12" s="20" t="str">
        <f>'C COSTOS ESTADO FINANCIERO'!E12</f>
        <v>UNIDAD DE RECIÉN NACIDOS</v>
      </c>
      <c r="E12" s="20" t="str">
        <f>'C COSTOS ESTADO FINANCIERO'!I12</f>
        <v>HSLA - Arauquita</v>
      </c>
      <c r="F12" s="20" t="str">
        <f>'C COSTOS ESTADO FINANCIERO'!H12</f>
        <v>PRODUCTIVO (final)</v>
      </c>
      <c r="G12" s="20" t="str">
        <f>'C COSTOS ESTADO FINANCIERO'!J12</f>
        <v>VERIFICAR</v>
      </c>
    </row>
    <row r="13" spans="1:7" x14ac:dyDescent="0.25">
      <c r="A13" s="20">
        <f>'C COSTOS ESTADO FINANCIERO'!A13</f>
        <v>1020305</v>
      </c>
      <c r="B13" s="20" t="str">
        <f>'C COSTOS ESTADO FINANCIERO'!B13</f>
        <v>HSLA-ARAUQUITA-HOSPITALIZACI.N SALUD MENTAL</v>
      </c>
      <c r="C13" s="20" t="str">
        <f>'C COSTOS ESTADO FINANCIERO'!D13</f>
        <v>J10</v>
      </c>
      <c r="D13" s="20" t="str">
        <f>'C COSTOS ESTADO FINANCIERO'!E13</f>
        <v>UNIDAD SALUD MENTAL Y DESINTOXICACIÓN (BAJA COMPLEJIDAD)</v>
      </c>
      <c r="E13" s="20" t="str">
        <f>'C COSTOS ESTADO FINANCIERO'!I13</f>
        <v>HSLA - Arauquita</v>
      </c>
      <c r="F13" s="20" t="str">
        <f>'C COSTOS ESTADO FINANCIERO'!H13</f>
        <v>PRODUCTIVO (final)</v>
      </c>
      <c r="G13" s="20" t="str">
        <f>'C COSTOS ESTADO FINANCIERO'!J13</f>
        <v>NO APLICA</v>
      </c>
    </row>
    <row r="14" spans="1:7" x14ac:dyDescent="0.25">
      <c r="A14" s="20">
        <f>'C COSTOS ESTADO FINANCIERO'!A14</f>
        <v>1020306</v>
      </c>
      <c r="B14" s="20" t="str">
        <f>'C COSTOS ESTADO FINANCIERO'!B14</f>
        <v>HSLA-ARAUQUITA-QUEMADOS</v>
      </c>
      <c r="C14" s="20" t="str">
        <f>'C COSTOS ESTADO FINANCIERO'!D14</f>
        <v>J08</v>
      </c>
      <c r="D14" s="20" t="str">
        <f>'C COSTOS ESTADO FINANCIERO'!E14</f>
        <v>UNIDAD DE QUEMADOS ADULTOS</v>
      </c>
      <c r="E14" s="20" t="str">
        <f>'C COSTOS ESTADO FINANCIERO'!I14</f>
        <v>HSLA - Arauquita</v>
      </c>
      <c r="F14" s="20" t="str">
        <f>'C COSTOS ESTADO FINANCIERO'!H14</f>
        <v>PRODUCTIVO (final)</v>
      </c>
      <c r="G14" s="20" t="str">
        <f>'C COSTOS ESTADO FINANCIERO'!J14</f>
        <v>NO APLICA</v>
      </c>
    </row>
    <row r="15" spans="1:7" x14ac:dyDescent="0.25">
      <c r="A15" s="20">
        <f>'C COSTOS ESTADO FINANCIERO'!A15</f>
        <v>1020307</v>
      </c>
      <c r="B15" s="20" t="str">
        <f>'C COSTOS ESTADO FINANCIERO'!B15</f>
        <v>HSLA-ARAUQUITA-OTROS CUIDADOS ESPECIALE</v>
      </c>
      <c r="C15" s="20" t="str">
        <f>'C COSTOS ESTADO FINANCIERO'!D15</f>
        <v>J13</v>
      </c>
      <c r="D15" s="20" t="str">
        <f>'C COSTOS ESTADO FINANCIERO'!E15</f>
        <v>OTRAS UNIDADES ESPECIALES</v>
      </c>
      <c r="E15" s="20" t="str">
        <f>'C COSTOS ESTADO FINANCIERO'!I15</f>
        <v>HSLA - Arauquita</v>
      </c>
      <c r="F15" s="20" t="str">
        <f>'C COSTOS ESTADO FINANCIERO'!H15</f>
        <v>PRODUCTIVO (final)</v>
      </c>
      <c r="G15" s="20" t="str">
        <f>'C COSTOS ESTADO FINANCIERO'!J15</f>
        <v>NO APLICA</v>
      </c>
    </row>
    <row r="16" spans="1:7" x14ac:dyDescent="0.25">
      <c r="A16" s="20">
        <f>'C COSTOS ESTADO FINANCIERO'!A16</f>
        <v>1020401</v>
      </c>
      <c r="B16" s="20" t="str">
        <f>'C COSTOS ESTADO FINANCIERO'!B16</f>
        <v>HSLA-ARAUQUITA-QUIROFANOS</v>
      </c>
      <c r="C16" s="20" t="str">
        <f>'C COSTOS ESTADO FINANCIERO'!D16</f>
        <v>C01</v>
      </c>
      <c r="D16" s="20" t="str">
        <f>'C COSTOS ESTADO FINANCIERO'!E16</f>
        <v>CIRUGÍA GENERAL</v>
      </c>
      <c r="E16" s="20" t="str">
        <f>'C COSTOS ESTADO FINANCIERO'!I16</f>
        <v>HSLA - Arauquita</v>
      </c>
      <c r="F16" s="20" t="str">
        <f>'C COSTOS ESTADO FINANCIERO'!H16</f>
        <v>PRODUCTIVO (final)</v>
      </c>
      <c r="G16" s="20" t="str">
        <f>'C COSTOS ESTADO FINANCIERO'!J16</f>
        <v>VERIFICAR</v>
      </c>
    </row>
    <row r="17" spans="1:7" x14ac:dyDescent="0.25">
      <c r="A17" s="20">
        <f>'C COSTOS ESTADO FINANCIERO'!A17</f>
        <v>1020402</v>
      </c>
      <c r="B17" s="20" t="str">
        <f>'C COSTOS ESTADO FINANCIERO'!B17</f>
        <v>HSLA-ARAUQUITA-SALA DE PARTO</v>
      </c>
      <c r="C17" s="20" t="str">
        <f>'C COSTOS ESTADO FINANCIERO'!D17</f>
        <v>D02</v>
      </c>
      <c r="D17" s="20" t="str">
        <f>'C COSTOS ESTADO FINANCIERO'!E17</f>
        <v>ATENCIÓN DE PARTO BAJA COMPLEJIDAD</v>
      </c>
      <c r="E17" s="20" t="str">
        <f>'C COSTOS ESTADO FINANCIERO'!I17</f>
        <v>HSLA - Arauquita</v>
      </c>
      <c r="F17" s="20" t="str">
        <f>'C COSTOS ESTADO FINANCIERO'!H17</f>
        <v>PRODUCTIVO (final)</v>
      </c>
      <c r="G17" s="20" t="str">
        <f>'C COSTOS ESTADO FINANCIERO'!J17</f>
        <v>ACTIVO</v>
      </c>
    </row>
    <row r="18" spans="1:7" x14ac:dyDescent="0.25">
      <c r="A18" s="20">
        <f>'C COSTOS ESTADO FINANCIERO'!A18</f>
        <v>1020501</v>
      </c>
      <c r="B18" s="20" t="str">
        <f>'C COSTOS ESTADO FINANCIERO'!B18</f>
        <v>HSLA-ARAUQUITA-LABORATORIO CLINICO</v>
      </c>
      <c r="C18" s="20" t="str">
        <f>'C COSTOS ESTADO FINANCIERO'!D18</f>
        <v>L07</v>
      </c>
      <c r="D18" s="20" t="str">
        <f>'C COSTOS ESTADO FINANCIERO'!E18</f>
        <v>LABORATORIO Y ANÁLISIS CLÍNICO</v>
      </c>
      <c r="E18" s="20" t="str">
        <f>'C COSTOS ESTADO FINANCIERO'!I18</f>
        <v>HSLA - Arauquita</v>
      </c>
      <c r="F18" s="20" t="str">
        <f>'C COSTOS ESTADO FINANCIERO'!H18</f>
        <v>APOYO ASISTENCIAL (intermedio)</v>
      </c>
      <c r="G18" s="20" t="str">
        <f>'C COSTOS ESTADO FINANCIERO'!J18</f>
        <v>ACTIVO</v>
      </c>
    </row>
    <row r="19" spans="1:7" x14ac:dyDescent="0.25">
      <c r="A19" s="20">
        <f>'C COSTOS ESTADO FINANCIERO'!A19</f>
        <v>1020502</v>
      </c>
      <c r="B19" s="20" t="str">
        <f>'C COSTOS ESTADO FINANCIERO'!B19</f>
        <v>HSLA-ARAUQUITA-IMAGENOLOGIA</v>
      </c>
      <c r="C19" s="20" t="str">
        <f>'C COSTOS ESTADO FINANCIERO'!D19</f>
        <v>L02</v>
      </c>
      <c r="D19" s="20" t="str">
        <f>'C COSTOS ESTADO FINANCIERO'!E19</f>
        <v>IMAGENEOLOGÍA RADIOLÓGICA</v>
      </c>
      <c r="E19" s="20" t="str">
        <f>'C COSTOS ESTADO FINANCIERO'!I19</f>
        <v>HSLA - Arauquita</v>
      </c>
      <c r="F19" s="20" t="str">
        <f>'C COSTOS ESTADO FINANCIERO'!H19</f>
        <v>APOYO ASISTENCIAL (intermedio)</v>
      </c>
      <c r="G19" s="20" t="str">
        <f>'C COSTOS ESTADO FINANCIERO'!J19</f>
        <v>ACTIVO</v>
      </c>
    </row>
    <row r="20" spans="1:7" x14ac:dyDescent="0.25">
      <c r="A20" s="20">
        <f>'C COSTOS ESTADO FINANCIERO'!A20</f>
        <v>1020503</v>
      </c>
      <c r="B20" s="20" t="str">
        <f>'C COSTOS ESTADO FINANCIERO'!B20</f>
        <v>HSLA-ARAUQUITA-ANATOMIA PATOLOGICA</v>
      </c>
      <c r="C20" s="20" t="str">
        <f>'C COSTOS ESTADO FINANCIERO'!D20</f>
        <v>L01</v>
      </c>
      <c r="D20" s="20" t="str">
        <f>'C COSTOS ESTADO FINANCIERO'!E20</f>
        <v>LABORATORIO ANATOMÍA PATOLÓGICA</v>
      </c>
      <c r="E20" s="20" t="str">
        <f>'C COSTOS ESTADO FINANCIERO'!I20</f>
        <v>HSLA - Arauquita</v>
      </c>
      <c r="F20" s="20" t="str">
        <f>'C COSTOS ESTADO FINANCIERO'!H20</f>
        <v>APOYO ASISTENCIAL (intermedio)</v>
      </c>
      <c r="G20" s="20" t="str">
        <f>'C COSTOS ESTADO FINANCIERO'!J20</f>
        <v>NO APLICA</v>
      </c>
    </row>
    <row r="21" spans="1:7" x14ac:dyDescent="0.25">
      <c r="A21" s="20">
        <f>'C COSTOS ESTADO FINANCIERO'!A21</f>
        <v>1020504</v>
      </c>
      <c r="B21" s="20" t="str">
        <f>'C COSTOS ESTADO FINANCIERO'!B21</f>
        <v>HSLA-ARAUQUITA-OTRAS UNIDADES DE APOYO DIAGNOSTICO</v>
      </c>
      <c r="C21" s="20" t="str">
        <f>'C COSTOS ESTADO FINANCIERO'!D21</f>
        <v>L04</v>
      </c>
      <c r="D21" s="20" t="str">
        <f>'C COSTOS ESTADO FINANCIERO'!E21</f>
        <v>IMAGENOLOGÍA NO RADIOLÓGICA</v>
      </c>
      <c r="E21" s="20" t="str">
        <f>'C COSTOS ESTADO FINANCIERO'!I21</f>
        <v>HSLA - Arauquita</v>
      </c>
      <c r="F21" s="20" t="str">
        <f>'C COSTOS ESTADO FINANCIERO'!H21</f>
        <v>APOYO ASISTENCIAL (intermedio)</v>
      </c>
      <c r="G21" s="20" t="str">
        <f>'C COSTOS ESTADO FINANCIERO'!J21</f>
        <v>VERIFICAR</v>
      </c>
    </row>
    <row r="22" spans="1:7" x14ac:dyDescent="0.25">
      <c r="A22" s="20">
        <f>'C COSTOS ESTADO FINANCIERO'!A22</f>
        <v>1020601</v>
      </c>
      <c r="B22" s="20" t="str">
        <f>'C COSTOS ESTADO FINANCIERO'!B22</f>
        <v>HSLA-ARAUQUITA-REHABILITACION Y TERAPIAS</v>
      </c>
      <c r="C22" s="20" t="str">
        <f>'C COSTOS ESTADO FINANCIERO'!D22</f>
        <v>M06</v>
      </c>
      <c r="D22" s="20" t="str">
        <f>'C COSTOS ESTADO FINANCIERO'!E22</f>
        <v>FISIOTERAPIA Y REHABILITACIÓN</v>
      </c>
      <c r="E22" s="20" t="str">
        <f>'C COSTOS ESTADO FINANCIERO'!I22</f>
        <v>HSLA - Arauquita</v>
      </c>
      <c r="F22" s="20" t="str">
        <f>'C COSTOS ESTADO FINANCIERO'!H22</f>
        <v>APOYO ASISTENCIAL (intermedio)</v>
      </c>
      <c r="G22" s="20" t="str">
        <f>'C COSTOS ESTADO FINANCIERO'!J22</f>
        <v>ACTIVO</v>
      </c>
    </row>
    <row r="23" spans="1:7" x14ac:dyDescent="0.25">
      <c r="A23" s="20">
        <f>'C COSTOS ESTADO FINANCIERO'!A23</f>
        <v>1020602</v>
      </c>
      <c r="B23" s="20" t="str">
        <f>'C COSTOS ESTADO FINANCIERO'!B23</f>
        <v>HSLA-ARAUQUITA-BANCO DE SANGRE</v>
      </c>
      <c r="C23" s="20" t="str">
        <f>'C COSTOS ESTADO FINANCIERO'!D23</f>
        <v>M01</v>
      </c>
      <c r="D23" s="20" t="str">
        <f>'C COSTOS ESTADO FINANCIERO'!E23</f>
        <v>BANCO DE SANGRE</v>
      </c>
      <c r="E23" s="20" t="str">
        <f>'C COSTOS ESTADO FINANCIERO'!I23</f>
        <v>HSLA - Arauquita</v>
      </c>
      <c r="F23" s="20" t="str">
        <f>'C COSTOS ESTADO FINANCIERO'!H23</f>
        <v>APOYO ASISTENCIAL (intermedio)</v>
      </c>
      <c r="G23" s="20" t="str">
        <f>'C COSTOS ESTADO FINANCIERO'!J23</f>
        <v>NO APLICA</v>
      </c>
    </row>
    <row r="24" spans="1:7" x14ac:dyDescent="0.25">
      <c r="A24" s="20">
        <f>'C COSTOS ESTADO FINANCIERO'!A24</f>
        <v>1020603</v>
      </c>
      <c r="B24" s="20" t="str">
        <f>'C COSTOS ESTADO FINANCIERO'!B24</f>
        <v>HSLA-ARAUQUITA-UNIDAD RENAL</v>
      </c>
      <c r="C24" s="20" t="str">
        <f>'C COSTOS ESTADO FINANCIERO'!D24</f>
        <v>M03</v>
      </c>
      <c r="D24" s="20" t="str">
        <f>'C COSTOS ESTADO FINANCIERO'!E24</f>
        <v>TERAPIA RENAL</v>
      </c>
      <c r="E24" s="20" t="str">
        <f>'C COSTOS ESTADO FINANCIERO'!I24</f>
        <v>HSLA - Arauquita</v>
      </c>
      <c r="F24" s="20" t="str">
        <f>'C COSTOS ESTADO FINANCIERO'!H24</f>
        <v>APOYO ASISTENCIAL (intermedio)</v>
      </c>
      <c r="G24" s="20" t="str">
        <f>'C COSTOS ESTADO FINANCIERO'!J24</f>
        <v>NO APLICA</v>
      </c>
    </row>
    <row r="25" spans="1:7" x14ac:dyDescent="0.25">
      <c r="A25" s="20">
        <f>'C COSTOS ESTADO FINANCIERO'!A25</f>
        <v>1020604</v>
      </c>
      <c r="B25" s="20" t="str">
        <f>'C COSTOS ESTADO FINANCIERO'!B25</f>
        <v>HSLA-ARAUQUITA-UNIDAD HEMODINAMIA</v>
      </c>
      <c r="C25" s="20" t="str">
        <f>'C COSTOS ESTADO FINANCIERO'!D25</f>
        <v>C05</v>
      </c>
      <c r="D25" s="20" t="str">
        <f>'C COSTOS ESTADO FINANCIERO'!E25</f>
        <v>CARDIOVASCULAR</v>
      </c>
      <c r="E25" s="20" t="str">
        <f>'C COSTOS ESTADO FINANCIERO'!I25</f>
        <v>HSLA - Arauquita</v>
      </c>
      <c r="F25" s="20" t="str">
        <f>'C COSTOS ESTADO FINANCIERO'!H25</f>
        <v>PRODUCTIVO (final)</v>
      </c>
      <c r="G25" s="20" t="str">
        <f>'C COSTOS ESTADO FINANCIERO'!J25</f>
        <v>NO APLICA</v>
      </c>
    </row>
    <row r="26" spans="1:7" x14ac:dyDescent="0.25">
      <c r="A26" s="20">
        <f>'C COSTOS ESTADO FINANCIERO'!A26</f>
        <v>1020605</v>
      </c>
      <c r="B26" s="20" t="str">
        <f>'C COSTOS ESTADO FINANCIERO'!B26</f>
        <v>HSLA-ARAUQUITA-TERAPIAS ONCOLOGICAS</v>
      </c>
      <c r="C26" s="20" t="str">
        <f>'C COSTOS ESTADO FINANCIERO'!D26</f>
        <v>M07</v>
      </c>
      <c r="D26" s="20" t="str">
        <f>'C COSTOS ESTADO FINANCIERO'!E26</f>
        <v>OTRAS TERAPIAS</v>
      </c>
      <c r="E26" s="20" t="str">
        <f>'C COSTOS ESTADO FINANCIERO'!I26</f>
        <v>HSLA - Arauquita</v>
      </c>
      <c r="F26" s="20" t="str">
        <f>'C COSTOS ESTADO FINANCIERO'!H26</f>
        <v>APOYO ASISTENCIAL (intermedio)</v>
      </c>
      <c r="G26" s="20" t="str">
        <f>'C COSTOS ESTADO FINANCIERO'!J26</f>
        <v>NO APLICA</v>
      </c>
    </row>
    <row r="27" spans="1:7" x14ac:dyDescent="0.25">
      <c r="A27" s="20">
        <f>'C COSTOS ESTADO FINANCIERO'!A27</f>
        <v>1020606</v>
      </c>
      <c r="B27" s="20" t="str">
        <f>'C COSTOS ESTADO FINANCIERO'!B27</f>
        <v>HSLA-ARAUQUITA-FARMACIA E INSUMOS HOPITALARIOS</v>
      </c>
      <c r="C27" s="20" t="str">
        <f>'C COSTOS ESTADO FINANCIERO'!D27</f>
        <v>M05</v>
      </c>
      <c r="D27" s="20" t="str">
        <f>'C COSTOS ESTADO FINANCIERO'!E27</f>
        <v>FARMACIA</v>
      </c>
      <c r="E27" s="20" t="str">
        <f>'C COSTOS ESTADO FINANCIERO'!I27</f>
        <v>HSLA - Arauquita</v>
      </c>
      <c r="F27" s="20" t="str">
        <f>'C COSTOS ESTADO FINANCIERO'!H27</f>
        <v>APOYO ASISTENCIAL (intermedio)</v>
      </c>
      <c r="G27" s="20" t="str">
        <f>'C COSTOS ESTADO FINANCIERO'!J27</f>
        <v>ACTIVO</v>
      </c>
    </row>
    <row r="28" spans="1:7" x14ac:dyDescent="0.25">
      <c r="A28" s="20">
        <f>'C COSTOS ESTADO FINANCIERO'!A28</f>
        <v>1020607</v>
      </c>
      <c r="B28" s="20" t="str">
        <f>'C COSTOS ESTADO FINANCIERO'!B28</f>
        <v>HSLA-ARAUQUITA-OTRAS UNIDADES DE APOYO TERAPEUTICO</v>
      </c>
      <c r="C28" s="20" t="str">
        <f>'C COSTOS ESTADO FINANCIERO'!D28</f>
        <v>M07</v>
      </c>
      <c r="D28" s="20" t="str">
        <f>'C COSTOS ESTADO FINANCIERO'!E28</f>
        <v>OTRAS TERAPIAS</v>
      </c>
      <c r="E28" s="20" t="str">
        <f>'C COSTOS ESTADO FINANCIERO'!I28</f>
        <v>HSLA - Arauquita</v>
      </c>
      <c r="F28" s="20" t="str">
        <f>'C COSTOS ESTADO FINANCIERO'!H28</f>
        <v>APOYO ASISTENCIAL (intermedio)</v>
      </c>
      <c r="G28" s="20" t="str">
        <f>'C COSTOS ESTADO FINANCIERO'!J28</f>
        <v>VERIFICAR</v>
      </c>
    </row>
    <row r="29" spans="1:7" x14ac:dyDescent="0.25">
      <c r="A29" s="20">
        <f>'C COSTOS ESTADO FINANCIERO'!A29</f>
        <v>1020701</v>
      </c>
      <c r="B29" s="20" t="str">
        <f>'C COSTOS ESTADO FINANCIERO'!B29</f>
        <v>HSLA-ARAUQUITA-ANCIANATOS</v>
      </c>
      <c r="C29" s="20" t="str">
        <f>'C COSTOS ESTADO FINANCIERO'!D29</f>
        <v>J01</v>
      </c>
      <c r="D29" s="20" t="str">
        <f>'C COSTOS ESTADO FINANCIERO'!E29</f>
        <v>ANCIANATOS Y ALBERGUES</v>
      </c>
      <c r="E29" s="20" t="str">
        <f>'C COSTOS ESTADO FINANCIERO'!I29</f>
        <v>HSLA - Arauquita</v>
      </c>
      <c r="F29" s="20" t="str">
        <f>'C COSTOS ESTADO FINANCIERO'!H29</f>
        <v>PRODUCTIVO (final)</v>
      </c>
      <c r="G29" s="20" t="str">
        <f>'C COSTOS ESTADO FINANCIERO'!J29</f>
        <v>NO APLICA</v>
      </c>
    </row>
    <row r="30" spans="1:7" x14ac:dyDescent="0.25">
      <c r="A30" s="20">
        <f>'C COSTOS ESTADO FINANCIERO'!A30</f>
        <v>1020702</v>
      </c>
      <c r="B30" s="20" t="str">
        <f>'C COSTOS ESTADO FINANCIERO'!B30</f>
        <v>HSLA-ARAUQUITA-CENTROS Y PUESTOS DE SALUD</v>
      </c>
      <c r="C30" s="20" t="str">
        <f>'C COSTOS ESTADO FINANCIERO'!D30</f>
        <v>J17</v>
      </c>
      <c r="D30" s="20" t="str">
        <f>'C COSTOS ESTADO FINANCIERO'!E30</f>
        <v>CENTROS Y PUESTOS DE SALUD</v>
      </c>
      <c r="E30" s="20" t="str">
        <f>'C COSTOS ESTADO FINANCIERO'!I30</f>
        <v>HSLA - Arauquita</v>
      </c>
      <c r="F30" s="20" t="str">
        <f>'C COSTOS ESTADO FINANCIERO'!H30</f>
        <v>PRODUCTIVO (final)</v>
      </c>
      <c r="G30" s="20" t="str">
        <f>'C COSTOS ESTADO FINANCIERO'!J30</f>
        <v>ACTIVO</v>
      </c>
    </row>
    <row r="31" spans="1:7" x14ac:dyDescent="0.25">
      <c r="A31" s="20">
        <f>'C COSTOS ESTADO FINANCIERO'!A31</f>
        <v>1020703</v>
      </c>
      <c r="B31" s="20" t="str">
        <f>'C COSTOS ESTADO FINANCIERO'!B31</f>
        <v>HSLA-ARAUQUITA-SERV. DOCENTES</v>
      </c>
      <c r="C31" s="20" t="str">
        <f>'C COSTOS ESTADO FINANCIERO'!D31</f>
        <v>U03</v>
      </c>
      <c r="D31" s="20" t="str">
        <f>'C COSTOS ESTADO FINANCIERO'!E31</f>
        <v>EDUCACIÓN MÉDICA</v>
      </c>
      <c r="E31" s="20" t="str">
        <f>'C COSTOS ESTADO FINANCIERO'!I31</f>
        <v>HSLA - Arauquita</v>
      </c>
      <c r="F31" s="20" t="str">
        <f>'C COSTOS ESTADO FINANCIERO'!H31</f>
        <v>ADMINISTRATIVO</v>
      </c>
      <c r="G31" s="20" t="str">
        <f>'C COSTOS ESTADO FINANCIERO'!J31</f>
        <v>NO APLICA</v>
      </c>
    </row>
    <row r="32" spans="1:7" x14ac:dyDescent="0.25">
      <c r="A32" s="20">
        <f>'C COSTOS ESTADO FINANCIERO'!A32</f>
        <v>1020704</v>
      </c>
      <c r="B32" s="20" t="str">
        <f>'C COSTOS ESTADO FINANCIERO'!B32</f>
        <v>HSLA-ARAUQUITA-SERV. CONEXOS A LA SALUD MEDICINA LEGAL</v>
      </c>
      <c r="C32" s="20" t="str">
        <f>'C COSTOS ESTADO FINANCIERO'!D32</f>
        <v>A32</v>
      </c>
      <c r="D32" s="20" t="str">
        <f>'C COSTOS ESTADO FINANCIERO'!E32</f>
        <v>OTRAS CONSULTAS Y PROCEDIMIENTOS</v>
      </c>
      <c r="E32" s="20" t="str">
        <f>'C COSTOS ESTADO FINANCIERO'!I32</f>
        <v>HSLA - Arauquita</v>
      </c>
      <c r="F32" s="20" t="str">
        <f>'C COSTOS ESTADO FINANCIERO'!H32</f>
        <v>PRODUCTIVO (final)</v>
      </c>
      <c r="G32" s="20" t="str">
        <f>'C COSTOS ESTADO FINANCIERO'!J32</f>
        <v>VERIFICAR</v>
      </c>
    </row>
    <row r="33" spans="1:7" x14ac:dyDescent="0.25">
      <c r="A33" s="20">
        <f>'C COSTOS ESTADO FINANCIERO'!A33</f>
        <v>1020705</v>
      </c>
      <c r="B33" s="20" t="str">
        <f>'C COSTOS ESTADO FINANCIERO'!B33</f>
        <v>HSLA-ARAUQUITA-SERV. CONEXOS A LA SALUD SER. AMBULANC</v>
      </c>
      <c r="C33" s="20" t="str">
        <f>'C COSTOS ESTADO FINANCIERO'!D33</f>
        <v>N08</v>
      </c>
      <c r="D33" s="20" t="str">
        <f>'C COSTOS ESTADO FINANCIERO'!E33</f>
        <v>SERVICIO DE AMBULANCIAS</v>
      </c>
      <c r="E33" s="20" t="str">
        <f>'C COSTOS ESTADO FINANCIERO'!I33</f>
        <v>HSLA - Arauquita</v>
      </c>
      <c r="F33" s="20" t="str">
        <f>'C COSTOS ESTADO FINANCIERO'!H33</f>
        <v>PRODUCTIVO (final)</v>
      </c>
      <c r="G33" s="20" t="str">
        <f>'C COSTOS ESTADO FINANCIERO'!J33</f>
        <v>ACTIVO</v>
      </c>
    </row>
    <row r="34" spans="1:7" x14ac:dyDescent="0.25">
      <c r="A34" s="20">
        <f>'C COSTOS ESTADO FINANCIERO'!A34</f>
        <v>1020706</v>
      </c>
      <c r="B34" s="20" t="str">
        <f>'C COSTOS ESTADO FINANCIERO'!B34</f>
        <v>HSLA-ARAUQUITA-SER. CONEXOS A LA SALUD OTROS SERVICIOS</v>
      </c>
      <c r="C34" s="20" t="str">
        <f>'C COSTOS ESTADO FINANCIERO'!D34</f>
        <v>N04</v>
      </c>
      <c r="D34" s="20" t="str">
        <f>'C COSTOS ESTADO FINANCIERO'!E34</f>
        <v>OTROS ENFERMERÍA</v>
      </c>
      <c r="E34" s="20" t="str">
        <f>'C COSTOS ESTADO FINANCIERO'!I34</f>
        <v>HSLA - Arauquita</v>
      </c>
      <c r="F34" s="20" t="str">
        <f>'C COSTOS ESTADO FINANCIERO'!H34</f>
        <v>APOYO ASISTENCIAL (intermedio)</v>
      </c>
      <c r="G34" s="20" t="str">
        <f>'C COSTOS ESTADO FINANCIERO'!J34</f>
        <v>VERIFICAR</v>
      </c>
    </row>
    <row r="35" spans="1:7" x14ac:dyDescent="0.25">
      <c r="A35" s="20">
        <f>'C COSTOS ESTADO FINANCIERO'!A35</f>
        <v>1030101</v>
      </c>
      <c r="B35" s="20" t="str">
        <f>'C COSTOS ESTADO FINANCIERO'!B35</f>
        <v>HSFF-FORTUL-CONSULTA Y PROCEDIMIENTOS</v>
      </c>
      <c r="C35" s="20" t="str">
        <f>'C COSTOS ESTADO FINANCIERO'!D35</f>
        <v>B01</v>
      </c>
      <c r="D35" s="20" t="str">
        <f>'C COSTOS ESTADO FINANCIERO'!E35</f>
        <v>CONSULTA URGENCIAS</v>
      </c>
      <c r="E35" s="20" t="str">
        <f>'C COSTOS ESTADO FINANCIERO'!I35</f>
        <v>HSFF - Fortul</v>
      </c>
      <c r="F35" s="20" t="str">
        <f>'C COSTOS ESTADO FINANCIERO'!H35</f>
        <v>PRODUCTIVO (final)</v>
      </c>
      <c r="G35" s="20" t="str">
        <f>'C COSTOS ESTADO FINANCIERO'!J35</f>
        <v>ACTIVO</v>
      </c>
    </row>
    <row r="36" spans="1:7" x14ac:dyDescent="0.25">
      <c r="A36" s="20">
        <f>'C COSTOS ESTADO FINANCIERO'!A36</f>
        <v>1030102</v>
      </c>
      <c r="B36" s="20" t="str">
        <f>'C COSTOS ESTADO FINANCIERO'!B36</f>
        <v>HSFF-FORTUL-OBSERVACIONES</v>
      </c>
      <c r="C36" s="20" t="str">
        <f>'C COSTOS ESTADO FINANCIERO'!D36</f>
        <v>B02</v>
      </c>
      <c r="D36" s="20" t="str">
        <f>'C COSTOS ESTADO FINANCIERO'!E36</f>
        <v>OBSERVACIÓN</v>
      </c>
      <c r="E36" s="20" t="str">
        <f>'C COSTOS ESTADO FINANCIERO'!I36</f>
        <v>HSFF - Fortul</v>
      </c>
      <c r="F36" s="20" t="str">
        <f>'C COSTOS ESTADO FINANCIERO'!H36</f>
        <v>PRODUCTIVO (final)</v>
      </c>
      <c r="G36" s="20" t="str">
        <f>'C COSTOS ESTADO FINANCIERO'!J36</f>
        <v>ACTIVO</v>
      </c>
    </row>
    <row r="37" spans="1:7" x14ac:dyDescent="0.25">
      <c r="A37" s="20">
        <f>'C COSTOS ESTADO FINANCIERO'!A37</f>
        <v>1030201</v>
      </c>
      <c r="B37" s="20" t="str">
        <f>'C COSTOS ESTADO FINANCIERO'!B37</f>
        <v>HSFF-FORTUL-CONSULTA EXTERNA</v>
      </c>
      <c r="C37" s="20" t="str">
        <f>'C COSTOS ESTADO FINANCIERO'!D37</f>
        <v>A10</v>
      </c>
      <c r="D37" s="20" t="str">
        <f>'C COSTOS ESTADO FINANCIERO'!E37</f>
        <v>MEDICINA GENERAL</v>
      </c>
      <c r="E37" s="20" t="str">
        <f>'C COSTOS ESTADO FINANCIERO'!I37</f>
        <v>HSFF - Fortul</v>
      </c>
      <c r="F37" s="20" t="str">
        <f>'C COSTOS ESTADO FINANCIERO'!H37</f>
        <v>PRODUCTIVO (final)</v>
      </c>
      <c r="G37" s="20" t="str">
        <f>'C COSTOS ESTADO FINANCIERO'!J37</f>
        <v>ACTIVO</v>
      </c>
    </row>
    <row r="38" spans="1:7" x14ac:dyDescent="0.25">
      <c r="A38" s="20">
        <f>'C COSTOS ESTADO FINANCIERO'!A38</f>
        <v>1030202</v>
      </c>
      <c r="B38" s="20" t="str">
        <f>'C COSTOS ESTADO FINANCIERO'!B38</f>
        <v>HSFF-FORTUL-CONSULTA ESPECIALIZADA</v>
      </c>
      <c r="C38" s="20" t="str">
        <f>'C COSTOS ESTADO FINANCIERO'!D38</f>
        <v>A32</v>
      </c>
      <c r="D38" s="20" t="str">
        <f>'C COSTOS ESTADO FINANCIERO'!E38</f>
        <v>OTRAS CONSULTAS Y PROCEDIMIENTOS</v>
      </c>
      <c r="E38" s="20" t="str">
        <f>'C COSTOS ESTADO FINANCIERO'!I38</f>
        <v>HSFF - Fortul</v>
      </c>
      <c r="F38" s="20" t="str">
        <f>'C COSTOS ESTADO FINANCIERO'!H38</f>
        <v>PRODUCTIVO (final)</v>
      </c>
      <c r="G38" s="20" t="str">
        <f>'C COSTOS ESTADO FINANCIERO'!J38</f>
        <v>ACTIVO</v>
      </c>
    </row>
    <row r="39" spans="1:7" x14ac:dyDescent="0.25">
      <c r="A39" s="20">
        <f>'C COSTOS ESTADO FINANCIERO'!A39</f>
        <v>1030203</v>
      </c>
      <c r="B39" s="20" t="str">
        <f>'C COSTOS ESTADO FINANCIERO'!B39</f>
        <v>HSFF-FORTUL-SALUD ORAL</v>
      </c>
      <c r="C39" s="20" t="str">
        <f>'C COSTOS ESTADO FINANCIERO'!D39</f>
        <v>E01</v>
      </c>
      <c r="D39" s="20" t="str">
        <f>'C COSTOS ESTADO FINANCIERO'!E39</f>
        <v>ODONTOLOGÍA GENERAL</v>
      </c>
      <c r="E39" s="20" t="str">
        <f>'C COSTOS ESTADO FINANCIERO'!I39</f>
        <v>HSFF - Fortul</v>
      </c>
      <c r="F39" s="20" t="str">
        <f>'C COSTOS ESTADO FINANCIERO'!H39</f>
        <v>PRODUCTIVO (final)</v>
      </c>
      <c r="G39" s="20" t="str">
        <f>'C COSTOS ESTADO FINANCIERO'!J39</f>
        <v>ACTIVO</v>
      </c>
    </row>
    <row r="40" spans="1:7" x14ac:dyDescent="0.25">
      <c r="A40" s="20">
        <f>'C COSTOS ESTADO FINANCIERO'!A40</f>
        <v>1030204</v>
      </c>
      <c r="B40" s="20" t="str">
        <f>'C COSTOS ESTADO FINANCIERO'!B40</f>
        <v>HSFF-FORTUL-PROMOCION Y MANTENIMIENTO</v>
      </c>
      <c r="C40" s="20" t="str">
        <f>'C COSTOS ESTADO FINANCIERO'!D40</f>
        <v>N03</v>
      </c>
      <c r="D40" s="20" t="str">
        <f>'C COSTOS ESTADO FINANCIERO'!E40</f>
        <v>PROMOCIÓN Y PREVENCIÓN</v>
      </c>
      <c r="E40" s="20" t="str">
        <f>'C COSTOS ESTADO FINANCIERO'!I40</f>
        <v>HSFF - Fortul</v>
      </c>
      <c r="F40" s="20" t="str">
        <f>'C COSTOS ESTADO FINANCIERO'!H40</f>
        <v>PRODUCTIVO (final)</v>
      </c>
      <c r="G40" s="20" t="str">
        <f>'C COSTOS ESTADO FINANCIERO'!J40</f>
        <v>ACTIVO</v>
      </c>
    </row>
    <row r="41" spans="1:7" x14ac:dyDescent="0.25">
      <c r="A41" s="20">
        <f>'C COSTOS ESTADO FINANCIERO'!A41</f>
        <v>1030205</v>
      </c>
      <c r="B41" s="20" t="str">
        <f>'C COSTOS ESTADO FINANCIERO'!B41</f>
        <v>HSFF-FORTUL-OTRAS ACTIVIDADES EXTRAMURALES</v>
      </c>
      <c r="C41" s="20" t="str">
        <f>'C COSTOS ESTADO FINANCIERO'!D41</f>
        <v>K25</v>
      </c>
      <c r="D41" s="20" t="str">
        <f>'C COSTOS ESTADO FINANCIERO'!E41</f>
        <v>SALUD PUBLICA</v>
      </c>
      <c r="E41" s="20" t="str">
        <f>'C COSTOS ESTADO FINANCIERO'!I41</f>
        <v>HSFF - Fortul</v>
      </c>
      <c r="F41" s="20" t="str">
        <f>'C COSTOS ESTADO FINANCIERO'!H41</f>
        <v>PRODUCTIVO (final)</v>
      </c>
      <c r="G41" s="20" t="str">
        <f>'C COSTOS ESTADO FINANCIERO'!J41</f>
        <v>ACTIVO</v>
      </c>
    </row>
    <row r="42" spans="1:7" x14ac:dyDescent="0.25">
      <c r="A42" s="20">
        <f>'C COSTOS ESTADO FINANCIERO'!A42</f>
        <v>1030301</v>
      </c>
      <c r="B42" s="20" t="str">
        <f>'C COSTOS ESTADO FINANCIERO'!B42</f>
        <v>HSFF-FORTUL-HOSPITALACION-ESTANCIA GENERAL</v>
      </c>
      <c r="C42" s="20" t="str">
        <f>'C COSTOS ESTADO FINANCIERO'!D42</f>
        <v>I01</v>
      </c>
      <c r="D42" s="20" t="str">
        <f>'C COSTOS ESTADO FINANCIERO'!E42</f>
        <v>HOSPITALIZACIÓN GENERAL</v>
      </c>
      <c r="E42" s="20" t="str">
        <f>'C COSTOS ESTADO FINANCIERO'!I42</f>
        <v>HSFF - Fortul</v>
      </c>
      <c r="F42" s="20" t="str">
        <f>'C COSTOS ESTADO FINANCIERO'!H42</f>
        <v>PRODUCTIVO (final)</v>
      </c>
      <c r="G42" s="20" t="str">
        <f>'C COSTOS ESTADO FINANCIERO'!J42</f>
        <v>ACTIVO</v>
      </c>
    </row>
    <row r="43" spans="1:7" x14ac:dyDescent="0.25">
      <c r="A43" s="20">
        <f>'C COSTOS ESTADO FINANCIERO'!A43</f>
        <v>1030302</v>
      </c>
      <c r="B43" s="20" t="str">
        <f>'C COSTOS ESTADO FINANCIERO'!B43</f>
        <v>HSFF-FORTUL-CUIDADOS INTENSIVOS</v>
      </c>
      <c r="C43" s="20" t="str">
        <f>'C COSTOS ESTADO FINANCIERO'!D43</f>
        <v>J02</v>
      </c>
      <c r="D43" s="20" t="str">
        <f>'C COSTOS ESTADO FINANCIERO'!E43</f>
        <v>UCI ADULTOS</v>
      </c>
      <c r="E43" s="20" t="str">
        <f>'C COSTOS ESTADO FINANCIERO'!I43</f>
        <v>HSFF - Fortul</v>
      </c>
      <c r="F43" s="20" t="str">
        <f>'C COSTOS ESTADO FINANCIERO'!H43</f>
        <v>PRODUCTIVO (final)</v>
      </c>
      <c r="G43" s="20" t="str">
        <f>'C COSTOS ESTADO FINANCIERO'!J43</f>
        <v>NO APLICA</v>
      </c>
    </row>
    <row r="44" spans="1:7" x14ac:dyDescent="0.25">
      <c r="A44" s="20">
        <f>'C COSTOS ESTADO FINANCIERO'!A44</f>
        <v>1030303</v>
      </c>
      <c r="B44" s="20" t="str">
        <f>'C COSTOS ESTADO FINANCIERO'!B44</f>
        <v>HSFF-FORTUL-CUIDADOS INTERMEDIOS</v>
      </c>
      <c r="C44" s="20" t="str">
        <f>'C COSTOS ESTADO FINANCIERO'!D44</f>
        <v>J05</v>
      </c>
      <c r="D44" s="20" t="str">
        <f>'C COSTOS ESTADO FINANCIERO'!E44</f>
        <v>UCI INTERMEDIOS ADULTOS</v>
      </c>
      <c r="E44" s="20" t="str">
        <f>'C COSTOS ESTADO FINANCIERO'!I44</f>
        <v>HSFF - Fortul</v>
      </c>
      <c r="F44" s="20" t="str">
        <f>'C COSTOS ESTADO FINANCIERO'!H44</f>
        <v>PRODUCTIVO (final)</v>
      </c>
      <c r="G44" s="20" t="str">
        <f>'C COSTOS ESTADO FINANCIERO'!J44</f>
        <v>NO APLICA</v>
      </c>
    </row>
    <row r="45" spans="1:7" x14ac:dyDescent="0.25">
      <c r="A45" s="20">
        <f>'C COSTOS ESTADO FINANCIERO'!A45</f>
        <v>1030304</v>
      </c>
      <c r="B45" s="20" t="str">
        <f>'C COSTOS ESTADO FINANCIERO'!B45</f>
        <v>HSFF-FORTUL-RECIEN NACIDOS</v>
      </c>
      <c r="C45" s="20" t="str">
        <f>'C COSTOS ESTADO FINANCIERO'!D45</f>
        <v>J09</v>
      </c>
      <c r="D45" s="20" t="str">
        <f>'C COSTOS ESTADO FINANCIERO'!E45</f>
        <v>UNIDAD DE RECIÉN NACIDOS</v>
      </c>
      <c r="E45" s="20" t="str">
        <f>'C COSTOS ESTADO FINANCIERO'!I45</f>
        <v>HSFF - Fortul</v>
      </c>
      <c r="F45" s="20" t="str">
        <f>'C COSTOS ESTADO FINANCIERO'!H45</f>
        <v>PRODUCTIVO (final)</v>
      </c>
      <c r="G45" s="20" t="str">
        <f>'C COSTOS ESTADO FINANCIERO'!J45</f>
        <v>VERIFICAR</v>
      </c>
    </row>
    <row r="46" spans="1:7" x14ac:dyDescent="0.25">
      <c r="A46" s="20">
        <f>'C COSTOS ESTADO FINANCIERO'!A46</f>
        <v>1030305</v>
      </c>
      <c r="B46" s="20" t="str">
        <f>'C COSTOS ESTADO FINANCIERO'!B46</f>
        <v>HSFF-FORTUL-HOSPITALIZACI.N SALUD MENTAL</v>
      </c>
      <c r="C46" s="20" t="str">
        <f>'C COSTOS ESTADO FINANCIERO'!D46</f>
        <v>J10</v>
      </c>
      <c r="D46" s="20" t="str">
        <f>'C COSTOS ESTADO FINANCIERO'!E46</f>
        <v>UNIDAD SALUD MENTAL Y DESINTOXICACIÓN (BAJA COMPLEJIDAD)</v>
      </c>
      <c r="E46" s="20" t="str">
        <f>'C COSTOS ESTADO FINANCIERO'!I46</f>
        <v>HSFF - Fortul</v>
      </c>
      <c r="F46" s="20" t="str">
        <f>'C COSTOS ESTADO FINANCIERO'!H46</f>
        <v>PRODUCTIVO (final)</v>
      </c>
      <c r="G46" s="20" t="str">
        <f>'C COSTOS ESTADO FINANCIERO'!J46</f>
        <v>NO APLICA</v>
      </c>
    </row>
    <row r="47" spans="1:7" x14ac:dyDescent="0.25">
      <c r="A47" s="20">
        <f>'C COSTOS ESTADO FINANCIERO'!A47</f>
        <v>1030306</v>
      </c>
      <c r="B47" s="20" t="str">
        <f>'C COSTOS ESTADO FINANCIERO'!B47</f>
        <v>HSFF-FORTUL-QUEMADOS</v>
      </c>
      <c r="C47" s="20" t="str">
        <f>'C COSTOS ESTADO FINANCIERO'!D47</f>
        <v>J08</v>
      </c>
      <c r="D47" s="20" t="str">
        <f>'C COSTOS ESTADO FINANCIERO'!E47</f>
        <v>UNIDAD DE QUEMADOS ADULTOS</v>
      </c>
      <c r="E47" s="20" t="str">
        <f>'C COSTOS ESTADO FINANCIERO'!I47</f>
        <v>HSFF - Fortul</v>
      </c>
      <c r="F47" s="20" t="str">
        <f>'C COSTOS ESTADO FINANCIERO'!H47</f>
        <v>PRODUCTIVO (final)</v>
      </c>
      <c r="G47" s="20" t="str">
        <f>'C COSTOS ESTADO FINANCIERO'!J47</f>
        <v>NO APLICA</v>
      </c>
    </row>
    <row r="48" spans="1:7" x14ac:dyDescent="0.25">
      <c r="A48" s="20">
        <f>'C COSTOS ESTADO FINANCIERO'!A48</f>
        <v>1030307</v>
      </c>
      <c r="B48" s="20" t="str">
        <f>'C COSTOS ESTADO FINANCIERO'!B48</f>
        <v>HSFF-FORTUL-OTROS CUIDADOS ESPECIALE</v>
      </c>
      <c r="C48" s="20" t="str">
        <f>'C COSTOS ESTADO FINANCIERO'!D48</f>
        <v>J13</v>
      </c>
      <c r="D48" s="20" t="str">
        <f>'C COSTOS ESTADO FINANCIERO'!E48</f>
        <v>OTRAS UNIDADES ESPECIALES</v>
      </c>
      <c r="E48" s="20" t="str">
        <f>'C COSTOS ESTADO FINANCIERO'!I48</f>
        <v>HSFF - Fortul</v>
      </c>
      <c r="F48" s="20" t="str">
        <f>'C COSTOS ESTADO FINANCIERO'!H48</f>
        <v>PRODUCTIVO (final)</v>
      </c>
      <c r="G48" s="20" t="str">
        <f>'C COSTOS ESTADO FINANCIERO'!J48</f>
        <v>NO APLICA</v>
      </c>
    </row>
    <row r="49" spans="1:7" x14ac:dyDescent="0.25">
      <c r="A49" s="20">
        <f>'C COSTOS ESTADO FINANCIERO'!A49</f>
        <v>1030401</v>
      </c>
      <c r="B49" s="20" t="str">
        <f>'C COSTOS ESTADO FINANCIERO'!B49</f>
        <v>HSFF-FORTUL-QUIROFANOS</v>
      </c>
      <c r="C49" s="20" t="str">
        <f>'C COSTOS ESTADO FINANCIERO'!D49</f>
        <v>C01</v>
      </c>
      <c r="D49" s="20" t="str">
        <f>'C COSTOS ESTADO FINANCIERO'!E49</f>
        <v>CIRUGÍA GENERAL</v>
      </c>
      <c r="E49" s="20" t="str">
        <f>'C COSTOS ESTADO FINANCIERO'!I49</f>
        <v>HSFF - Fortul</v>
      </c>
      <c r="F49" s="20" t="str">
        <f>'C COSTOS ESTADO FINANCIERO'!H49</f>
        <v>PRODUCTIVO (final)</v>
      </c>
      <c r="G49" s="20" t="str">
        <f>'C COSTOS ESTADO FINANCIERO'!J49</f>
        <v>VERIFICAR</v>
      </c>
    </row>
    <row r="50" spans="1:7" x14ac:dyDescent="0.25">
      <c r="A50" s="20">
        <f>'C COSTOS ESTADO FINANCIERO'!A50</f>
        <v>1030402</v>
      </c>
      <c r="B50" s="20" t="str">
        <f>'C COSTOS ESTADO FINANCIERO'!B50</f>
        <v>HSFF-FORTUL-SALA DE PARTO</v>
      </c>
      <c r="C50" s="20" t="str">
        <f>'C COSTOS ESTADO FINANCIERO'!D50</f>
        <v>D02</v>
      </c>
      <c r="D50" s="20" t="str">
        <f>'C COSTOS ESTADO FINANCIERO'!E50</f>
        <v>ATENCIÓN DE PARTO BAJA COMPLEJIDAD</v>
      </c>
      <c r="E50" s="20" t="str">
        <f>'C COSTOS ESTADO FINANCIERO'!I50</f>
        <v>HSFF - Fortul</v>
      </c>
      <c r="F50" s="20" t="str">
        <f>'C COSTOS ESTADO FINANCIERO'!H50</f>
        <v>PRODUCTIVO (final)</v>
      </c>
      <c r="G50" s="20" t="str">
        <f>'C COSTOS ESTADO FINANCIERO'!J50</f>
        <v>ACTIVO</v>
      </c>
    </row>
    <row r="51" spans="1:7" x14ac:dyDescent="0.25">
      <c r="A51" s="20">
        <f>'C COSTOS ESTADO FINANCIERO'!A51</f>
        <v>1030501</v>
      </c>
      <c r="B51" s="20" t="str">
        <f>'C COSTOS ESTADO FINANCIERO'!B51</f>
        <v>HSFF-FORTUL-LABORATORIO CLINICO</v>
      </c>
      <c r="C51" s="20" t="str">
        <f>'C COSTOS ESTADO FINANCIERO'!D51</f>
        <v>L07</v>
      </c>
      <c r="D51" s="20" t="str">
        <f>'C COSTOS ESTADO FINANCIERO'!E51</f>
        <v>LABORATORIO Y ANÁLISIS CLÍNICO</v>
      </c>
      <c r="E51" s="20" t="str">
        <f>'C COSTOS ESTADO FINANCIERO'!I51</f>
        <v>HSFF - Fortul</v>
      </c>
      <c r="F51" s="20" t="str">
        <f>'C COSTOS ESTADO FINANCIERO'!H51</f>
        <v>APOYO ASISTENCIAL (intermedio)</v>
      </c>
      <c r="G51" s="20" t="str">
        <f>'C COSTOS ESTADO FINANCIERO'!J51</f>
        <v>ACTIVO</v>
      </c>
    </row>
    <row r="52" spans="1:7" x14ac:dyDescent="0.25">
      <c r="A52" s="20">
        <f>'C COSTOS ESTADO FINANCIERO'!A52</f>
        <v>1030502</v>
      </c>
      <c r="B52" s="20" t="str">
        <f>'C COSTOS ESTADO FINANCIERO'!B52</f>
        <v>HSFF-FORTUL-IMAGENOLOGIA</v>
      </c>
      <c r="C52" s="20" t="str">
        <f>'C COSTOS ESTADO FINANCIERO'!D52</f>
        <v>L02</v>
      </c>
      <c r="D52" s="20" t="str">
        <f>'C COSTOS ESTADO FINANCIERO'!E52</f>
        <v>IMAGENEOLOGÍA RADIOLÓGICA</v>
      </c>
      <c r="E52" s="20" t="str">
        <f>'C COSTOS ESTADO FINANCIERO'!I52</f>
        <v>HSFF - Fortul</v>
      </c>
      <c r="F52" s="20" t="str">
        <f>'C COSTOS ESTADO FINANCIERO'!H52</f>
        <v>APOYO ASISTENCIAL (intermedio)</v>
      </c>
      <c r="G52" s="20" t="str">
        <f>'C COSTOS ESTADO FINANCIERO'!J52</f>
        <v>ACTIVO</v>
      </c>
    </row>
    <row r="53" spans="1:7" x14ac:dyDescent="0.25">
      <c r="A53" s="20">
        <f>'C COSTOS ESTADO FINANCIERO'!A53</f>
        <v>1030503</v>
      </c>
      <c r="B53" s="20" t="str">
        <f>'C COSTOS ESTADO FINANCIERO'!B53</f>
        <v>HSFF-FORTUL-ANATOMIA PATOLOGICA</v>
      </c>
      <c r="C53" s="20" t="str">
        <f>'C COSTOS ESTADO FINANCIERO'!D53</f>
        <v>L01</v>
      </c>
      <c r="D53" s="20" t="str">
        <f>'C COSTOS ESTADO FINANCIERO'!E53</f>
        <v>LABORATORIO ANATOMÍA PATOLÓGICA</v>
      </c>
      <c r="E53" s="20" t="str">
        <f>'C COSTOS ESTADO FINANCIERO'!I53</f>
        <v>HSFF - Fortul</v>
      </c>
      <c r="F53" s="20" t="str">
        <f>'C COSTOS ESTADO FINANCIERO'!H53</f>
        <v>APOYO ASISTENCIAL (intermedio)</v>
      </c>
      <c r="G53" s="20" t="str">
        <f>'C COSTOS ESTADO FINANCIERO'!J53</f>
        <v>NO APLICA</v>
      </c>
    </row>
    <row r="54" spans="1:7" x14ac:dyDescent="0.25">
      <c r="A54" s="20">
        <f>'C COSTOS ESTADO FINANCIERO'!A54</f>
        <v>1030504</v>
      </c>
      <c r="B54" s="20" t="str">
        <f>'C COSTOS ESTADO FINANCIERO'!B54</f>
        <v>HSFF-FORTUL-OTRAS UNIDADES DE APOYO DIAGNOSTICO</v>
      </c>
      <c r="C54" s="20" t="str">
        <f>'C COSTOS ESTADO FINANCIERO'!D54</f>
        <v>L04</v>
      </c>
      <c r="D54" s="20" t="str">
        <f>'C COSTOS ESTADO FINANCIERO'!E54</f>
        <v>IMAGENOLOGÍA NO RADIOLÓGICA</v>
      </c>
      <c r="E54" s="20" t="str">
        <f>'C COSTOS ESTADO FINANCIERO'!I54</f>
        <v>HSFF - Fortul</v>
      </c>
      <c r="F54" s="20" t="str">
        <f>'C COSTOS ESTADO FINANCIERO'!H54</f>
        <v>APOYO ASISTENCIAL (intermedio)</v>
      </c>
      <c r="G54" s="20" t="str">
        <f>'C COSTOS ESTADO FINANCIERO'!J54</f>
        <v>VERIFICAR</v>
      </c>
    </row>
    <row r="55" spans="1:7" x14ac:dyDescent="0.25">
      <c r="A55" s="20">
        <f>'C COSTOS ESTADO FINANCIERO'!A55</f>
        <v>1030601</v>
      </c>
      <c r="B55" s="20" t="str">
        <f>'C COSTOS ESTADO FINANCIERO'!B55</f>
        <v>HSFF-FORTUL-REHABILITACION Y TERAPIAS</v>
      </c>
      <c r="C55" s="20" t="str">
        <f>'C COSTOS ESTADO FINANCIERO'!D55</f>
        <v>M06</v>
      </c>
      <c r="D55" s="20" t="str">
        <f>'C COSTOS ESTADO FINANCIERO'!E55</f>
        <v>FISIOTERAPIA Y REHABILITACIÓN</v>
      </c>
      <c r="E55" s="20" t="str">
        <f>'C COSTOS ESTADO FINANCIERO'!I55</f>
        <v>HSFF - Fortul</v>
      </c>
      <c r="F55" s="20" t="str">
        <f>'C COSTOS ESTADO FINANCIERO'!H55</f>
        <v>APOYO ASISTENCIAL (intermedio)</v>
      </c>
      <c r="G55" s="20" t="str">
        <f>'C COSTOS ESTADO FINANCIERO'!J55</f>
        <v>ACTIVO</v>
      </c>
    </row>
    <row r="56" spans="1:7" x14ac:dyDescent="0.25">
      <c r="A56" s="20">
        <f>'C COSTOS ESTADO FINANCIERO'!A56</f>
        <v>1030602</v>
      </c>
      <c r="B56" s="20" t="str">
        <f>'C COSTOS ESTADO FINANCIERO'!B56</f>
        <v>HSFF-FORTUL-BANCO DE SANGRE</v>
      </c>
      <c r="C56" s="20" t="str">
        <f>'C COSTOS ESTADO FINANCIERO'!D56</f>
        <v>M01</v>
      </c>
      <c r="D56" s="20" t="str">
        <f>'C COSTOS ESTADO FINANCIERO'!E56</f>
        <v>BANCO DE SANGRE</v>
      </c>
      <c r="E56" s="20" t="str">
        <f>'C COSTOS ESTADO FINANCIERO'!I56</f>
        <v>HSFF - Fortul</v>
      </c>
      <c r="F56" s="20" t="str">
        <f>'C COSTOS ESTADO FINANCIERO'!H56</f>
        <v>APOYO ASISTENCIAL (intermedio)</v>
      </c>
      <c r="G56" s="20" t="str">
        <f>'C COSTOS ESTADO FINANCIERO'!J56</f>
        <v>NO APLICA</v>
      </c>
    </row>
    <row r="57" spans="1:7" x14ac:dyDescent="0.25">
      <c r="A57" s="20">
        <f>'C COSTOS ESTADO FINANCIERO'!A57</f>
        <v>1030603</v>
      </c>
      <c r="B57" s="20" t="str">
        <f>'C COSTOS ESTADO FINANCIERO'!B57</f>
        <v>HSFF-FORTUL-UNIDAD RENAL</v>
      </c>
      <c r="C57" s="20" t="str">
        <f>'C COSTOS ESTADO FINANCIERO'!D57</f>
        <v>M03</v>
      </c>
      <c r="D57" s="20" t="str">
        <f>'C COSTOS ESTADO FINANCIERO'!E57</f>
        <v>TERAPIA RENAL</v>
      </c>
      <c r="E57" s="20" t="str">
        <f>'C COSTOS ESTADO FINANCIERO'!I57</f>
        <v>HSFF - Fortul</v>
      </c>
      <c r="F57" s="20" t="str">
        <f>'C COSTOS ESTADO FINANCIERO'!H57</f>
        <v>APOYO ASISTENCIAL (intermedio)</v>
      </c>
      <c r="G57" s="20" t="str">
        <f>'C COSTOS ESTADO FINANCIERO'!J57</f>
        <v>NO APLICA</v>
      </c>
    </row>
    <row r="58" spans="1:7" x14ac:dyDescent="0.25">
      <c r="A58" s="20">
        <f>'C COSTOS ESTADO FINANCIERO'!A58</f>
        <v>1030604</v>
      </c>
      <c r="B58" s="20" t="str">
        <f>'C COSTOS ESTADO FINANCIERO'!B58</f>
        <v>HSFF-FORTUL-UNIDAD HEMODINAMIA</v>
      </c>
      <c r="C58" s="20" t="str">
        <f>'C COSTOS ESTADO FINANCIERO'!D58</f>
        <v>C05</v>
      </c>
      <c r="D58" s="20" t="str">
        <f>'C COSTOS ESTADO FINANCIERO'!E58</f>
        <v>CARDIOVASCULAR</v>
      </c>
      <c r="E58" s="20" t="str">
        <f>'C COSTOS ESTADO FINANCIERO'!I58</f>
        <v>HSFF - Fortul</v>
      </c>
      <c r="F58" s="20" t="str">
        <f>'C COSTOS ESTADO FINANCIERO'!H58</f>
        <v>PRODUCTIVO (final)</v>
      </c>
      <c r="G58" s="20" t="str">
        <f>'C COSTOS ESTADO FINANCIERO'!J58</f>
        <v>NO APLICA</v>
      </c>
    </row>
    <row r="59" spans="1:7" x14ac:dyDescent="0.25">
      <c r="A59" s="20">
        <f>'C COSTOS ESTADO FINANCIERO'!A59</f>
        <v>1030605</v>
      </c>
      <c r="B59" s="20" t="str">
        <f>'C COSTOS ESTADO FINANCIERO'!B59</f>
        <v>HSFF-FORTUL-TERAPIAS ONCOLOGICAS</v>
      </c>
      <c r="C59" s="20" t="str">
        <f>'C COSTOS ESTADO FINANCIERO'!D59</f>
        <v>M07</v>
      </c>
      <c r="D59" s="20" t="str">
        <f>'C COSTOS ESTADO FINANCIERO'!E59</f>
        <v>OTRAS TERAPIAS</v>
      </c>
      <c r="E59" s="20" t="str">
        <f>'C COSTOS ESTADO FINANCIERO'!I59</f>
        <v>HSFF - Fortul</v>
      </c>
      <c r="F59" s="20" t="str">
        <f>'C COSTOS ESTADO FINANCIERO'!H59</f>
        <v>APOYO ASISTENCIAL (intermedio)</v>
      </c>
      <c r="G59" s="20" t="str">
        <f>'C COSTOS ESTADO FINANCIERO'!J59</f>
        <v>NO APLICA</v>
      </c>
    </row>
    <row r="60" spans="1:7" x14ac:dyDescent="0.25">
      <c r="A60" s="20">
        <f>'C COSTOS ESTADO FINANCIERO'!A60</f>
        <v>1030606</v>
      </c>
      <c r="B60" s="20" t="str">
        <f>'C COSTOS ESTADO FINANCIERO'!B60</f>
        <v>HSFF-FORTUL-FARMACIA E INSUMOS HOPITALARIOS</v>
      </c>
      <c r="C60" s="20" t="str">
        <f>'C COSTOS ESTADO FINANCIERO'!D60</f>
        <v>M05</v>
      </c>
      <c r="D60" s="20" t="str">
        <f>'C COSTOS ESTADO FINANCIERO'!E60</f>
        <v>FARMACIA</v>
      </c>
      <c r="E60" s="20" t="str">
        <f>'C COSTOS ESTADO FINANCIERO'!I60</f>
        <v>HSFF - Fortul</v>
      </c>
      <c r="F60" s="20" t="str">
        <f>'C COSTOS ESTADO FINANCIERO'!H60</f>
        <v>APOYO ASISTENCIAL (intermedio)</v>
      </c>
      <c r="G60" s="20" t="str">
        <f>'C COSTOS ESTADO FINANCIERO'!J60</f>
        <v>ACTIVO</v>
      </c>
    </row>
    <row r="61" spans="1:7" x14ac:dyDescent="0.25">
      <c r="A61" s="20">
        <f>'C COSTOS ESTADO FINANCIERO'!A61</f>
        <v>1030607</v>
      </c>
      <c r="B61" s="20" t="str">
        <f>'C COSTOS ESTADO FINANCIERO'!B61</f>
        <v>HSFF-FORTUL-OTRAS UNIDADES DE APOYO TERAPEUTICO</v>
      </c>
      <c r="C61" s="20" t="str">
        <f>'C COSTOS ESTADO FINANCIERO'!D61</f>
        <v>M07</v>
      </c>
      <c r="D61" s="20" t="str">
        <f>'C COSTOS ESTADO FINANCIERO'!E61</f>
        <v>OTRAS TERAPIAS</v>
      </c>
      <c r="E61" s="20" t="str">
        <f>'C COSTOS ESTADO FINANCIERO'!I61</f>
        <v>HSFF - Fortul</v>
      </c>
      <c r="F61" s="20" t="str">
        <f>'C COSTOS ESTADO FINANCIERO'!H61</f>
        <v>APOYO ASISTENCIAL (intermedio)</v>
      </c>
      <c r="G61" s="20" t="str">
        <f>'C COSTOS ESTADO FINANCIERO'!J61</f>
        <v>VERIFICAR</v>
      </c>
    </row>
    <row r="62" spans="1:7" x14ac:dyDescent="0.25">
      <c r="A62" s="20">
        <f>'C COSTOS ESTADO FINANCIERO'!A62</f>
        <v>1030701</v>
      </c>
      <c r="B62" s="20" t="str">
        <f>'C COSTOS ESTADO FINANCIERO'!B62</f>
        <v>HSFF-FORTUL-ANCIANATOS</v>
      </c>
      <c r="C62" s="20" t="str">
        <f>'C COSTOS ESTADO FINANCIERO'!D62</f>
        <v>J01</v>
      </c>
      <c r="D62" s="20" t="str">
        <f>'C COSTOS ESTADO FINANCIERO'!E62</f>
        <v>ANCIANATOS Y ALBERGUES</v>
      </c>
      <c r="E62" s="20" t="str">
        <f>'C COSTOS ESTADO FINANCIERO'!I62</f>
        <v>HSFF - Fortul</v>
      </c>
      <c r="F62" s="20" t="str">
        <f>'C COSTOS ESTADO FINANCIERO'!H62</f>
        <v>PRODUCTIVO (final)</v>
      </c>
      <c r="G62" s="20" t="str">
        <f>'C COSTOS ESTADO FINANCIERO'!J62</f>
        <v>NO APLICA</v>
      </c>
    </row>
    <row r="63" spans="1:7" x14ac:dyDescent="0.25">
      <c r="A63" s="20">
        <f>'C COSTOS ESTADO FINANCIERO'!A63</f>
        <v>1030702</v>
      </c>
      <c r="B63" s="20" t="str">
        <f>'C COSTOS ESTADO FINANCIERO'!B63</f>
        <v>HSFF-FORTUL-CENTROS Y PUESTOS DE SALUD</v>
      </c>
      <c r="C63" s="20" t="str">
        <f>'C COSTOS ESTADO FINANCIERO'!D63</f>
        <v>J17</v>
      </c>
      <c r="D63" s="20" t="str">
        <f>'C COSTOS ESTADO FINANCIERO'!E63</f>
        <v>CENTROS Y PUESTOS DE SALUD</v>
      </c>
      <c r="E63" s="20" t="str">
        <f>'C COSTOS ESTADO FINANCIERO'!I63</f>
        <v>HSFF - Fortul</v>
      </c>
      <c r="F63" s="20" t="str">
        <f>'C COSTOS ESTADO FINANCIERO'!H63</f>
        <v>PRODUCTIVO (final)</v>
      </c>
      <c r="G63" s="20" t="str">
        <f>'C COSTOS ESTADO FINANCIERO'!J63</f>
        <v>ACTIVO</v>
      </c>
    </row>
    <row r="64" spans="1:7" x14ac:dyDescent="0.25">
      <c r="A64" s="20">
        <f>'C COSTOS ESTADO FINANCIERO'!A64</f>
        <v>1030703</v>
      </c>
      <c r="B64" s="20" t="str">
        <f>'C COSTOS ESTADO FINANCIERO'!B64</f>
        <v>HSFF-FORTUL-SERV. DOCENTES</v>
      </c>
      <c r="C64" s="20" t="str">
        <f>'C COSTOS ESTADO FINANCIERO'!D64</f>
        <v>U03</v>
      </c>
      <c r="D64" s="20" t="str">
        <f>'C COSTOS ESTADO FINANCIERO'!E64</f>
        <v>EDUCACIÓN MÉDICA</v>
      </c>
      <c r="E64" s="20" t="str">
        <f>'C COSTOS ESTADO FINANCIERO'!I64</f>
        <v>HSFF - Fortul</v>
      </c>
      <c r="F64" s="20" t="str">
        <f>'C COSTOS ESTADO FINANCIERO'!H64</f>
        <v>ADMINISTRATIVO</v>
      </c>
      <c r="G64" s="20" t="str">
        <f>'C COSTOS ESTADO FINANCIERO'!J64</f>
        <v>NO APLICA</v>
      </c>
    </row>
    <row r="65" spans="1:7" x14ac:dyDescent="0.25">
      <c r="A65" s="20">
        <f>'C COSTOS ESTADO FINANCIERO'!A65</f>
        <v>1030704</v>
      </c>
      <c r="B65" s="20" t="str">
        <f>'C COSTOS ESTADO FINANCIERO'!B65</f>
        <v>HSFF-FORTUL-SERV. CONEXOS A LA SALUD MEDICINA LEGAL</v>
      </c>
      <c r="C65" s="20" t="str">
        <f>'C COSTOS ESTADO FINANCIERO'!D65</f>
        <v>A32</v>
      </c>
      <c r="D65" s="20" t="str">
        <f>'C COSTOS ESTADO FINANCIERO'!E65</f>
        <v>OTRAS CONSULTAS Y PROCEDIMIENTOS</v>
      </c>
      <c r="E65" s="20" t="str">
        <f>'C COSTOS ESTADO FINANCIERO'!I65</f>
        <v>HSFF - Fortul</v>
      </c>
      <c r="F65" s="20" t="str">
        <f>'C COSTOS ESTADO FINANCIERO'!H65</f>
        <v>PRODUCTIVO (final)</v>
      </c>
      <c r="G65" s="20" t="str">
        <f>'C COSTOS ESTADO FINANCIERO'!J65</f>
        <v>VERIFICAR</v>
      </c>
    </row>
    <row r="66" spans="1:7" x14ac:dyDescent="0.25">
      <c r="A66" s="20">
        <f>'C COSTOS ESTADO FINANCIERO'!A66</f>
        <v>1030705</v>
      </c>
      <c r="B66" s="20" t="str">
        <f>'C COSTOS ESTADO FINANCIERO'!B66</f>
        <v>HSFF-FORTUL-SERV. CONEXOS A LA SALUD SER. AMBULANC</v>
      </c>
      <c r="C66" s="20" t="str">
        <f>'C COSTOS ESTADO FINANCIERO'!D66</f>
        <v>N08</v>
      </c>
      <c r="D66" s="20" t="str">
        <f>'C COSTOS ESTADO FINANCIERO'!E66</f>
        <v>SERVICIO DE AMBULANCIAS</v>
      </c>
      <c r="E66" s="20" t="str">
        <f>'C COSTOS ESTADO FINANCIERO'!I66</f>
        <v>HSFF - Fortul</v>
      </c>
      <c r="F66" s="20" t="str">
        <f>'C COSTOS ESTADO FINANCIERO'!H66</f>
        <v>PRODUCTIVO (final)</v>
      </c>
      <c r="G66" s="20" t="str">
        <f>'C COSTOS ESTADO FINANCIERO'!J66</f>
        <v>ACTIVO</v>
      </c>
    </row>
    <row r="67" spans="1:7" x14ac:dyDescent="0.25">
      <c r="A67" s="20">
        <f>'C COSTOS ESTADO FINANCIERO'!A67</f>
        <v>1030706</v>
      </c>
      <c r="B67" s="20" t="str">
        <f>'C COSTOS ESTADO FINANCIERO'!B67</f>
        <v>HSFF-FORTUL-SER. CONEXOS A LA SALUD OTROS SERVICIOS</v>
      </c>
      <c r="C67" s="20" t="str">
        <f>'C COSTOS ESTADO FINANCIERO'!D67</f>
        <v>N04</v>
      </c>
      <c r="D67" s="20" t="str">
        <f>'C COSTOS ESTADO FINANCIERO'!E67</f>
        <v>OTROS ENFERMERÍA</v>
      </c>
      <c r="E67" s="20" t="str">
        <f>'C COSTOS ESTADO FINANCIERO'!I67</f>
        <v>HSFF - Fortul</v>
      </c>
      <c r="F67" s="20" t="str">
        <f>'C COSTOS ESTADO FINANCIERO'!H67</f>
        <v>APOYO ASISTENCIAL (intermedio)</v>
      </c>
      <c r="G67" s="20" t="str">
        <f>'C COSTOS ESTADO FINANCIERO'!J67</f>
        <v>VERIFICAR</v>
      </c>
    </row>
    <row r="68" spans="1:7" x14ac:dyDescent="0.25">
      <c r="A68" s="20">
        <f>'C COSTOS ESTADO FINANCIERO'!A68</f>
        <v>1040101</v>
      </c>
      <c r="B68" s="20" t="str">
        <f>'C COSTOS ESTADO FINANCIERO'!B68</f>
        <v>HSAT-TAME-CONSULTA Y PROCEDIMIENTOS</v>
      </c>
      <c r="C68" s="20" t="str">
        <f>'C COSTOS ESTADO FINANCIERO'!D68</f>
        <v>B01</v>
      </c>
      <c r="D68" s="20" t="str">
        <f>'C COSTOS ESTADO FINANCIERO'!E68</f>
        <v>CONSULTA URGENCIAS</v>
      </c>
      <c r="E68" s="20" t="str">
        <f>'C COSTOS ESTADO FINANCIERO'!I68</f>
        <v>HSAT - Tame</v>
      </c>
      <c r="F68" s="20" t="str">
        <f>'C COSTOS ESTADO FINANCIERO'!H68</f>
        <v>PRODUCTIVO (final)</v>
      </c>
      <c r="G68" s="20" t="str">
        <f>'C COSTOS ESTADO FINANCIERO'!J68</f>
        <v>ACTIVO</v>
      </c>
    </row>
    <row r="69" spans="1:7" x14ac:dyDescent="0.25">
      <c r="A69" s="20">
        <f>'C COSTOS ESTADO FINANCIERO'!A69</f>
        <v>1040102</v>
      </c>
      <c r="B69" s="20" t="str">
        <f>'C COSTOS ESTADO FINANCIERO'!B69</f>
        <v>HSAT-TAME-OBSERVACIONES</v>
      </c>
      <c r="C69" s="20" t="str">
        <f>'C COSTOS ESTADO FINANCIERO'!D69</f>
        <v>B02</v>
      </c>
      <c r="D69" s="20" t="str">
        <f>'C COSTOS ESTADO FINANCIERO'!E69</f>
        <v>OBSERVACIÓN</v>
      </c>
      <c r="E69" s="20" t="str">
        <f>'C COSTOS ESTADO FINANCIERO'!I69</f>
        <v>HSAT - Tame</v>
      </c>
      <c r="F69" s="20" t="str">
        <f>'C COSTOS ESTADO FINANCIERO'!H69</f>
        <v>PRODUCTIVO (final)</v>
      </c>
      <c r="G69" s="20" t="str">
        <f>'C COSTOS ESTADO FINANCIERO'!J69</f>
        <v>ACTIVO</v>
      </c>
    </row>
    <row r="70" spans="1:7" x14ac:dyDescent="0.25">
      <c r="A70" s="20">
        <f>'C COSTOS ESTADO FINANCIERO'!A70</f>
        <v>1040201</v>
      </c>
      <c r="B70" s="20" t="str">
        <f>'C COSTOS ESTADO FINANCIERO'!B70</f>
        <v>HSAT-TAME-CONSULTA EXTERNA</v>
      </c>
      <c r="C70" s="20" t="str">
        <f>'C COSTOS ESTADO FINANCIERO'!D70</f>
        <v>A10</v>
      </c>
      <c r="D70" s="20" t="str">
        <f>'C COSTOS ESTADO FINANCIERO'!E70</f>
        <v>MEDICINA GENERAL</v>
      </c>
      <c r="E70" s="20" t="str">
        <f>'C COSTOS ESTADO FINANCIERO'!I70</f>
        <v>HSAT - Tame</v>
      </c>
      <c r="F70" s="20" t="str">
        <f>'C COSTOS ESTADO FINANCIERO'!H70</f>
        <v>PRODUCTIVO (final)</v>
      </c>
      <c r="G70" s="20" t="str">
        <f>'C COSTOS ESTADO FINANCIERO'!J70</f>
        <v>ACTIVO</v>
      </c>
    </row>
    <row r="71" spans="1:7" x14ac:dyDescent="0.25">
      <c r="A71" s="20">
        <f>'C COSTOS ESTADO FINANCIERO'!A71</f>
        <v>1040202</v>
      </c>
      <c r="B71" s="20" t="str">
        <f>'C COSTOS ESTADO FINANCIERO'!B71</f>
        <v>HSAT-TAME-CONSULTA ESPECIALIZADA</v>
      </c>
      <c r="C71" s="20" t="str">
        <f>'C COSTOS ESTADO FINANCIERO'!D71</f>
        <v>A32</v>
      </c>
      <c r="D71" s="20" t="str">
        <f>'C COSTOS ESTADO FINANCIERO'!E71</f>
        <v>OTRAS CONSULTAS Y PROCEDIMIENTOS</v>
      </c>
      <c r="E71" s="20" t="str">
        <f>'C COSTOS ESTADO FINANCIERO'!I71</f>
        <v>HSAT - Tame</v>
      </c>
      <c r="F71" s="20" t="str">
        <f>'C COSTOS ESTADO FINANCIERO'!H71</f>
        <v>PRODUCTIVO (final)</v>
      </c>
      <c r="G71" s="20" t="str">
        <f>'C COSTOS ESTADO FINANCIERO'!J71</f>
        <v>ACTIVO</v>
      </c>
    </row>
    <row r="72" spans="1:7" x14ac:dyDescent="0.25">
      <c r="A72" s="20">
        <f>'C COSTOS ESTADO FINANCIERO'!A72</f>
        <v>1040203</v>
      </c>
      <c r="B72" s="20" t="str">
        <f>'C COSTOS ESTADO FINANCIERO'!B72</f>
        <v>HSAT-TAME-SALUD ORAL</v>
      </c>
      <c r="C72" s="20" t="str">
        <f>'C COSTOS ESTADO FINANCIERO'!D72</f>
        <v>E01</v>
      </c>
      <c r="D72" s="20" t="str">
        <f>'C COSTOS ESTADO FINANCIERO'!E72</f>
        <v>ODONTOLOGÍA GENERAL</v>
      </c>
      <c r="E72" s="20" t="str">
        <f>'C COSTOS ESTADO FINANCIERO'!I72</f>
        <v>HSAT - Tame</v>
      </c>
      <c r="F72" s="20" t="str">
        <f>'C COSTOS ESTADO FINANCIERO'!H72</f>
        <v>PRODUCTIVO (final)</v>
      </c>
      <c r="G72" s="20" t="str">
        <f>'C COSTOS ESTADO FINANCIERO'!J72</f>
        <v>ACTIVO</v>
      </c>
    </row>
    <row r="73" spans="1:7" x14ac:dyDescent="0.25">
      <c r="A73" s="20">
        <f>'C COSTOS ESTADO FINANCIERO'!A73</f>
        <v>1040204</v>
      </c>
      <c r="B73" s="20" t="str">
        <f>'C COSTOS ESTADO FINANCIERO'!B73</f>
        <v>HSAT-TAME-PROMOCION Y MANTENIMIENTO</v>
      </c>
      <c r="C73" s="20" t="str">
        <f>'C COSTOS ESTADO FINANCIERO'!D73</f>
        <v>N03</v>
      </c>
      <c r="D73" s="20" t="str">
        <f>'C COSTOS ESTADO FINANCIERO'!E73</f>
        <v>PROMOCIÓN Y PREVENCIÓN</v>
      </c>
      <c r="E73" s="20" t="str">
        <f>'C COSTOS ESTADO FINANCIERO'!I73</f>
        <v>HSAT - Tame</v>
      </c>
      <c r="F73" s="20" t="str">
        <f>'C COSTOS ESTADO FINANCIERO'!H73</f>
        <v>PRODUCTIVO (final)</v>
      </c>
      <c r="G73" s="20" t="str">
        <f>'C COSTOS ESTADO FINANCIERO'!J73</f>
        <v>ACTIVO</v>
      </c>
    </row>
    <row r="74" spans="1:7" x14ac:dyDescent="0.25">
      <c r="A74" s="20">
        <f>'C COSTOS ESTADO FINANCIERO'!A74</f>
        <v>1040205</v>
      </c>
      <c r="B74" s="20" t="str">
        <f>'C COSTOS ESTADO FINANCIERO'!B74</f>
        <v>HSAT-TAME-OTRAS ACTIVIDADES EXTRAMURALES</v>
      </c>
      <c r="C74" s="20" t="str">
        <f>'C COSTOS ESTADO FINANCIERO'!D74</f>
        <v>K25</v>
      </c>
      <c r="D74" s="20" t="str">
        <f>'C COSTOS ESTADO FINANCIERO'!E74</f>
        <v>SALUD PUBLICA</v>
      </c>
      <c r="E74" s="20" t="str">
        <f>'C COSTOS ESTADO FINANCIERO'!I74</f>
        <v>HSAT - Tame</v>
      </c>
      <c r="F74" s="20" t="str">
        <f>'C COSTOS ESTADO FINANCIERO'!H74</f>
        <v>PRODUCTIVO (final)</v>
      </c>
      <c r="G74" s="20" t="str">
        <f>'C COSTOS ESTADO FINANCIERO'!J74</f>
        <v>ACTIVO</v>
      </c>
    </row>
    <row r="75" spans="1:7" x14ac:dyDescent="0.25">
      <c r="A75" s="20">
        <f>'C COSTOS ESTADO FINANCIERO'!A75</f>
        <v>1040301</v>
      </c>
      <c r="B75" s="20" t="str">
        <f>'C COSTOS ESTADO FINANCIERO'!B75</f>
        <v>HSAT-TAME-HOSPITALACION-ESTANCIA GENERAL</v>
      </c>
      <c r="C75" s="20" t="str">
        <f>'C COSTOS ESTADO FINANCIERO'!D75</f>
        <v>I01</v>
      </c>
      <c r="D75" s="20" t="str">
        <f>'C COSTOS ESTADO FINANCIERO'!E75</f>
        <v>HOSPITALIZACIÓN GENERAL</v>
      </c>
      <c r="E75" s="20" t="str">
        <f>'C COSTOS ESTADO FINANCIERO'!I75</f>
        <v>HSAT - Tame</v>
      </c>
      <c r="F75" s="20" t="str">
        <f>'C COSTOS ESTADO FINANCIERO'!H75</f>
        <v>PRODUCTIVO (final)</v>
      </c>
      <c r="G75" s="20" t="str">
        <f>'C COSTOS ESTADO FINANCIERO'!J75</f>
        <v>ACTIVO</v>
      </c>
    </row>
    <row r="76" spans="1:7" x14ac:dyDescent="0.25">
      <c r="A76" s="20">
        <f>'C COSTOS ESTADO FINANCIERO'!A76</f>
        <v>1040302</v>
      </c>
      <c r="B76" s="20" t="str">
        <f>'C COSTOS ESTADO FINANCIERO'!B76</f>
        <v>HSAT-TAME-CUIDADOS INTENSIVOS</v>
      </c>
      <c r="C76" s="20" t="str">
        <f>'C COSTOS ESTADO FINANCIERO'!D76</f>
        <v>J02</v>
      </c>
      <c r="D76" s="20" t="str">
        <f>'C COSTOS ESTADO FINANCIERO'!E76</f>
        <v>UCI ADULTOS</v>
      </c>
      <c r="E76" s="20" t="str">
        <f>'C COSTOS ESTADO FINANCIERO'!I76</f>
        <v>HSAT - Tame</v>
      </c>
      <c r="F76" s="20" t="str">
        <f>'C COSTOS ESTADO FINANCIERO'!H76</f>
        <v>PRODUCTIVO (final)</v>
      </c>
      <c r="G76" s="20" t="str">
        <f>'C COSTOS ESTADO FINANCIERO'!J76</f>
        <v>NO APLICA</v>
      </c>
    </row>
    <row r="77" spans="1:7" x14ac:dyDescent="0.25">
      <c r="A77" s="20">
        <f>'C COSTOS ESTADO FINANCIERO'!A77</f>
        <v>1040303</v>
      </c>
      <c r="B77" s="20" t="str">
        <f>'C COSTOS ESTADO FINANCIERO'!B77</f>
        <v>HSAT-TAME-CUIDADOS INTERMEDIOS</v>
      </c>
      <c r="C77" s="20" t="str">
        <f>'C COSTOS ESTADO FINANCIERO'!D77</f>
        <v>J05</v>
      </c>
      <c r="D77" s="20" t="str">
        <f>'C COSTOS ESTADO FINANCIERO'!E77</f>
        <v>UCI INTERMEDIOS ADULTOS</v>
      </c>
      <c r="E77" s="20" t="str">
        <f>'C COSTOS ESTADO FINANCIERO'!I77</f>
        <v>HSAT - Tame</v>
      </c>
      <c r="F77" s="20" t="str">
        <f>'C COSTOS ESTADO FINANCIERO'!H77</f>
        <v>PRODUCTIVO (final)</v>
      </c>
      <c r="G77" s="20" t="str">
        <f>'C COSTOS ESTADO FINANCIERO'!J77</f>
        <v>NO APLICA</v>
      </c>
    </row>
    <row r="78" spans="1:7" x14ac:dyDescent="0.25">
      <c r="A78" s="20">
        <f>'C COSTOS ESTADO FINANCIERO'!A78</f>
        <v>1040304</v>
      </c>
      <c r="B78" s="20" t="str">
        <f>'C COSTOS ESTADO FINANCIERO'!B78</f>
        <v>HSAT-TAME-RECIEN NACIDOS</v>
      </c>
      <c r="C78" s="20" t="str">
        <f>'C COSTOS ESTADO FINANCIERO'!D78</f>
        <v>J09</v>
      </c>
      <c r="D78" s="20" t="str">
        <f>'C COSTOS ESTADO FINANCIERO'!E78</f>
        <v>UNIDAD DE RECIÉN NACIDOS</v>
      </c>
      <c r="E78" s="20" t="str">
        <f>'C COSTOS ESTADO FINANCIERO'!I78</f>
        <v>HSAT - Tame</v>
      </c>
      <c r="F78" s="20" t="str">
        <f>'C COSTOS ESTADO FINANCIERO'!H78</f>
        <v>PRODUCTIVO (final)</v>
      </c>
      <c r="G78" s="20" t="str">
        <f>'C COSTOS ESTADO FINANCIERO'!J78</f>
        <v>VERIFICAR</v>
      </c>
    </row>
    <row r="79" spans="1:7" x14ac:dyDescent="0.25">
      <c r="A79" s="20">
        <f>'C COSTOS ESTADO FINANCIERO'!A79</f>
        <v>1040305</v>
      </c>
      <c r="B79" s="20" t="str">
        <f>'C COSTOS ESTADO FINANCIERO'!B79</f>
        <v>HSAT-TAME-HOSPITALIZACI.N SALUD MENTAL</v>
      </c>
      <c r="C79" s="20" t="str">
        <f>'C COSTOS ESTADO FINANCIERO'!D79</f>
        <v>J10</v>
      </c>
      <c r="D79" s="20" t="str">
        <f>'C COSTOS ESTADO FINANCIERO'!E79</f>
        <v>UNIDAD SALUD MENTAL Y DESINTOXICACIÓN (BAJA COMPLEJIDAD)</v>
      </c>
      <c r="E79" s="20" t="str">
        <f>'C COSTOS ESTADO FINANCIERO'!I79</f>
        <v>HSAT - Tame</v>
      </c>
      <c r="F79" s="20" t="str">
        <f>'C COSTOS ESTADO FINANCIERO'!H79</f>
        <v>PRODUCTIVO (final)</v>
      </c>
      <c r="G79" s="20" t="str">
        <f>'C COSTOS ESTADO FINANCIERO'!J79</f>
        <v>NO APLICA</v>
      </c>
    </row>
    <row r="80" spans="1:7" x14ac:dyDescent="0.25">
      <c r="A80" s="20">
        <f>'C COSTOS ESTADO FINANCIERO'!A80</f>
        <v>1040306</v>
      </c>
      <c r="B80" s="20" t="str">
        <f>'C COSTOS ESTADO FINANCIERO'!B80</f>
        <v>HSAT-TAME-QUEMADOS</v>
      </c>
      <c r="C80" s="20" t="str">
        <f>'C COSTOS ESTADO FINANCIERO'!D80</f>
        <v>J08</v>
      </c>
      <c r="D80" s="20" t="str">
        <f>'C COSTOS ESTADO FINANCIERO'!E80</f>
        <v>UNIDAD DE QUEMADOS ADULTOS</v>
      </c>
      <c r="E80" s="20" t="str">
        <f>'C COSTOS ESTADO FINANCIERO'!I80</f>
        <v>HSAT - Tame</v>
      </c>
      <c r="F80" s="20" t="str">
        <f>'C COSTOS ESTADO FINANCIERO'!H80</f>
        <v>PRODUCTIVO (final)</v>
      </c>
      <c r="G80" s="20" t="str">
        <f>'C COSTOS ESTADO FINANCIERO'!J80</f>
        <v>NO APLICA</v>
      </c>
    </row>
    <row r="81" spans="1:7" x14ac:dyDescent="0.25">
      <c r="A81" s="20">
        <f>'C COSTOS ESTADO FINANCIERO'!A81</f>
        <v>1040307</v>
      </c>
      <c r="B81" s="20" t="str">
        <f>'C COSTOS ESTADO FINANCIERO'!B81</f>
        <v>HSAT-TAME-OTROS CUIDADOS ESPECIALE</v>
      </c>
      <c r="C81" s="20" t="str">
        <f>'C COSTOS ESTADO FINANCIERO'!D81</f>
        <v>J13</v>
      </c>
      <c r="D81" s="20" t="str">
        <f>'C COSTOS ESTADO FINANCIERO'!E81</f>
        <v>OTRAS UNIDADES ESPECIALES</v>
      </c>
      <c r="E81" s="20" t="str">
        <f>'C COSTOS ESTADO FINANCIERO'!I81</f>
        <v>HSAT - Tame</v>
      </c>
      <c r="F81" s="20" t="str">
        <f>'C COSTOS ESTADO FINANCIERO'!H81</f>
        <v>PRODUCTIVO (final)</v>
      </c>
      <c r="G81" s="20" t="str">
        <f>'C COSTOS ESTADO FINANCIERO'!J81</f>
        <v>NO APLICA</v>
      </c>
    </row>
    <row r="82" spans="1:7" x14ac:dyDescent="0.25">
      <c r="A82" s="20">
        <f>'C COSTOS ESTADO FINANCIERO'!A82</f>
        <v>1040401</v>
      </c>
      <c r="B82" s="20" t="str">
        <f>'C COSTOS ESTADO FINANCIERO'!B82</f>
        <v>HSAT-TAME-QUIROFANOS</v>
      </c>
      <c r="C82" s="20" t="str">
        <f>'C COSTOS ESTADO FINANCIERO'!D82</f>
        <v>C01</v>
      </c>
      <c r="D82" s="20" t="str">
        <f>'C COSTOS ESTADO FINANCIERO'!E82</f>
        <v>CIRUGÍA GENERAL</v>
      </c>
      <c r="E82" s="20" t="str">
        <f>'C COSTOS ESTADO FINANCIERO'!I82</f>
        <v>HSAT - Tame</v>
      </c>
      <c r="F82" s="20" t="str">
        <f>'C COSTOS ESTADO FINANCIERO'!H82</f>
        <v>PRODUCTIVO (final)</v>
      </c>
      <c r="G82" s="20" t="str">
        <f>'C COSTOS ESTADO FINANCIERO'!J82</f>
        <v>VERIFICAR</v>
      </c>
    </row>
    <row r="83" spans="1:7" x14ac:dyDescent="0.25">
      <c r="A83" s="20">
        <f>'C COSTOS ESTADO FINANCIERO'!A83</f>
        <v>1040402</v>
      </c>
      <c r="B83" s="20" t="str">
        <f>'C COSTOS ESTADO FINANCIERO'!B83</f>
        <v>HSAT-TAME-SALA DE PARTO</v>
      </c>
      <c r="C83" s="20" t="str">
        <f>'C COSTOS ESTADO FINANCIERO'!D83</f>
        <v>D02</v>
      </c>
      <c r="D83" s="20" t="str">
        <f>'C COSTOS ESTADO FINANCIERO'!E83</f>
        <v>ATENCIÓN DE PARTO BAJA COMPLEJIDAD</v>
      </c>
      <c r="E83" s="20" t="str">
        <f>'C COSTOS ESTADO FINANCIERO'!I83</f>
        <v>HSAT - Tame</v>
      </c>
      <c r="F83" s="20" t="str">
        <f>'C COSTOS ESTADO FINANCIERO'!H83</f>
        <v>PRODUCTIVO (final)</v>
      </c>
      <c r="G83" s="20" t="str">
        <f>'C COSTOS ESTADO FINANCIERO'!J83</f>
        <v>ACTIVO</v>
      </c>
    </row>
    <row r="84" spans="1:7" x14ac:dyDescent="0.25">
      <c r="A84" s="20">
        <f>'C COSTOS ESTADO FINANCIERO'!A84</f>
        <v>1040501</v>
      </c>
      <c r="B84" s="20" t="str">
        <f>'C COSTOS ESTADO FINANCIERO'!B84</f>
        <v>HSAT-TAME-LABORATORIO CLINICO</v>
      </c>
      <c r="C84" s="20" t="str">
        <f>'C COSTOS ESTADO FINANCIERO'!D84</f>
        <v>L07</v>
      </c>
      <c r="D84" s="20" t="str">
        <f>'C COSTOS ESTADO FINANCIERO'!E84</f>
        <v>LABORATORIO Y ANÁLISIS CLÍNICO</v>
      </c>
      <c r="E84" s="20" t="str">
        <f>'C COSTOS ESTADO FINANCIERO'!I84</f>
        <v>HSAT - Tame</v>
      </c>
      <c r="F84" s="20" t="str">
        <f>'C COSTOS ESTADO FINANCIERO'!H84</f>
        <v>APOYO ASISTENCIAL (intermedio)</v>
      </c>
      <c r="G84" s="20" t="str">
        <f>'C COSTOS ESTADO FINANCIERO'!J84</f>
        <v>ACTIVO</v>
      </c>
    </row>
    <row r="85" spans="1:7" x14ac:dyDescent="0.25">
      <c r="A85" s="20">
        <f>'C COSTOS ESTADO FINANCIERO'!A85</f>
        <v>1040502</v>
      </c>
      <c r="B85" s="20" t="str">
        <f>'C COSTOS ESTADO FINANCIERO'!B85</f>
        <v>HSAT-TAME-IMAGENOLOGIA</v>
      </c>
      <c r="C85" s="20" t="str">
        <f>'C COSTOS ESTADO FINANCIERO'!D85</f>
        <v>L02</v>
      </c>
      <c r="D85" s="20" t="str">
        <f>'C COSTOS ESTADO FINANCIERO'!E85</f>
        <v>IMAGENEOLOGÍA RADIOLÓGICA</v>
      </c>
      <c r="E85" s="20" t="str">
        <f>'C COSTOS ESTADO FINANCIERO'!I85</f>
        <v>HSAT - Tame</v>
      </c>
      <c r="F85" s="20" t="str">
        <f>'C COSTOS ESTADO FINANCIERO'!H85</f>
        <v>APOYO ASISTENCIAL (intermedio)</v>
      </c>
      <c r="G85" s="20" t="str">
        <f>'C COSTOS ESTADO FINANCIERO'!J85</f>
        <v>ACTIVO</v>
      </c>
    </row>
    <row r="86" spans="1:7" x14ac:dyDescent="0.25">
      <c r="A86" s="20">
        <f>'C COSTOS ESTADO FINANCIERO'!A86</f>
        <v>1040503</v>
      </c>
      <c r="B86" s="20" t="str">
        <f>'C COSTOS ESTADO FINANCIERO'!B86</f>
        <v>HSAT-TAME-ANATOMIA PATOLOGICA</v>
      </c>
      <c r="C86" s="20" t="str">
        <f>'C COSTOS ESTADO FINANCIERO'!D86</f>
        <v>L01</v>
      </c>
      <c r="D86" s="20" t="str">
        <f>'C COSTOS ESTADO FINANCIERO'!E86</f>
        <v>LABORATORIO ANATOMÍA PATOLÓGICA</v>
      </c>
      <c r="E86" s="20" t="str">
        <f>'C COSTOS ESTADO FINANCIERO'!I86</f>
        <v>HSAT - Tame</v>
      </c>
      <c r="F86" s="20" t="str">
        <f>'C COSTOS ESTADO FINANCIERO'!H86</f>
        <v>APOYO ASISTENCIAL (intermedio)</v>
      </c>
      <c r="G86" s="20" t="str">
        <f>'C COSTOS ESTADO FINANCIERO'!J86</f>
        <v>NO APLICA</v>
      </c>
    </row>
    <row r="87" spans="1:7" x14ac:dyDescent="0.25">
      <c r="A87" s="20">
        <f>'C COSTOS ESTADO FINANCIERO'!A87</f>
        <v>1040504</v>
      </c>
      <c r="B87" s="20" t="str">
        <f>'C COSTOS ESTADO FINANCIERO'!B87</f>
        <v>HSAT-TAME-OTRAS UNIDADES DE APOYO DIAGNOSTICO</v>
      </c>
      <c r="C87" s="20" t="str">
        <f>'C COSTOS ESTADO FINANCIERO'!D87</f>
        <v>L04</v>
      </c>
      <c r="D87" s="20" t="str">
        <f>'C COSTOS ESTADO FINANCIERO'!E87</f>
        <v>IMAGENOLOGÍA NO RADIOLÓGICA</v>
      </c>
      <c r="E87" s="20" t="str">
        <f>'C COSTOS ESTADO FINANCIERO'!I87</f>
        <v>HSAT - Tame</v>
      </c>
      <c r="F87" s="20" t="str">
        <f>'C COSTOS ESTADO FINANCIERO'!H87</f>
        <v>APOYO ASISTENCIAL (intermedio)</v>
      </c>
      <c r="G87" s="20" t="str">
        <f>'C COSTOS ESTADO FINANCIERO'!J87</f>
        <v>VERIFICAR</v>
      </c>
    </row>
    <row r="88" spans="1:7" x14ac:dyDescent="0.25">
      <c r="A88" s="20">
        <f>'C COSTOS ESTADO FINANCIERO'!A88</f>
        <v>1040601</v>
      </c>
      <c r="B88" s="20" t="str">
        <f>'C COSTOS ESTADO FINANCIERO'!B88</f>
        <v>HSAT-TAME-REHABILITACION Y TERAPIAS</v>
      </c>
      <c r="C88" s="20" t="str">
        <f>'C COSTOS ESTADO FINANCIERO'!D88</f>
        <v>M06</v>
      </c>
      <c r="D88" s="20" t="str">
        <f>'C COSTOS ESTADO FINANCIERO'!E88</f>
        <v>FISIOTERAPIA Y REHABILITACIÓN</v>
      </c>
      <c r="E88" s="20" t="str">
        <f>'C COSTOS ESTADO FINANCIERO'!I88</f>
        <v>HSAT - Tame</v>
      </c>
      <c r="F88" s="20" t="str">
        <f>'C COSTOS ESTADO FINANCIERO'!H88</f>
        <v>APOYO ASISTENCIAL (intermedio)</v>
      </c>
      <c r="G88" s="20" t="str">
        <f>'C COSTOS ESTADO FINANCIERO'!J88</f>
        <v>ACTIVO</v>
      </c>
    </row>
    <row r="89" spans="1:7" x14ac:dyDescent="0.25">
      <c r="A89" s="20">
        <f>'C COSTOS ESTADO FINANCIERO'!A89</f>
        <v>1040602</v>
      </c>
      <c r="B89" s="20" t="str">
        <f>'C COSTOS ESTADO FINANCIERO'!B89</f>
        <v>HSAT-TAME-BANCO DE SANGRE</v>
      </c>
      <c r="C89" s="20" t="str">
        <f>'C COSTOS ESTADO FINANCIERO'!D89</f>
        <v>M01</v>
      </c>
      <c r="D89" s="20" t="str">
        <f>'C COSTOS ESTADO FINANCIERO'!E89</f>
        <v>BANCO DE SANGRE</v>
      </c>
      <c r="E89" s="20" t="str">
        <f>'C COSTOS ESTADO FINANCIERO'!I89</f>
        <v>HSAT - Tame</v>
      </c>
      <c r="F89" s="20" t="str">
        <f>'C COSTOS ESTADO FINANCIERO'!H89</f>
        <v>APOYO ASISTENCIAL (intermedio)</v>
      </c>
      <c r="G89" s="20" t="str">
        <f>'C COSTOS ESTADO FINANCIERO'!J89</f>
        <v>NO APLICA</v>
      </c>
    </row>
    <row r="90" spans="1:7" x14ac:dyDescent="0.25">
      <c r="A90" s="20">
        <f>'C COSTOS ESTADO FINANCIERO'!A90</f>
        <v>1040603</v>
      </c>
      <c r="B90" s="20" t="str">
        <f>'C COSTOS ESTADO FINANCIERO'!B90</f>
        <v>HSAT-TAME-UNIDAD RENAL</v>
      </c>
      <c r="C90" s="20" t="str">
        <f>'C COSTOS ESTADO FINANCIERO'!D90</f>
        <v>M03</v>
      </c>
      <c r="D90" s="20" t="str">
        <f>'C COSTOS ESTADO FINANCIERO'!E90</f>
        <v>TERAPIA RENAL</v>
      </c>
      <c r="E90" s="20" t="str">
        <f>'C COSTOS ESTADO FINANCIERO'!I90</f>
        <v>HSAT - Tame</v>
      </c>
      <c r="F90" s="20" t="str">
        <f>'C COSTOS ESTADO FINANCIERO'!H90</f>
        <v>APOYO ASISTENCIAL (intermedio)</v>
      </c>
      <c r="G90" s="20" t="str">
        <f>'C COSTOS ESTADO FINANCIERO'!J90</f>
        <v>NO APLICA</v>
      </c>
    </row>
    <row r="91" spans="1:7" x14ac:dyDescent="0.25">
      <c r="A91" s="20">
        <f>'C COSTOS ESTADO FINANCIERO'!A91</f>
        <v>1040604</v>
      </c>
      <c r="B91" s="20" t="str">
        <f>'C COSTOS ESTADO FINANCIERO'!B91</f>
        <v>HSAT-TAME-UNIDAD HEMODINAMIA</v>
      </c>
      <c r="C91" s="20" t="str">
        <f>'C COSTOS ESTADO FINANCIERO'!D91</f>
        <v>C05</v>
      </c>
      <c r="D91" s="20" t="str">
        <f>'C COSTOS ESTADO FINANCIERO'!E91</f>
        <v>CARDIOVASCULAR</v>
      </c>
      <c r="E91" s="20" t="str">
        <f>'C COSTOS ESTADO FINANCIERO'!I91</f>
        <v>HSAT - Tame</v>
      </c>
      <c r="F91" s="20" t="str">
        <f>'C COSTOS ESTADO FINANCIERO'!H91</f>
        <v>PRODUCTIVO (final)</v>
      </c>
      <c r="G91" s="20" t="str">
        <f>'C COSTOS ESTADO FINANCIERO'!J91</f>
        <v>NO APLICA</v>
      </c>
    </row>
    <row r="92" spans="1:7" x14ac:dyDescent="0.25">
      <c r="A92" s="20">
        <f>'C COSTOS ESTADO FINANCIERO'!A92</f>
        <v>1040605</v>
      </c>
      <c r="B92" s="20" t="str">
        <f>'C COSTOS ESTADO FINANCIERO'!B92</f>
        <v>HSAT-TAME-TERAPIAS ONCOLOGICAS</v>
      </c>
      <c r="C92" s="20" t="str">
        <f>'C COSTOS ESTADO FINANCIERO'!D92</f>
        <v>M07</v>
      </c>
      <c r="D92" s="20" t="str">
        <f>'C COSTOS ESTADO FINANCIERO'!E92</f>
        <v>OTRAS TERAPIAS</v>
      </c>
      <c r="E92" s="20" t="str">
        <f>'C COSTOS ESTADO FINANCIERO'!I92</f>
        <v>HSAT - Tame</v>
      </c>
      <c r="F92" s="20" t="str">
        <f>'C COSTOS ESTADO FINANCIERO'!H92</f>
        <v>APOYO ASISTENCIAL (intermedio)</v>
      </c>
      <c r="G92" s="20" t="str">
        <f>'C COSTOS ESTADO FINANCIERO'!J92</f>
        <v>NO APLICA</v>
      </c>
    </row>
    <row r="93" spans="1:7" x14ac:dyDescent="0.25">
      <c r="A93" s="20">
        <f>'C COSTOS ESTADO FINANCIERO'!A93</f>
        <v>1040606</v>
      </c>
      <c r="B93" s="20" t="str">
        <f>'C COSTOS ESTADO FINANCIERO'!B93</f>
        <v>HSAT-TAME-FARMACIA E INSUMOS HOPITALARIOS</v>
      </c>
      <c r="C93" s="20" t="str">
        <f>'C COSTOS ESTADO FINANCIERO'!D93</f>
        <v>M05</v>
      </c>
      <c r="D93" s="20" t="str">
        <f>'C COSTOS ESTADO FINANCIERO'!E93</f>
        <v>FARMACIA</v>
      </c>
      <c r="E93" s="20" t="str">
        <f>'C COSTOS ESTADO FINANCIERO'!I93</f>
        <v>HSAT - Tame</v>
      </c>
      <c r="F93" s="20" t="str">
        <f>'C COSTOS ESTADO FINANCIERO'!H93</f>
        <v>APOYO ASISTENCIAL (intermedio)</v>
      </c>
      <c r="G93" s="20" t="str">
        <f>'C COSTOS ESTADO FINANCIERO'!J93</f>
        <v>ACTIVO</v>
      </c>
    </row>
    <row r="94" spans="1:7" x14ac:dyDescent="0.25">
      <c r="A94" s="20">
        <f>'C COSTOS ESTADO FINANCIERO'!A94</f>
        <v>1040607</v>
      </c>
      <c r="B94" s="20" t="str">
        <f>'C COSTOS ESTADO FINANCIERO'!B94</f>
        <v>HSAT-TAME-OTRAS UNIDADES DE APOYO TERAPEUTICO</v>
      </c>
      <c r="C94" s="20" t="str">
        <f>'C COSTOS ESTADO FINANCIERO'!D94</f>
        <v>M07</v>
      </c>
      <c r="D94" s="20" t="str">
        <f>'C COSTOS ESTADO FINANCIERO'!E94</f>
        <v>OTRAS TERAPIAS</v>
      </c>
      <c r="E94" s="20" t="str">
        <f>'C COSTOS ESTADO FINANCIERO'!I94</f>
        <v>HSAT - Tame</v>
      </c>
      <c r="F94" s="20" t="str">
        <f>'C COSTOS ESTADO FINANCIERO'!H94</f>
        <v>APOYO ASISTENCIAL (intermedio)</v>
      </c>
      <c r="G94" s="20" t="str">
        <f>'C COSTOS ESTADO FINANCIERO'!J94</f>
        <v>VERIFICAR</v>
      </c>
    </row>
    <row r="95" spans="1:7" x14ac:dyDescent="0.25">
      <c r="A95" s="20">
        <f>'C COSTOS ESTADO FINANCIERO'!A95</f>
        <v>1040701</v>
      </c>
      <c r="B95" s="20" t="str">
        <f>'C COSTOS ESTADO FINANCIERO'!B95</f>
        <v>HSAT-TAME-ANCIANATOS</v>
      </c>
      <c r="C95" s="20" t="str">
        <f>'C COSTOS ESTADO FINANCIERO'!D95</f>
        <v>J01</v>
      </c>
      <c r="D95" s="20" t="str">
        <f>'C COSTOS ESTADO FINANCIERO'!E95</f>
        <v>ANCIANATOS Y ALBERGUES</v>
      </c>
      <c r="E95" s="20" t="str">
        <f>'C COSTOS ESTADO FINANCIERO'!I95</f>
        <v>HSAT - Tame</v>
      </c>
      <c r="F95" s="20" t="str">
        <f>'C COSTOS ESTADO FINANCIERO'!H95</f>
        <v>PRODUCTIVO (final)</v>
      </c>
      <c r="G95" s="20" t="str">
        <f>'C COSTOS ESTADO FINANCIERO'!J95</f>
        <v>NO APLICA</v>
      </c>
    </row>
    <row r="96" spans="1:7" x14ac:dyDescent="0.25">
      <c r="A96" s="20">
        <f>'C COSTOS ESTADO FINANCIERO'!A96</f>
        <v>1040702</v>
      </c>
      <c r="B96" s="20" t="str">
        <f>'C COSTOS ESTADO FINANCIERO'!B96</f>
        <v>HSAT-TAME-CENTROS Y PUESTOS DE SALUD</v>
      </c>
      <c r="C96" s="20" t="str">
        <f>'C COSTOS ESTADO FINANCIERO'!D96</f>
        <v>J17</v>
      </c>
      <c r="D96" s="20" t="str">
        <f>'C COSTOS ESTADO FINANCIERO'!E96</f>
        <v>CENTROS Y PUESTOS DE SALUD</v>
      </c>
      <c r="E96" s="20" t="str">
        <f>'C COSTOS ESTADO FINANCIERO'!I96</f>
        <v>HSAT - Tame</v>
      </c>
      <c r="F96" s="20" t="str">
        <f>'C COSTOS ESTADO FINANCIERO'!H96</f>
        <v>PRODUCTIVO (final)</v>
      </c>
      <c r="G96" s="20" t="str">
        <f>'C COSTOS ESTADO FINANCIERO'!J96</f>
        <v>ACTIVO</v>
      </c>
    </row>
    <row r="97" spans="1:7" x14ac:dyDescent="0.25">
      <c r="A97" s="20">
        <f>'C COSTOS ESTADO FINANCIERO'!A97</f>
        <v>1040703</v>
      </c>
      <c r="B97" s="20" t="str">
        <f>'C COSTOS ESTADO FINANCIERO'!B97</f>
        <v>HSAT-TAME-SERV. DOCENTES</v>
      </c>
      <c r="C97" s="20" t="str">
        <f>'C COSTOS ESTADO FINANCIERO'!D97</f>
        <v>U03</v>
      </c>
      <c r="D97" s="20" t="str">
        <f>'C COSTOS ESTADO FINANCIERO'!E97</f>
        <v>EDUCACIÓN MÉDICA</v>
      </c>
      <c r="E97" s="20" t="str">
        <f>'C COSTOS ESTADO FINANCIERO'!I97</f>
        <v>HSAT - Tame</v>
      </c>
      <c r="F97" s="20" t="str">
        <f>'C COSTOS ESTADO FINANCIERO'!H97</f>
        <v>ADMINISTRATIVO</v>
      </c>
      <c r="G97" s="20" t="str">
        <f>'C COSTOS ESTADO FINANCIERO'!J97</f>
        <v>NO APLICA</v>
      </c>
    </row>
    <row r="98" spans="1:7" x14ac:dyDescent="0.25">
      <c r="A98" s="20">
        <f>'C COSTOS ESTADO FINANCIERO'!A98</f>
        <v>1040704</v>
      </c>
      <c r="B98" s="20" t="str">
        <f>'C COSTOS ESTADO FINANCIERO'!B98</f>
        <v>HSAT-TAME-SERV. CONEXOS A LA SALUD MEDICINA LEGAL</v>
      </c>
      <c r="C98" s="20" t="str">
        <f>'C COSTOS ESTADO FINANCIERO'!D98</f>
        <v>A32</v>
      </c>
      <c r="D98" s="20" t="str">
        <f>'C COSTOS ESTADO FINANCIERO'!E98</f>
        <v>OTRAS CONSULTAS Y PROCEDIMIENTOS</v>
      </c>
      <c r="E98" s="20" t="str">
        <f>'C COSTOS ESTADO FINANCIERO'!I98</f>
        <v>HSAT - Tame</v>
      </c>
      <c r="F98" s="20" t="str">
        <f>'C COSTOS ESTADO FINANCIERO'!H98</f>
        <v>PRODUCTIVO (final)</v>
      </c>
      <c r="G98" s="20" t="str">
        <f>'C COSTOS ESTADO FINANCIERO'!J98</f>
        <v>VERIFICAR</v>
      </c>
    </row>
    <row r="99" spans="1:7" x14ac:dyDescent="0.25">
      <c r="A99" s="20">
        <f>'C COSTOS ESTADO FINANCIERO'!A99</f>
        <v>1040705</v>
      </c>
      <c r="B99" s="20" t="str">
        <f>'C COSTOS ESTADO FINANCIERO'!B99</f>
        <v>HSAT-TAME-SERV. CONEXOS A LA SALUD SER. AMBULANC</v>
      </c>
      <c r="C99" s="20" t="str">
        <f>'C COSTOS ESTADO FINANCIERO'!D99</f>
        <v>N08</v>
      </c>
      <c r="D99" s="20" t="str">
        <f>'C COSTOS ESTADO FINANCIERO'!E99</f>
        <v>SERVICIO DE AMBULANCIAS</v>
      </c>
      <c r="E99" s="20" t="str">
        <f>'C COSTOS ESTADO FINANCIERO'!I99</f>
        <v>HSAT - Tame</v>
      </c>
      <c r="F99" s="20" t="str">
        <f>'C COSTOS ESTADO FINANCIERO'!H99</f>
        <v>PRODUCTIVO (final)</v>
      </c>
      <c r="G99" s="20" t="str">
        <f>'C COSTOS ESTADO FINANCIERO'!J99</f>
        <v>ACTIVO</v>
      </c>
    </row>
    <row r="100" spans="1:7" x14ac:dyDescent="0.25">
      <c r="A100" s="20">
        <f>'C COSTOS ESTADO FINANCIERO'!A100</f>
        <v>1040706</v>
      </c>
      <c r="B100" s="20" t="str">
        <f>'C COSTOS ESTADO FINANCIERO'!B100</f>
        <v>HSAT-TAME-SER. CONEXOS A LA SALUD OTROS SERVICIOS</v>
      </c>
      <c r="C100" s="20" t="str">
        <f>'C COSTOS ESTADO FINANCIERO'!D100</f>
        <v>N04</v>
      </c>
      <c r="D100" s="20" t="str">
        <f>'C COSTOS ESTADO FINANCIERO'!E100</f>
        <v>OTROS ENFERMERÍA</v>
      </c>
      <c r="E100" s="20" t="str">
        <f>'C COSTOS ESTADO FINANCIERO'!I100</f>
        <v>HSAT - Tame</v>
      </c>
      <c r="F100" s="20" t="str">
        <f>'C COSTOS ESTADO FINANCIERO'!H100</f>
        <v>APOYO ASISTENCIAL (intermedio)</v>
      </c>
      <c r="G100" s="20" t="str">
        <f>'C COSTOS ESTADO FINANCIERO'!J100</f>
        <v>VERIFICAR</v>
      </c>
    </row>
    <row r="101" spans="1:7" x14ac:dyDescent="0.25">
      <c r="A101" s="20">
        <f>'C COSTOS ESTADO FINANCIERO'!A101</f>
        <v>1050101</v>
      </c>
      <c r="B101" s="20" t="str">
        <f>'C COSTOS ESTADO FINANCIERO'!B101</f>
        <v>HSJDP-PUERTO RONDON-CONSULTA Y PROCEDIMIENTOS</v>
      </c>
      <c r="C101" s="20" t="str">
        <f>'C COSTOS ESTADO FINANCIERO'!D101</f>
        <v>B01</v>
      </c>
      <c r="D101" s="20" t="str">
        <f>'C COSTOS ESTADO FINANCIERO'!E101</f>
        <v>CONSULTA URGENCIAS</v>
      </c>
      <c r="E101" s="20" t="str">
        <f>'C COSTOS ESTADO FINANCIERO'!I101</f>
        <v>HSJDP - Puerto Rondón</v>
      </c>
      <c r="F101" s="20" t="str">
        <f>'C COSTOS ESTADO FINANCIERO'!H101</f>
        <v>PRODUCTIVO (final)</v>
      </c>
      <c r="G101" s="20" t="str">
        <f>'C COSTOS ESTADO FINANCIERO'!J101</f>
        <v>ACTIVO</v>
      </c>
    </row>
    <row r="102" spans="1:7" x14ac:dyDescent="0.25">
      <c r="A102" s="20">
        <f>'C COSTOS ESTADO FINANCIERO'!A102</f>
        <v>1050102</v>
      </c>
      <c r="B102" s="20" t="str">
        <f>'C COSTOS ESTADO FINANCIERO'!B102</f>
        <v>HSJDP-PUERTO RONDON-OBSERVACIONES</v>
      </c>
      <c r="C102" s="20" t="str">
        <f>'C COSTOS ESTADO FINANCIERO'!D102</f>
        <v>B02</v>
      </c>
      <c r="D102" s="20" t="str">
        <f>'C COSTOS ESTADO FINANCIERO'!E102</f>
        <v>OBSERVACIÓN</v>
      </c>
      <c r="E102" s="20" t="str">
        <f>'C COSTOS ESTADO FINANCIERO'!I102</f>
        <v>HSJDP - Puerto Rondón</v>
      </c>
      <c r="F102" s="20" t="str">
        <f>'C COSTOS ESTADO FINANCIERO'!H102</f>
        <v>PRODUCTIVO (final)</v>
      </c>
      <c r="G102" s="20" t="str">
        <f>'C COSTOS ESTADO FINANCIERO'!J102</f>
        <v>ACTIVO</v>
      </c>
    </row>
    <row r="103" spans="1:7" x14ac:dyDescent="0.25">
      <c r="A103" s="20">
        <f>'C COSTOS ESTADO FINANCIERO'!A103</f>
        <v>1050201</v>
      </c>
      <c r="B103" s="20" t="str">
        <f>'C COSTOS ESTADO FINANCIERO'!B103</f>
        <v>HSJDP-PUERTO RONDON-CONSULTA EXTERNA</v>
      </c>
      <c r="C103" s="20" t="str">
        <f>'C COSTOS ESTADO FINANCIERO'!D103</f>
        <v>A10</v>
      </c>
      <c r="D103" s="20" t="str">
        <f>'C COSTOS ESTADO FINANCIERO'!E103</f>
        <v>MEDICINA GENERAL</v>
      </c>
      <c r="E103" s="20" t="str">
        <f>'C COSTOS ESTADO FINANCIERO'!I103</f>
        <v>HSJDP - Puerto Rondón</v>
      </c>
      <c r="F103" s="20" t="str">
        <f>'C COSTOS ESTADO FINANCIERO'!H103</f>
        <v>PRODUCTIVO (final)</v>
      </c>
      <c r="G103" s="20" t="str">
        <f>'C COSTOS ESTADO FINANCIERO'!J103</f>
        <v>ACTIVO</v>
      </c>
    </row>
    <row r="104" spans="1:7" x14ac:dyDescent="0.25">
      <c r="A104" s="20">
        <f>'C COSTOS ESTADO FINANCIERO'!A104</f>
        <v>1050202</v>
      </c>
      <c r="B104" s="20" t="str">
        <f>'C COSTOS ESTADO FINANCIERO'!B104</f>
        <v>HSJDP-PUERTO RONDON-CONSULTA ESPECIALIZADA</v>
      </c>
      <c r="C104" s="20" t="str">
        <f>'C COSTOS ESTADO FINANCIERO'!D104</f>
        <v>A32</v>
      </c>
      <c r="D104" s="20" t="str">
        <f>'C COSTOS ESTADO FINANCIERO'!E104</f>
        <v>OTRAS CONSULTAS Y PROCEDIMIENTOS</v>
      </c>
      <c r="E104" s="20" t="str">
        <f>'C COSTOS ESTADO FINANCIERO'!I104</f>
        <v>HSJDP - Puerto Rondón</v>
      </c>
      <c r="F104" s="20" t="str">
        <f>'C COSTOS ESTADO FINANCIERO'!H104</f>
        <v>PRODUCTIVO (final)</v>
      </c>
      <c r="G104" s="20" t="str">
        <f>'C COSTOS ESTADO FINANCIERO'!J104</f>
        <v>ACTIVO</v>
      </c>
    </row>
    <row r="105" spans="1:7" x14ac:dyDescent="0.25">
      <c r="A105" s="20">
        <f>'C COSTOS ESTADO FINANCIERO'!A105</f>
        <v>1050203</v>
      </c>
      <c r="B105" s="20" t="str">
        <f>'C COSTOS ESTADO FINANCIERO'!B105</f>
        <v>HSJDP-PUERTO RONDON-SALUD ORAL</v>
      </c>
      <c r="C105" s="20" t="str">
        <f>'C COSTOS ESTADO FINANCIERO'!D105</f>
        <v>E01</v>
      </c>
      <c r="D105" s="20" t="str">
        <f>'C COSTOS ESTADO FINANCIERO'!E105</f>
        <v>ODONTOLOGÍA GENERAL</v>
      </c>
      <c r="E105" s="20" t="str">
        <f>'C COSTOS ESTADO FINANCIERO'!I105</f>
        <v>HSJDP - Puerto Rondón</v>
      </c>
      <c r="F105" s="20" t="str">
        <f>'C COSTOS ESTADO FINANCIERO'!H105</f>
        <v>PRODUCTIVO (final)</v>
      </c>
      <c r="G105" s="20" t="str">
        <f>'C COSTOS ESTADO FINANCIERO'!J105</f>
        <v>ACTIVO</v>
      </c>
    </row>
    <row r="106" spans="1:7" x14ac:dyDescent="0.25">
      <c r="A106" s="20">
        <f>'C COSTOS ESTADO FINANCIERO'!A106</f>
        <v>1050204</v>
      </c>
      <c r="B106" s="20" t="str">
        <f>'C COSTOS ESTADO FINANCIERO'!B106</f>
        <v>HSJDP-PUERTO RONDON-PROMOCION Y MANTENIMIENTO</v>
      </c>
      <c r="C106" s="20" t="str">
        <f>'C COSTOS ESTADO FINANCIERO'!D106</f>
        <v>N03</v>
      </c>
      <c r="D106" s="20" t="str">
        <f>'C COSTOS ESTADO FINANCIERO'!E106</f>
        <v>PROMOCIÓN Y PREVENCIÓN</v>
      </c>
      <c r="E106" s="20" t="str">
        <f>'C COSTOS ESTADO FINANCIERO'!I106</f>
        <v>HSJDP - Puerto Rondón</v>
      </c>
      <c r="F106" s="20" t="str">
        <f>'C COSTOS ESTADO FINANCIERO'!H106</f>
        <v>PRODUCTIVO (final)</v>
      </c>
      <c r="G106" s="20" t="str">
        <f>'C COSTOS ESTADO FINANCIERO'!J106</f>
        <v>ACTIVO</v>
      </c>
    </row>
    <row r="107" spans="1:7" x14ac:dyDescent="0.25">
      <c r="A107" s="20">
        <f>'C COSTOS ESTADO FINANCIERO'!A107</f>
        <v>1050205</v>
      </c>
      <c r="B107" s="20" t="str">
        <f>'C COSTOS ESTADO FINANCIERO'!B107</f>
        <v>HSJDP-PUERTO RONDON-OTRAS ACTIVIDADES EXTRAMURALES</v>
      </c>
      <c r="C107" s="20" t="str">
        <f>'C COSTOS ESTADO FINANCIERO'!D107</f>
        <v>K25</v>
      </c>
      <c r="D107" s="20" t="str">
        <f>'C COSTOS ESTADO FINANCIERO'!E107</f>
        <v>SALUD PUBLICA</v>
      </c>
      <c r="E107" s="20" t="str">
        <f>'C COSTOS ESTADO FINANCIERO'!I107</f>
        <v>HSJDP - Puerto Rondón</v>
      </c>
      <c r="F107" s="20" t="str">
        <f>'C COSTOS ESTADO FINANCIERO'!H107</f>
        <v>PRODUCTIVO (final)</v>
      </c>
      <c r="G107" s="20" t="str">
        <f>'C COSTOS ESTADO FINANCIERO'!J107</f>
        <v>ACTIVO</v>
      </c>
    </row>
    <row r="108" spans="1:7" x14ac:dyDescent="0.25">
      <c r="A108" s="20">
        <f>'C COSTOS ESTADO FINANCIERO'!A108</f>
        <v>1050301</v>
      </c>
      <c r="B108" s="20" t="str">
        <f>'C COSTOS ESTADO FINANCIERO'!B108</f>
        <v>HSJDP-PUERTO RONDON-HOSPITALACION-ESTANCIA GENERAL</v>
      </c>
      <c r="C108" s="20" t="str">
        <f>'C COSTOS ESTADO FINANCIERO'!D108</f>
        <v>I01</v>
      </c>
      <c r="D108" s="20" t="str">
        <f>'C COSTOS ESTADO FINANCIERO'!E108</f>
        <v>HOSPITALIZACIÓN GENERAL</v>
      </c>
      <c r="E108" s="20" t="str">
        <f>'C COSTOS ESTADO FINANCIERO'!I108</f>
        <v>HSJDP - Puerto Rondón</v>
      </c>
      <c r="F108" s="20" t="str">
        <f>'C COSTOS ESTADO FINANCIERO'!H108</f>
        <v>PRODUCTIVO (final)</v>
      </c>
      <c r="G108" s="20" t="str">
        <f>'C COSTOS ESTADO FINANCIERO'!J108</f>
        <v>ACTIVO</v>
      </c>
    </row>
    <row r="109" spans="1:7" x14ac:dyDescent="0.25">
      <c r="A109" s="20">
        <f>'C COSTOS ESTADO FINANCIERO'!A109</f>
        <v>1050302</v>
      </c>
      <c r="B109" s="20" t="str">
        <f>'C COSTOS ESTADO FINANCIERO'!B109</f>
        <v>HSJDP-PUERTO RONDON-CUIDADOS INTENSIVOS</v>
      </c>
      <c r="C109" s="20" t="str">
        <f>'C COSTOS ESTADO FINANCIERO'!D109</f>
        <v>J02</v>
      </c>
      <c r="D109" s="20" t="str">
        <f>'C COSTOS ESTADO FINANCIERO'!E109</f>
        <v>UCI ADULTOS</v>
      </c>
      <c r="E109" s="20" t="str">
        <f>'C COSTOS ESTADO FINANCIERO'!I109</f>
        <v>HSJDP - Puerto Rondón</v>
      </c>
      <c r="F109" s="20" t="str">
        <f>'C COSTOS ESTADO FINANCIERO'!H109</f>
        <v>PRODUCTIVO (final)</v>
      </c>
      <c r="G109" s="20" t="str">
        <f>'C COSTOS ESTADO FINANCIERO'!J109</f>
        <v>NO APLICA</v>
      </c>
    </row>
    <row r="110" spans="1:7" x14ac:dyDescent="0.25">
      <c r="A110" s="20">
        <f>'C COSTOS ESTADO FINANCIERO'!A110</f>
        <v>1050303</v>
      </c>
      <c r="B110" s="20" t="str">
        <f>'C COSTOS ESTADO FINANCIERO'!B110</f>
        <v>HSJDP-PUERTO RONDON-CUIDADOS INTERMEDIOS</v>
      </c>
      <c r="C110" s="20" t="str">
        <f>'C COSTOS ESTADO FINANCIERO'!D110</f>
        <v>J05</v>
      </c>
      <c r="D110" s="20" t="str">
        <f>'C COSTOS ESTADO FINANCIERO'!E110</f>
        <v>UCI INTERMEDIOS ADULTOS</v>
      </c>
      <c r="E110" s="20" t="str">
        <f>'C COSTOS ESTADO FINANCIERO'!I110</f>
        <v>HSJDP - Puerto Rondón</v>
      </c>
      <c r="F110" s="20" t="str">
        <f>'C COSTOS ESTADO FINANCIERO'!H110</f>
        <v>PRODUCTIVO (final)</v>
      </c>
      <c r="G110" s="20" t="str">
        <f>'C COSTOS ESTADO FINANCIERO'!J110</f>
        <v>NO APLICA</v>
      </c>
    </row>
    <row r="111" spans="1:7" x14ac:dyDescent="0.25">
      <c r="A111" s="20">
        <f>'C COSTOS ESTADO FINANCIERO'!A111</f>
        <v>1050304</v>
      </c>
      <c r="B111" s="20" t="str">
        <f>'C COSTOS ESTADO FINANCIERO'!B111</f>
        <v>HSJDP-PUERTO RONDON-RECIEN NACIDOS</v>
      </c>
      <c r="C111" s="20" t="str">
        <f>'C COSTOS ESTADO FINANCIERO'!D111</f>
        <v>J09</v>
      </c>
      <c r="D111" s="20" t="str">
        <f>'C COSTOS ESTADO FINANCIERO'!E111</f>
        <v>UNIDAD DE RECIÉN NACIDOS</v>
      </c>
      <c r="E111" s="20" t="str">
        <f>'C COSTOS ESTADO FINANCIERO'!I111</f>
        <v>HSJDP - Puerto Rondón</v>
      </c>
      <c r="F111" s="20" t="str">
        <f>'C COSTOS ESTADO FINANCIERO'!H111</f>
        <v>PRODUCTIVO (final)</v>
      </c>
      <c r="G111" s="20" t="str">
        <f>'C COSTOS ESTADO FINANCIERO'!J111</f>
        <v>VERIFICAR</v>
      </c>
    </row>
    <row r="112" spans="1:7" x14ac:dyDescent="0.25">
      <c r="A112" s="20">
        <f>'C COSTOS ESTADO FINANCIERO'!A112</f>
        <v>1050305</v>
      </c>
      <c r="B112" s="20" t="str">
        <f>'C COSTOS ESTADO FINANCIERO'!B112</f>
        <v>HSJDP-PUERTO RONDON-HOSPITALIZACI.N SALUD MENTAL</v>
      </c>
      <c r="C112" s="20" t="str">
        <f>'C COSTOS ESTADO FINANCIERO'!D112</f>
        <v>J10</v>
      </c>
      <c r="D112" s="20" t="str">
        <f>'C COSTOS ESTADO FINANCIERO'!E112</f>
        <v>UNIDAD SALUD MENTAL Y DESINTOXICACIÓN (BAJA COMPLEJIDAD)</v>
      </c>
      <c r="E112" s="20" t="str">
        <f>'C COSTOS ESTADO FINANCIERO'!I112</f>
        <v>HSJDP - Puerto Rondón</v>
      </c>
      <c r="F112" s="20" t="str">
        <f>'C COSTOS ESTADO FINANCIERO'!H112</f>
        <v>PRODUCTIVO (final)</v>
      </c>
      <c r="G112" s="20" t="str">
        <f>'C COSTOS ESTADO FINANCIERO'!J112</f>
        <v>NO APLICA</v>
      </c>
    </row>
    <row r="113" spans="1:7" x14ac:dyDescent="0.25">
      <c r="A113" s="20">
        <f>'C COSTOS ESTADO FINANCIERO'!A113</f>
        <v>1050306</v>
      </c>
      <c r="B113" s="20" t="str">
        <f>'C COSTOS ESTADO FINANCIERO'!B113</f>
        <v>HSJDP-PUERTO RONDON-QUEMADOS</v>
      </c>
      <c r="C113" s="20" t="str">
        <f>'C COSTOS ESTADO FINANCIERO'!D113</f>
        <v>J08</v>
      </c>
      <c r="D113" s="20" t="str">
        <f>'C COSTOS ESTADO FINANCIERO'!E113</f>
        <v>UNIDAD DE QUEMADOS ADULTOS</v>
      </c>
      <c r="E113" s="20" t="str">
        <f>'C COSTOS ESTADO FINANCIERO'!I113</f>
        <v>HSJDP - Puerto Rondón</v>
      </c>
      <c r="F113" s="20" t="str">
        <f>'C COSTOS ESTADO FINANCIERO'!H113</f>
        <v>PRODUCTIVO (final)</v>
      </c>
      <c r="G113" s="20" t="str">
        <f>'C COSTOS ESTADO FINANCIERO'!J113</f>
        <v>NO APLICA</v>
      </c>
    </row>
    <row r="114" spans="1:7" x14ac:dyDescent="0.25">
      <c r="A114" s="20">
        <f>'C COSTOS ESTADO FINANCIERO'!A114</f>
        <v>1050307</v>
      </c>
      <c r="B114" s="20" t="str">
        <f>'C COSTOS ESTADO FINANCIERO'!B114</f>
        <v>HSJDP-PUERTO RONDON-OTROS CUIDADOS ESPECIALE</v>
      </c>
      <c r="C114" s="20" t="str">
        <f>'C COSTOS ESTADO FINANCIERO'!D114</f>
        <v>J13</v>
      </c>
      <c r="D114" s="20" t="str">
        <f>'C COSTOS ESTADO FINANCIERO'!E114</f>
        <v>OTRAS UNIDADES ESPECIALES</v>
      </c>
      <c r="E114" s="20" t="str">
        <f>'C COSTOS ESTADO FINANCIERO'!I114</f>
        <v>HSJDP - Puerto Rondón</v>
      </c>
      <c r="F114" s="20" t="str">
        <f>'C COSTOS ESTADO FINANCIERO'!H114</f>
        <v>PRODUCTIVO (final)</v>
      </c>
      <c r="G114" s="20" t="str">
        <f>'C COSTOS ESTADO FINANCIERO'!J114</f>
        <v>NO APLICA</v>
      </c>
    </row>
    <row r="115" spans="1:7" x14ac:dyDescent="0.25">
      <c r="A115" s="20">
        <f>'C COSTOS ESTADO FINANCIERO'!A115</f>
        <v>1050401</v>
      </c>
      <c r="B115" s="20" t="str">
        <f>'C COSTOS ESTADO FINANCIERO'!B115</f>
        <v>HSJDP-PUERTO RONDON-QUIROFANOS</v>
      </c>
      <c r="C115" s="20" t="str">
        <f>'C COSTOS ESTADO FINANCIERO'!D115</f>
        <v>C01</v>
      </c>
      <c r="D115" s="20" t="str">
        <f>'C COSTOS ESTADO FINANCIERO'!E115</f>
        <v>CIRUGÍA GENERAL</v>
      </c>
      <c r="E115" s="20" t="str">
        <f>'C COSTOS ESTADO FINANCIERO'!I115</f>
        <v>HSJDP - Puerto Rondón</v>
      </c>
      <c r="F115" s="20" t="str">
        <f>'C COSTOS ESTADO FINANCIERO'!H115</f>
        <v>PRODUCTIVO (final)</v>
      </c>
      <c r="G115" s="20" t="str">
        <f>'C COSTOS ESTADO FINANCIERO'!J115</f>
        <v>VERIFICAR</v>
      </c>
    </row>
    <row r="116" spans="1:7" x14ac:dyDescent="0.25">
      <c r="A116" s="20">
        <f>'C COSTOS ESTADO FINANCIERO'!A116</f>
        <v>1050402</v>
      </c>
      <c r="B116" s="20" t="str">
        <f>'C COSTOS ESTADO FINANCIERO'!B116</f>
        <v>HSJDP-PUERTO RONDON-SALA DE PARTO</v>
      </c>
      <c r="C116" s="20" t="str">
        <f>'C COSTOS ESTADO FINANCIERO'!D116</f>
        <v>D02</v>
      </c>
      <c r="D116" s="20" t="str">
        <f>'C COSTOS ESTADO FINANCIERO'!E116</f>
        <v>ATENCIÓN DE PARTO BAJA COMPLEJIDAD</v>
      </c>
      <c r="E116" s="20" t="str">
        <f>'C COSTOS ESTADO FINANCIERO'!I116</f>
        <v>HSJDP - Puerto Rondón</v>
      </c>
      <c r="F116" s="20" t="str">
        <f>'C COSTOS ESTADO FINANCIERO'!H116</f>
        <v>PRODUCTIVO (final)</v>
      </c>
      <c r="G116" s="20" t="str">
        <f>'C COSTOS ESTADO FINANCIERO'!J116</f>
        <v>ACTIVO</v>
      </c>
    </row>
    <row r="117" spans="1:7" x14ac:dyDescent="0.25">
      <c r="A117" s="20">
        <f>'C COSTOS ESTADO FINANCIERO'!A117</f>
        <v>1050501</v>
      </c>
      <c r="B117" s="20" t="str">
        <f>'C COSTOS ESTADO FINANCIERO'!B117</f>
        <v>HSJDP-PUERTO RONDON-LABORATORIO CLINICO</v>
      </c>
      <c r="C117" s="20" t="str">
        <f>'C COSTOS ESTADO FINANCIERO'!D117</f>
        <v>L07</v>
      </c>
      <c r="D117" s="20" t="str">
        <f>'C COSTOS ESTADO FINANCIERO'!E117</f>
        <v>LABORATORIO Y ANÁLISIS CLÍNICO</v>
      </c>
      <c r="E117" s="20" t="str">
        <f>'C COSTOS ESTADO FINANCIERO'!I117</f>
        <v>HSJDP - Puerto Rondón</v>
      </c>
      <c r="F117" s="20" t="str">
        <f>'C COSTOS ESTADO FINANCIERO'!H117</f>
        <v>APOYO ASISTENCIAL (intermedio)</v>
      </c>
      <c r="G117" s="20" t="str">
        <f>'C COSTOS ESTADO FINANCIERO'!J117</f>
        <v>ACTIVO</v>
      </c>
    </row>
    <row r="118" spans="1:7" x14ac:dyDescent="0.25">
      <c r="A118" s="20">
        <f>'C COSTOS ESTADO FINANCIERO'!A118</f>
        <v>1050502</v>
      </c>
      <c r="B118" s="20" t="str">
        <f>'C COSTOS ESTADO FINANCIERO'!B118</f>
        <v>HSJDP-PUERTO RONDON-IMAGENOLOGIA</v>
      </c>
      <c r="C118" s="20" t="str">
        <f>'C COSTOS ESTADO FINANCIERO'!D118</f>
        <v>L02</v>
      </c>
      <c r="D118" s="20" t="str">
        <f>'C COSTOS ESTADO FINANCIERO'!E118</f>
        <v>IMAGENEOLOGÍA RADIOLÓGICA</v>
      </c>
      <c r="E118" s="20" t="str">
        <f>'C COSTOS ESTADO FINANCIERO'!I118</f>
        <v>HSJDP - Puerto Rondón</v>
      </c>
      <c r="F118" s="20" t="str">
        <f>'C COSTOS ESTADO FINANCIERO'!H118</f>
        <v>APOYO ASISTENCIAL (intermedio)</v>
      </c>
      <c r="G118" s="20" t="str">
        <f>'C COSTOS ESTADO FINANCIERO'!J118</f>
        <v>ACTIVO</v>
      </c>
    </row>
    <row r="119" spans="1:7" x14ac:dyDescent="0.25">
      <c r="A119" s="20">
        <f>'C COSTOS ESTADO FINANCIERO'!A119</f>
        <v>1050503</v>
      </c>
      <c r="B119" s="20" t="str">
        <f>'C COSTOS ESTADO FINANCIERO'!B119</f>
        <v>HSJDP-PUERTO RONDON-ANATOMIA PATOLOGICA</v>
      </c>
      <c r="C119" s="20" t="str">
        <f>'C COSTOS ESTADO FINANCIERO'!D119</f>
        <v>L01</v>
      </c>
      <c r="D119" s="20" t="str">
        <f>'C COSTOS ESTADO FINANCIERO'!E119</f>
        <v>LABORATORIO ANATOMÍA PATOLÓGICA</v>
      </c>
      <c r="E119" s="20" t="str">
        <f>'C COSTOS ESTADO FINANCIERO'!I119</f>
        <v>HSJDP - Puerto Rondón</v>
      </c>
      <c r="F119" s="20" t="str">
        <f>'C COSTOS ESTADO FINANCIERO'!H119</f>
        <v>APOYO ASISTENCIAL (intermedio)</v>
      </c>
      <c r="G119" s="20" t="str">
        <f>'C COSTOS ESTADO FINANCIERO'!J119</f>
        <v>NO APLICA</v>
      </c>
    </row>
    <row r="120" spans="1:7" x14ac:dyDescent="0.25">
      <c r="A120" s="20">
        <f>'C COSTOS ESTADO FINANCIERO'!A120</f>
        <v>1050504</v>
      </c>
      <c r="B120" s="20" t="str">
        <f>'C COSTOS ESTADO FINANCIERO'!B120</f>
        <v>HSJDP-PUERTO RONDON-OTRAS UNIDADES DE APOYO DIAGNOSTICO</v>
      </c>
      <c r="C120" s="20" t="str">
        <f>'C COSTOS ESTADO FINANCIERO'!D120</f>
        <v>L04</v>
      </c>
      <c r="D120" s="20" t="str">
        <f>'C COSTOS ESTADO FINANCIERO'!E120</f>
        <v>IMAGENOLOGÍA NO RADIOLÓGICA</v>
      </c>
      <c r="E120" s="20" t="str">
        <f>'C COSTOS ESTADO FINANCIERO'!I120</f>
        <v>HSJDP - Puerto Rondón</v>
      </c>
      <c r="F120" s="20" t="str">
        <f>'C COSTOS ESTADO FINANCIERO'!H120</f>
        <v>APOYO ASISTENCIAL (intermedio)</v>
      </c>
      <c r="G120" s="20" t="str">
        <f>'C COSTOS ESTADO FINANCIERO'!J120</f>
        <v>VERIFICAR</v>
      </c>
    </row>
    <row r="121" spans="1:7" x14ac:dyDescent="0.25">
      <c r="A121" s="20">
        <f>'C COSTOS ESTADO FINANCIERO'!A121</f>
        <v>1050601</v>
      </c>
      <c r="B121" s="20" t="str">
        <f>'C COSTOS ESTADO FINANCIERO'!B121</f>
        <v>HSJDP-PUERTO RONDON-REHABILITACION Y TERAPIAS</v>
      </c>
      <c r="C121" s="20" t="str">
        <f>'C COSTOS ESTADO FINANCIERO'!D121</f>
        <v>M06</v>
      </c>
      <c r="D121" s="20" t="str">
        <f>'C COSTOS ESTADO FINANCIERO'!E121</f>
        <v>FISIOTERAPIA Y REHABILITACIÓN</v>
      </c>
      <c r="E121" s="20" t="str">
        <f>'C COSTOS ESTADO FINANCIERO'!I121</f>
        <v>HSJDP - Puerto Rondón</v>
      </c>
      <c r="F121" s="20" t="str">
        <f>'C COSTOS ESTADO FINANCIERO'!H121</f>
        <v>APOYO ASISTENCIAL (intermedio)</v>
      </c>
      <c r="G121" s="20" t="str">
        <f>'C COSTOS ESTADO FINANCIERO'!J121</f>
        <v>ACTIVO</v>
      </c>
    </row>
    <row r="122" spans="1:7" x14ac:dyDescent="0.25">
      <c r="A122" s="20">
        <f>'C COSTOS ESTADO FINANCIERO'!A122</f>
        <v>1050602</v>
      </c>
      <c r="B122" s="20" t="str">
        <f>'C COSTOS ESTADO FINANCIERO'!B122</f>
        <v>HSJDP-PUERTO RONDON-BANCO DE SANGRE</v>
      </c>
      <c r="C122" s="20" t="str">
        <f>'C COSTOS ESTADO FINANCIERO'!D122</f>
        <v>M01</v>
      </c>
      <c r="D122" s="20" t="str">
        <f>'C COSTOS ESTADO FINANCIERO'!E122</f>
        <v>BANCO DE SANGRE</v>
      </c>
      <c r="E122" s="20" t="str">
        <f>'C COSTOS ESTADO FINANCIERO'!I122</f>
        <v>HSJDP - Puerto Rondón</v>
      </c>
      <c r="F122" s="20" t="str">
        <f>'C COSTOS ESTADO FINANCIERO'!H122</f>
        <v>APOYO ASISTENCIAL (intermedio)</v>
      </c>
      <c r="G122" s="20" t="str">
        <f>'C COSTOS ESTADO FINANCIERO'!J122</f>
        <v>NO APLICA</v>
      </c>
    </row>
    <row r="123" spans="1:7" x14ac:dyDescent="0.25">
      <c r="A123" s="20">
        <f>'C COSTOS ESTADO FINANCIERO'!A123</f>
        <v>1050603</v>
      </c>
      <c r="B123" s="20" t="str">
        <f>'C COSTOS ESTADO FINANCIERO'!B123</f>
        <v>HSJDP-PUERTO RONDON-UNIDAD RENAL</v>
      </c>
      <c r="C123" s="20" t="str">
        <f>'C COSTOS ESTADO FINANCIERO'!D123</f>
        <v>M03</v>
      </c>
      <c r="D123" s="20" t="str">
        <f>'C COSTOS ESTADO FINANCIERO'!E123</f>
        <v>TERAPIA RENAL</v>
      </c>
      <c r="E123" s="20" t="str">
        <f>'C COSTOS ESTADO FINANCIERO'!I123</f>
        <v>HSJDP - Puerto Rondón</v>
      </c>
      <c r="F123" s="20" t="str">
        <f>'C COSTOS ESTADO FINANCIERO'!H123</f>
        <v>APOYO ASISTENCIAL (intermedio)</v>
      </c>
      <c r="G123" s="20" t="str">
        <f>'C COSTOS ESTADO FINANCIERO'!J123</f>
        <v>NO APLICA</v>
      </c>
    </row>
    <row r="124" spans="1:7" x14ac:dyDescent="0.25">
      <c r="A124" s="20">
        <f>'C COSTOS ESTADO FINANCIERO'!A124</f>
        <v>1050604</v>
      </c>
      <c r="B124" s="20" t="str">
        <f>'C COSTOS ESTADO FINANCIERO'!B124</f>
        <v>HSJDP-PUERTO RONDON-UNIDAD HEMODINAMIA</v>
      </c>
      <c r="C124" s="20" t="str">
        <f>'C COSTOS ESTADO FINANCIERO'!D124</f>
        <v>C05</v>
      </c>
      <c r="D124" s="20" t="str">
        <f>'C COSTOS ESTADO FINANCIERO'!E124</f>
        <v>CARDIOVASCULAR</v>
      </c>
      <c r="E124" s="20" t="str">
        <f>'C COSTOS ESTADO FINANCIERO'!I124</f>
        <v>HSJDP - Puerto Rondón</v>
      </c>
      <c r="F124" s="20" t="str">
        <f>'C COSTOS ESTADO FINANCIERO'!H124</f>
        <v>PRODUCTIVO (final)</v>
      </c>
      <c r="G124" s="20" t="str">
        <f>'C COSTOS ESTADO FINANCIERO'!J124</f>
        <v>NO APLICA</v>
      </c>
    </row>
    <row r="125" spans="1:7" x14ac:dyDescent="0.25">
      <c r="A125" s="20">
        <f>'C COSTOS ESTADO FINANCIERO'!A125</f>
        <v>1050605</v>
      </c>
      <c r="B125" s="20" t="str">
        <f>'C COSTOS ESTADO FINANCIERO'!B125</f>
        <v>HSJDP-PUERTO RONDON-TERAPIAS ONCOLOGICAS</v>
      </c>
      <c r="C125" s="20" t="str">
        <f>'C COSTOS ESTADO FINANCIERO'!D125</f>
        <v>M07</v>
      </c>
      <c r="D125" s="20" t="str">
        <f>'C COSTOS ESTADO FINANCIERO'!E125</f>
        <v>OTRAS TERAPIAS</v>
      </c>
      <c r="E125" s="20" t="str">
        <f>'C COSTOS ESTADO FINANCIERO'!I125</f>
        <v>HSJDP - Puerto Rondón</v>
      </c>
      <c r="F125" s="20" t="str">
        <f>'C COSTOS ESTADO FINANCIERO'!H125</f>
        <v>APOYO ASISTENCIAL (intermedio)</v>
      </c>
      <c r="G125" s="20" t="str">
        <f>'C COSTOS ESTADO FINANCIERO'!J125</f>
        <v>NO APLICA</v>
      </c>
    </row>
    <row r="126" spans="1:7" x14ac:dyDescent="0.25">
      <c r="A126" s="20">
        <f>'C COSTOS ESTADO FINANCIERO'!A126</f>
        <v>1050606</v>
      </c>
      <c r="B126" s="20" t="str">
        <f>'C COSTOS ESTADO FINANCIERO'!B126</f>
        <v>HSJDP-PUERTO RONDON-FARMACIA E INSUMOS HOPITALARIOS</v>
      </c>
      <c r="C126" s="20" t="str">
        <f>'C COSTOS ESTADO FINANCIERO'!D126</f>
        <v>M05</v>
      </c>
      <c r="D126" s="20" t="str">
        <f>'C COSTOS ESTADO FINANCIERO'!E126</f>
        <v>FARMACIA</v>
      </c>
      <c r="E126" s="20" t="str">
        <f>'C COSTOS ESTADO FINANCIERO'!I126</f>
        <v>HSJDP - Puerto Rondón</v>
      </c>
      <c r="F126" s="20" t="str">
        <f>'C COSTOS ESTADO FINANCIERO'!H126</f>
        <v>APOYO ASISTENCIAL (intermedio)</v>
      </c>
      <c r="G126" s="20" t="str">
        <f>'C COSTOS ESTADO FINANCIERO'!J126</f>
        <v>ACTIVO</v>
      </c>
    </row>
    <row r="127" spans="1:7" x14ac:dyDescent="0.25">
      <c r="A127" s="20">
        <f>'C COSTOS ESTADO FINANCIERO'!A127</f>
        <v>1050607</v>
      </c>
      <c r="B127" s="20" t="str">
        <f>'C COSTOS ESTADO FINANCIERO'!B127</f>
        <v>HSJDP-PUERTO RONDON-OTRAS UNIDADES DE APOYO TERAPEUTICO</v>
      </c>
      <c r="C127" s="20" t="str">
        <f>'C COSTOS ESTADO FINANCIERO'!D127</f>
        <v>M07</v>
      </c>
      <c r="D127" s="20" t="str">
        <f>'C COSTOS ESTADO FINANCIERO'!E127</f>
        <v>OTRAS TERAPIAS</v>
      </c>
      <c r="E127" s="20" t="str">
        <f>'C COSTOS ESTADO FINANCIERO'!I127</f>
        <v>HSJDP - Puerto Rondón</v>
      </c>
      <c r="F127" s="20" t="str">
        <f>'C COSTOS ESTADO FINANCIERO'!H127</f>
        <v>APOYO ASISTENCIAL (intermedio)</v>
      </c>
      <c r="G127" s="20" t="str">
        <f>'C COSTOS ESTADO FINANCIERO'!J127</f>
        <v>VERIFICAR</v>
      </c>
    </row>
    <row r="128" spans="1:7" x14ac:dyDescent="0.25">
      <c r="A128" s="20">
        <f>'C COSTOS ESTADO FINANCIERO'!A128</f>
        <v>1050701</v>
      </c>
      <c r="B128" s="20" t="str">
        <f>'C COSTOS ESTADO FINANCIERO'!B128</f>
        <v>HSJDP-PUERTO RONDON-ANCIANATOS</v>
      </c>
      <c r="C128" s="20" t="str">
        <f>'C COSTOS ESTADO FINANCIERO'!D128</f>
        <v>J01</v>
      </c>
      <c r="D128" s="20" t="str">
        <f>'C COSTOS ESTADO FINANCIERO'!E128</f>
        <v>ANCIANATOS Y ALBERGUES</v>
      </c>
      <c r="E128" s="20" t="str">
        <f>'C COSTOS ESTADO FINANCIERO'!I128</f>
        <v>HSJDP - Puerto Rondón</v>
      </c>
      <c r="F128" s="20" t="str">
        <f>'C COSTOS ESTADO FINANCIERO'!H128</f>
        <v>PRODUCTIVO (final)</v>
      </c>
      <c r="G128" s="20" t="str">
        <f>'C COSTOS ESTADO FINANCIERO'!J128</f>
        <v>NO APLICA</v>
      </c>
    </row>
    <row r="129" spans="1:7" x14ac:dyDescent="0.25">
      <c r="A129" s="20">
        <f>'C COSTOS ESTADO FINANCIERO'!A129</f>
        <v>1050702</v>
      </c>
      <c r="B129" s="20" t="str">
        <f>'C COSTOS ESTADO FINANCIERO'!B129</f>
        <v>HSJDP-PUERTO RONDON-CENTROS Y PUESTOS DE SALUD</v>
      </c>
      <c r="C129" s="20" t="str">
        <f>'C COSTOS ESTADO FINANCIERO'!D129</f>
        <v>J17</v>
      </c>
      <c r="D129" s="20" t="str">
        <f>'C COSTOS ESTADO FINANCIERO'!E129</f>
        <v>CENTROS Y PUESTOS DE SALUD</v>
      </c>
      <c r="E129" s="20" t="str">
        <f>'C COSTOS ESTADO FINANCIERO'!I129</f>
        <v>HSJDP - Puerto Rondón</v>
      </c>
      <c r="F129" s="20" t="str">
        <f>'C COSTOS ESTADO FINANCIERO'!H129</f>
        <v>PRODUCTIVO (final)</v>
      </c>
      <c r="G129" s="20" t="str">
        <f>'C COSTOS ESTADO FINANCIERO'!J129</f>
        <v>ACTIVO</v>
      </c>
    </row>
    <row r="130" spans="1:7" x14ac:dyDescent="0.25">
      <c r="A130" s="20">
        <f>'C COSTOS ESTADO FINANCIERO'!A130</f>
        <v>1050703</v>
      </c>
      <c r="B130" s="20" t="str">
        <f>'C COSTOS ESTADO FINANCIERO'!B130</f>
        <v>HSJDP-PUERTO RONDON-SERV. DOCENTES</v>
      </c>
      <c r="C130" s="20" t="str">
        <f>'C COSTOS ESTADO FINANCIERO'!D130</f>
        <v>U03</v>
      </c>
      <c r="D130" s="20" t="str">
        <f>'C COSTOS ESTADO FINANCIERO'!E130</f>
        <v>EDUCACIÓN MÉDICA</v>
      </c>
      <c r="E130" s="20" t="str">
        <f>'C COSTOS ESTADO FINANCIERO'!I130</f>
        <v>HSJDP - Puerto Rondón</v>
      </c>
      <c r="F130" s="20" t="str">
        <f>'C COSTOS ESTADO FINANCIERO'!H130</f>
        <v>ADMINISTRATIVO</v>
      </c>
      <c r="G130" s="20" t="str">
        <f>'C COSTOS ESTADO FINANCIERO'!J130</f>
        <v>NO APLICA</v>
      </c>
    </row>
    <row r="131" spans="1:7" x14ac:dyDescent="0.25">
      <c r="A131" s="20">
        <f>'C COSTOS ESTADO FINANCIERO'!A131</f>
        <v>1050704</v>
      </c>
      <c r="B131" s="20" t="str">
        <f>'C COSTOS ESTADO FINANCIERO'!B131</f>
        <v>HSJDP-PUERTO RONDON-SERV. CONEXOS A LA SALUD MEDICINA LEGAL</v>
      </c>
      <c r="C131" s="20" t="str">
        <f>'C COSTOS ESTADO FINANCIERO'!D131</f>
        <v>A32</v>
      </c>
      <c r="D131" s="20" t="str">
        <f>'C COSTOS ESTADO FINANCIERO'!E131</f>
        <v>OTRAS CONSULTAS Y PROCEDIMIENTOS</v>
      </c>
      <c r="E131" s="20" t="str">
        <f>'C COSTOS ESTADO FINANCIERO'!I131</f>
        <v>HSJDP - Puerto Rondón</v>
      </c>
      <c r="F131" s="20" t="str">
        <f>'C COSTOS ESTADO FINANCIERO'!H131</f>
        <v>PRODUCTIVO (final)</v>
      </c>
      <c r="G131" s="20" t="str">
        <f>'C COSTOS ESTADO FINANCIERO'!J131</f>
        <v>VERIFICAR</v>
      </c>
    </row>
    <row r="132" spans="1:7" x14ac:dyDescent="0.25">
      <c r="A132" s="20">
        <f>'C COSTOS ESTADO FINANCIERO'!A132</f>
        <v>1050705</v>
      </c>
      <c r="B132" s="20" t="str">
        <f>'C COSTOS ESTADO FINANCIERO'!B132</f>
        <v>HSJDP-PUERTO RONDON-SERV. CONEXOS A LA SALUD SER. AMBULANC</v>
      </c>
      <c r="C132" s="20" t="str">
        <f>'C COSTOS ESTADO FINANCIERO'!D132</f>
        <v>N08</v>
      </c>
      <c r="D132" s="20" t="str">
        <f>'C COSTOS ESTADO FINANCIERO'!E132</f>
        <v>SERVICIO DE AMBULANCIAS</v>
      </c>
      <c r="E132" s="20" t="str">
        <f>'C COSTOS ESTADO FINANCIERO'!I132</f>
        <v>HSJDP - Puerto Rondón</v>
      </c>
      <c r="F132" s="20" t="str">
        <f>'C COSTOS ESTADO FINANCIERO'!H132</f>
        <v>PRODUCTIVO (final)</v>
      </c>
      <c r="G132" s="20" t="str">
        <f>'C COSTOS ESTADO FINANCIERO'!J132</f>
        <v>ACTIVO</v>
      </c>
    </row>
    <row r="133" spans="1:7" x14ac:dyDescent="0.25">
      <c r="A133" s="20">
        <f>'C COSTOS ESTADO FINANCIERO'!A133</f>
        <v>1050706</v>
      </c>
      <c r="B133" s="20" t="str">
        <f>'C COSTOS ESTADO FINANCIERO'!B133</f>
        <v>HSJDP-PUERTO RONDON-SER. CONEXOS A LA SALUD OTROS SERVICIOS</v>
      </c>
      <c r="C133" s="20" t="str">
        <f>'C COSTOS ESTADO FINANCIERO'!D133</f>
        <v>N04</v>
      </c>
      <c r="D133" s="20" t="str">
        <f>'C COSTOS ESTADO FINANCIERO'!E133</f>
        <v>OTROS ENFERMERÍA</v>
      </c>
      <c r="E133" s="20" t="str">
        <f>'C COSTOS ESTADO FINANCIERO'!I133</f>
        <v>HSJDP - Puerto Rondón</v>
      </c>
      <c r="F133" s="20" t="str">
        <f>'C COSTOS ESTADO FINANCIERO'!H133</f>
        <v>APOYO ASISTENCIAL (intermedio)</v>
      </c>
      <c r="G133" s="20" t="str">
        <f>'C COSTOS ESTADO FINANCIERO'!J133</f>
        <v>VERIFICAR</v>
      </c>
    </row>
    <row r="134" spans="1:7" x14ac:dyDescent="0.25">
      <c r="A134" s="20">
        <f>'C COSTOS ESTADO FINANCIERO'!A134</f>
        <v>1060101</v>
      </c>
      <c r="B134" s="20" t="str">
        <f>'C COSTOS ESTADO FINANCIERO'!B134</f>
        <v>HSJCN-CRAVO NORTE-CONSULTA Y PROCEDIMIENTOS</v>
      </c>
      <c r="C134" s="20" t="str">
        <f>'C COSTOS ESTADO FINANCIERO'!D134</f>
        <v>B01</v>
      </c>
      <c r="D134" s="20" t="str">
        <f>'C COSTOS ESTADO FINANCIERO'!E134</f>
        <v>CONSULTA URGENCIAS</v>
      </c>
      <c r="E134" s="20" t="str">
        <f>'C COSTOS ESTADO FINANCIERO'!I134</f>
        <v>HSJCN - Cravo Norte</v>
      </c>
      <c r="F134" s="20" t="str">
        <f>'C COSTOS ESTADO FINANCIERO'!H134</f>
        <v>PRODUCTIVO (final)</v>
      </c>
      <c r="G134" s="20" t="str">
        <f>'C COSTOS ESTADO FINANCIERO'!J134</f>
        <v>ACTIVO</v>
      </c>
    </row>
    <row r="135" spans="1:7" x14ac:dyDescent="0.25">
      <c r="A135" s="20">
        <f>'C COSTOS ESTADO FINANCIERO'!A135</f>
        <v>1060102</v>
      </c>
      <c r="B135" s="20" t="str">
        <f>'C COSTOS ESTADO FINANCIERO'!B135</f>
        <v>HSJCN-CRAVO NORTE-OBSERVACIONES</v>
      </c>
      <c r="C135" s="20" t="str">
        <f>'C COSTOS ESTADO FINANCIERO'!D135</f>
        <v>B02</v>
      </c>
      <c r="D135" s="20" t="str">
        <f>'C COSTOS ESTADO FINANCIERO'!E135</f>
        <v>OBSERVACIÓN</v>
      </c>
      <c r="E135" s="20" t="str">
        <f>'C COSTOS ESTADO FINANCIERO'!I135</f>
        <v>HSJCN - Cravo Norte</v>
      </c>
      <c r="F135" s="20" t="str">
        <f>'C COSTOS ESTADO FINANCIERO'!H135</f>
        <v>PRODUCTIVO (final)</v>
      </c>
      <c r="G135" s="20" t="str">
        <f>'C COSTOS ESTADO FINANCIERO'!J135</f>
        <v>ACTIVO</v>
      </c>
    </row>
    <row r="136" spans="1:7" x14ac:dyDescent="0.25">
      <c r="A136" s="20">
        <f>'C COSTOS ESTADO FINANCIERO'!A136</f>
        <v>1060201</v>
      </c>
      <c r="B136" s="20" t="str">
        <f>'C COSTOS ESTADO FINANCIERO'!B136</f>
        <v>HSJCN-CRAVO NORTE-CONSULTA EXTERNA</v>
      </c>
      <c r="C136" s="20" t="str">
        <f>'C COSTOS ESTADO FINANCIERO'!D136</f>
        <v>A10</v>
      </c>
      <c r="D136" s="20" t="str">
        <f>'C COSTOS ESTADO FINANCIERO'!E136</f>
        <v>MEDICINA GENERAL</v>
      </c>
      <c r="E136" s="20" t="str">
        <f>'C COSTOS ESTADO FINANCIERO'!I136</f>
        <v>HSJCN - Cravo Norte</v>
      </c>
      <c r="F136" s="20" t="str">
        <f>'C COSTOS ESTADO FINANCIERO'!H136</f>
        <v>PRODUCTIVO (final)</v>
      </c>
      <c r="G136" s="20" t="str">
        <f>'C COSTOS ESTADO FINANCIERO'!J136</f>
        <v>ACTIVO</v>
      </c>
    </row>
    <row r="137" spans="1:7" x14ac:dyDescent="0.25">
      <c r="A137" s="20">
        <f>'C COSTOS ESTADO FINANCIERO'!A137</f>
        <v>1060202</v>
      </c>
      <c r="B137" s="20" t="str">
        <f>'C COSTOS ESTADO FINANCIERO'!B137</f>
        <v>HSJCN-CRAVO NORTE-CONSULTA ESPECIALIZADA</v>
      </c>
      <c r="C137" s="20" t="str">
        <f>'C COSTOS ESTADO FINANCIERO'!D137</f>
        <v>A32</v>
      </c>
      <c r="D137" s="20" t="str">
        <f>'C COSTOS ESTADO FINANCIERO'!E137</f>
        <v>OTRAS CONSULTAS Y PROCEDIMIENTOS</v>
      </c>
      <c r="E137" s="20" t="str">
        <f>'C COSTOS ESTADO FINANCIERO'!I137</f>
        <v>HSJCN - Cravo Norte</v>
      </c>
      <c r="F137" s="20" t="str">
        <f>'C COSTOS ESTADO FINANCIERO'!H137</f>
        <v>PRODUCTIVO (final)</v>
      </c>
      <c r="G137" s="20" t="str">
        <f>'C COSTOS ESTADO FINANCIERO'!J137</f>
        <v>ACTIVO</v>
      </c>
    </row>
    <row r="138" spans="1:7" x14ac:dyDescent="0.25">
      <c r="A138" s="20">
        <f>'C COSTOS ESTADO FINANCIERO'!A138</f>
        <v>1060203</v>
      </c>
      <c r="B138" s="20" t="str">
        <f>'C COSTOS ESTADO FINANCIERO'!B138</f>
        <v>HSJCN-CRAVO NORTE-SALUD ORAL</v>
      </c>
      <c r="C138" s="20" t="str">
        <f>'C COSTOS ESTADO FINANCIERO'!D138</f>
        <v>E01</v>
      </c>
      <c r="D138" s="20" t="str">
        <f>'C COSTOS ESTADO FINANCIERO'!E138</f>
        <v>ODONTOLOGÍA GENERAL</v>
      </c>
      <c r="E138" s="20" t="str">
        <f>'C COSTOS ESTADO FINANCIERO'!I138</f>
        <v>HSJCN - Cravo Norte</v>
      </c>
      <c r="F138" s="20" t="str">
        <f>'C COSTOS ESTADO FINANCIERO'!H138</f>
        <v>PRODUCTIVO (final)</v>
      </c>
      <c r="G138" s="20" t="str">
        <f>'C COSTOS ESTADO FINANCIERO'!J138</f>
        <v>ACTIVO</v>
      </c>
    </row>
    <row r="139" spans="1:7" x14ac:dyDescent="0.25">
      <c r="A139" s="20">
        <f>'C COSTOS ESTADO FINANCIERO'!A139</f>
        <v>1060204</v>
      </c>
      <c r="B139" s="20" t="str">
        <f>'C COSTOS ESTADO FINANCIERO'!B139</f>
        <v>HSJCN-CRAVO NORTE-PROMOCION Y MANTENIMIENTO</v>
      </c>
      <c r="C139" s="20" t="str">
        <f>'C COSTOS ESTADO FINANCIERO'!D139</f>
        <v>N03</v>
      </c>
      <c r="D139" s="20" t="str">
        <f>'C COSTOS ESTADO FINANCIERO'!E139</f>
        <v>PROMOCIÓN Y PREVENCIÓN</v>
      </c>
      <c r="E139" s="20" t="str">
        <f>'C COSTOS ESTADO FINANCIERO'!I139</f>
        <v>HSJCN - Cravo Norte</v>
      </c>
      <c r="F139" s="20" t="str">
        <f>'C COSTOS ESTADO FINANCIERO'!H139</f>
        <v>PRODUCTIVO (final)</v>
      </c>
      <c r="G139" s="20" t="str">
        <f>'C COSTOS ESTADO FINANCIERO'!J139</f>
        <v>ACTIVO</v>
      </c>
    </row>
    <row r="140" spans="1:7" x14ac:dyDescent="0.25">
      <c r="A140" s="20">
        <f>'C COSTOS ESTADO FINANCIERO'!A140</f>
        <v>1060205</v>
      </c>
      <c r="B140" s="20" t="str">
        <f>'C COSTOS ESTADO FINANCIERO'!B140</f>
        <v>HSJCN-CRAVO NORTE-OTRAS ACTIVIDADES EXTRAMURALES</v>
      </c>
      <c r="C140" s="20" t="str">
        <f>'C COSTOS ESTADO FINANCIERO'!D140</f>
        <v>K25</v>
      </c>
      <c r="D140" s="20" t="str">
        <f>'C COSTOS ESTADO FINANCIERO'!E140</f>
        <v>SALUD PUBLICA</v>
      </c>
      <c r="E140" s="20" t="str">
        <f>'C COSTOS ESTADO FINANCIERO'!I140</f>
        <v>HSJCN - Cravo Norte</v>
      </c>
      <c r="F140" s="20" t="str">
        <f>'C COSTOS ESTADO FINANCIERO'!H140</f>
        <v>PRODUCTIVO (final)</v>
      </c>
      <c r="G140" s="20" t="str">
        <f>'C COSTOS ESTADO FINANCIERO'!J140</f>
        <v>ACTIVO</v>
      </c>
    </row>
    <row r="141" spans="1:7" x14ac:dyDescent="0.25">
      <c r="A141" s="20">
        <f>'C COSTOS ESTADO FINANCIERO'!A141</f>
        <v>1060301</v>
      </c>
      <c r="B141" s="20" t="str">
        <f>'C COSTOS ESTADO FINANCIERO'!B141</f>
        <v>HSJCN-CRAVO NORTE-HOSPITALACION-ESTANCIA GENERAL</v>
      </c>
      <c r="C141" s="20" t="str">
        <f>'C COSTOS ESTADO FINANCIERO'!D141</f>
        <v>I01</v>
      </c>
      <c r="D141" s="20" t="str">
        <f>'C COSTOS ESTADO FINANCIERO'!E141</f>
        <v>HOSPITALIZACIÓN GENERAL</v>
      </c>
      <c r="E141" s="20" t="str">
        <f>'C COSTOS ESTADO FINANCIERO'!I141</f>
        <v>HSJCN - Cravo Norte</v>
      </c>
      <c r="F141" s="20" t="str">
        <f>'C COSTOS ESTADO FINANCIERO'!H141</f>
        <v>PRODUCTIVO (final)</v>
      </c>
      <c r="G141" s="20" t="str">
        <f>'C COSTOS ESTADO FINANCIERO'!J141</f>
        <v>ACTIVO</v>
      </c>
    </row>
    <row r="142" spans="1:7" x14ac:dyDescent="0.25">
      <c r="A142" s="20">
        <f>'C COSTOS ESTADO FINANCIERO'!A142</f>
        <v>1060302</v>
      </c>
      <c r="B142" s="20" t="str">
        <f>'C COSTOS ESTADO FINANCIERO'!B142</f>
        <v>HSJCN-CRAVO NORTE-CUIDADOS INTENSIVOS</v>
      </c>
      <c r="C142" s="20" t="str">
        <f>'C COSTOS ESTADO FINANCIERO'!D142</f>
        <v>J02</v>
      </c>
      <c r="D142" s="20" t="str">
        <f>'C COSTOS ESTADO FINANCIERO'!E142</f>
        <v>UCI ADULTOS</v>
      </c>
      <c r="E142" s="20" t="str">
        <f>'C COSTOS ESTADO FINANCIERO'!I142</f>
        <v>HSJCN - Cravo Norte</v>
      </c>
      <c r="F142" s="20" t="str">
        <f>'C COSTOS ESTADO FINANCIERO'!H142</f>
        <v>PRODUCTIVO (final)</v>
      </c>
      <c r="G142" s="20" t="str">
        <f>'C COSTOS ESTADO FINANCIERO'!J142</f>
        <v>NO APLICA</v>
      </c>
    </row>
    <row r="143" spans="1:7" x14ac:dyDescent="0.25">
      <c r="A143" s="20">
        <f>'C COSTOS ESTADO FINANCIERO'!A143</f>
        <v>1060303</v>
      </c>
      <c r="B143" s="20" t="str">
        <f>'C COSTOS ESTADO FINANCIERO'!B143</f>
        <v>HSJCN-CRAVO NORTE-CUIDADOS INTERMEDIOS</v>
      </c>
      <c r="C143" s="20" t="str">
        <f>'C COSTOS ESTADO FINANCIERO'!D143</f>
        <v>J05</v>
      </c>
      <c r="D143" s="20" t="str">
        <f>'C COSTOS ESTADO FINANCIERO'!E143</f>
        <v>UCI INTERMEDIOS ADULTOS</v>
      </c>
      <c r="E143" s="20" t="str">
        <f>'C COSTOS ESTADO FINANCIERO'!I143</f>
        <v>HSJCN - Cravo Norte</v>
      </c>
      <c r="F143" s="20" t="str">
        <f>'C COSTOS ESTADO FINANCIERO'!H143</f>
        <v>PRODUCTIVO (final)</v>
      </c>
      <c r="G143" s="20" t="str">
        <f>'C COSTOS ESTADO FINANCIERO'!J143</f>
        <v>NO APLICA</v>
      </c>
    </row>
    <row r="144" spans="1:7" x14ac:dyDescent="0.25">
      <c r="A144" s="20">
        <f>'C COSTOS ESTADO FINANCIERO'!A144</f>
        <v>1060304</v>
      </c>
      <c r="B144" s="20" t="str">
        <f>'C COSTOS ESTADO FINANCIERO'!B144</f>
        <v>HSJCN-CRAVO NORTE-RECIEN NACIDOS</v>
      </c>
      <c r="C144" s="20" t="str">
        <f>'C COSTOS ESTADO FINANCIERO'!D144</f>
        <v>J09</v>
      </c>
      <c r="D144" s="20" t="str">
        <f>'C COSTOS ESTADO FINANCIERO'!E144</f>
        <v>UNIDAD DE RECIÉN NACIDOS</v>
      </c>
      <c r="E144" s="20" t="str">
        <f>'C COSTOS ESTADO FINANCIERO'!I144</f>
        <v>HSJCN - Cravo Norte</v>
      </c>
      <c r="F144" s="20" t="str">
        <f>'C COSTOS ESTADO FINANCIERO'!H144</f>
        <v>PRODUCTIVO (final)</v>
      </c>
      <c r="G144" s="20" t="str">
        <f>'C COSTOS ESTADO FINANCIERO'!J144</f>
        <v>VERIFICAR</v>
      </c>
    </row>
    <row r="145" spans="1:7" x14ac:dyDescent="0.25">
      <c r="A145" s="20">
        <f>'C COSTOS ESTADO FINANCIERO'!A145</f>
        <v>1060305</v>
      </c>
      <c r="B145" s="20" t="str">
        <f>'C COSTOS ESTADO FINANCIERO'!B145</f>
        <v>HSJCN-CRAVO NORTE-HOSPITALIZACI.N SALUD MENTAL</v>
      </c>
      <c r="C145" s="20" t="str">
        <f>'C COSTOS ESTADO FINANCIERO'!D145</f>
        <v>J10</v>
      </c>
      <c r="D145" s="20" t="str">
        <f>'C COSTOS ESTADO FINANCIERO'!E145</f>
        <v>UNIDAD SALUD MENTAL Y DESINTOXICACIÓN (BAJA COMPLEJIDAD)</v>
      </c>
      <c r="E145" s="20" t="str">
        <f>'C COSTOS ESTADO FINANCIERO'!I145</f>
        <v>HSJCN - Cravo Norte</v>
      </c>
      <c r="F145" s="20" t="str">
        <f>'C COSTOS ESTADO FINANCIERO'!H145</f>
        <v>PRODUCTIVO (final)</v>
      </c>
      <c r="G145" s="20" t="str">
        <f>'C COSTOS ESTADO FINANCIERO'!J145</f>
        <v>NO APLICA</v>
      </c>
    </row>
    <row r="146" spans="1:7" x14ac:dyDescent="0.25">
      <c r="A146" s="20">
        <f>'C COSTOS ESTADO FINANCIERO'!A146</f>
        <v>1060306</v>
      </c>
      <c r="B146" s="20" t="str">
        <f>'C COSTOS ESTADO FINANCIERO'!B146</f>
        <v>HSJCN-CRAVO NORTE-QUEMADOS</v>
      </c>
      <c r="C146" s="20" t="str">
        <f>'C COSTOS ESTADO FINANCIERO'!D146</f>
        <v>J08</v>
      </c>
      <c r="D146" s="20" t="str">
        <f>'C COSTOS ESTADO FINANCIERO'!E146</f>
        <v>UNIDAD DE QUEMADOS ADULTOS</v>
      </c>
      <c r="E146" s="20" t="str">
        <f>'C COSTOS ESTADO FINANCIERO'!I146</f>
        <v>HSJCN - Cravo Norte</v>
      </c>
      <c r="F146" s="20" t="str">
        <f>'C COSTOS ESTADO FINANCIERO'!H146</f>
        <v>PRODUCTIVO (final)</v>
      </c>
      <c r="G146" s="20" t="str">
        <f>'C COSTOS ESTADO FINANCIERO'!J146</f>
        <v>NO APLICA</v>
      </c>
    </row>
    <row r="147" spans="1:7" x14ac:dyDescent="0.25">
      <c r="A147" s="20">
        <f>'C COSTOS ESTADO FINANCIERO'!A147</f>
        <v>1060307</v>
      </c>
      <c r="B147" s="20" t="str">
        <f>'C COSTOS ESTADO FINANCIERO'!B147</f>
        <v>HSJCN-CRAVO NORTE-OTROS CUIDADOS ESPECIALE</v>
      </c>
      <c r="C147" s="20" t="str">
        <f>'C COSTOS ESTADO FINANCIERO'!D147</f>
        <v>J13</v>
      </c>
      <c r="D147" s="20" t="str">
        <f>'C COSTOS ESTADO FINANCIERO'!E147</f>
        <v>OTRAS UNIDADES ESPECIALES</v>
      </c>
      <c r="E147" s="20" t="str">
        <f>'C COSTOS ESTADO FINANCIERO'!I147</f>
        <v>HSJCN - Cravo Norte</v>
      </c>
      <c r="F147" s="20" t="str">
        <f>'C COSTOS ESTADO FINANCIERO'!H147</f>
        <v>PRODUCTIVO (final)</v>
      </c>
      <c r="G147" s="20" t="str">
        <f>'C COSTOS ESTADO FINANCIERO'!J147</f>
        <v>NO APLICA</v>
      </c>
    </row>
    <row r="148" spans="1:7" x14ac:dyDescent="0.25">
      <c r="A148" s="20">
        <f>'C COSTOS ESTADO FINANCIERO'!A148</f>
        <v>1060401</v>
      </c>
      <c r="B148" s="20" t="str">
        <f>'C COSTOS ESTADO FINANCIERO'!B148</f>
        <v>HSJCN-CRAVO NORTE-QUIROFANOS</v>
      </c>
      <c r="C148" s="20" t="str">
        <f>'C COSTOS ESTADO FINANCIERO'!D148</f>
        <v>C01</v>
      </c>
      <c r="D148" s="20" t="str">
        <f>'C COSTOS ESTADO FINANCIERO'!E148</f>
        <v>CIRUGÍA GENERAL</v>
      </c>
      <c r="E148" s="20" t="str">
        <f>'C COSTOS ESTADO FINANCIERO'!I148</f>
        <v>HSJCN - Cravo Norte</v>
      </c>
      <c r="F148" s="20" t="str">
        <f>'C COSTOS ESTADO FINANCIERO'!H148</f>
        <v>PRODUCTIVO (final)</v>
      </c>
      <c r="G148" s="20" t="str">
        <f>'C COSTOS ESTADO FINANCIERO'!J148</f>
        <v>VERIFICAR</v>
      </c>
    </row>
    <row r="149" spans="1:7" x14ac:dyDescent="0.25">
      <c r="A149" s="20">
        <f>'C COSTOS ESTADO FINANCIERO'!A149</f>
        <v>1060402</v>
      </c>
      <c r="B149" s="20" t="str">
        <f>'C COSTOS ESTADO FINANCIERO'!B149</f>
        <v>HSJCN-CRAVO NORTE-SALA DE PARTO</v>
      </c>
      <c r="C149" s="20" t="str">
        <f>'C COSTOS ESTADO FINANCIERO'!D149</f>
        <v>D02</v>
      </c>
      <c r="D149" s="20" t="str">
        <f>'C COSTOS ESTADO FINANCIERO'!E149</f>
        <v>ATENCIÓN DE PARTO BAJA COMPLEJIDAD</v>
      </c>
      <c r="E149" s="20" t="str">
        <f>'C COSTOS ESTADO FINANCIERO'!I149</f>
        <v>HSJCN - Cravo Norte</v>
      </c>
      <c r="F149" s="20" t="str">
        <f>'C COSTOS ESTADO FINANCIERO'!H149</f>
        <v>PRODUCTIVO (final)</v>
      </c>
      <c r="G149" s="20" t="str">
        <f>'C COSTOS ESTADO FINANCIERO'!J149</f>
        <v>ACTIVO</v>
      </c>
    </row>
    <row r="150" spans="1:7" x14ac:dyDescent="0.25">
      <c r="A150" s="20">
        <f>'C COSTOS ESTADO FINANCIERO'!A150</f>
        <v>1060501</v>
      </c>
      <c r="B150" s="20" t="str">
        <f>'C COSTOS ESTADO FINANCIERO'!B150</f>
        <v>HSJCN-CRAVO NORTE-LABORATORIO CLINICO</v>
      </c>
      <c r="C150" s="20" t="str">
        <f>'C COSTOS ESTADO FINANCIERO'!D150</f>
        <v>L07</v>
      </c>
      <c r="D150" s="20" t="str">
        <f>'C COSTOS ESTADO FINANCIERO'!E150</f>
        <v>LABORATORIO Y ANÁLISIS CLÍNICO</v>
      </c>
      <c r="E150" s="20" t="str">
        <f>'C COSTOS ESTADO FINANCIERO'!I150</f>
        <v>HSJCN - Cravo Norte</v>
      </c>
      <c r="F150" s="20" t="str">
        <f>'C COSTOS ESTADO FINANCIERO'!H150</f>
        <v>APOYO ASISTENCIAL (intermedio)</v>
      </c>
      <c r="G150" s="20" t="str">
        <f>'C COSTOS ESTADO FINANCIERO'!J150</f>
        <v>ACTIVO</v>
      </c>
    </row>
    <row r="151" spans="1:7" x14ac:dyDescent="0.25">
      <c r="A151" s="20">
        <f>'C COSTOS ESTADO FINANCIERO'!A151</f>
        <v>1060502</v>
      </c>
      <c r="B151" s="20" t="str">
        <f>'C COSTOS ESTADO FINANCIERO'!B151</f>
        <v>HSJCN-CRAVO NORTE-IMAGENOLOGIA</v>
      </c>
      <c r="C151" s="20" t="str">
        <f>'C COSTOS ESTADO FINANCIERO'!D151</f>
        <v>L02</v>
      </c>
      <c r="D151" s="20" t="str">
        <f>'C COSTOS ESTADO FINANCIERO'!E151</f>
        <v>IMAGENEOLOGÍA RADIOLÓGICA</v>
      </c>
      <c r="E151" s="20" t="str">
        <f>'C COSTOS ESTADO FINANCIERO'!I151</f>
        <v>HSJCN - Cravo Norte</v>
      </c>
      <c r="F151" s="20" t="str">
        <f>'C COSTOS ESTADO FINANCIERO'!H151</f>
        <v>APOYO ASISTENCIAL (intermedio)</v>
      </c>
      <c r="G151" s="20" t="str">
        <f>'C COSTOS ESTADO FINANCIERO'!J151</f>
        <v>ACTIVO</v>
      </c>
    </row>
    <row r="152" spans="1:7" x14ac:dyDescent="0.25">
      <c r="A152" s="20">
        <f>'C COSTOS ESTADO FINANCIERO'!A152</f>
        <v>1060503</v>
      </c>
      <c r="B152" s="20" t="str">
        <f>'C COSTOS ESTADO FINANCIERO'!B152</f>
        <v>HSJCN-CRAVO NORTE-ANATOMIA PATOLOGICA</v>
      </c>
      <c r="C152" s="20" t="str">
        <f>'C COSTOS ESTADO FINANCIERO'!D152</f>
        <v>L01</v>
      </c>
      <c r="D152" s="20" t="str">
        <f>'C COSTOS ESTADO FINANCIERO'!E152</f>
        <v>LABORATORIO ANATOMÍA PATOLÓGICA</v>
      </c>
      <c r="E152" s="20" t="str">
        <f>'C COSTOS ESTADO FINANCIERO'!I152</f>
        <v>HSJCN - Cravo Norte</v>
      </c>
      <c r="F152" s="20" t="str">
        <f>'C COSTOS ESTADO FINANCIERO'!H152</f>
        <v>APOYO ASISTENCIAL (intermedio)</v>
      </c>
      <c r="G152" s="20" t="str">
        <f>'C COSTOS ESTADO FINANCIERO'!J152</f>
        <v>NO APLICA</v>
      </c>
    </row>
    <row r="153" spans="1:7" x14ac:dyDescent="0.25">
      <c r="A153" s="20">
        <f>'C COSTOS ESTADO FINANCIERO'!A153</f>
        <v>1060504</v>
      </c>
      <c r="B153" s="20" t="str">
        <f>'C COSTOS ESTADO FINANCIERO'!B153</f>
        <v>HSJCN-CRAVO NORTE-OTRAS UNIDADES DE APOYO DIAGNOSTICO</v>
      </c>
      <c r="C153" s="20" t="str">
        <f>'C COSTOS ESTADO FINANCIERO'!D153</f>
        <v>L04</v>
      </c>
      <c r="D153" s="20" t="str">
        <f>'C COSTOS ESTADO FINANCIERO'!E153</f>
        <v>IMAGENOLOGÍA NO RADIOLÓGICA</v>
      </c>
      <c r="E153" s="20" t="str">
        <f>'C COSTOS ESTADO FINANCIERO'!I153</f>
        <v>HSJCN - Cravo Norte</v>
      </c>
      <c r="F153" s="20" t="str">
        <f>'C COSTOS ESTADO FINANCIERO'!H153</f>
        <v>APOYO ASISTENCIAL (intermedio)</v>
      </c>
      <c r="G153" s="20" t="str">
        <f>'C COSTOS ESTADO FINANCIERO'!J153</f>
        <v>VERIFICAR</v>
      </c>
    </row>
    <row r="154" spans="1:7" x14ac:dyDescent="0.25">
      <c r="A154" s="20">
        <f>'C COSTOS ESTADO FINANCIERO'!A154</f>
        <v>1060601</v>
      </c>
      <c r="B154" s="20" t="str">
        <f>'C COSTOS ESTADO FINANCIERO'!B154</f>
        <v>HSJCN-CRAVO NORTE-REHABILITACION Y TERAPIAS</v>
      </c>
      <c r="C154" s="20" t="str">
        <f>'C COSTOS ESTADO FINANCIERO'!D154</f>
        <v>M06</v>
      </c>
      <c r="D154" s="20" t="str">
        <f>'C COSTOS ESTADO FINANCIERO'!E154</f>
        <v>FISIOTERAPIA Y REHABILITACIÓN</v>
      </c>
      <c r="E154" s="20" t="str">
        <f>'C COSTOS ESTADO FINANCIERO'!I154</f>
        <v>HSJCN - Cravo Norte</v>
      </c>
      <c r="F154" s="20" t="str">
        <f>'C COSTOS ESTADO FINANCIERO'!H154</f>
        <v>APOYO ASISTENCIAL (intermedio)</v>
      </c>
      <c r="G154" s="20" t="str">
        <f>'C COSTOS ESTADO FINANCIERO'!J154</f>
        <v>ACTIVO</v>
      </c>
    </row>
    <row r="155" spans="1:7" x14ac:dyDescent="0.25">
      <c r="A155" s="20">
        <f>'C COSTOS ESTADO FINANCIERO'!A155</f>
        <v>1060602</v>
      </c>
      <c r="B155" s="20" t="str">
        <f>'C COSTOS ESTADO FINANCIERO'!B155</f>
        <v>HSJCN-CRAVO NORTE-BANCO DE SANGRE</v>
      </c>
      <c r="C155" s="20" t="str">
        <f>'C COSTOS ESTADO FINANCIERO'!D155</f>
        <v>M01</v>
      </c>
      <c r="D155" s="20" t="str">
        <f>'C COSTOS ESTADO FINANCIERO'!E155</f>
        <v>BANCO DE SANGRE</v>
      </c>
      <c r="E155" s="20" t="str">
        <f>'C COSTOS ESTADO FINANCIERO'!I155</f>
        <v>HSJCN - Cravo Norte</v>
      </c>
      <c r="F155" s="20" t="str">
        <f>'C COSTOS ESTADO FINANCIERO'!H155</f>
        <v>APOYO ASISTENCIAL (intermedio)</v>
      </c>
      <c r="G155" s="20" t="str">
        <f>'C COSTOS ESTADO FINANCIERO'!J155</f>
        <v>NO APLICA</v>
      </c>
    </row>
    <row r="156" spans="1:7" x14ac:dyDescent="0.25">
      <c r="A156" s="20">
        <f>'C COSTOS ESTADO FINANCIERO'!A156</f>
        <v>1060603</v>
      </c>
      <c r="B156" s="20" t="str">
        <f>'C COSTOS ESTADO FINANCIERO'!B156</f>
        <v>HSJCN-CRAVO NORTE-UNIDAD RENAL</v>
      </c>
      <c r="C156" s="20" t="str">
        <f>'C COSTOS ESTADO FINANCIERO'!D156</f>
        <v>M03</v>
      </c>
      <c r="D156" s="20" t="str">
        <f>'C COSTOS ESTADO FINANCIERO'!E156</f>
        <v>TERAPIA RENAL</v>
      </c>
      <c r="E156" s="20" t="str">
        <f>'C COSTOS ESTADO FINANCIERO'!I156</f>
        <v>HSJCN - Cravo Norte</v>
      </c>
      <c r="F156" s="20" t="str">
        <f>'C COSTOS ESTADO FINANCIERO'!H156</f>
        <v>APOYO ASISTENCIAL (intermedio)</v>
      </c>
      <c r="G156" s="20" t="str">
        <f>'C COSTOS ESTADO FINANCIERO'!J156</f>
        <v>NO APLICA</v>
      </c>
    </row>
    <row r="157" spans="1:7" x14ac:dyDescent="0.25">
      <c r="A157" s="20">
        <f>'C COSTOS ESTADO FINANCIERO'!A157</f>
        <v>1060604</v>
      </c>
      <c r="B157" s="20" t="str">
        <f>'C COSTOS ESTADO FINANCIERO'!B157</f>
        <v>HSJCN-CRAVO NORTE-UNIDAD HEMODINAMIA</v>
      </c>
      <c r="C157" s="20" t="str">
        <f>'C COSTOS ESTADO FINANCIERO'!D157</f>
        <v>C05</v>
      </c>
      <c r="D157" s="20" t="str">
        <f>'C COSTOS ESTADO FINANCIERO'!E157</f>
        <v>CARDIOVASCULAR</v>
      </c>
      <c r="E157" s="20" t="str">
        <f>'C COSTOS ESTADO FINANCIERO'!I157</f>
        <v>HSJCN - Cravo Norte</v>
      </c>
      <c r="F157" s="20" t="str">
        <f>'C COSTOS ESTADO FINANCIERO'!H157</f>
        <v>PRODUCTIVO (final)</v>
      </c>
      <c r="G157" s="20" t="str">
        <f>'C COSTOS ESTADO FINANCIERO'!J157</f>
        <v>NO APLICA</v>
      </c>
    </row>
    <row r="158" spans="1:7" x14ac:dyDescent="0.25">
      <c r="A158" s="20">
        <f>'C COSTOS ESTADO FINANCIERO'!A158</f>
        <v>1060605</v>
      </c>
      <c r="B158" s="20" t="str">
        <f>'C COSTOS ESTADO FINANCIERO'!B158</f>
        <v>HSJCN-CRAVO NORTE-TERAPIAS ONCOLOGICAS</v>
      </c>
      <c r="C158" s="20" t="str">
        <f>'C COSTOS ESTADO FINANCIERO'!D158</f>
        <v>M07</v>
      </c>
      <c r="D158" s="20" t="str">
        <f>'C COSTOS ESTADO FINANCIERO'!E158</f>
        <v>OTRAS TERAPIAS</v>
      </c>
      <c r="E158" s="20" t="str">
        <f>'C COSTOS ESTADO FINANCIERO'!I158</f>
        <v>HSJCN - Cravo Norte</v>
      </c>
      <c r="F158" s="20" t="str">
        <f>'C COSTOS ESTADO FINANCIERO'!H158</f>
        <v>APOYO ASISTENCIAL (intermedio)</v>
      </c>
      <c r="G158" s="20" t="str">
        <f>'C COSTOS ESTADO FINANCIERO'!J158</f>
        <v>NO APLICA</v>
      </c>
    </row>
    <row r="159" spans="1:7" x14ac:dyDescent="0.25">
      <c r="A159" s="20">
        <f>'C COSTOS ESTADO FINANCIERO'!A159</f>
        <v>1060606</v>
      </c>
      <c r="B159" s="20" t="str">
        <f>'C COSTOS ESTADO FINANCIERO'!B159</f>
        <v>HSJCN-CRAVO NORTE-FARMACIA E INSUMOS HOPITALARIOS</v>
      </c>
      <c r="C159" s="20" t="str">
        <f>'C COSTOS ESTADO FINANCIERO'!D159</f>
        <v>M05</v>
      </c>
      <c r="D159" s="20" t="str">
        <f>'C COSTOS ESTADO FINANCIERO'!E159</f>
        <v>FARMACIA</v>
      </c>
      <c r="E159" s="20" t="str">
        <f>'C COSTOS ESTADO FINANCIERO'!I159</f>
        <v>HSJCN - Cravo Norte</v>
      </c>
      <c r="F159" s="20" t="str">
        <f>'C COSTOS ESTADO FINANCIERO'!H159</f>
        <v>APOYO ASISTENCIAL (intermedio)</v>
      </c>
      <c r="G159" s="20" t="str">
        <f>'C COSTOS ESTADO FINANCIERO'!J159</f>
        <v>ACTIVO</v>
      </c>
    </row>
    <row r="160" spans="1:7" x14ac:dyDescent="0.25">
      <c r="A160" s="20">
        <f>'C COSTOS ESTADO FINANCIERO'!A160</f>
        <v>1060607</v>
      </c>
      <c r="B160" s="20" t="str">
        <f>'C COSTOS ESTADO FINANCIERO'!B160</f>
        <v>HSJCN-CRAVO NORTE-OTRAS UNIDADES DE APOYO TERAPEUTICO</v>
      </c>
      <c r="C160" s="20" t="str">
        <f>'C COSTOS ESTADO FINANCIERO'!D160</f>
        <v>M07</v>
      </c>
      <c r="D160" s="20" t="str">
        <f>'C COSTOS ESTADO FINANCIERO'!E160</f>
        <v>OTRAS TERAPIAS</v>
      </c>
      <c r="E160" s="20" t="str">
        <f>'C COSTOS ESTADO FINANCIERO'!I160</f>
        <v>HSJCN - Cravo Norte</v>
      </c>
      <c r="F160" s="20" t="str">
        <f>'C COSTOS ESTADO FINANCIERO'!H160</f>
        <v>APOYO ASISTENCIAL (intermedio)</v>
      </c>
      <c r="G160" s="20" t="str">
        <f>'C COSTOS ESTADO FINANCIERO'!J160</f>
        <v>VERIFICAR</v>
      </c>
    </row>
    <row r="161" spans="1:7" x14ac:dyDescent="0.25">
      <c r="A161" s="20">
        <f>'C COSTOS ESTADO FINANCIERO'!A161</f>
        <v>1060701</v>
      </c>
      <c r="B161" s="20" t="str">
        <f>'C COSTOS ESTADO FINANCIERO'!B161</f>
        <v>HSJCN-CRAVO NORTE-ANCIANATOS</v>
      </c>
      <c r="C161" s="20" t="str">
        <f>'C COSTOS ESTADO FINANCIERO'!D161</f>
        <v>J01</v>
      </c>
      <c r="D161" s="20" t="str">
        <f>'C COSTOS ESTADO FINANCIERO'!E161</f>
        <v>ANCIANATOS Y ALBERGUES</v>
      </c>
      <c r="E161" s="20" t="str">
        <f>'C COSTOS ESTADO FINANCIERO'!I161</f>
        <v>HSJCN - Cravo Norte</v>
      </c>
      <c r="F161" s="20" t="str">
        <f>'C COSTOS ESTADO FINANCIERO'!H161</f>
        <v>PRODUCTIVO (final)</v>
      </c>
      <c r="G161" s="20" t="str">
        <f>'C COSTOS ESTADO FINANCIERO'!J161</f>
        <v>NO APLICA</v>
      </c>
    </row>
    <row r="162" spans="1:7" x14ac:dyDescent="0.25">
      <c r="A162" s="20">
        <f>'C COSTOS ESTADO FINANCIERO'!A162</f>
        <v>1060702</v>
      </c>
      <c r="B162" s="20" t="str">
        <f>'C COSTOS ESTADO FINANCIERO'!B162</f>
        <v>HSJCN-CRAVO NORTE-CENTROS Y PUESTOS DE SALUD</v>
      </c>
      <c r="C162" s="20" t="str">
        <f>'C COSTOS ESTADO FINANCIERO'!D162</f>
        <v>J17</v>
      </c>
      <c r="D162" s="20" t="str">
        <f>'C COSTOS ESTADO FINANCIERO'!E162</f>
        <v>CENTROS Y PUESTOS DE SALUD</v>
      </c>
      <c r="E162" s="20" t="str">
        <f>'C COSTOS ESTADO FINANCIERO'!I162</f>
        <v>HSJCN - Cravo Norte</v>
      </c>
      <c r="F162" s="20" t="str">
        <f>'C COSTOS ESTADO FINANCIERO'!H162</f>
        <v>PRODUCTIVO (final)</v>
      </c>
      <c r="G162" s="20" t="str">
        <f>'C COSTOS ESTADO FINANCIERO'!J162</f>
        <v>ACTIVO</v>
      </c>
    </row>
    <row r="163" spans="1:7" x14ac:dyDescent="0.25">
      <c r="A163" s="20">
        <f>'C COSTOS ESTADO FINANCIERO'!A163</f>
        <v>1060703</v>
      </c>
      <c r="B163" s="20" t="str">
        <f>'C COSTOS ESTADO FINANCIERO'!B163</f>
        <v>HSJCN-CRAVO NORTE-SERV. DOCENTES</v>
      </c>
      <c r="C163" s="20" t="str">
        <f>'C COSTOS ESTADO FINANCIERO'!D163</f>
        <v>U03</v>
      </c>
      <c r="D163" s="20" t="str">
        <f>'C COSTOS ESTADO FINANCIERO'!E163</f>
        <v>EDUCACIÓN MÉDICA</v>
      </c>
      <c r="E163" s="20" t="str">
        <f>'C COSTOS ESTADO FINANCIERO'!I163</f>
        <v>HSJCN - Cravo Norte</v>
      </c>
      <c r="F163" s="20" t="str">
        <f>'C COSTOS ESTADO FINANCIERO'!H163</f>
        <v>ADMINISTRATIVO</v>
      </c>
      <c r="G163" s="20" t="str">
        <f>'C COSTOS ESTADO FINANCIERO'!J163</f>
        <v>NO APLICA</v>
      </c>
    </row>
    <row r="164" spans="1:7" x14ac:dyDescent="0.25">
      <c r="A164" s="20">
        <f>'C COSTOS ESTADO FINANCIERO'!A164</f>
        <v>1060704</v>
      </c>
      <c r="B164" s="20" t="str">
        <f>'C COSTOS ESTADO FINANCIERO'!B164</f>
        <v>HSJCN-CRAVO NORTE-SERV. CONEXOS A LA SALUD MEDICINA LEGAL</v>
      </c>
      <c r="C164" s="20" t="str">
        <f>'C COSTOS ESTADO FINANCIERO'!D164</f>
        <v>A32</v>
      </c>
      <c r="D164" s="20" t="str">
        <f>'C COSTOS ESTADO FINANCIERO'!E164</f>
        <v>OTRAS CONSULTAS Y PROCEDIMIENTOS</v>
      </c>
      <c r="E164" s="20" t="str">
        <f>'C COSTOS ESTADO FINANCIERO'!I164</f>
        <v>HSJCN - Cravo Norte</v>
      </c>
      <c r="F164" s="20" t="str">
        <f>'C COSTOS ESTADO FINANCIERO'!H164</f>
        <v>PRODUCTIVO (final)</v>
      </c>
      <c r="G164" s="20" t="str">
        <f>'C COSTOS ESTADO FINANCIERO'!J164</f>
        <v>VERIFICAR</v>
      </c>
    </row>
    <row r="165" spans="1:7" x14ac:dyDescent="0.25">
      <c r="A165" s="20">
        <f>'C COSTOS ESTADO FINANCIERO'!A165</f>
        <v>1060705</v>
      </c>
      <c r="B165" s="20" t="str">
        <f>'C COSTOS ESTADO FINANCIERO'!B165</f>
        <v>HSJCN-CRAVO NORTE-SERV. CONEXOS A LA SALUD SER. AMBULANC</v>
      </c>
      <c r="C165" s="20" t="str">
        <f>'C COSTOS ESTADO FINANCIERO'!D165</f>
        <v>N08</v>
      </c>
      <c r="D165" s="20" t="str">
        <f>'C COSTOS ESTADO FINANCIERO'!E165</f>
        <v>SERVICIO DE AMBULANCIAS</v>
      </c>
      <c r="E165" s="20" t="str">
        <f>'C COSTOS ESTADO FINANCIERO'!I165</f>
        <v>HSJCN - Cravo Norte</v>
      </c>
      <c r="F165" s="20" t="str">
        <f>'C COSTOS ESTADO FINANCIERO'!H165</f>
        <v>PRODUCTIVO (final)</v>
      </c>
      <c r="G165" s="20" t="str">
        <f>'C COSTOS ESTADO FINANCIERO'!J165</f>
        <v>ACTIVO</v>
      </c>
    </row>
    <row r="166" spans="1:7" x14ac:dyDescent="0.25">
      <c r="A166" s="20">
        <f>'C COSTOS ESTADO FINANCIERO'!A166</f>
        <v>1060706</v>
      </c>
      <c r="B166" s="20" t="str">
        <f>'C COSTOS ESTADO FINANCIERO'!B166</f>
        <v>HSJCN-CRAVO NORTE-SER. CONEXOS A LA SALUD OTROS SERVICIOS</v>
      </c>
      <c r="C166" s="20" t="str">
        <f>'C COSTOS ESTADO FINANCIERO'!D166</f>
        <v>N04</v>
      </c>
      <c r="D166" s="20" t="str">
        <f>'C COSTOS ESTADO FINANCIERO'!E166</f>
        <v>OTROS ENFERMERÍA</v>
      </c>
      <c r="E166" s="20" t="str">
        <f>'C COSTOS ESTADO FINANCIERO'!I166</f>
        <v>HSJCN - Cravo Norte</v>
      </c>
      <c r="F166" s="20" t="str">
        <f>'C COSTOS ESTADO FINANCIERO'!H166</f>
        <v>APOYO ASISTENCIAL (intermedio)</v>
      </c>
      <c r="G166" s="20" t="str">
        <f>'C COSTOS ESTADO FINANCIERO'!J166</f>
        <v>VERIFICAR</v>
      </c>
    </row>
    <row r="167" spans="1:7" x14ac:dyDescent="0.25">
      <c r="A167" s="20">
        <f>'C COSTOS ESTADO FINANCIERO'!A167</f>
        <v>1070101</v>
      </c>
      <c r="B167" s="20" t="str">
        <f>'C COSTOS ESTADO FINANCIERO'!B167</f>
        <v>HSRP-PAMPURI-CONSULTA Y PROCEDIMIENTOS</v>
      </c>
      <c r="C167" s="20" t="str">
        <f>'C COSTOS ESTADO FINANCIERO'!D167</f>
        <v>B01</v>
      </c>
      <c r="D167" s="20" t="str">
        <f>'C COSTOS ESTADO FINANCIERO'!E167</f>
        <v>CONSULTA URGENCIAS</v>
      </c>
      <c r="E167" s="20" t="str">
        <f>'C COSTOS ESTADO FINANCIERO'!I167</f>
        <v>HSRP - Pampurí / La Esmeralda</v>
      </c>
      <c r="F167" s="20" t="str">
        <f>'C COSTOS ESTADO FINANCIERO'!H167</f>
        <v>PRODUCTIVO (final)</v>
      </c>
      <c r="G167" s="20" t="str">
        <f>'C COSTOS ESTADO FINANCIERO'!J167</f>
        <v>ACTIVO</v>
      </c>
    </row>
    <row r="168" spans="1:7" x14ac:dyDescent="0.25">
      <c r="A168" s="20">
        <f>'C COSTOS ESTADO FINANCIERO'!A168</f>
        <v>1070102</v>
      </c>
      <c r="B168" s="20" t="str">
        <f>'C COSTOS ESTADO FINANCIERO'!B168</f>
        <v>HSRP-LA ESMERALDA-OBSERVACIONES</v>
      </c>
      <c r="C168" s="20" t="str">
        <f>'C COSTOS ESTADO FINANCIERO'!D168</f>
        <v>B02</v>
      </c>
      <c r="D168" s="20" t="str">
        <f>'C COSTOS ESTADO FINANCIERO'!E168</f>
        <v>OBSERVACIÓN</v>
      </c>
      <c r="E168" s="20" t="str">
        <f>'C COSTOS ESTADO FINANCIERO'!I168</f>
        <v>HSRP - Pampurí / La Esmeralda</v>
      </c>
      <c r="F168" s="20" t="str">
        <f>'C COSTOS ESTADO FINANCIERO'!H168</f>
        <v>PRODUCTIVO (final)</v>
      </c>
      <c r="G168" s="20" t="str">
        <f>'C COSTOS ESTADO FINANCIERO'!J168</f>
        <v>ACTIVO</v>
      </c>
    </row>
    <row r="169" spans="1:7" x14ac:dyDescent="0.25">
      <c r="A169" s="20">
        <f>'C COSTOS ESTADO FINANCIERO'!A169</f>
        <v>1070201</v>
      </c>
      <c r="B169" s="20" t="str">
        <f>'C COSTOS ESTADO FINANCIERO'!B169</f>
        <v>HSRP-PAMPURI-CONSULTA EXTERNA</v>
      </c>
      <c r="C169" s="20" t="str">
        <f>'C COSTOS ESTADO FINANCIERO'!D169</f>
        <v>A10</v>
      </c>
      <c r="D169" s="20" t="str">
        <f>'C COSTOS ESTADO FINANCIERO'!E169</f>
        <v>MEDICINA GENERAL</v>
      </c>
      <c r="E169" s="20" t="str">
        <f>'C COSTOS ESTADO FINANCIERO'!I169</f>
        <v>HSRP - Pampurí / La Esmeralda</v>
      </c>
      <c r="F169" s="20" t="str">
        <f>'C COSTOS ESTADO FINANCIERO'!H169</f>
        <v>PRODUCTIVO (final)</v>
      </c>
      <c r="G169" s="20" t="str">
        <f>'C COSTOS ESTADO FINANCIERO'!J169</f>
        <v>ACTIVO</v>
      </c>
    </row>
    <row r="170" spans="1:7" x14ac:dyDescent="0.25">
      <c r="A170" s="20">
        <f>'C COSTOS ESTADO FINANCIERO'!A170</f>
        <v>1070202</v>
      </c>
      <c r="B170" s="20" t="str">
        <f>'C COSTOS ESTADO FINANCIERO'!B170</f>
        <v>HSRP-LA ESMERALDA-CONSULTA ESPECIALIZADA</v>
      </c>
      <c r="C170" s="20" t="str">
        <f>'C COSTOS ESTADO FINANCIERO'!D170</f>
        <v>A32</v>
      </c>
      <c r="D170" s="20" t="str">
        <f>'C COSTOS ESTADO FINANCIERO'!E170</f>
        <v>OTRAS CONSULTAS Y PROCEDIMIENTOS</v>
      </c>
      <c r="E170" s="20" t="str">
        <f>'C COSTOS ESTADO FINANCIERO'!I170</f>
        <v>HSRP - Pampurí / La Esmeralda</v>
      </c>
      <c r="F170" s="20" t="str">
        <f>'C COSTOS ESTADO FINANCIERO'!H170</f>
        <v>PRODUCTIVO (final)</v>
      </c>
      <c r="G170" s="20" t="str">
        <f>'C COSTOS ESTADO FINANCIERO'!J170</f>
        <v>ACTIVO</v>
      </c>
    </row>
    <row r="171" spans="1:7" x14ac:dyDescent="0.25">
      <c r="A171" s="20">
        <f>'C COSTOS ESTADO FINANCIERO'!A171</f>
        <v>1070203</v>
      </c>
      <c r="B171" s="20" t="str">
        <f>'C COSTOS ESTADO FINANCIERO'!B171</f>
        <v>HSRP-PAMPURI-SALUD ORAL</v>
      </c>
      <c r="C171" s="20" t="str">
        <f>'C COSTOS ESTADO FINANCIERO'!D171</f>
        <v>E01</v>
      </c>
      <c r="D171" s="20" t="str">
        <f>'C COSTOS ESTADO FINANCIERO'!E171</f>
        <v>ODONTOLOGÍA GENERAL</v>
      </c>
      <c r="E171" s="20" t="str">
        <f>'C COSTOS ESTADO FINANCIERO'!I171</f>
        <v>HSRP - Pampurí / La Esmeralda</v>
      </c>
      <c r="F171" s="20" t="str">
        <f>'C COSTOS ESTADO FINANCIERO'!H171</f>
        <v>PRODUCTIVO (final)</v>
      </c>
      <c r="G171" s="20" t="str">
        <f>'C COSTOS ESTADO FINANCIERO'!J171</f>
        <v>ACTIVO</v>
      </c>
    </row>
    <row r="172" spans="1:7" x14ac:dyDescent="0.25">
      <c r="A172" s="20">
        <f>'C COSTOS ESTADO FINANCIERO'!A172</f>
        <v>1070204</v>
      </c>
      <c r="B172" s="20" t="str">
        <f>'C COSTOS ESTADO FINANCIERO'!B172</f>
        <v>HSRP-LA ESMERALDA-PROMOCION Y MANTENIMIENTO</v>
      </c>
      <c r="C172" s="20" t="str">
        <f>'C COSTOS ESTADO FINANCIERO'!D172</f>
        <v>N03</v>
      </c>
      <c r="D172" s="20" t="str">
        <f>'C COSTOS ESTADO FINANCIERO'!E172</f>
        <v>PROMOCIÓN Y PREVENCIÓN</v>
      </c>
      <c r="E172" s="20" t="str">
        <f>'C COSTOS ESTADO FINANCIERO'!I172</f>
        <v>HSRP - Pampurí / La Esmeralda</v>
      </c>
      <c r="F172" s="20" t="str">
        <f>'C COSTOS ESTADO FINANCIERO'!H172</f>
        <v>PRODUCTIVO (final)</v>
      </c>
      <c r="G172" s="20" t="str">
        <f>'C COSTOS ESTADO FINANCIERO'!J172</f>
        <v>ACTIVO</v>
      </c>
    </row>
    <row r="173" spans="1:7" x14ac:dyDescent="0.25">
      <c r="A173" s="20">
        <f>'C COSTOS ESTADO FINANCIERO'!A173</f>
        <v>1070205</v>
      </c>
      <c r="B173" s="20" t="str">
        <f>'C COSTOS ESTADO FINANCIERO'!B173</f>
        <v>HSRP-LA ESMERALDA-OTRAS ACTIVIDADES EXTRAMURALES</v>
      </c>
      <c r="C173" s="20" t="str">
        <f>'C COSTOS ESTADO FINANCIERO'!D173</f>
        <v>K25</v>
      </c>
      <c r="D173" s="20" t="str">
        <f>'C COSTOS ESTADO FINANCIERO'!E173</f>
        <v>SALUD PUBLICA</v>
      </c>
      <c r="E173" s="20" t="str">
        <f>'C COSTOS ESTADO FINANCIERO'!I173</f>
        <v>HSRP - Pampurí / La Esmeralda</v>
      </c>
      <c r="F173" s="20" t="str">
        <f>'C COSTOS ESTADO FINANCIERO'!H173</f>
        <v>PRODUCTIVO (final)</v>
      </c>
      <c r="G173" s="20" t="str">
        <f>'C COSTOS ESTADO FINANCIERO'!J173</f>
        <v>ACTIVO</v>
      </c>
    </row>
    <row r="174" spans="1:7" x14ac:dyDescent="0.25">
      <c r="A174" s="20">
        <f>'C COSTOS ESTADO FINANCIERO'!A174</f>
        <v>1070301</v>
      </c>
      <c r="B174" s="20" t="str">
        <f>'C COSTOS ESTADO FINANCIERO'!B174</f>
        <v>HSRP-LA ESMERALDA-HOSPITALACION-ESTANCIA GENERAL</v>
      </c>
      <c r="C174" s="20" t="str">
        <f>'C COSTOS ESTADO FINANCIERO'!D174</f>
        <v>I01</v>
      </c>
      <c r="D174" s="20" t="str">
        <f>'C COSTOS ESTADO FINANCIERO'!E174</f>
        <v>HOSPITALIZACIÓN GENERAL</v>
      </c>
      <c r="E174" s="20" t="str">
        <f>'C COSTOS ESTADO FINANCIERO'!I174</f>
        <v>HSRP - Pampurí / La Esmeralda</v>
      </c>
      <c r="F174" s="20" t="str">
        <f>'C COSTOS ESTADO FINANCIERO'!H174</f>
        <v>PRODUCTIVO (final)</v>
      </c>
      <c r="G174" s="20" t="str">
        <f>'C COSTOS ESTADO FINANCIERO'!J174</f>
        <v>ACTIVO</v>
      </c>
    </row>
    <row r="175" spans="1:7" x14ac:dyDescent="0.25">
      <c r="A175" s="20">
        <f>'C COSTOS ESTADO FINANCIERO'!A175</f>
        <v>1070302</v>
      </c>
      <c r="B175" s="20" t="str">
        <f>'C COSTOS ESTADO FINANCIERO'!B175</f>
        <v>HSRP-LA ESMERALDA-CUIDADOS INTENSIVOS</v>
      </c>
      <c r="C175" s="20" t="str">
        <f>'C COSTOS ESTADO FINANCIERO'!D175</f>
        <v>J02</v>
      </c>
      <c r="D175" s="20" t="str">
        <f>'C COSTOS ESTADO FINANCIERO'!E175</f>
        <v>UCI ADULTOS</v>
      </c>
      <c r="E175" s="20" t="str">
        <f>'C COSTOS ESTADO FINANCIERO'!I175</f>
        <v>HSRP - Pampurí / La Esmeralda</v>
      </c>
      <c r="F175" s="20" t="str">
        <f>'C COSTOS ESTADO FINANCIERO'!H175</f>
        <v>PRODUCTIVO (final)</v>
      </c>
      <c r="G175" s="20" t="str">
        <f>'C COSTOS ESTADO FINANCIERO'!J175</f>
        <v>NO APLICA</v>
      </c>
    </row>
    <row r="176" spans="1:7" x14ac:dyDescent="0.25">
      <c r="A176" s="20">
        <f>'C COSTOS ESTADO FINANCIERO'!A176</f>
        <v>1070303</v>
      </c>
      <c r="B176" s="20" t="str">
        <f>'C COSTOS ESTADO FINANCIERO'!B176</f>
        <v>HSRP-LA ESMERALDA-CUIDADOS INTERMEDIOS</v>
      </c>
      <c r="C176" s="20" t="str">
        <f>'C COSTOS ESTADO FINANCIERO'!D176</f>
        <v>J05</v>
      </c>
      <c r="D176" s="20" t="str">
        <f>'C COSTOS ESTADO FINANCIERO'!E176</f>
        <v>UCI INTERMEDIOS ADULTOS</v>
      </c>
      <c r="E176" s="20" t="str">
        <f>'C COSTOS ESTADO FINANCIERO'!I176</f>
        <v>HSRP - Pampurí / La Esmeralda</v>
      </c>
      <c r="F176" s="20" t="str">
        <f>'C COSTOS ESTADO FINANCIERO'!H176</f>
        <v>PRODUCTIVO (final)</v>
      </c>
      <c r="G176" s="20" t="str">
        <f>'C COSTOS ESTADO FINANCIERO'!J176</f>
        <v>NO APLICA</v>
      </c>
    </row>
    <row r="177" spans="1:7" x14ac:dyDescent="0.25">
      <c r="A177" s="20">
        <f>'C COSTOS ESTADO FINANCIERO'!A177</f>
        <v>1070304</v>
      </c>
      <c r="B177" s="20" t="str">
        <f>'C COSTOS ESTADO FINANCIERO'!B177</f>
        <v>HSRP-LA ESMERALDA-RECIEN NACIDOS</v>
      </c>
      <c r="C177" s="20" t="str">
        <f>'C COSTOS ESTADO FINANCIERO'!D177</f>
        <v>J09</v>
      </c>
      <c r="D177" s="20" t="str">
        <f>'C COSTOS ESTADO FINANCIERO'!E177</f>
        <v>UNIDAD DE RECIÉN NACIDOS</v>
      </c>
      <c r="E177" s="20" t="str">
        <f>'C COSTOS ESTADO FINANCIERO'!I177</f>
        <v>HSRP - Pampurí / La Esmeralda</v>
      </c>
      <c r="F177" s="20" t="str">
        <f>'C COSTOS ESTADO FINANCIERO'!H177</f>
        <v>PRODUCTIVO (final)</v>
      </c>
      <c r="G177" s="20" t="str">
        <f>'C COSTOS ESTADO FINANCIERO'!J177</f>
        <v>VERIFICAR</v>
      </c>
    </row>
    <row r="178" spans="1:7" x14ac:dyDescent="0.25">
      <c r="A178" s="20">
        <f>'C COSTOS ESTADO FINANCIERO'!A178</f>
        <v>1070305</v>
      </c>
      <c r="B178" s="20" t="str">
        <f>'C COSTOS ESTADO FINANCIERO'!B178</f>
        <v>HSRP-LA ESMERALDA-HOSPITALIZACI.N SALUD MENTAL</v>
      </c>
      <c r="C178" s="20" t="str">
        <f>'C COSTOS ESTADO FINANCIERO'!D178</f>
        <v>J10</v>
      </c>
      <c r="D178" s="20" t="str">
        <f>'C COSTOS ESTADO FINANCIERO'!E178</f>
        <v>UNIDAD SALUD MENTAL Y DESINTOXICACIÓN (BAJA COMPLEJIDAD)</v>
      </c>
      <c r="E178" s="20" t="str">
        <f>'C COSTOS ESTADO FINANCIERO'!I178</f>
        <v>HSRP - Pampurí / La Esmeralda</v>
      </c>
      <c r="F178" s="20" t="str">
        <f>'C COSTOS ESTADO FINANCIERO'!H178</f>
        <v>PRODUCTIVO (final)</v>
      </c>
      <c r="G178" s="20" t="str">
        <f>'C COSTOS ESTADO FINANCIERO'!J178</f>
        <v>NO APLICA</v>
      </c>
    </row>
    <row r="179" spans="1:7" x14ac:dyDescent="0.25">
      <c r="A179" s="20">
        <f>'C COSTOS ESTADO FINANCIERO'!A179</f>
        <v>1070306</v>
      </c>
      <c r="B179" s="20" t="str">
        <f>'C COSTOS ESTADO FINANCIERO'!B179</f>
        <v>HSRP-LA ESMERALDA-QUEMADOS</v>
      </c>
      <c r="C179" s="20" t="str">
        <f>'C COSTOS ESTADO FINANCIERO'!D179</f>
        <v>J08</v>
      </c>
      <c r="D179" s="20" t="str">
        <f>'C COSTOS ESTADO FINANCIERO'!E179</f>
        <v>UNIDAD DE QUEMADOS ADULTOS</v>
      </c>
      <c r="E179" s="20" t="str">
        <f>'C COSTOS ESTADO FINANCIERO'!I179</f>
        <v>HSRP - Pampurí / La Esmeralda</v>
      </c>
      <c r="F179" s="20" t="str">
        <f>'C COSTOS ESTADO FINANCIERO'!H179</f>
        <v>PRODUCTIVO (final)</v>
      </c>
      <c r="G179" s="20" t="str">
        <f>'C COSTOS ESTADO FINANCIERO'!J179</f>
        <v>NO APLICA</v>
      </c>
    </row>
    <row r="180" spans="1:7" x14ac:dyDescent="0.25">
      <c r="A180" s="20">
        <f>'C COSTOS ESTADO FINANCIERO'!A180</f>
        <v>1070307</v>
      </c>
      <c r="B180" s="20" t="str">
        <f>'C COSTOS ESTADO FINANCIERO'!B180</f>
        <v>HSRP-LA ESMERALDA-OTROS CUIDADOS ESPECIALE</v>
      </c>
      <c r="C180" s="20" t="str">
        <f>'C COSTOS ESTADO FINANCIERO'!D180</f>
        <v>J13</v>
      </c>
      <c r="D180" s="20" t="str">
        <f>'C COSTOS ESTADO FINANCIERO'!E180</f>
        <v>OTRAS UNIDADES ESPECIALES</v>
      </c>
      <c r="E180" s="20" t="str">
        <f>'C COSTOS ESTADO FINANCIERO'!I180</f>
        <v>HSRP - Pampurí / La Esmeralda</v>
      </c>
      <c r="F180" s="20" t="str">
        <f>'C COSTOS ESTADO FINANCIERO'!H180</f>
        <v>PRODUCTIVO (final)</v>
      </c>
      <c r="G180" s="20" t="str">
        <f>'C COSTOS ESTADO FINANCIERO'!J180</f>
        <v>NO APLICA</v>
      </c>
    </row>
    <row r="181" spans="1:7" x14ac:dyDescent="0.25">
      <c r="A181" s="20">
        <f>'C COSTOS ESTADO FINANCIERO'!A181</f>
        <v>1070401</v>
      </c>
      <c r="B181" s="20" t="str">
        <f>'C COSTOS ESTADO FINANCIERO'!B181</f>
        <v>HSRP-LA ESMERALDA-QUIROFANOS</v>
      </c>
      <c r="C181" s="20" t="str">
        <f>'C COSTOS ESTADO FINANCIERO'!D181</f>
        <v>C01</v>
      </c>
      <c r="D181" s="20" t="str">
        <f>'C COSTOS ESTADO FINANCIERO'!E181</f>
        <v>CIRUGÍA GENERAL</v>
      </c>
      <c r="E181" s="20" t="str">
        <f>'C COSTOS ESTADO FINANCIERO'!I181</f>
        <v>HSRP - Pampurí / La Esmeralda</v>
      </c>
      <c r="F181" s="20" t="str">
        <f>'C COSTOS ESTADO FINANCIERO'!H181</f>
        <v>PRODUCTIVO (final)</v>
      </c>
      <c r="G181" s="20" t="str">
        <f>'C COSTOS ESTADO FINANCIERO'!J181</f>
        <v>VERIFICAR</v>
      </c>
    </row>
    <row r="182" spans="1:7" x14ac:dyDescent="0.25">
      <c r="A182" s="20">
        <f>'C COSTOS ESTADO FINANCIERO'!A182</f>
        <v>1070402</v>
      </c>
      <c r="B182" s="20" t="str">
        <f>'C COSTOS ESTADO FINANCIERO'!B182</f>
        <v>HSRP-LA ESMERALDA-SALA DE PARTO</v>
      </c>
      <c r="C182" s="20" t="str">
        <f>'C COSTOS ESTADO FINANCIERO'!D182</f>
        <v>D02</v>
      </c>
      <c r="D182" s="20" t="str">
        <f>'C COSTOS ESTADO FINANCIERO'!E182</f>
        <v>ATENCIÓN DE PARTO BAJA COMPLEJIDAD</v>
      </c>
      <c r="E182" s="20" t="str">
        <f>'C COSTOS ESTADO FINANCIERO'!I182</f>
        <v>HSRP - Pampurí / La Esmeralda</v>
      </c>
      <c r="F182" s="20" t="str">
        <f>'C COSTOS ESTADO FINANCIERO'!H182</f>
        <v>PRODUCTIVO (final)</v>
      </c>
      <c r="G182" s="20" t="str">
        <f>'C COSTOS ESTADO FINANCIERO'!J182</f>
        <v>ACTIVO</v>
      </c>
    </row>
    <row r="183" spans="1:7" x14ac:dyDescent="0.25">
      <c r="A183" s="20">
        <f>'C COSTOS ESTADO FINANCIERO'!A183</f>
        <v>1070501</v>
      </c>
      <c r="B183" s="20" t="str">
        <f>'C COSTOS ESTADO FINANCIERO'!B183</f>
        <v>HSRP-LA ESMERALDA-LABORATORIO CLINICO</v>
      </c>
      <c r="C183" s="20" t="str">
        <f>'C COSTOS ESTADO FINANCIERO'!D183</f>
        <v>L07</v>
      </c>
      <c r="D183" s="20" t="str">
        <f>'C COSTOS ESTADO FINANCIERO'!E183</f>
        <v>LABORATORIO Y ANÁLISIS CLÍNICO</v>
      </c>
      <c r="E183" s="20" t="str">
        <f>'C COSTOS ESTADO FINANCIERO'!I183</f>
        <v>HSRP - Pampurí / La Esmeralda</v>
      </c>
      <c r="F183" s="20" t="str">
        <f>'C COSTOS ESTADO FINANCIERO'!H183</f>
        <v>APOYO ASISTENCIAL (intermedio)</v>
      </c>
      <c r="G183" s="20" t="str">
        <f>'C COSTOS ESTADO FINANCIERO'!J183</f>
        <v>ACTIVO</v>
      </c>
    </row>
    <row r="184" spans="1:7" x14ac:dyDescent="0.25">
      <c r="A184" s="20">
        <f>'C COSTOS ESTADO FINANCIERO'!A184</f>
        <v>1070502</v>
      </c>
      <c r="B184" s="20" t="str">
        <f>'C COSTOS ESTADO FINANCIERO'!B184</f>
        <v>HSRP-LA ESMERALDA-IMAGENOLOGIA</v>
      </c>
      <c r="C184" s="20" t="str">
        <f>'C COSTOS ESTADO FINANCIERO'!D184</f>
        <v>L02</v>
      </c>
      <c r="D184" s="20" t="str">
        <f>'C COSTOS ESTADO FINANCIERO'!E184</f>
        <v>IMAGENEOLOGÍA RADIOLÓGICA</v>
      </c>
      <c r="E184" s="20" t="str">
        <f>'C COSTOS ESTADO FINANCIERO'!I184</f>
        <v>HSRP - Pampurí / La Esmeralda</v>
      </c>
      <c r="F184" s="20" t="str">
        <f>'C COSTOS ESTADO FINANCIERO'!H184</f>
        <v>APOYO ASISTENCIAL (intermedio)</v>
      </c>
      <c r="G184" s="20" t="str">
        <f>'C COSTOS ESTADO FINANCIERO'!J184</f>
        <v>ACTIVO</v>
      </c>
    </row>
    <row r="185" spans="1:7" x14ac:dyDescent="0.25">
      <c r="A185" s="20">
        <f>'C COSTOS ESTADO FINANCIERO'!A185</f>
        <v>1070503</v>
      </c>
      <c r="B185" s="20" t="str">
        <f>'C COSTOS ESTADO FINANCIERO'!B185</f>
        <v>HSRP-LA ESMERALDA-ANATOMIA PATOLOGICA</v>
      </c>
      <c r="C185" s="20" t="str">
        <f>'C COSTOS ESTADO FINANCIERO'!D185</f>
        <v>L01</v>
      </c>
      <c r="D185" s="20" t="str">
        <f>'C COSTOS ESTADO FINANCIERO'!E185</f>
        <v>LABORATORIO ANATOMÍA PATOLÓGICA</v>
      </c>
      <c r="E185" s="20" t="str">
        <f>'C COSTOS ESTADO FINANCIERO'!I185</f>
        <v>HSRP - Pampurí / La Esmeralda</v>
      </c>
      <c r="F185" s="20" t="str">
        <f>'C COSTOS ESTADO FINANCIERO'!H185</f>
        <v>APOYO ASISTENCIAL (intermedio)</v>
      </c>
      <c r="G185" s="20" t="str">
        <f>'C COSTOS ESTADO FINANCIERO'!J185</f>
        <v>NO APLICA</v>
      </c>
    </row>
    <row r="186" spans="1:7" x14ac:dyDescent="0.25">
      <c r="A186" s="20">
        <f>'C COSTOS ESTADO FINANCIERO'!A186</f>
        <v>1070504</v>
      </c>
      <c r="B186" s="20" t="str">
        <f>'C COSTOS ESTADO FINANCIERO'!B186</f>
        <v>HSRP-LA ESMERALDA-OTRAS UNIDADES DE APOYO DIAGNOSTICO</v>
      </c>
      <c r="C186" s="20" t="str">
        <f>'C COSTOS ESTADO FINANCIERO'!D186</f>
        <v>L04</v>
      </c>
      <c r="D186" s="20" t="str">
        <f>'C COSTOS ESTADO FINANCIERO'!E186</f>
        <v>IMAGENOLOGÍA NO RADIOLÓGICA</v>
      </c>
      <c r="E186" s="20" t="str">
        <f>'C COSTOS ESTADO FINANCIERO'!I186</f>
        <v>HSRP - Pampurí / La Esmeralda</v>
      </c>
      <c r="F186" s="20" t="str">
        <f>'C COSTOS ESTADO FINANCIERO'!H186</f>
        <v>APOYO ASISTENCIAL (intermedio)</v>
      </c>
      <c r="G186" s="20" t="str">
        <f>'C COSTOS ESTADO FINANCIERO'!J186</f>
        <v>VERIFICAR</v>
      </c>
    </row>
    <row r="187" spans="1:7" x14ac:dyDescent="0.25">
      <c r="A187" s="20">
        <f>'C COSTOS ESTADO FINANCIERO'!A187</f>
        <v>1070601</v>
      </c>
      <c r="B187" s="20" t="str">
        <f>'C COSTOS ESTADO FINANCIERO'!B187</f>
        <v>HSRP-LA ESMERALDA-REHABILITACION Y TERAPIAS</v>
      </c>
      <c r="C187" s="20" t="str">
        <f>'C COSTOS ESTADO FINANCIERO'!D187</f>
        <v>M06</v>
      </c>
      <c r="D187" s="20" t="str">
        <f>'C COSTOS ESTADO FINANCIERO'!E187</f>
        <v>FISIOTERAPIA Y REHABILITACIÓN</v>
      </c>
      <c r="E187" s="20" t="str">
        <f>'C COSTOS ESTADO FINANCIERO'!I187</f>
        <v>HSRP - Pampurí / La Esmeralda</v>
      </c>
      <c r="F187" s="20" t="str">
        <f>'C COSTOS ESTADO FINANCIERO'!H187</f>
        <v>APOYO ASISTENCIAL (intermedio)</v>
      </c>
      <c r="G187" s="20" t="str">
        <f>'C COSTOS ESTADO FINANCIERO'!J187</f>
        <v>ACTIVO</v>
      </c>
    </row>
    <row r="188" spans="1:7" x14ac:dyDescent="0.25">
      <c r="A188" s="20">
        <f>'C COSTOS ESTADO FINANCIERO'!A188</f>
        <v>1070602</v>
      </c>
      <c r="B188" s="20" t="str">
        <f>'C COSTOS ESTADO FINANCIERO'!B188</f>
        <v>HSRP-LA ESMERALDA-BANCO DE SANGRE</v>
      </c>
      <c r="C188" s="20" t="str">
        <f>'C COSTOS ESTADO FINANCIERO'!D188</f>
        <v>M01</v>
      </c>
      <c r="D188" s="20" t="str">
        <f>'C COSTOS ESTADO FINANCIERO'!E188</f>
        <v>BANCO DE SANGRE</v>
      </c>
      <c r="E188" s="20" t="str">
        <f>'C COSTOS ESTADO FINANCIERO'!I188</f>
        <v>HSRP - Pampurí / La Esmeralda</v>
      </c>
      <c r="F188" s="20" t="str">
        <f>'C COSTOS ESTADO FINANCIERO'!H188</f>
        <v>APOYO ASISTENCIAL (intermedio)</v>
      </c>
      <c r="G188" s="20" t="str">
        <f>'C COSTOS ESTADO FINANCIERO'!J188</f>
        <v>NO APLICA</v>
      </c>
    </row>
    <row r="189" spans="1:7" x14ac:dyDescent="0.25">
      <c r="A189" s="20">
        <f>'C COSTOS ESTADO FINANCIERO'!A189</f>
        <v>1070603</v>
      </c>
      <c r="B189" s="20" t="str">
        <f>'C COSTOS ESTADO FINANCIERO'!B189</f>
        <v>HSRP-LA ESMERALDA-UNIDAD RENAL</v>
      </c>
      <c r="C189" s="20" t="str">
        <f>'C COSTOS ESTADO FINANCIERO'!D189</f>
        <v>M03</v>
      </c>
      <c r="D189" s="20" t="str">
        <f>'C COSTOS ESTADO FINANCIERO'!E189</f>
        <v>TERAPIA RENAL</v>
      </c>
      <c r="E189" s="20" t="str">
        <f>'C COSTOS ESTADO FINANCIERO'!I189</f>
        <v>HSRP - Pampurí / La Esmeralda</v>
      </c>
      <c r="F189" s="20" t="str">
        <f>'C COSTOS ESTADO FINANCIERO'!H189</f>
        <v>APOYO ASISTENCIAL (intermedio)</v>
      </c>
      <c r="G189" s="20" t="str">
        <f>'C COSTOS ESTADO FINANCIERO'!J189</f>
        <v>NO APLICA</v>
      </c>
    </row>
    <row r="190" spans="1:7" x14ac:dyDescent="0.25">
      <c r="A190" s="20">
        <f>'C COSTOS ESTADO FINANCIERO'!A190</f>
        <v>1070604</v>
      </c>
      <c r="B190" s="20" t="str">
        <f>'C COSTOS ESTADO FINANCIERO'!B190</f>
        <v>HSRP-LA ESMERALDA-UNIDAD HEMODINAMIA</v>
      </c>
      <c r="C190" s="20" t="str">
        <f>'C COSTOS ESTADO FINANCIERO'!D190</f>
        <v>C05</v>
      </c>
      <c r="D190" s="20" t="str">
        <f>'C COSTOS ESTADO FINANCIERO'!E190</f>
        <v>CARDIOVASCULAR</v>
      </c>
      <c r="E190" s="20" t="str">
        <f>'C COSTOS ESTADO FINANCIERO'!I190</f>
        <v>HSRP - Pampurí / La Esmeralda</v>
      </c>
      <c r="F190" s="20" t="str">
        <f>'C COSTOS ESTADO FINANCIERO'!H190</f>
        <v>PRODUCTIVO (final)</v>
      </c>
      <c r="G190" s="20" t="str">
        <f>'C COSTOS ESTADO FINANCIERO'!J190</f>
        <v>NO APLICA</v>
      </c>
    </row>
    <row r="191" spans="1:7" x14ac:dyDescent="0.25">
      <c r="A191" s="20">
        <f>'C COSTOS ESTADO FINANCIERO'!A191</f>
        <v>1070605</v>
      </c>
      <c r="B191" s="20" t="str">
        <f>'C COSTOS ESTADO FINANCIERO'!B191</f>
        <v>HSRP-LA ESMERALDA-TERAPIAS ONCOLOGICAS</v>
      </c>
      <c r="C191" s="20" t="str">
        <f>'C COSTOS ESTADO FINANCIERO'!D191</f>
        <v>M07</v>
      </c>
      <c r="D191" s="20" t="str">
        <f>'C COSTOS ESTADO FINANCIERO'!E191</f>
        <v>OTRAS TERAPIAS</v>
      </c>
      <c r="E191" s="20" t="str">
        <f>'C COSTOS ESTADO FINANCIERO'!I191</f>
        <v>HSRP - Pampurí / La Esmeralda</v>
      </c>
      <c r="F191" s="20" t="str">
        <f>'C COSTOS ESTADO FINANCIERO'!H191</f>
        <v>APOYO ASISTENCIAL (intermedio)</v>
      </c>
      <c r="G191" s="20" t="str">
        <f>'C COSTOS ESTADO FINANCIERO'!J191</f>
        <v>NO APLICA</v>
      </c>
    </row>
    <row r="192" spans="1:7" x14ac:dyDescent="0.25">
      <c r="A192" s="20">
        <f>'C COSTOS ESTADO FINANCIERO'!A192</f>
        <v>1070606</v>
      </c>
      <c r="B192" s="20" t="str">
        <f>'C COSTOS ESTADO FINANCIERO'!B192</f>
        <v>HSRP-LA ESMERALDA-FARMACIA E INSUMOS HOPITALARIOS</v>
      </c>
      <c r="C192" s="20" t="str">
        <f>'C COSTOS ESTADO FINANCIERO'!D192</f>
        <v>M05</v>
      </c>
      <c r="D192" s="20" t="str">
        <f>'C COSTOS ESTADO FINANCIERO'!E192</f>
        <v>FARMACIA</v>
      </c>
      <c r="E192" s="20" t="str">
        <f>'C COSTOS ESTADO FINANCIERO'!I192</f>
        <v>HSRP - Pampurí / La Esmeralda</v>
      </c>
      <c r="F192" s="20" t="str">
        <f>'C COSTOS ESTADO FINANCIERO'!H192</f>
        <v>APOYO ASISTENCIAL (intermedio)</v>
      </c>
      <c r="G192" s="20" t="str">
        <f>'C COSTOS ESTADO FINANCIERO'!J192</f>
        <v>ACTIVO</v>
      </c>
    </row>
    <row r="193" spans="1:7" x14ac:dyDescent="0.25">
      <c r="A193" s="20">
        <f>'C COSTOS ESTADO FINANCIERO'!A193</f>
        <v>1070607</v>
      </c>
      <c r="B193" s="20" t="str">
        <f>'C COSTOS ESTADO FINANCIERO'!B193</f>
        <v>HSRP-LA ESMERALDA-OTRAS UNIDADES DE APOYO TERAPEUTICO</v>
      </c>
      <c r="C193" s="20" t="str">
        <f>'C COSTOS ESTADO FINANCIERO'!D193</f>
        <v>M07</v>
      </c>
      <c r="D193" s="20" t="str">
        <f>'C COSTOS ESTADO FINANCIERO'!E193</f>
        <v>OTRAS TERAPIAS</v>
      </c>
      <c r="E193" s="20" t="str">
        <f>'C COSTOS ESTADO FINANCIERO'!I193</f>
        <v>HSRP - Pampurí / La Esmeralda</v>
      </c>
      <c r="F193" s="20" t="str">
        <f>'C COSTOS ESTADO FINANCIERO'!H193</f>
        <v>APOYO ASISTENCIAL (intermedio)</v>
      </c>
      <c r="G193" s="20" t="str">
        <f>'C COSTOS ESTADO FINANCIERO'!J193</f>
        <v>VERIFICAR</v>
      </c>
    </row>
    <row r="194" spans="1:7" x14ac:dyDescent="0.25">
      <c r="A194" s="20">
        <f>'C COSTOS ESTADO FINANCIERO'!A194</f>
        <v>1070701</v>
      </c>
      <c r="B194" s="20" t="str">
        <f>'C COSTOS ESTADO FINANCIERO'!B194</f>
        <v>HSRP-LA ESMERALDA-ANCIANATOS</v>
      </c>
      <c r="C194" s="20" t="str">
        <f>'C COSTOS ESTADO FINANCIERO'!D194</f>
        <v>J01</v>
      </c>
      <c r="D194" s="20" t="str">
        <f>'C COSTOS ESTADO FINANCIERO'!E194</f>
        <v>ANCIANATOS Y ALBERGUES</v>
      </c>
      <c r="E194" s="20" t="str">
        <f>'C COSTOS ESTADO FINANCIERO'!I194</f>
        <v>HSRP - Pampurí / La Esmeralda</v>
      </c>
      <c r="F194" s="20" t="str">
        <f>'C COSTOS ESTADO FINANCIERO'!H194</f>
        <v>PRODUCTIVO (final)</v>
      </c>
      <c r="G194" s="20" t="str">
        <f>'C COSTOS ESTADO FINANCIERO'!J194</f>
        <v>NO APLICA</v>
      </c>
    </row>
    <row r="195" spans="1:7" x14ac:dyDescent="0.25">
      <c r="A195" s="20">
        <f>'C COSTOS ESTADO FINANCIERO'!A195</f>
        <v>1070702</v>
      </c>
      <c r="B195" s="20" t="str">
        <f>'C COSTOS ESTADO FINANCIERO'!B195</f>
        <v>HSRP-LA ESMERALDA-CENTROS Y PUESTOS DE SALUD</v>
      </c>
      <c r="C195" s="20" t="str">
        <f>'C COSTOS ESTADO FINANCIERO'!D195</f>
        <v>J17</v>
      </c>
      <c r="D195" s="20" t="str">
        <f>'C COSTOS ESTADO FINANCIERO'!E195</f>
        <v>CENTROS Y PUESTOS DE SALUD</v>
      </c>
      <c r="E195" s="20" t="str">
        <f>'C COSTOS ESTADO FINANCIERO'!I195</f>
        <v>HSRP - Pampurí / La Esmeralda</v>
      </c>
      <c r="F195" s="20" t="str">
        <f>'C COSTOS ESTADO FINANCIERO'!H195</f>
        <v>PRODUCTIVO (final)</v>
      </c>
      <c r="G195" s="20" t="str">
        <f>'C COSTOS ESTADO FINANCIERO'!J195</f>
        <v>ACTIVO</v>
      </c>
    </row>
    <row r="196" spans="1:7" x14ac:dyDescent="0.25">
      <c r="A196" s="20">
        <f>'C COSTOS ESTADO FINANCIERO'!A196</f>
        <v>1070703</v>
      </c>
      <c r="B196" s="20" t="str">
        <f>'C COSTOS ESTADO FINANCIERO'!B196</f>
        <v>HSRP-LA ESMERALDA-SERV. DOCENTES</v>
      </c>
      <c r="C196" s="20" t="str">
        <f>'C COSTOS ESTADO FINANCIERO'!D196</f>
        <v>U03</v>
      </c>
      <c r="D196" s="20" t="str">
        <f>'C COSTOS ESTADO FINANCIERO'!E196</f>
        <v>EDUCACIÓN MÉDICA</v>
      </c>
      <c r="E196" s="20" t="str">
        <f>'C COSTOS ESTADO FINANCIERO'!I196</f>
        <v>HSRP - Pampurí / La Esmeralda</v>
      </c>
      <c r="F196" s="20" t="str">
        <f>'C COSTOS ESTADO FINANCIERO'!H196</f>
        <v>ADMINISTRATIVO</v>
      </c>
      <c r="G196" s="20" t="str">
        <f>'C COSTOS ESTADO FINANCIERO'!J196</f>
        <v>NO APLICA</v>
      </c>
    </row>
    <row r="197" spans="1:7" x14ac:dyDescent="0.25">
      <c r="A197" s="20">
        <f>'C COSTOS ESTADO FINANCIERO'!A197</f>
        <v>1070704</v>
      </c>
      <c r="B197" s="20" t="str">
        <f>'C COSTOS ESTADO FINANCIERO'!B197</f>
        <v>HSRP-LA ESMERALDA-SERV. CONEXOS A LA SALUD MEDICINA LEGAL</v>
      </c>
      <c r="C197" s="20" t="str">
        <f>'C COSTOS ESTADO FINANCIERO'!D197</f>
        <v>A32</v>
      </c>
      <c r="D197" s="20" t="str">
        <f>'C COSTOS ESTADO FINANCIERO'!E197</f>
        <v>OTRAS CONSULTAS Y PROCEDIMIENTOS</v>
      </c>
      <c r="E197" s="20" t="str">
        <f>'C COSTOS ESTADO FINANCIERO'!I197</f>
        <v>HSRP - Pampurí / La Esmeralda</v>
      </c>
      <c r="F197" s="20" t="str">
        <f>'C COSTOS ESTADO FINANCIERO'!H197</f>
        <v>PRODUCTIVO (final)</v>
      </c>
      <c r="G197" s="20" t="str">
        <f>'C COSTOS ESTADO FINANCIERO'!J197</f>
        <v>VERIFICAR</v>
      </c>
    </row>
    <row r="198" spans="1:7" x14ac:dyDescent="0.25">
      <c r="A198" s="20">
        <f>'C COSTOS ESTADO FINANCIERO'!A198</f>
        <v>1070705</v>
      </c>
      <c r="B198" s="20" t="str">
        <f>'C COSTOS ESTADO FINANCIERO'!B198</f>
        <v>HSRP-LA ESMERALDA-SERV. CONEXOS A LA SALUD SER. AMBULANC</v>
      </c>
      <c r="C198" s="20" t="str">
        <f>'C COSTOS ESTADO FINANCIERO'!D198</f>
        <v>N08</v>
      </c>
      <c r="D198" s="20" t="str">
        <f>'C COSTOS ESTADO FINANCIERO'!E198</f>
        <v>SERVICIO DE AMBULANCIAS</v>
      </c>
      <c r="E198" s="20" t="str">
        <f>'C COSTOS ESTADO FINANCIERO'!I198</f>
        <v>HSRP - Pampurí / La Esmeralda</v>
      </c>
      <c r="F198" s="20" t="str">
        <f>'C COSTOS ESTADO FINANCIERO'!H198</f>
        <v>PRODUCTIVO (final)</v>
      </c>
      <c r="G198" s="20" t="str">
        <f>'C COSTOS ESTADO FINANCIERO'!J198</f>
        <v>ACTIVO</v>
      </c>
    </row>
    <row r="199" spans="1:7" x14ac:dyDescent="0.25">
      <c r="A199" s="20">
        <f>'C COSTOS ESTADO FINANCIERO'!A199</f>
        <v>1070706</v>
      </c>
      <c r="B199" s="20" t="str">
        <f>'C COSTOS ESTADO FINANCIERO'!B199</f>
        <v>HSRP-LA ESMERALDA-SER. CONEXOS A LA SALUD OTROS SERVICIOS</v>
      </c>
      <c r="C199" s="20" t="str">
        <f>'C COSTOS ESTADO FINANCIERO'!D199</f>
        <v>N04</v>
      </c>
      <c r="D199" s="20" t="str">
        <f>'C COSTOS ESTADO FINANCIERO'!E199</f>
        <v>OTROS ENFERMERÍA</v>
      </c>
      <c r="E199" s="20" t="str">
        <f>'C COSTOS ESTADO FINANCIERO'!I199</f>
        <v>HSRP - Pampurí / La Esmeralda</v>
      </c>
      <c r="F199" s="20" t="str">
        <f>'C COSTOS ESTADO FINANCIERO'!H199</f>
        <v>APOYO ASISTENCIAL (intermedio)</v>
      </c>
      <c r="G199" s="20" t="str">
        <f>'C COSTOS ESTADO FINANCIERO'!J199</f>
        <v>VERIFICAR</v>
      </c>
    </row>
    <row r="200" spans="1:7" x14ac:dyDescent="0.25">
      <c r="A200" s="20">
        <f>'C COSTOS ESTADO FINANCIERO'!A200</f>
        <v>1080101</v>
      </c>
      <c r="B200" s="20" t="str">
        <f>'C COSTOS ESTADO FINANCIERO'!B200</f>
        <v>CSPA-ARAUQUITA-CONSULTA Y PROCEDIMIENTOS</v>
      </c>
      <c r="C200" s="20" t="str">
        <f>'C COSTOS ESTADO FINANCIERO'!D200</f>
        <v>B01</v>
      </c>
      <c r="D200" s="20" t="str">
        <f>'C COSTOS ESTADO FINANCIERO'!E200</f>
        <v>CONSULTA URGENCIAS</v>
      </c>
      <c r="E200" s="20" t="str">
        <f>'C COSTOS ESTADO FINANCIERO'!I200</f>
        <v>CSPA - Panamá de Arauca</v>
      </c>
      <c r="F200" s="20" t="str">
        <f>'C COSTOS ESTADO FINANCIERO'!H200</f>
        <v>PRODUCTIVO (final)</v>
      </c>
      <c r="G200" s="20" t="str">
        <f>'C COSTOS ESTADO FINANCIERO'!J200</f>
        <v>ACTIVO</v>
      </c>
    </row>
    <row r="201" spans="1:7" x14ac:dyDescent="0.25">
      <c r="A201" s="20">
        <f>'C COSTOS ESTADO FINANCIERO'!A201</f>
        <v>1080102</v>
      </c>
      <c r="B201" s="20" t="str">
        <f>'C COSTOS ESTADO FINANCIERO'!B201</f>
        <v>CSPA-ARAUQUITA-OBSERVACIONES</v>
      </c>
      <c r="C201" s="20" t="str">
        <f>'C COSTOS ESTADO FINANCIERO'!D201</f>
        <v>B02</v>
      </c>
      <c r="D201" s="20" t="str">
        <f>'C COSTOS ESTADO FINANCIERO'!E201</f>
        <v>OBSERVACIÓN</v>
      </c>
      <c r="E201" s="20" t="str">
        <f>'C COSTOS ESTADO FINANCIERO'!I201</f>
        <v>CSPA - Panamá de Arauca</v>
      </c>
      <c r="F201" s="20" t="str">
        <f>'C COSTOS ESTADO FINANCIERO'!H201</f>
        <v>PRODUCTIVO (final)</v>
      </c>
      <c r="G201" s="20" t="str">
        <f>'C COSTOS ESTADO FINANCIERO'!J201</f>
        <v>ACTIVO</v>
      </c>
    </row>
    <row r="202" spans="1:7" x14ac:dyDescent="0.25">
      <c r="A202" s="20">
        <f>'C COSTOS ESTADO FINANCIERO'!A202</f>
        <v>1080201</v>
      </c>
      <c r="B202" s="20" t="str">
        <f>'C COSTOS ESTADO FINANCIERO'!B202</f>
        <v>CSPA-ARAUQUITA-CONSULTA EXTERNA</v>
      </c>
      <c r="C202" s="20" t="str">
        <f>'C COSTOS ESTADO FINANCIERO'!D202</f>
        <v>A10</v>
      </c>
      <c r="D202" s="20" t="str">
        <f>'C COSTOS ESTADO FINANCIERO'!E202</f>
        <v>MEDICINA GENERAL</v>
      </c>
      <c r="E202" s="20" t="str">
        <f>'C COSTOS ESTADO FINANCIERO'!I202</f>
        <v>CSPA - Panamá de Arauca</v>
      </c>
      <c r="F202" s="20" t="str">
        <f>'C COSTOS ESTADO FINANCIERO'!H202</f>
        <v>PRODUCTIVO (final)</v>
      </c>
      <c r="G202" s="20" t="str">
        <f>'C COSTOS ESTADO FINANCIERO'!J202</f>
        <v>ACTIVO</v>
      </c>
    </row>
    <row r="203" spans="1:7" x14ac:dyDescent="0.25">
      <c r="A203" s="20">
        <f>'C COSTOS ESTADO FINANCIERO'!A203</f>
        <v>1080202</v>
      </c>
      <c r="B203" s="20" t="str">
        <f>'C COSTOS ESTADO FINANCIERO'!B203</f>
        <v>CSPA-ARAUQUITA-CONSULTA ESPECIALIZADA</v>
      </c>
      <c r="C203" s="20" t="str">
        <f>'C COSTOS ESTADO FINANCIERO'!D203</f>
        <v>A32</v>
      </c>
      <c r="D203" s="20" t="str">
        <f>'C COSTOS ESTADO FINANCIERO'!E203</f>
        <v>OTRAS CONSULTAS Y PROCEDIMIENTOS</v>
      </c>
      <c r="E203" s="20" t="str">
        <f>'C COSTOS ESTADO FINANCIERO'!I203</f>
        <v>CSPA - Panamá de Arauca</v>
      </c>
      <c r="F203" s="20" t="str">
        <f>'C COSTOS ESTADO FINANCIERO'!H203</f>
        <v>PRODUCTIVO (final)</v>
      </c>
      <c r="G203" s="20" t="str">
        <f>'C COSTOS ESTADO FINANCIERO'!J203</f>
        <v>ACTIVO</v>
      </c>
    </row>
    <row r="204" spans="1:7" x14ac:dyDescent="0.25">
      <c r="A204" s="20">
        <f>'C COSTOS ESTADO FINANCIERO'!A204</f>
        <v>1080203</v>
      </c>
      <c r="B204" s="20" t="str">
        <f>'C COSTOS ESTADO FINANCIERO'!B204</f>
        <v>CSPA-ARAUQUITA-SALUD ORAL</v>
      </c>
      <c r="C204" s="20" t="str">
        <f>'C COSTOS ESTADO FINANCIERO'!D204</f>
        <v>E01</v>
      </c>
      <c r="D204" s="20" t="str">
        <f>'C COSTOS ESTADO FINANCIERO'!E204</f>
        <v>ODONTOLOGÍA GENERAL</v>
      </c>
      <c r="E204" s="20" t="str">
        <f>'C COSTOS ESTADO FINANCIERO'!I204</f>
        <v>CSPA - Panamá de Arauca</v>
      </c>
      <c r="F204" s="20" t="str">
        <f>'C COSTOS ESTADO FINANCIERO'!H204</f>
        <v>PRODUCTIVO (final)</v>
      </c>
      <c r="G204" s="20" t="str">
        <f>'C COSTOS ESTADO FINANCIERO'!J204</f>
        <v>ACTIVO</v>
      </c>
    </row>
    <row r="205" spans="1:7" x14ac:dyDescent="0.25">
      <c r="A205" s="20">
        <f>'C COSTOS ESTADO FINANCIERO'!A205</f>
        <v>1080204</v>
      </c>
      <c r="B205" s="20" t="str">
        <f>'C COSTOS ESTADO FINANCIERO'!B205</f>
        <v>CSPA-ARAUQUITA-PROMOCION Y MANTENIMIENTO</v>
      </c>
      <c r="C205" s="20" t="str">
        <f>'C COSTOS ESTADO FINANCIERO'!D205</f>
        <v>N03</v>
      </c>
      <c r="D205" s="20" t="str">
        <f>'C COSTOS ESTADO FINANCIERO'!E205</f>
        <v>PROMOCIÓN Y PREVENCIÓN</v>
      </c>
      <c r="E205" s="20" t="str">
        <f>'C COSTOS ESTADO FINANCIERO'!I205</f>
        <v>CSPA - Panamá de Arauca</v>
      </c>
      <c r="F205" s="20" t="str">
        <f>'C COSTOS ESTADO FINANCIERO'!H205</f>
        <v>PRODUCTIVO (final)</v>
      </c>
      <c r="G205" s="20" t="str">
        <f>'C COSTOS ESTADO FINANCIERO'!J205</f>
        <v>ACTIVO</v>
      </c>
    </row>
    <row r="206" spans="1:7" x14ac:dyDescent="0.25">
      <c r="A206" s="20">
        <f>'C COSTOS ESTADO FINANCIERO'!A206</f>
        <v>1080205</v>
      </c>
      <c r="B206" s="20" t="str">
        <f>'C COSTOS ESTADO FINANCIERO'!B206</f>
        <v>CSPA-ARAUQUITA-OTRAS ACTIVIDADES EXTRAMURALES</v>
      </c>
      <c r="C206" s="20" t="str">
        <f>'C COSTOS ESTADO FINANCIERO'!D206</f>
        <v>K25</v>
      </c>
      <c r="D206" s="20" t="str">
        <f>'C COSTOS ESTADO FINANCIERO'!E206</f>
        <v>SALUD PUBLICA</v>
      </c>
      <c r="E206" s="20" t="str">
        <f>'C COSTOS ESTADO FINANCIERO'!I206</f>
        <v>CSPA - Panamá de Arauca</v>
      </c>
      <c r="F206" s="20" t="str">
        <f>'C COSTOS ESTADO FINANCIERO'!H206</f>
        <v>PRODUCTIVO (final)</v>
      </c>
      <c r="G206" s="20" t="str">
        <f>'C COSTOS ESTADO FINANCIERO'!J206</f>
        <v>ACTIVO</v>
      </c>
    </row>
    <row r="207" spans="1:7" x14ac:dyDescent="0.25">
      <c r="A207" s="20">
        <f>'C COSTOS ESTADO FINANCIERO'!A207</f>
        <v>1080301</v>
      </c>
      <c r="B207" s="20" t="str">
        <f>'C COSTOS ESTADO FINANCIERO'!B207</f>
        <v>CSPA-ARAUQUITA-HOSPITALACION-ESTANCIA GENERAL</v>
      </c>
      <c r="C207" s="20" t="str">
        <f>'C COSTOS ESTADO FINANCIERO'!D207</f>
        <v>I01</v>
      </c>
      <c r="D207" s="20" t="str">
        <f>'C COSTOS ESTADO FINANCIERO'!E207</f>
        <v>HOSPITALIZACIÓN GENERAL</v>
      </c>
      <c r="E207" s="20" t="str">
        <f>'C COSTOS ESTADO FINANCIERO'!I207</f>
        <v>CSPA - Panamá de Arauca</v>
      </c>
      <c r="F207" s="20" t="str">
        <f>'C COSTOS ESTADO FINANCIERO'!H207</f>
        <v>PRODUCTIVO (final)</v>
      </c>
      <c r="G207" s="20" t="str">
        <f>'C COSTOS ESTADO FINANCIERO'!J207</f>
        <v>ACTIVO</v>
      </c>
    </row>
    <row r="208" spans="1:7" x14ac:dyDescent="0.25">
      <c r="A208" s="20">
        <f>'C COSTOS ESTADO FINANCIERO'!A208</f>
        <v>1080302</v>
      </c>
      <c r="B208" s="20" t="str">
        <f>'C COSTOS ESTADO FINANCIERO'!B208</f>
        <v>CSPA-ARAUQUITA-CUIDADOS INTENSIVOS</v>
      </c>
      <c r="C208" s="20" t="str">
        <f>'C COSTOS ESTADO FINANCIERO'!D208</f>
        <v>J02</v>
      </c>
      <c r="D208" s="20" t="str">
        <f>'C COSTOS ESTADO FINANCIERO'!E208</f>
        <v>UCI ADULTOS</v>
      </c>
      <c r="E208" s="20" t="str">
        <f>'C COSTOS ESTADO FINANCIERO'!I208</f>
        <v>CSPA - Panamá de Arauca</v>
      </c>
      <c r="F208" s="20" t="str">
        <f>'C COSTOS ESTADO FINANCIERO'!H208</f>
        <v>PRODUCTIVO (final)</v>
      </c>
      <c r="G208" s="20" t="str">
        <f>'C COSTOS ESTADO FINANCIERO'!J208</f>
        <v>NO APLICA</v>
      </c>
    </row>
    <row r="209" spans="1:7" x14ac:dyDescent="0.25">
      <c r="A209" s="20">
        <f>'C COSTOS ESTADO FINANCIERO'!A209</f>
        <v>1080303</v>
      </c>
      <c r="B209" s="20" t="str">
        <f>'C COSTOS ESTADO FINANCIERO'!B209</f>
        <v>CSPA-ARAUQUITA-CUIDADOS INTERMEDIOS</v>
      </c>
      <c r="C209" s="20" t="str">
        <f>'C COSTOS ESTADO FINANCIERO'!D209</f>
        <v>J05</v>
      </c>
      <c r="D209" s="20" t="str">
        <f>'C COSTOS ESTADO FINANCIERO'!E209</f>
        <v>UCI INTERMEDIOS ADULTOS</v>
      </c>
      <c r="E209" s="20" t="str">
        <f>'C COSTOS ESTADO FINANCIERO'!I209</f>
        <v>CSPA - Panamá de Arauca</v>
      </c>
      <c r="F209" s="20" t="str">
        <f>'C COSTOS ESTADO FINANCIERO'!H209</f>
        <v>PRODUCTIVO (final)</v>
      </c>
      <c r="G209" s="20" t="str">
        <f>'C COSTOS ESTADO FINANCIERO'!J209</f>
        <v>NO APLICA</v>
      </c>
    </row>
    <row r="210" spans="1:7" x14ac:dyDescent="0.25">
      <c r="A210" s="20">
        <f>'C COSTOS ESTADO FINANCIERO'!A210</f>
        <v>1080304</v>
      </c>
      <c r="B210" s="20" t="str">
        <f>'C COSTOS ESTADO FINANCIERO'!B210</f>
        <v>CSPA-ARAUQUITA-RECIEN NACIDOS</v>
      </c>
      <c r="C210" s="20" t="str">
        <f>'C COSTOS ESTADO FINANCIERO'!D210</f>
        <v>J09</v>
      </c>
      <c r="D210" s="20" t="str">
        <f>'C COSTOS ESTADO FINANCIERO'!E210</f>
        <v>UNIDAD DE RECIÉN NACIDOS</v>
      </c>
      <c r="E210" s="20" t="str">
        <f>'C COSTOS ESTADO FINANCIERO'!I210</f>
        <v>CSPA - Panamá de Arauca</v>
      </c>
      <c r="F210" s="20" t="str">
        <f>'C COSTOS ESTADO FINANCIERO'!H210</f>
        <v>PRODUCTIVO (final)</v>
      </c>
      <c r="G210" s="20" t="str">
        <f>'C COSTOS ESTADO FINANCIERO'!J210</f>
        <v>VERIFICAR</v>
      </c>
    </row>
    <row r="211" spans="1:7" x14ac:dyDescent="0.25">
      <c r="A211" s="20">
        <f>'C COSTOS ESTADO FINANCIERO'!A211</f>
        <v>1080305</v>
      </c>
      <c r="B211" s="20" t="str">
        <f>'C COSTOS ESTADO FINANCIERO'!B211</f>
        <v>CSPA-ARAUQUITA-HOSPITALIZACI.N SALUD MENTAL</v>
      </c>
      <c r="C211" s="20" t="str">
        <f>'C COSTOS ESTADO FINANCIERO'!D211</f>
        <v>J10</v>
      </c>
      <c r="D211" s="20" t="str">
        <f>'C COSTOS ESTADO FINANCIERO'!E211</f>
        <v>UNIDAD SALUD MENTAL Y DESINTOXICACIÓN (BAJA COMPLEJIDAD)</v>
      </c>
      <c r="E211" s="20" t="str">
        <f>'C COSTOS ESTADO FINANCIERO'!I211</f>
        <v>CSPA - Panamá de Arauca</v>
      </c>
      <c r="F211" s="20" t="str">
        <f>'C COSTOS ESTADO FINANCIERO'!H211</f>
        <v>PRODUCTIVO (final)</v>
      </c>
      <c r="G211" s="20" t="str">
        <f>'C COSTOS ESTADO FINANCIERO'!J211</f>
        <v>NO APLICA</v>
      </c>
    </row>
    <row r="212" spans="1:7" x14ac:dyDescent="0.25">
      <c r="A212" s="20">
        <f>'C COSTOS ESTADO FINANCIERO'!A212</f>
        <v>1080306</v>
      </c>
      <c r="B212" s="20" t="str">
        <f>'C COSTOS ESTADO FINANCIERO'!B212</f>
        <v>CSPA-ARAUQUITA-QUEMADOS</v>
      </c>
      <c r="C212" s="20" t="str">
        <f>'C COSTOS ESTADO FINANCIERO'!D212</f>
        <v>J08</v>
      </c>
      <c r="D212" s="20" t="str">
        <f>'C COSTOS ESTADO FINANCIERO'!E212</f>
        <v>UNIDAD DE QUEMADOS ADULTOS</v>
      </c>
      <c r="E212" s="20" t="str">
        <f>'C COSTOS ESTADO FINANCIERO'!I212</f>
        <v>CSPA - Panamá de Arauca</v>
      </c>
      <c r="F212" s="20" t="str">
        <f>'C COSTOS ESTADO FINANCIERO'!H212</f>
        <v>PRODUCTIVO (final)</v>
      </c>
      <c r="G212" s="20" t="str">
        <f>'C COSTOS ESTADO FINANCIERO'!J212</f>
        <v>NO APLICA</v>
      </c>
    </row>
    <row r="213" spans="1:7" x14ac:dyDescent="0.25">
      <c r="A213" s="20">
        <f>'C COSTOS ESTADO FINANCIERO'!A213</f>
        <v>1080307</v>
      </c>
      <c r="B213" s="20" t="str">
        <f>'C COSTOS ESTADO FINANCIERO'!B213</f>
        <v>CSPA-ARAUQUITA-OTROS CUIDADOS ESPECIALE</v>
      </c>
      <c r="C213" s="20" t="str">
        <f>'C COSTOS ESTADO FINANCIERO'!D213</f>
        <v>J13</v>
      </c>
      <c r="D213" s="20" t="str">
        <f>'C COSTOS ESTADO FINANCIERO'!E213</f>
        <v>OTRAS UNIDADES ESPECIALES</v>
      </c>
      <c r="E213" s="20" t="str">
        <f>'C COSTOS ESTADO FINANCIERO'!I213</f>
        <v>CSPA - Panamá de Arauca</v>
      </c>
      <c r="F213" s="20" t="str">
        <f>'C COSTOS ESTADO FINANCIERO'!H213</f>
        <v>PRODUCTIVO (final)</v>
      </c>
      <c r="G213" s="20" t="str">
        <f>'C COSTOS ESTADO FINANCIERO'!J213</f>
        <v>NO APLICA</v>
      </c>
    </row>
    <row r="214" spans="1:7" x14ac:dyDescent="0.25">
      <c r="A214" s="20">
        <f>'C COSTOS ESTADO FINANCIERO'!A214</f>
        <v>1080401</v>
      </c>
      <c r="B214" s="20" t="str">
        <f>'C COSTOS ESTADO FINANCIERO'!B214</f>
        <v>CSPA-ARAUQUITA-QUIROFANOS</v>
      </c>
      <c r="C214" s="20" t="str">
        <f>'C COSTOS ESTADO FINANCIERO'!D214</f>
        <v>C01</v>
      </c>
      <c r="D214" s="20" t="str">
        <f>'C COSTOS ESTADO FINANCIERO'!E214</f>
        <v>CIRUGÍA GENERAL</v>
      </c>
      <c r="E214" s="20" t="str">
        <f>'C COSTOS ESTADO FINANCIERO'!I214</f>
        <v>CSPA - Panamá de Arauca</v>
      </c>
      <c r="F214" s="20" t="str">
        <f>'C COSTOS ESTADO FINANCIERO'!H214</f>
        <v>PRODUCTIVO (final)</v>
      </c>
      <c r="G214" s="20" t="str">
        <f>'C COSTOS ESTADO FINANCIERO'!J214</f>
        <v>VERIFICAR</v>
      </c>
    </row>
    <row r="215" spans="1:7" x14ac:dyDescent="0.25">
      <c r="A215" s="20">
        <f>'C COSTOS ESTADO FINANCIERO'!A215</f>
        <v>1080402</v>
      </c>
      <c r="B215" s="20" t="str">
        <f>'C COSTOS ESTADO FINANCIERO'!B215</f>
        <v>CSPA-ARAUQUITA-SALA DE PARTO</v>
      </c>
      <c r="C215" s="20" t="str">
        <f>'C COSTOS ESTADO FINANCIERO'!D215</f>
        <v>D02</v>
      </c>
      <c r="D215" s="20" t="str">
        <f>'C COSTOS ESTADO FINANCIERO'!E215</f>
        <v>ATENCIÓN DE PARTO BAJA COMPLEJIDAD</v>
      </c>
      <c r="E215" s="20" t="str">
        <f>'C COSTOS ESTADO FINANCIERO'!I215</f>
        <v>CSPA - Panamá de Arauca</v>
      </c>
      <c r="F215" s="20" t="str">
        <f>'C COSTOS ESTADO FINANCIERO'!H215</f>
        <v>PRODUCTIVO (final)</v>
      </c>
      <c r="G215" s="20" t="str">
        <f>'C COSTOS ESTADO FINANCIERO'!J215</f>
        <v>ACTIVO</v>
      </c>
    </row>
    <row r="216" spans="1:7" x14ac:dyDescent="0.25">
      <c r="A216" s="20">
        <f>'C COSTOS ESTADO FINANCIERO'!A216</f>
        <v>1080501</v>
      </c>
      <c r="B216" s="20" t="str">
        <f>'C COSTOS ESTADO FINANCIERO'!B216</f>
        <v>CSPA-ARAUQUITA-LABORATORIO CLINICO</v>
      </c>
      <c r="C216" s="20" t="str">
        <f>'C COSTOS ESTADO FINANCIERO'!D216</f>
        <v>L07</v>
      </c>
      <c r="D216" s="20" t="str">
        <f>'C COSTOS ESTADO FINANCIERO'!E216</f>
        <v>LABORATORIO Y ANÁLISIS CLÍNICO</v>
      </c>
      <c r="E216" s="20" t="str">
        <f>'C COSTOS ESTADO FINANCIERO'!I216</f>
        <v>CSPA - Panamá de Arauca</v>
      </c>
      <c r="F216" s="20" t="str">
        <f>'C COSTOS ESTADO FINANCIERO'!H216</f>
        <v>APOYO ASISTENCIAL (intermedio)</v>
      </c>
      <c r="G216" s="20" t="str">
        <f>'C COSTOS ESTADO FINANCIERO'!J216</f>
        <v>ACTIVO</v>
      </c>
    </row>
    <row r="217" spans="1:7" x14ac:dyDescent="0.25">
      <c r="A217" s="20">
        <f>'C COSTOS ESTADO FINANCIERO'!A217</f>
        <v>1080502</v>
      </c>
      <c r="B217" s="20" t="str">
        <f>'C COSTOS ESTADO FINANCIERO'!B217</f>
        <v>CSPA-ARAUQUITA-IMAGENOLOGIA</v>
      </c>
      <c r="C217" s="20" t="str">
        <f>'C COSTOS ESTADO FINANCIERO'!D217</f>
        <v>L02</v>
      </c>
      <c r="D217" s="20" t="str">
        <f>'C COSTOS ESTADO FINANCIERO'!E217</f>
        <v>IMAGENEOLOGÍA RADIOLÓGICA</v>
      </c>
      <c r="E217" s="20" t="str">
        <f>'C COSTOS ESTADO FINANCIERO'!I217</f>
        <v>CSPA - Panamá de Arauca</v>
      </c>
      <c r="F217" s="20" t="str">
        <f>'C COSTOS ESTADO FINANCIERO'!H217</f>
        <v>APOYO ASISTENCIAL (intermedio)</v>
      </c>
      <c r="G217" s="20" t="str">
        <f>'C COSTOS ESTADO FINANCIERO'!J217</f>
        <v>ACTIVO</v>
      </c>
    </row>
    <row r="218" spans="1:7" x14ac:dyDescent="0.25">
      <c r="A218" s="20">
        <f>'C COSTOS ESTADO FINANCIERO'!A218</f>
        <v>1080503</v>
      </c>
      <c r="B218" s="20" t="str">
        <f>'C COSTOS ESTADO FINANCIERO'!B218</f>
        <v>CSPA-ARAUQUITA-ANATOMIA PATOLOGICA</v>
      </c>
      <c r="C218" s="20" t="str">
        <f>'C COSTOS ESTADO FINANCIERO'!D218</f>
        <v>L01</v>
      </c>
      <c r="D218" s="20" t="str">
        <f>'C COSTOS ESTADO FINANCIERO'!E218</f>
        <v>LABORATORIO ANATOMÍA PATOLÓGICA</v>
      </c>
      <c r="E218" s="20" t="str">
        <f>'C COSTOS ESTADO FINANCIERO'!I218</f>
        <v>CSPA - Panamá de Arauca</v>
      </c>
      <c r="F218" s="20" t="str">
        <f>'C COSTOS ESTADO FINANCIERO'!H218</f>
        <v>APOYO ASISTENCIAL (intermedio)</v>
      </c>
      <c r="G218" s="20" t="str">
        <f>'C COSTOS ESTADO FINANCIERO'!J218</f>
        <v>NO APLICA</v>
      </c>
    </row>
    <row r="219" spans="1:7" x14ac:dyDescent="0.25">
      <c r="A219" s="20">
        <f>'C COSTOS ESTADO FINANCIERO'!A219</f>
        <v>1080504</v>
      </c>
      <c r="B219" s="20" t="str">
        <f>'C COSTOS ESTADO FINANCIERO'!B219</f>
        <v>CSPA-ARAUQUITA-OTRAS UNIDADES DE APOYO DIAGNOSTICO</v>
      </c>
      <c r="C219" s="20" t="str">
        <f>'C COSTOS ESTADO FINANCIERO'!D219</f>
        <v>L04</v>
      </c>
      <c r="D219" s="20" t="str">
        <f>'C COSTOS ESTADO FINANCIERO'!E219</f>
        <v>IMAGENOLOGÍA NO RADIOLÓGICA</v>
      </c>
      <c r="E219" s="20" t="str">
        <f>'C COSTOS ESTADO FINANCIERO'!I219</f>
        <v>CSPA - Panamá de Arauca</v>
      </c>
      <c r="F219" s="20" t="str">
        <f>'C COSTOS ESTADO FINANCIERO'!H219</f>
        <v>APOYO ASISTENCIAL (intermedio)</v>
      </c>
      <c r="G219" s="20" t="str">
        <f>'C COSTOS ESTADO FINANCIERO'!J219</f>
        <v>VERIFICAR</v>
      </c>
    </row>
    <row r="220" spans="1:7" x14ac:dyDescent="0.25">
      <c r="A220" s="20">
        <f>'C COSTOS ESTADO FINANCIERO'!A220</f>
        <v>1080601</v>
      </c>
      <c r="B220" s="20" t="str">
        <f>'C COSTOS ESTADO FINANCIERO'!B220</f>
        <v>CSPA-ARAUQUITA-REHABILITACION Y TERAPIAS</v>
      </c>
      <c r="C220" s="20" t="str">
        <f>'C COSTOS ESTADO FINANCIERO'!D220</f>
        <v>M06</v>
      </c>
      <c r="D220" s="20" t="str">
        <f>'C COSTOS ESTADO FINANCIERO'!E220</f>
        <v>FISIOTERAPIA Y REHABILITACIÓN</v>
      </c>
      <c r="E220" s="20" t="str">
        <f>'C COSTOS ESTADO FINANCIERO'!I220</f>
        <v>CSPA - Panamá de Arauca</v>
      </c>
      <c r="F220" s="20" t="str">
        <f>'C COSTOS ESTADO FINANCIERO'!H220</f>
        <v>APOYO ASISTENCIAL (intermedio)</v>
      </c>
      <c r="G220" s="20" t="str">
        <f>'C COSTOS ESTADO FINANCIERO'!J220</f>
        <v>ACTIVO</v>
      </c>
    </row>
    <row r="221" spans="1:7" x14ac:dyDescent="0.25">
      <c r="A221" s="20">
        <f>'C COSTOS ESTADO FINANCIERO'!A221</f>
        <v>1080602</v>
      </c>
      <c r="B221" s="20" t="str">
        <f>'C COSTOS ESTADO FINANCIERO'!B221</f>
        <v>CSPA-ARAUQUITA-BANCO DE SANGRE</v>
      </c>
      <c r="C221" s="20" t="str">
        <f>'C COSTOS ESTADO FINANCIERO'!D221</f>
        <v>M01</v>
      </c>
      <c r="D221" s="20" t="str">
        <f>'C COSTOS ESTADO FINANCIERO'!E221</f>
        <v>BANCO DE SANGRE</v>
      </c>
      <c r="E221" s="20" t="str">
        <f>'C COSTOS ESTADO FINANCIERO'!I221</f>
        <v>CSPA - Panamá de Arauca</v>
      </c>
      <c r="F221" s="20" t="str">
        <f>'C COSTOS ESTADO FINANCIERO'!H221</f>
        <v>APOYO ASISTENCIAL (intermedio)</v>
      </c>
      <c r="G221" s="20" t="str">
        <f>'C COSTOS ESTADO FINANCIERO'!J221</f>
        <v>NO APLICA</v>
      </c>
    </row>
    <row r="222" spans="1:7" x14ac:dyDescent="0.25">
      <c r="A222" s="20">
        <f>'C COSTOS ESTADO FINANCIERO'!A222</f>
        <v>1080603</v>
      </c>
      <c r="B222" s="20" t="str">
        <f>'C COSTOS ESTADO FINANCIERO'!B222</f>
        <v>CSPA-ARAUQUITA-UNIDAD RENAL</v>
      </c>
      <c r="C222" s="20" t="str">
        <f>'C COSTOS ESTADO FINANCIERO'!D222</f>
        <v>M03</v>
      </c>
      <c r="D222" s="20" t="str">
        <f>'C COSTOS ESTADO FINANCIERO'!E222</f>
        <v>TERAPIA RENAL</v>
      </c>
      <c r="E222" s="20" t="str">
        <f>'C COSTOS ESTADO FINANCIERO'!I222</f>
        <v>CSPA - Panamá de Arauca</v>
      </c>
      <c r="F222" s="20" t="str">
        <f>'C COSTOS ESTADO FINANCIERO'!H222</f>
        <v>APOYO ASISTENCIAL (intermedio)</v>
      </c>
      <c r="G222" s="20" t="str">
        <f>'C COSTOS ESTADO FINANCIERO'!J222</f>
        <v>NO APLICA</v>
      </c>
    </row>
    <row r="223" spans="1:7" x14ac:dyDescent="0.25">
      <c r="A223" s="20">
        <f>'C COSTOS ESTADO FINANCIERO'!A223</f>
        <v>1080604</v>
      </c>
      <c r="B223" s="20" t="str">
        <f>'C COSTOS ESTADO FINANCIERO'!B223</f>
        <v>CSPA-ARAUQUITA-UNIDAD HEMODINAMIA</v>
      </c>
      <c r="C223" s="20" t="str">
        <f>'C COSTOS ESTADO FINANCIERO'!D223</f>
        <v>C05</v>
      </c>
      <c r="D223" s="20" t="str">
        <f>'C COSTOS ESTADO FINANCIERO'!E223</f>
        <v>CARDIOVASCULAR</v>
      </c>
      <c r="E223" s="20" t="str">
        <f>'C COSTOS ESTADO FINANCIERO'!I223</f>
        <v>CSPA - Panamá de Arauca</v>
      </c>
      <c r="F223" s="20" t="str">
        <f>'C COSTOS ESTADO FINANCIERO'!H223</f>
        <v>PRODUCTIVO (final)</v>
      </c>
      <c r="G223" s="20" t="str">
        <f>'C COSTOS ESTADO FINANCIERO'!J223</f>
        <v>NO APLICA</v>
      </c>
    </row>
    <row r="224" spans="1:7" x14ac:dyDescent="0.25">
      <c r="A224" s="20">
        <f>'C COSTOS ESTADO FINANCIERO'!A224</f>
        <v>1080605</v>
      </c>
      <c r="B224" s="20" t="str">
        <f>'C COSTOS ESTADO FINANCIERO'!B224</f>
        <v>CSPA-ARAUQUITA-TERAPIAS ONCOLOGICAS</v>
      </c>
      <c r="C224" s="20" t="str">
        <f>'C COSTOS ESTADO FINANCIERO'!D224</f>
        <v>M07</v>
      </c>
      <c r="D224" s="20" t="str">
        <f>'C COSTOS ESTADO FINANCIERO'!E224</f>
        <v>OTRAS TERAPIAS</v>
      </c>
      <c r="E224" s="20" t="str">
        <f>'C COSTOS ESTADO FINANCIERO'!I224</f>
        <v>CSPA - Panamá de Arauca</v>
      </c>
      <c r="F224" s="20" t="str">
        <f>'C COSTOS ESTADO FINANCIERO'!H224</f>
        <v>APOYO ASISTENCIAL (intermedio)</v>
      </c>
      <c r="G224" s="20" t="str">
        <f>'C COSTOS ESTADO FINANCIERO'!J224</f>
        <v>NO APLICA</v>
      </c>
    </row>
    <row r="225" spans="1:7" x14ac:dyDescent="0.25">
      <c r="A225" s="20">
        <f>'C COSTOS ESTADO FINANCIERO'!A225</f>
        <v>1080606</v>
      </c>
      <c r="B225" s="20" t="str">
        <f>'C COSTOS ESTADO FINANCIERO'!B225</f>
        <v>CSPA-ARAUQUITA-FARMACIA E INSUMOS HOPITALARIOS</v>
      </c>
      <c r="C225" s="20" t="str">
        <f>'C COSTOS ESTADO FINANCIERO'!D225</f>
        <v>M05</v>
      </c>
      <c r="D225" s="20" t="str">
        <f>'C COSTOS ESTADO FINANCIERO'!E225</f>
        <v>FARMACIA</v>
      </c>
      <c r="E225" s="20" t="str">
        <f>'C COSTOS ESTADO FINANCIERO'!I225</f>
        <v>CSPA - Panamá de Arauca</v>
      </c>
      <c r="F225" s="20" t="str">
        <f>'C COSTOS ESTADO FINANCIERO'!H225</f>
        <v>APOYO ASISTENCIAL (intermedio)</v>
      </c>
      <c r="G225" s="20" t="str">
        <f>'C COSTOS ESTADO FINANCIERO'!J225</f>
        <v>ACTIVO</v>
      </c>
    </row>
    <row r="226" spans="1:7" x14ac:dyDescent="0.25">
      <c r="A226" s="20">
        <f>'C COSTOS ESTADO FINANCIERO'!A226</f>
        <v>1080607</v>
      </c>
      <c r="B226" s="20" t="str">
        <f>'C COSTOS ESTADO FINANCIERO'!B226</f>
        <v>CSPA-ARAUQUITA-OTRAS UNIDADES DE APOYO TERAPEUTICO</v>
      </c>
      <c r="C226" s="20" t="str">
        <f>'C COSTOS ESTADO FINANCIERO'!D226</f>
        <v>M07</v>
      </c>
      <c r="D226" s="20" t="str">
        <f>'C COSTOS ESTADO FINANCIERO'!E226</f>
        <v>OTRAS TERAPIAS</v>
      </c>
      <c r="E226" s="20" t="str">
        <f>'C COSTOS ESTADO FINANCIERO'!I226</f>
        <v>CSPA - Panamá de Arauca</v>
      </c>
      <c r="F226" s="20" t="str">
        <f>'C COSTOS ESTADO FINANCIERO'!H226</f>
        <v>APOYO ASISTENCIAL (intermedio)</v>
      </c>
      <c r="G226" s="20" t="str">
        <f>'C COSTOS ESTADO FINANCIERO'!J226</f>
        <v>VERIFICAR</v>
      </c>
    </row>
    <row r="227" spans="1:7" x14ac:dyDescent="0.25">
      <c r="A227" s="20">
        <f>'C COSTOS ESTADO FINANCIERO'!A227</f>
        <v>1080701</v>
      </c>
      <c r="B227" s="20" t="str">
        <f>'C COSTOS ESTADO FINANCIERO'!B227</f>
        <v>CSPA-ARAUQUITA-ANCIANATOS</v>
      </c>
      <c r="C227" s="20" t="str">
        <f>'C COSTOS ESTADO FINANCIERO'!D227</f>
        <v>J01</v>
      </c>
      <c r="D227" s="20" t="str">
        <f>'C COSTOS ESTADO FINANCIERO'!E227</f>
        <v>ANCIANATOS Y ALBERGUES</v>
      </c>
      <c r="E227" s="20" t="str">
        <f>'C COSTOS ESTADO FINANCIERO'!I227</f>
        <v>CSPA - Panamá de Arauca</v>
      </c>
      <c r="F227" s="20" t="str">
        <f>'C COSTOS ESTADO FINANCIERO'!H227</f>
        <v>PRODUCTIVO (final)</v>
      </c>
      <c r="G227" s="20" t="str">
        <f>'C COSTOS ESTADO FINANCIERO'!J227</f>
        <v>NO APLICA</v>
      </c>
    </row>
    <row r="228" spans="1:7" x14ac:dyDescent="0.25">
      <c r="A228" s="20">
        <f>'C COSTOS ESTADO FINANCIERO'!A228</f>
        <v>1080702</v>
      </c>
      <c r="B228" s="20" t="str">
        <f>'C COSTOS ESTADO FINANCIERO'!B228</f>
        <v>CSPA-ARAUQUITA-CENTROS Y PUESTOS DE SALUD</v>
      </c>
      <c r="C228" s="20" t="str">
        <f>'C COSTOS ESTADO FINANCIERO'!D228</f>
        <v>J17</v>
      </c>
      <c r="D228" s="20" t="str">
        <f>'C COSTOS ESTADO FINANCIERO'!E228</f>
        <v>CENTROS Y PUESTOS DE SALUD</v>
      </c>
      <c r="E228" s="20" t="str">
        <f>'C COSTOS ESTADO FINANCIERO'!I228</f>
        <v>CSPA - Panamá de Arauca</v>
      </c>
      <c r="F228" s="20" t="str">
        <f>'C COSTOS ESTADO FINANCIERO'!H228</f>
        <v>PRODUCTIVO (final)</v>
      </c>
      <c r="G228" s="20" t="str">
        <f>'C COSTOS ESTADO FINANCIERO'!J228</f>
        <v>ACTIVO</v>
      </c>
    </row>
    <row r="229" spans="1:7" x14ac:dyDescent="0.25">
      <c r="A229" s="20">
        <f>'C COSTOS ESTADO FINANCIERO'!A229</f>
        <v>1080703</v>
      </c>
      <c r="B229" s="20" t="str">
        <f>'C COSTOS ESTADO FINANCIERO'!B229</f>
        <v>CSPA-ARAUQUITA-SERV. DOCENTES</v>
      </c>
      <c r="C229" s="20" t="str">
        <f>'C COSTOS ESTADO FINANCIERO'!D229</f>
        <v>U03</v>
      </c>
      <c r="D229" s="20" t="str">
        <f>'C COSTOS ESTADO FINANCIERO'!E229</f>
        <v>EDUCACIÓN MÉDICA</v>
      </c>
      <c r="E229" s="20" t="str">
        <f>'C COSTOS ESTADO FINANCIERO'!I229</f>
        <v>CSPA - Panamá de Arauca</v>
      </c>
      <c r="F229" s="20" t="str">
        <f>'C COSTOS ESTADO FINANCIERO'!H229</f>
        <v>ADMINISTRATIVO</v>
      </c>
      <c r="G229" s="20" t="str">
        <f>'C COSTOS ESTADO FINANCIERO'!J229</f>
        <v>NO APLICA</v>
      </c>
    </row>
    <row r="230" spans="1:7" x14ac:dyDescent="0.25">
      <c r="A230" s="20">
        <f>'C COSTOS ESTADO FINANCIERO'!A230</f>
        <v>1080704</v>
      </c>
      <c r="B230" s="20" t="str">
        <f>'C COSTOS ESTADO FINANCIERO'!B230</f>
        <v>CSPA-ARAUQUITA-SERV. CONEXOS A LA SALUD MEDICINA LEGAL</v>
      </c>
      <c r="C230" s="20" t="str">
        <f>'C COSTOS ESTADO FINANCIERO'!D230</f>
        <v>A32</v>
      </c>
      <c r="D230" s="20" t="str">
        <f>'C COSTOS ESTADO FINANCIERO'!E230</f>
        <v>OTRAS CONSULTAS Y PROCEDIMIENTOS</v>
      </c>
      <c r="E230" s="20" t="str">
        <f>'C COSTOS ESTADO FINANCIERO'!I230</f>
        <v>CSPA - Panamá de Arauca</v>
      </c>
      <c r="F230" s="20" t="str">
        <f>'C COSTOS ESTADO FINANCIERO'!H230</f>
        <v>PRODUCTIVO (final)</v>
      </c>
      <c r="G230" s="20" t="str">
        <f>'C COSTOS ESTADO FINANCIERO'!J230</f>
        <v>VERIFICAR</v>
      </c>
    </row>
    <row r="231" spans="1:7" x14ac:dyDescent="0.25">
      <c r="A231" s="20">
        <f>'C COSTOS ESTADO FINANCIERO'!A231</f>
        <v>1080705</v>
      </c>
      <c r="B231" s="20" t="str">
        <f>'C COSTOS ESTADO FINANCIERO'!B231</f>
        <v>CSPA-ARAUQUITA-SERV. CONEXOS A LA SALUD SER. AMBULANC</v>
      </c>
      <c r="C231" s="20" t="str">
        <f>'C COSTOS ESTADO FINANCIERO'!D231</f>
        <v>N08</v>
      </c>
      <c r="D231" s="20" t="str">
        <f>'C COSTOS ESTADO FINANCIERO'!E231</f>
        <v>SERVICIO DE AMBULANCIAS</v>
      </c>
      <c r="E231" s="20" t="str">
        <f>'C COSTOS ESTADO FINANCIERO'!I231</f>
        <v>CSPA - Panamá de Arauca</v>
      </c>
      <c r="F231" s="20" t="str">
        <f>'C COSTOS ESTADO FINANCIERO'!H231</f>
        <v>PRODUCTIVO (final)</v>
      </c>
      <c r="G231" s="20" t="str">
        <f>'C COSTOS ESTADO FINANCIERO'!J231</f>
        <v>ACTIVO</v>
      </c>
    </row>
    <row r="232" spans="1:7" x14ac:dyDescent="0.25">
      <c r="A232" s="20">
        <f>'C COSTOS ESTADO FINANCIERO'!A232</f>
        <v>1080706</v>
      </c>
      <c r="B232" s="20" t="str">
        <f>'C COSTOS ESTADO FINANCIERO'!B232</f>
        <v>CSPA-ARAUQUITA-SER. CONEXOS A LA SALUD OTROS SERVICIOS</v>
      </c>
      <c r="C232" s="20" t="str">
        <f>'C COSTOS ESTADO FINANCIERO'!D232</f>
        <v>N04</v>
      </c>
      <c r="D232" s="20" t="str">
        <f>'C COSTOS ESTADO FINANCIERO'!E232</f>
        <v>OTROS ENFERMERÍA</v>
      </c>
      <c r="E232" s="20" t="str">
        <f>'C COSTOS ESTADO FINANCIERO'!I232</f>
        <v>CSPA - Panamá de Arauca</v>
      </c>
      <c r="F232" s="20" t="str">
        <f>'C COSTOS ESTADO FINANCIERO'!H232</f>
        <v>APOYO ASISTENCIAL (intermedio)</v>
      </c>
      <c r="G232" s="20" t="str">
        <f>'C COSTOS ESTADO FINANCIERO'!J232</f>
        <v>VERIFICAR</v>
      </c>
    </row>
    <row r="233" spans="1:7" x14ac:dyDescent="0.25">
      <c r="A233" s="20">
        <f>'C COSTOS ESTADO FINANCIERO'!A233</f>
        <v>1090101</v>
      </c>
      <c r="B233" s="20" t="str">
        <f>'C COSTOS ESTADO FINANCIERO'!B233</f>
        <v>CSJSC-TAME-CONSULTA Y PROCEDIMIENTOS</v>
      </c>
      <c r="C233" s="20" t="str">
        <f>'C COSTOS ESTADO FINANCIERO'!D233</f>
        <v>B01</v>
      </c>
      <c r="D233" s="20" t="str">
        <f>'C COSTOS ESTADO FINANCIERO'!E233</f>
        <v>CONSULTA URGENCIAS</v>
      </c>
      <c r="E233" s="20" t="str">
        <f>'C COSTOS ESTADO FINANCIERO'!I233</f>
        <v>CSJSC - Tame</v>
      </c>
      <c r="F233" s="20" t="str">
        <f>'C COSTOS ESTADO FINANCIERO'!H233</f>
        <v>PRODUCTIVO (final)</v>
      </c>
      <c r="G233" s="20" t="str">
        <f>'C COSTOS ESTADO FINANCIERO'!J233</f>
        <v>ACTIVO</v>
      </c>
    </row>
    <row r="234" spans="1:7" x14ac:dyDescent="0.25">
      <c r="A234" s="20">
        <f>'C COSTOS ESTADO FINANCIERO'!A234</f>
        <v>1090102</v>
      </c>
      <c r="B234" s="20" t="str">
        <f>'C COSTOS ESTADO FINANCIERO'!B234</f>
        <v>CSJSC-TAME-OBSERVACIONES</v>
      </c>
      <c r="C234" s="20" t="str">
        <f>'C COSTOS ESTADO FINANCIERO'!D234</f>
        <v>B02</v>
      </c>
      <c r="D234" s="20" t="str">
        <f>'C COSTOS ESTADO FINANCIERO'!E234</f>
        <v>OBSERVACIÓN</v>
      </c>
      <c r="E234" s="20" t="str">
        <f>'C COSTOS ESTADO FINANCIERO'!I234</f>
        <v>CSJSC - Tame</v>
      </c>
      <c r="F234" s="20" t="str">
        <f>'C COSTOS ESTADO FINANCIERO'!H234</f>
        <v>PRODUCTIVO (final)</v>
      </c>
      <c r="G234" s="20" t="str">
        <f>'C COSTOS ESTADO FINANCIERO'!J234</f>
        <v>ACTIVO</v>
      </c>
    </row>
    <row r="235" spans="1:7" x14ac:dyDescent="0.25">
      <c r="A235" s="20">
        <f>'C COSTOS ESTADO FINANCIERO'!A235</f>
        <v>1090201</v>
      </c>
      <c r="B235" s="20" t="str">
        <f>'C COSTOS ESTADO FINANCIERO'!B235</f>
        <v>CSJSC-TAME-CONSULTA EXTERNA</v>
      </c>
      <c r="C235" s="20" t="str">
        <f>'C COSTOS ESTADO FINANCIERO'!D235</f>
        <v>A10</v>
      </c>
      <c r="D235" s="20" t="str">
        <f>'C COSTOS ESTADO FINANCIERO'!E235</f>
        <v>MEDICINA GENERAL</v>
      </c>
      <c r="E235" s="20" t="str">
        <f>'C COSTOS ESTADO FINANCIERO'!I235</f>
        <v>CSJSC - Tame</v>
      </c>
      <c r="F235" s="20" t="str">
        <f>'C COSTOS ESTADO FINANCIERO'!H235</f>
        <v>PRODUCTIVO (final)</v>
      </c>
      <c r="G235" s="20" t="str">
        <f>'C COSTOS ESTADO FINANCIERO'!J235</f>
        <v>ACTIVO</v>
      </c>
    </row>
    <row r="236" spans="1:7" x14ac:dyDescent="0.25">
      <c r="A236" s="20">
        <f>'C COSTOS ESTADO FINANCIERO'!A236</f>
        <v>1090202</v>
      </c>
      <c r="B236" s="20" t="str">
        <f>'C COSTOS ESTADO FINANCIERO'!B236</f>
        <v>CSJSC-TAME-CONSULTA ESPECIALIZADA</v>
      </c>
      <c r="C236" s="20" t="str">
        <f>'C COSTOS ESTADO FINANCIERO'!D236</f>
        <v>A32</v>
      </c>
      <c r="D236" s="20" t="str">
        <f>'C COSTOS ESTADO FINANCIERO'!E236</f>
        <v>OTRAS CONSULTAS Y PROCEDIMIENTOS</v>
      </c>
      <c r="E236" s="20" t="str">
        <f>'C COSTOS ESTADO FINANCIERO'!I236</f>
        <v>CSJSC - Tame</v>
      </c>
      <c r="F236" s="20" t="str">
        <f>'C COSTOS ESTADO FINANCIERO'!H236</f>
        <v>PRODUCTIVO (final)</v>
      </c>
      <c r="G236" s="20" t="str">
        <f>'C COSTOS ESTADO FINANCIERO'!J236</f>
        <v>ACTIVO</v>
      </c>
    </row>
    <row r="237" spans="1:7" x14ac:dyDescent="0.25">
      <c r="A237" s="20">
        <f>'C COSTOS ESTADO FINANCIERO'!A237</f>
        <v>1090203</v>
      </c>
      <c r="B237" s="20" t="str">
        <f>'C COSTOS ESTADO FINANCIERO'!B237</f>
        <v>CSJSC-TAME-SALUD ORAL</v>
      </c>
      <c r="C237" s="20" t="str">
        <f>'C COSTOS ESTADO FINANCIERO'!D237</f>
        <v>E01</v>
      </c>
      <c r="D237" s="20" t="str">
        <f>'C COSTOS ESTADO FINANCIERO'!E237</f>
        <v>ODONTOLOGÍA GENERAL</v>
      </c>
      <c r="E237" s="20" t="str">
        <f>'C COSTOS ESTADO FINANCIERO'!I237</f>
        <v>CSJSC - Tame</v>
      </c>
      <c r="F237" s="20" t="str">
        <f>'C COSTOS ESTADO FINANCIERO'!H237</f>
        <v>PRODUCTIVO (final)</v>
      </c>
      <c r="G237" s="20" t="str">
        <f>'C COSTOS ESTADO FINANCIERO'!J237</f>
        <v>ACTIVO</v>
      </c>
    </row>
    <row r="238" spans="1:7" x14ac:dyDescent="0.25">
      <c r="A238" s="20">
        <f>'C COSTOS ESTADO FINANCIERO'!A238</f>
        <v>1090204</v>
      </c>
      <c r="B238" s="20" t="str">
        <f>'C COSTOS ESTADO FINANCIERO'!B238</f>
        <v>CSJSC-TAME-PROMOCION Y MANTENIMIENTO</v>
      </c>
      <c r="C238" s="20" t="str">
        <f>'C COSTOS ESTADO FINANCIERO'!D238</f>
        <v>N03</v>
      </c>
      <c r="D238" s="20" t="str">
        <f>'C COSTOS ESTADO FINANCIERO'!E238</f>
        <v>PROMOCIÓN Y PREVENCIÓN</v>
      </c>
      <c r="E238" s="20" t="str">
        <f>'C COSTOS ESTADO FINANCIERO'!I238</f>
        <v>CSJSC - Tame</v>
      </c>
      <c r="F238" s="20" t="str">
        <f>'C COSTOS ESTADO FINANCIERO'!H238</f>
        <v>PRODUCTIVO (final)</v>
      </c>
      <c r="G238" s="20" t="str">
        <f>'C COSTOS ESTADO FINANCIERO'!J238</f>
        <v>ACTIVO</v>
      </c>
    </row>
    <row r="239" spans="1:7" x14ac:dyDescent="0.25">
      <c r="A239" s="20">
        <f>'C COSTOS ESTADO FINANCIERO'!A239</f>
        <v>1090205</v>
      </c>
      <c r="B239" s="20" t="str">
        <f>'C COSTOS ESTADO FINANCIERO'!B239</f>
        <v>CSJSC-TAME-OTRAS ACTIVIDADES EXTRAMURALES</v>
      </c>
      <c r="C239" s="20" t="str">
        <f>'C COSTOS ESTADO FINANCIERO'!D239</f>
        <v>K25</v>
      </c>
      <c r="D239" s="20" t="str">
        <f>'C COSTOS ESTADO FINANCIERO'!E239</f>
        <v>SALUD PUBLICA</v>
      </c>
      <c r="E239" s="20" t="str">
        <f>'C COSTOS ESTADO FINANCIERO'!I239</f>
        <v>CSJSC - Tame</v>
      </c>
      <c r="F239" s="20" t="str">
        <f>'C COSTOS ESTADO FINANCIERO'!H239</f>
        <v>PRODUCTIVO (final)</v>
      </c>
      <c r="G239" s="20" t="str">
        <f>'C COSTOS ESTADO FINANCIERO'!J239</f>
        <v>ACTIVO</v>
      </c>
    </row>
    <row r="240" spans="1:7" x14ac:dyDescent="0.25">
      <c r="A240" s="20">
        <f>'C COSTOS ESTADO FINANCIERO'!A240</f>
        <v>1090301</v>
      </c>
      <c r="B240" s="20" t="str">
        <f>'C COSTOS ESTADO FINANCIERO'!B240</f>
        <v>CSJSC-TAME-HOSPITALACION-ESTANCIA GENERAL</v>
      </c>
      <c r="C240" s="20" t="str">
        <f>'C COSTOS ESTADO FINANCIERO'!D240</f>
        <v>I01</v>
      </c>
      <c r="D240" s="20" t="str">
        <f>'C COSTOS ESTADO FINANCIERO'!E240</f>
        <v>HOSPITALIZACIÓN GENERAL</v>
      </c>
      <c r="E240" s="20" t="str">
        <f>'C COSTOS ESTADO FINANCIERO'!I240</f>
        <v>CSJSC - Tame</v>
      </c>
      <c r="F240" s="20" t="str">
        <f>'C COSTOS ESTADO FINANCIERO'!H240</f>
        <v>PRODUCTIVO (final)</v>
      </c>
      <c r="G240" s="20" t="str">
        <f>'C COSTOS ESTADO FINANCIERO'!J240</f>
        <v>ACTIVO</v>
      </c>
    </row>
    <row r="241" spans="1:7" x14ac:dyDescent="0.25">
      <c r="A241" s="20">
        <f>'C COSTOS ESTADO FINANCIERO'!A241</f>
        <v>1090302</v>
      </c>
      <c r="B241" s="20" t="str">
        <f>'C COSTOS ESTADO FINANCIERO'!B241</f>
        <v>CSJSC-TAME-CUIDADOS INTENSIVOS</v>
      </c>
      <c r="C241" s="20" t="str">
        <f>'C COSTOS ESTADO FINANCIERO'!D241</f>
        <v>J02</v>
      </c>
      <c r="D241" s="20" t="str">
        <f>'C COSTOS ESTADO FINANCIERO'!E241</f>
        <v>UCI ADULTOS</v>
      </c>
      <c r="E241" s="20" t="str">
        <f>'C COSTOS ESTADO FINANCIERO'!I241</f>
        <v>CSJSC - Tame</v>
      </c>
      <c r="F241" s="20" t="str">
        <f>'C COSTOS ESTADO FINANCIERO'!H241</f>
        <v>PRODUCTIVO (final)</v>
      </c>
      <c r="G241" s="20" t="str">
        <f>'C COSTOS ESTADO FINANCIERO'!J241</f>
        <v>NO APLICA</v>
      </c>
    </row>
    <row r="242" spans="1:7" x14ac:dyDescent="0.25">
      <c r="A242" s="20">
        <f>'C COSTOS ESTADO FINANCIERO'!A242</f>
        <v>1090303</v>
      </c>
      <c r="B242" s="20" t="str">
        <f>'C COSTOS ESTADO FINANCIERO'!B242</f>
        <v>CSJSC-TAME-CUIDADOS INTERMEDIOS</v>
      </c>
      <c r="C242" s="20" t="str">
        <f>'C COSTOS ESTADO FINANCIERO'!D242</f>
        <v>J05</v>
      </c>
      <c r="D242" s="20" t="str">
        <f>'C COSTOS ESTADO FINANCIERO'!E242</f>
        <v>UCI INTERMEDIOS ADULTOS</v>
      </c>
      <c r="E242" s="20" t="str">
        <f>'C COSTOS ESTADO FINANCIERO'!I242</f>
        <v>CSJSC - Tame</v>
      </c>
      <c r="F242" s="20" t="str">
        <f>'C COSTOS ESTADO FINANCIERO'!H242</f>
        <v>PRODUCTIVO (final)</v>
      </c>
      <c r="G242" s="20" t="str">
        <f>'C COSTOS ESTADO FINANCIERO'!J242</f>
        <v>NO APLICA</v>
      </c>
    </row>
    <row r="243" spans="1:7" x14ac:dyDescent="0.25">
      <c r="A243" s="20">
        <f>'C COSTOS ESTADO FINANCIERO'!A243</f>
        <v>1090304</v>
      </c>
      <c r="B243" s="20" t="str">
        <f>'C COSTOS ESTADO FINANCIERO'!B243</f>
        <v>CSJSC-TAME-RECIEN NACIDOS</v>
      </c>
      <c r="C243" s="20" t="str">
        <f>'C COSTOS ESTADO FINANCIERO'!D243</f>
        <v>J09</v>
      </c>
      <c r="D243" s="20" t="str">
        <f>'C COSTOS ESTADO FINANCIERO'!E243</f>
        <v>UNIDAD DE RECIÉN NACIDOS</v>
      </c>
      <c r="E243" s="20" t="str">
        <f>'C COSTOS ESTADO FINANCIERO'!I243</f>
        <v>CSJSC - Tame</v>
      </c>
      <c r="F243" s="20" t="str">
        <f>'C COSTOS ESTADO FINANCIERO'!H243</f>
        <v>PRODUCTIVO (final)</v>
      </c>
      <c r="G243" s="20" t="str">
        <f>'C COSTOS ESTADO FINANCIERO'!J243</f>
        <v>VERIFICAR</v>
      </c>
    </row>
    <row r="244" spans="1:7" x14ac:dyDescent="0.25">
      <c r="A244" s="20">
        <f>'C COSTOS ESTADO FINANCIERO'!A244</f>
        <v>1090305</v>
      </c>
      <c r="B244" s="20" t="str">
        <f>'C COSTOS ESTADO FINANCIERO'!B244</f>
        <v>CSJSC-TAME-HOSPITALIZACI.N SALUD MENTAL</v>
      </c>
      <c r="C244" s="20" t="str">
        <f>'C COSTOS ESTADO FINANCIERO'!D244</f>
        <v>J10</v>
      </c>
      <c r="D244" s="20" t="str">
        <f>'C COSTOS ESTADO FINANCIERO'!E244</f>
        <v>UNIDAD SALUD MENTAL Y DESINTOXICACIÓN (BAJA COMPLEJIDAD)</v>
      </c>
      <c r="E244" s="20" t="str">
        <f>'C COSTOS ESTADO FINANCIERO'!I244</f>
        <v>CSJSC - Tame</v>
      </c>
      <c r="F244" s="20" t="str">
        <f>'C COSTOS ESTADO FINANCIERO'!H244</f>
        <v>PRODUCTIVO (final)</v>
      </c>
      <c r="G244" s="20" t="str">
        <f>'C COSTOS ESTADO FINANCIERO'!J244</f>
        <v>NO APLICA</v>
      </c>
    </row>
    <row r="245" spans="1:7" x14ac:dyDescent="0.25">
      <c r="A245" s="20">
        <f>'C COSTOS ESTADO FINANCIERO'!A245</f>
        <v>1090306</v>
      </c>
      <c r="B245" s="20" t="str">
        <f>'C COSTOS ESTADO FINANCIERO'!B245</f>
        <v>CSJSC-TAME-QUEMADOS</v>
      </c>
      <c r="C245" s="20" t="str">
        <f>'C COSTOS ESTADO FINANCIERO'!D245</f>
        <v>J08</v>
      </c>
      <c r="D245" s="20" t="str">
        <f>'C COSTOS ESTADO FINANCIERO'!E245</f>
        <v>UNIDAD DE QUEMADOS ADULTOS</v>
      </c>
      <c r="E245" s="20" t="str">
        <f>'C COSTOS ESTADO FINANCIERO'!I245</f>
        <v>CSJSC - Tame</v>
      </c>
      <c r="F245" s="20" t="str">
        <f>'C COSTOS ESTADO FINANCIERO'!H245</f>
        <v>PRODUCTIVO (final)</v>
      </c>
      <c r="G245" s="20" t="str">
        <f>'C COSTOS ESTADO FINANCIERO'!J245</f>
        <v>NO APLICA</v>
      </c>
    </row>
    <row r="246" spans="1:7" x14ac:dyDescent="0.25">
      <c r="A246" s="20">
        <f>'C COSTOS ESTADO FINANCIERO'!A246</f>
        <v>1090307</v>
      </c>
      <c r="B246" s="20" t="str">
        <f>'C COSTOS ESTADO FINANCIERO'!B246</f>
        <v>CSJSC-TAME-OTROS CUIDADOS ESPECIALE</v>
      </c>
      <c r="C246" s="20" t="str">
        <f>'C COSTOS ESTADO FINANCIERO'!D246</f>
        <v>J13</v>
      </c>
      <c r="D246" s="20" t="str">
        <f>'C COSTOS ESTADO FINANCIERO'!E246</f>
        <v>OTRAS UNIDADES ESPECIALES</v>
      </c>
      <c r="E246" s="20" t="str">
        <f>'C COSTOS ESTADO FINANCIERO'!I246</f>
        <v>CSJSC - Tame</v>
      </c>
      <c r="F246" s="20" t="str">
        <f>'C COSTOS ESTADO FINANCIERO'!H246</f>
        <v>PRODUCTIVO (final)</v>
      </c>
      <c r="G246" s="20" t="str">
        <f>'C COSTOS ESTADO FINANCIERO'!J246</f>
        <v>NO APLICA</v>
      </c>
    </row>
    <row r="247" spans="1:7" x14ac:dyDescent="0.25">
      <c r="A247" s="20">
        <f>'C COSTOS ESTADO FINANCIERO'!A247</f>
        <v>1090401</v>
      </c>
      <c r="B247" s="20" t="str">
        <f>'C COSTOS ESTADO FINANCIERO'!B247</f>
        <v>CSJSC-TAME-QUIROFANOS</v>
      </c>
      <c r="C247" s="20" t="str">
        <f>'C COSTOS ESTADO FINANCIERO'!D247</f>
        <v>C01</v>
      </c>
      <c r="D247" s="20" t="str">
        <f>'C COSTOS ESTADO FINANCIERO'!E247</f>
        <v>CIRUGÍA GENERAL</v>
      </c>
      <c r="E247" s="20" t="str">
        <f>'C COSTOS ESTADO FINANCIERO'!I247</f>
        <v>CSJSC - Tame</v>
      </c>
      <c r="F247" s="20" t="str">
        <f>'C COSTOS ESTADO FINANCIERO'!H247</f>
        <v>PRODUCTIVO (final)</v>
      </c>
      <c r="G247" s="20" t="str">
        <f>'C COSTOS ESTADO FINANCIERO'!J247</f>
        <v>VERIFICAR</v>
      </c>
    </row>
    <row r="248" spans="1:7" x14ac:dyDescent="0.25">
      <c r="A248" s="20">
        <f>'C COSTOS ESTADO FINANCIERO'!A248</f>
        <v>1090402</v>
      </c>
      <c r="B248" s="20" t="str">
        <f>'C COSTOS ESTADO FINANCIERO'!B248</f>
        <v>CSJSC-TAME-SALA DE PARTO</v>
      </c>
      <c r="C248" s="20" t="str">
        <f>'C COSTOS ESTADO FINANCIERO'!D248</f>
        <v>D02</v>
      </c>
      <c r="D248" s="20" t="str">
        <f>'C COSTOS ESTADO FINANCIERO'!E248</f>
        <v>ATENCIÓN DE PARTO BAJA COMPLEJIDAD</v>
      </c>
      <c r="E248" s="20" t="str">
        <f>'C COSTOS ESTADO FINANCIERO'!I248</f>
        <v>CSJSC - Tame</v>
      </c>
      <c r="F248" s="20" t="str">
        <f>'C COSTOS ESTADO FINANCIERO'!H248</f>
        <v>PRODUCTIVO (final)</v>
      </c>
      <c r="G248" s="20" t="str">
        <f>'C COSTOS ESTADO FINANCIERO'!J248</f>
        <v>ACTIVO</v>
      </c>
    </row>
    <row r="249" spans="1:7" x14ac:dyDescent="0.25">
      <c r="A249" s="20">
        <f>'C COSTOS ESTADO FINANCIERO'!A249</f>
        <v>1090501</v>
      </c>
      <c r="B249" s="20" t="str">
        <f>'C COSTOS ESTADO FINANCIERO'!B249</f>
        <v>CSJSC-TAME-LABORATORIO CLINICO</v>
      </c>
      <c r="C249" s="20" t="str">
        <f>'C COSTOS ESTADO FINANCIERO'!D249</f>
        <v>L07</v>
      </c>
      <c r="D249" s="20" t="str">
        <f>'C COSTOS ESTADO FINANCIERO'!E249</f>
        <v>LABORATORIO Y ANÁLISIS CLÍNICO</v>
      </c>
      <c r="E249" s="20" t="str">
        <f>'C COSTOS ESTADO FINANCIERO'!I249</f>
        <v>CSJSC - Tame</v>
      </c>
      <c r="F249" s="20" t="str">
        <f>'C COSTOS ESTADO FINANCIERO'!H249</f>
        <v>APOYO ASISTENCIAL (intermedio)</v>
      </c>
      <c r="G249" s="20" t="str">
        <f>'C COSTOS ESTADO FINANCIERO'!J249</f>
        <v>ACTIVO</v>
      </c>
    </row>
    <row r="250" spans="1:7" x14ac:dyDescent="0.25">
      <c r="A250" s="20">
        <f>'C COSTOS ESTADO FINANCIERO'!A250</f>
        <v>1090502</v>
      </c>
      <c r="B250" s="20" t="str">
        <f>'C COSTOS ESTADO FINANCIERO'!B250</f>
        <v>CSJSC-TAME-IMAGENOLOGIA</v>
      </c>
      <c r="C250" s="20" t="str">
        <f>'C COSTOS ESTADO FINANCIERO'!D250</f>
        <v>L02</v>
      </c>
      <c r="D250" s="20" t="str">
        <f>'C COSTOS ESTADO FINANCIERO'!E250</f>
        <v>IMAGENEOLOGÍA RADIOLÓGICA</v>
      </c>
      <c r="E250" s="20" t="str">
        <f>'C COSTOS ESTADO FINANCIERO'!I250</f>
        <v>CSJSC - Tame</v>
      </c>
      <c r="F250" s="20" t="str">
        <f>'C COSTOS ESTADO FINANCIERO'!H250</f>
        <v>APOYO ASISTENCIAL (intermedio)</v>
      </c>
      <c r="G250" s="20" t="str">
        <f>'C COSTOS ESTADO FINANCIERO'!J250</f>
        <v>ACTIVO</v>
      </c>
    </row>
    <row r="251" spans="1:7" x14ac:dyDescent="0.25">
      <c r="A251" s="20">
        <f>'C COSTOS ESTADO FINANCIERO'!A251</f>
        <v>1090503</v>
      </c>
      <c r="B251" s="20" t="str">
        <f>'C COSTOS ESTADO FINANCIERO'!B251</f>
        <v>CSJSC-TAME-ANATOMIA PATOLOGICA</v>
      </c>
      <c r="C251" s="20" t="str">
        <f>'C COSTOS ESTADO FINANCIERO'!D251</f>
        <v>L01</v>
      </c>
      <c r="D251" s="20" t="str">
        <f>'C COSTOS ESTADO FINANCIERO'!E251</f>
        <v>LABORATORIO ANATOMÍA PATOLÓGICA</v>
      </c>
      <c r="E251" s="20" t="str">
        <f>'C COSTOS ESTADO FINANCIERO'!I251</f>
        <v>CSJSC - Tame</v>
      </c>
      <c r="F251" s="20" t="str">
        <f>'C COSTOS ESTADO FINANCIERO'!H251</f>
        <v>APOYO ASISTENCIAL (intermedio)</v>
      </c>
      <c r="G251" s="20" t="str">
        <f>'C COSTOS ESTADO FINANCIERO'!J251</f>
        <v>NO APLICA</v>
      </c>
    </row>
    <row r="252" spans="1:7" x14ac:dyDescent="0.25">
      <c r="A252" s="20">
        <f>'C COSTOS ESTADO FINANCIERO'!A252</f>
        <v>1090504</v>
      </c>
      <c r="B252" s="20" t="str">
        <f>'C COSTOS ESTADO FINANCIERO'!B252</f>
        <v>CSJSC-TAME-OTRAS UNIDADES DE APOYO DIAGNOSTICO</v>
      </c>
      <c r="C252" s="20" t="str">
        <f>'C COSTOS ESTADO FINANCIERO'!D252</f>
        <v>L04</v>
      </c>
      <c r="D252" s="20" t="str">
        <f>'C COSTOS ESTADO FINANCIERO'!E252</f>
        <v>IMAGENOLOGÍA NO RADIOLÓGICA</v>
      </c>
      <c r="E252" s="20" t="str">
        <f>'C COSTOS ESTADO FINANCIERO'!I252</f>
        <v>CSJSC - Tame</v>
      </c>
      <c r="F252" s="20" t="str">
        <f>'C COSTOS ESTADO FINANCIERO'!H252</f>
        <v>APOYO ASISTENCIAL (intermedio)</v>
      </c>
      <c r="G252" s="20" t="str">
        <f>'C COSTOS ESTADO FINANCIERO'!J252</f>
        <v>VERIFICAR</v>
      </c>
    </row>
    <row r="253" spans="1:7" x14ac:dyDescent="0.25">
      <c r="A253" s="20">
        <f>'C COSTOS ESTADO FINANCIERO'!A253</f>
        <v>1090601</v>
      </c>
      <c r="B253" s="20" t="str">
        <f>'C COSTOS ESTADO FINANCIERO'!B253</f>
        <v>CSJSC-TAME-REHABILITACION Y TERAPIAS</v>
      </c>
      <c r="C253" s="20" t="str">
        <f>'C COSTOS ESTADO FINANCIERO'!D253</f>
        <v>M06</v>
      </c>
      <c r="D253" s="20" t="str">
        <f>'C COSTOS ESTADO FINANCIERO'!E253</f>
        <v>FISIOTERAPIA Y REHABILITACIÓN</v>
      </c>
      <c r="E253" s="20" t="str">
        <f>'C COSTOS ESTADO FINANCIERO'!I253</f>
        <v>CSJSC - Tame</v>
      </c>
      <c r="F253" s="20" t="str">
        <f>'C COSTOS ESTADO FINANCIERO'!H253</f>
        <v>APOYO ASISTENCIAL (intermedio)</v>
      </c>
      <c r="G253" s="20" t="str">
        <f>'C COSTOS ESTADO FINANCIERO'!J253</f>
        <v>ACTIVO</v>
      </c>
    </row>
    <row r="254" spans="1:7" x14ac:dyDescent="0.25">
      <c r="A254" s="20">
        <f>'C COSTOS ESTADO FINANCIERO'!A254</f>
        <v>1090602</v>
      </c>
      <c r="B254" s="20" t="str">
        <f>'C COSTOS ESTADO FINANCIERO'!B254</f>
        <v>CSJSC-TAME-BANCO DE SANGRE</v>
      </c>
      <c r="C254" s="20" t="str">
        <f>'C COSTOS ESTADO FINANCIERO'!D254</f>
        <v>M01</v>
      </c>
      <c r="D254" s="20" t="str">
        <f>'C COSTOS ESTADO FINANCIERO'!E254</f>
        <v>BANCO DE SANGRE</v>
      </c>
      <c r="E254" s="20" t="str">
        <f>'C COSTOS ESTADO FINANCIERO'!I254</f>
        <v>CSJSC - Tame</v>
      </c>
      <c r="F254" s="20" t="str">
        <f>'C COSTOS ESTADO FINANCIERO'!H254</f>
        <v>APOYO ASISTENCIAL (intermedio)</v>
      </c>
      <c r="G254" s="20" t="str">
        <f>'C COSTOS ESTADO FINANCIERO'!J254</f>
        <v>NO APLICA</v>
      </c>
    </row>
    <row r="255" spans="1:7" x14ac:dyDescent="0.25">
      <c r="A255" s="20">
        <f>'C COSTOS ESTADO FINANCIERO'!A255</f>
        <v>1090603</v>
      </c>
      <c r="B255" s="20" t="str">
        <f>'C COSTOS ESTADO FINANCIERO'!B255</f>
        <v>CSJSC-TAME-UNIDAD RENAL</v>
      </c>
      <c r="C255" s="20" t="str">
        <f>'C COSTOS ESTADO FINANCIERO'!D255</f>
        <v>M03</v>
      </c>
      <c r="D255" s="20" t="str">
        <f>'C COSTOS ESTADO FINANCIERO'!E255</f>
        <v>TERAPIA RENAL</v>
      </c>
      <c r="E255" s="20" t="str">
        <f>'C COSTOS ESTADO FINANCIERO'!I255</f>
        <v>CSJSC - Tame</v>
      </c>
      <c r="F255" s="20" t="str">
        <f>'C COSTOS ESTADO FINANCIERO'!H255</f>
        <v>APOYO ASISTENCIAL (intermedio)</v>
      </c>
      <c r="G255" s="20" t="str">
        <f>'C COSTOS ESTADO FINANCIERO'!J255</f>
        <v>NO APLICA</v>
      </c>
    </row>
    <row r="256" spans="1:7" x14ac:dyDescent="0.25">
      <c r="A256" s="20">
        <f>'C COSTOS ESTADO FINANCIERO'!A256</f>
        <v>1090604</v>
      </c>
      <c r="B256" s="20" t="str">
        <f>'C COSTOS ESTADO FINANCIERO'!B256</f>
        <v>CSJSC-TAME-UNIDAD HEMODINAMIA</v>
      </c>
      <c r="C256" s="20" t="str">
        <f>'C COSTOS ESTADO FINANCIERO'!D256</f>
        <v>C05</v>
      </c>
      <c r="D256" s="20" t="str">
        <f>'C COSTOS ESTADO FINANCIERO'!E256</f>
        <v>CARDIOVASCULAR</v>
      </c>
      <c r="E256" s="20" t="str">
        <f>'C COSTOS ESTADO FINANCIERO'!I256</f>
        <v>CSJSC - Tame</v>
      </c>
      <c r="F256" s="20" t="str">
        <f>'C COSTOS ESTADO FINANCIERO'!H256</f>
        <v>PRODUCTIVO (final)</v>
      </c>
      <c r="G256" s="20" t="str">
        <f>'C COSTOS ESTADO FINANCIERO'!J256</f>
        <v>NO APLICA</v>
      </c>
    </row>
    <row r="257" spans="1:7" x14ac:dyDescent="0.25">
      <c r="A257" s="20">
        <f>'C COSTOS ESTADO FINANCIERO'!A257</f>
        <v>1090605</v>
      </c>
      <c r="B257" s="20" t="str">
        <f>'C COSTOS ESTADO FINANCIERO'!B257</f>
        <v>CSJSC-TAME-TERAPIAS ONCOLOGICAS</v>
      </c>
      <c r="C257" s="20" t="str">
        <f>'C COSTOS ESTADO FINANCIERO'!D257</f>
        <v>M07</v>
      </c>
      <c r="D257" s="20" t="str">
        <f>'C COSTOS ESTADO FINANCIERO'!E257</f>
        <v>OTRAS TERAPIAS</v>
      </c>
      <c r="E257" s="20" t="str">
        <f>'C COSTOS ESTADO FINANCIERO'!I257</f>
        <v>CSJSC - Tame</v>
      </c>
      <c r="F257" s="20" t="str">
        <f>'C COSTOS ESTADO FINANCIERO'!H257</f>
        <v>APOYO ASISTENCIAL (intermedio)</v>
      </c>
      <c r="G257" s="20" t="str">
        <f>'C COSTOS ESTADO FINANCIERO'!J257</f>
        <v>NO APLICA</v>
      </c>
    </row>
    <row r="258" spans="1:7" x14ac:dyDescent="0.25">
      <c r="A258" s="20">
        <f>'C COSTOS ESTADO FINANCIERO'!A258</f>
        <v>1090606</v>
      </c>
      <c r="B258" s="20" t="str">
        <f>'C COSTOS ESTADO FINANCIERO'!B258</f>
        <v>CSJSC-TAME-FARMACIA E INSUMOS HOPITALARIOS</v>
      </c>
      <c r="C258" s="20" t="str">
        <f>'C COSTOS ESTADO FINANCIERO'!D258</f>
        <v>M05</v>
      </c>
      <c r="D258" s="20" t="str">
        <f>'C COSTOS ESTADO FINANCIERO'!E258</f>
        <v>FARMACIA</v>
      </c>
      <c r="E258" s="20" t="str">
        <f>'C COSTOS ESTADO FINANCIERO'!I258</f>
        <v>CSJSC - Tame</v>
      </c>
      <c r="F258" s="20" t="str">
        <f>'C COSTOS ESTADO FINANCIERO'!H258</f>
        <v>APOYO ASISTENCIAL (intermedio)</v>
      </c>
      <c r="G258" s="20" t="str">
        <f>'C COSTOS ESTADO FINANCIERO'!J258</f>
        <v>ACTIVO</v>
      </c>
    </row>
    <row r="259" spans="1:7" x14ac:dyDescent="0.25">
      <c r="A259" s="20">
        <f>'C COSTOS ESTADO FINANCIERO'!A259</f>
        <v>1090607</v>
      </c>
      <c r="B259" s="20" t="str">
        <f>'C COSTOS ESTADO FINANCIERO'!B259</f>
        <v>CSJSC-TAME-OTRAS UNIDADES DE APOYO TERAPEUTICO</v>
      </c>
      <c r="C259" s="20" t="str">
        <f>'C COSTOS ESTADO FINANCIERO'!D259</f>
        <v>M07</v>
      </c>
      <c r="D259" s="20" t="str">
        <f>'C COSTOS ESTADO FINANCIERO'!E259</f>
        <v>OTRAS TERAPIAS</v>
      </c>
      <c r="E259" s="20" t="str">
        <f>'C COSTOS ESTADO FINANCIERO'!I259</f>
        <v>CSJSC - Tame</v>
      </c>
      <c r="F259" s="20" t="str">
        <f>'C COSTOS ESTADO FINANCIERO'!H259</f>
        <v>APOYO ASISTENCIAL (intermedio)</v>
      </c>
      <c r="G259" s="20" t="str">
        <f>'C COSTOS ESTADO FINANCIERO'!J259</f>
        <v>VERIFICAR</v>
      </c>
    </row>
    <row r="260" spans="1:7" x14ac:dyDescent="0.25">
      <c r="A260" s="20">
        <f>'C COSTOS ESTADO FINANCIERO'!A260</f>
        <v>1090701</v>
      </c>
      <c r="B260" s="20" t="str">
        <f>'C COSTOS ESTADO FINANCIERO'!B260</f>
        <v>CSJSC-TAME-ANCIANATOS</v>
      </c>
      <c r="C260" s="20" t="str">
        <f>'C COSTOS ESTADO FINANCIERO'!D260</f>
        <v>J01</v>
      </c>
      <c r="D260" s="20" t="str">
        <f>'C COSTOS ESTADO FINANCIERO'!E260</f>
        <v>ANCIANATOS Y ALBERGUES</v>
      </c>
      <c r="E260" s="20" t="str">
        <f>'C COSTOS ESTADO FINANCIERO'!I260</f>
        <v>CSJSC - Tame</v>
      </c>
      <c r="F260" s="20" t="str">
        <f>'C COSTOS ESTADO FINANCIERO'!H260</f>
        <v>PRODUCTIVO (final)</v>
      </c>
      <c r="G260" s="20" t="str">
        <f>'C COSTOS ESTADO FINANCIERO'!J260</f>
        <v>NO APLICA</v>
      </c>
    </row>
    <row r="261" spans="1:7" x14ac:dyDescent="0.25">
      <c r="A261" s="20">
        <f>'C COSTOS ESTADO FINANCIERO'!A261</f>
        <v>1090702</v>
      </c>
      <c r="B261" s="20" t="str">
        <f>'C COSTOS ESTADO FINANCIERO'!B261</f>
        <v>CSJSC-TAME-CENTROS Y PUESTOS DE SALUD</v>
      </c>
      <c r="C261" s="20" t="str">
        <f>'C COSTOS ESTADO FINANCIERO'!D261</f>
        <v>J17</v>
      </c>
      <c r="D261" s="20" t="str">
        <f>'C COSTOS ESTADO FINANCIERO'!E261</f>
        <v>CENTROS Y PUESTOS DE SALUD</v>
      </c>
      <c r="E261" s="20" t="str">
        <f>'C COSTOS ESTADO FINANCIERO'!I261</f>
        <v>CSJSC - Tame</v>
      </c>
      <c r="F261" s="20" t="str">
        <f>'C COSTOS ESTADO FINANCIERO'!H261</f>
        <v>PRODUCTIVO (final)</v>
      </c>
      <c r="G261" s="20" t="str">
        <f>'C COSTOS ESTADO FINANCIERO'!J261</f>
        <v>ACTIVO</v>
      </c>
    </row>
    <row r="262" spans="1:7" x14ac:dyDescent="0.25">
      <c r="A262" s="20">
        <f>'C COSTOS ESTADO FINANCIERO'!A262</f>
        <v>1090703</v>
      </c>
      <c r="B262" s="20" t="str">
        <f>'C COSTOS ESTADO FINANCIERO'!B262</f>
        <v>CSJSC-TAME-SERV. DOCENTES</v>
      </c>
      <c r="C262" s="20" t="str">
        <f>'C COSTOS ESTADO FINANCIERO'!D262</f>
        <v>U03</v>
      </c>
      <c r="D262" s="20" t="str">
        <f>'C COSTOS ESTADO FINANCIERO'!E262</f>
        <v>EDUCACIÓN MÉDICA</v>
      </c>
      <c r="E262" s="20" t="str">
        <f>'C COSTOS ESTADO FINANCIERO'!I262</f>
        <v>CSJSC - Tame</v>
      </c>
      <c r="F262" s="20" t="str">
        <f>'C COSTOS ESTADO FINANCIERO'!H262</f>
        <v>ADMINISTRATIVO</v>
      </c>
      <c r="G262" s="20" t="str">
        <f>'C COSTOS ESTADO FINANCIERO'!J262</f>
        <v>NO APLICA</v>
      </c>
    </row>
    <row r="263" spans="1:7" x14ac:dyDescent="0.25">
      <c r="A263" s="20">
        <f>'C COSTOS ESTADO FINANCIERO'!A263</f>
        <v>1090704</v>
      </c>
      <c r="B263" s="20" t="str">
        <f>'C COSTOS ESTADO FINANCIERO'!B263</f>
        <v>CSJSC-TAME-SERV. CONEXOS A LA SALUD MEDICINA LEGAL</v>
      </c>
      <c r="C263" s="20" t="str">
        <f>'C COSTOS ESTADO FINANCIERO'!D263</f>
        <v>A32</v>
      </c>
      <c r="D263" s="20" t="str">
        <f>'C COSTOS ESTADO FINANCIERO'!E263</f>
        <v>OTRAS CONSULTAS Y PROCEDIMIENTOS</v>
      </c>
      <c r="E263" s="20" t="str">
        <f>'C COSTOS ESTADO FINANCIERO'!I263</f>
        <v>CSJSC - Tame</v>
      </c>
      <c r="F263" s="20" t="str">
        <f>'C COSTOS ESTADO FINANCIERO'!H263</f>
        <v>PRODUCTIVO (final)</v>
      </c>
      <c r="G263" s="20" t="str">
        <f>'C COSTOS ESTADO FINANCIERO'!J263</f>
        <v>VERIFICAR</v>
      </c>
    </row>
    <row r="264" spans="1:7" x14ac:dyDescent="0.25">
      <c r="A264" s="20">
        <f>'C COSTOS ESTADO FINANCIERO'!A264</f>
        <v>1090705</v>
      </c>
      <c r="B264" s="20" t="str">
        <f>'C COSTOS ESTADO FINANCIERO'!B264</f>
        <v>CSJSC-TAME-SERV. CONEXOS A LA SALUD SER. AMBULANC</v>
      </c>
      <c r="C264" s="20" t="str">
        <f>'C COSTOS ESTADO FINANCIERO'!D264</f>
        <v>N08</v>
      </c>
      <c r="D264" s="20" t="str">
        <f>'C COSTOS ESTADO FINANCIERO'!E264</f>
        <v>SERVICIO DE AMBULANCIAS</v>
      </c>
      <c r="E264" s="20" t="str">
        <f>'C COSTOS ESTADO FINANCIERO'!I264</f>
        <v>CSJSC - Tame</v>
      </c>
      <c r="F264" s="20" t="str">
        <f>'C COSTOS ESTADO FINANCIERO'!H264</f>
        <v>PRODUCTIVO (final)</v>
      </c>
      <c r="G264" s="20" t="str">
        <f>'C COSTOS ESTADO FINANCIERO'!J264</f>
        <v>ACTIVO</v>
      </c>
    </row>
    <row r="265" spans="1:7" x14ac:dyDescent="0.25">
      <c r="A265" s="20">
        <f>'C COSTOS ESTADO FINANCIERO'!A265</f>
        <v>1090706</v>
      </c>
      <c r="B265" s="20" t="str">
        <f>'C COSTOS ESTADO FINANCIERO'!B265</f>
        <v>CSJSC-TAME-SER. CONEXOS A LA SALUD OTROS SERVICIOS</v>
      </c>
      <c r="C265" s="20" t="str">
        <f>'C COSTOS ESTADO FINANCIERO'!D265</f>
        <v>N04</v>
      </c>
      <c r="D265" s="20" t="str">
        <f>'C COSTOS ESTADO FINANCIERO'!E265</f>
        <v>OTROS ENFERMERÍA</v>
      </c>
      <c r="E265" s="20" t="str">
        <f>'C COSTOS ESTADO FINANCIERO'!I265</f>
        <v>CSJSC - Tame</v>
      </c>
      <c r="F265" s="20" t="str">
        <f>'C COSTOS ESTADO FINANCIERO'!H265</f>
        <v>APOYO ASISTENCIAL (intermedio)</v>
      </c>
      <c r="G265" s="20" t="str">
        <f>'C COSTOS ESTADO FINANCIERO'!J265</f>
        <v>VERIFICAR</v>
      </c>
    </row>
    <row r="266" spans="1:7" x14ac:dyDescent="0.25">
      <c r="A266" s="20">
        <f>'C COSTOS ESTADO FINANCIERO'!A266</f>
        <v>2012001</v>
      </c>
      <c r="B266" s="20" t="str">
        <f>'C COSTOS ESTADO FINANCIERO'!B266</f>
        <v>ESE01-TAME-GERENCIA</v>
      </c>
      <c r="C266" s="20" t="str">
        <f>'C COSTOS ESTADO FINANCIERO'!D266</f>
        <v>T01</v>
      </c>
      <c r="D266" s="20" t="str">
        <f>'C COSTOS ESTADO FINANCIERO'!E266</f>
        <v>GERENCIA Y JUNTA DIRECTIVA</v>
      </c>
      <c r="E266" s="20" t="str">
        <f>'C COSTOS ESTADO FINANCIERO'!I266</f>
        <v>ESE01 - Sede Administrativa (Tame)</v>
      </c>
      <c r="F266" s="20" t="str">
        <f>'C COSTOS ESTADO FINANCIERO'!H266</f>
        <v>ADMINISTRATIVO</v>
      </c>
      <c r="G266" s="20" t="str">
        <f>'C COSTOS ESTADO FINANCIERO'!J266</f>
        <v>ACTIVO</v>
      </c>
    </row>
    <row r="267" spans="1:7" x14ac:dyDescent="0.25">
      <c r="A267" s="20">
        <f>'C COSTOS ESTADO FINANCIERO'!A267</f>
        <v>2012002</v>
      </c>
      <c r="B267" s="20" t="str">
        <f>'C COSTOS ESTADO FINANCIERO'!B267</f>
        <v>ESE01-TAME-JURIDICA</v>
      </c>
      <c r="C267" s="20" t="str">
        <f>'C COSTOS ESTADO FINANCIERO'!D267</f>
        <v>T05</v>
      </c>
      <c r="D267" s="20" t="str">
        <f>'C COSTOS ESTADO FINANCIERO'!E267</f>
        <v>JURÍDICA Y CONTRATACIÓN</v>
      </c>
      <c r="E267" s="20" t="str">
        <f>'C COSTOS ESTADO FINANCIERO'!I267</f>
        <v>ESE01 - Sede Administrativa (Tame)</v>
      </c>
      <c r="F267" s="20" t="str">
        <f>'C COSTOS ESTADO FINANCIERO'!H267</f>
        <v>ADMINISTRATIVO</v>
      </c>
      <c r="G267" s="20" t="str">
        <f>'C COSTOS ESTADO FINANCIERO'!J267</f>
        <v>ACTIVO</v>
      </c>
    </row>
    <row r="268" spans="1:7" x14ac:dyDescent="0.25">
      <c r="A268" s="20">
        <f>'C COSTOS ESTADO FINANCIERO'!A268</f>
        <v>2012003</v>
      </c>
      <c r="B268" s="20" t="str">
        <f>'C COSTOS ESTADO FINANCIERO'!B268</f>
        <v>ESE01-TAME-RECURSOS HUMANOS</v>
      </c>
      <c r="C268" s="20" t="str">
        <f>'C COSTOS ESTADO FINANCIERO'!D268</f>
        <v>R05</v>
      </c>
      <c r="D268" s="20" t="str">
        <f>'C COSTOS ESTADO FINANCIERO'!E268</f>
        <v>TALENTO HUMANO</v>
      </c>
      <c r="E268" s="20" t="str">
        <f>'C COSTOS ESTADO FINANCIERO'!I268</f>
        <v>ESE01 - Sede Administrativa (Tame)</v>
      </c>
      <c r="F268" s="20" t="str">
        <f>'C COSTOS ESTADO FINANCIERO'!H268</f>
        <v>ADMINISTRATIVO</v>
      </c>
      <c r="G268" s="20" t="str">
        <f>'C COSTOS ESTADO FINANCIERO'!J268</f>
        <v>ACTIVO</v>
      </c>
    </row>
    <row r="269" spans="1:7" x14ac:dyDescent="0.25">
      <c r="A269" s="20">
        <f>'C COSTOS ESTADO FINANCIERO'!A269</f>
        <v>2012004</v>
      </c>
      <c r="B269" s="20" t="str">
        <f>'C COSTOS ESTADO FINANCIERO'!B269</f>
        <v>ESE01-TAME-ALMACEN SEDE ADMINISTRATIVA</v>
      </c>
      <c r="C269" s="20" t="str">
        <f>'C COSTOS ESTADO FINANCIERO'!D269</f>
        <v>R02</v>
      </c>
      <c r="D269" s="20" t="str">
        <f>'C COSTOS ESTADO FINANCIERO'!E269</f>
        <v>RECURSOS FÍSICOS</v>
      </c>
      <c r="E269" s="20" t="str">
        <f>'C COSTOS ESTADO FINANCIERO'!I269</f>
        <v>ESE01 - Sede Administrativa (Tame)</v>
      </c>
      <c r="F269" s="20" t="str">
        <f>'C COSTOS ESTADO FINANCIERO'!H269</f>
        <v>ADMINISTRATIVO</v>
      </c>
      <c r="G269" s="20" t="str">
        <f>'C COSTOS ESTADO FINANCIERO'!J269</f>
        <v>ACTIVO</v>
      </c>
    </row>
    <row r="270" spans="1:7" x14ac:dyDescent="0.25">
      <c r="A270" s="20">
        <f>'C COSTOS ESTADO FINANCIERO'!A270</f>
        <v>2012005</v>
      </c>
      <c r="B270" s="20" t="str">
        <f>'C COSTOS ESTADO FINANCIERO'!B270</f>
        <v>ESE01-TAME-CONTROL INTERNO</v>
      </c>
      <c r="C270" s="20" t="str">
        <f>'C COSTOS ESTADO FINANCIERO'!D270</f>
        <v>T11</v>
      </c>
      <c r="D270" s="20" t="str">
        <f>'C COSTOS ESTADO FINANCIERO'!E270</f>
        <v>CONTROL INTERNO</v>
      </c>
      <c r="E270" s="20" t="str">
        <f>'C COSTOS ESTADO FINANCIERO'!I270</f>
        <v>ESE01 - Sede Administrativa (Tame)</v>
      </c>
      <c r="F270" s="20" t="str">
        <f>'C COSTOS ESTADO FINANCIERO'!H270</f>
        <v>ADMINISTRATIVO</v>
      </c>
      <c r="G270" s="20" t="str">
        <f>'C COSTOS ESTADO FINANCIERO'!J270</f>
        <v>ACTIVO</v>
      </c>
    </row>
    <row r="271" spans="1:7" x14ac:dyDescent="0.25">
      <c r="A271" s="20">
        <f>'C COSTOS ESTADO FINANCIERO'!A271</f>
        <v>2012006</v>
      </c>
      <c r="B271" s="20" t="str">
        <f>'C COSTOS ESTADO FINANCIERO'!B271</f>
        <v>ESE01-TAME-CALIDAD</v>
      </c>
      <c r="C271" s="20" t="str">
        <f>'C COSTOS ESTADO FINANCIERO'!D271</f>
        <v>T10</v>
      </c>
      <c r="D271" s="20" t="str">
        <f>'C COSTOS ESTADO FINANCIERO'!E271</f>
        <v>PROGRAMAS DE CALIDAD Y ACREDITACIÓN</v>
      </c>
      <c r="E271" s="20" t="str">
        <f>'C COSTOS ESTADO FINANCIERO'!I271</f>
        <v>ESE01 - Sede Administrativa (Tame)</v>
      </c>
      <c r="F271" s="20" t="str">
        <f>'C COSTOS ESTADO FINANCIERO'!H271</f>
        <v>ADMINISTRATIVO</v>
      </c>
      <c r="G271" s="20" t="str">
        <f>'C COSTOS ESTADO FINANCIERO'!J271</f>
        <v>ACTIVO</v>
      </c>
    </row>
    <row r="272" spans="1:7" x14ac:dyDescent="0.25">
      <c r="A272" s="20">
        <f>'C COSTOS ESTADO FINANCIERO'!A272</f>
        <v>2012007</v>
      </c>
      <c r="B272" s="20" t="str">
        <f>'C COSTOS ESTADO FINANCIERO'!B272</f>
        <v>ESE01-TAME-ATENCION AL USUARIO</v>
      </c>
      <c r="C272" s="20" t="str">
        <f>'C COSTOS ESTADO FINANCIERO'!D272</f>
        <v>O02</v>
      </c>
      <c r="D272" s="20" t="str">
        <f>'C COSTOS ESTADO FINANCIERO'!E272</f>
        <v>ATENCIÓN AL USUARIO</v>
      </c>
      <c r="E272" s="20" t="str">
        <f>'C COSTOS ESTADO FINANCIERO'!I272</f>
        <v>ESE01 - Sede Administrativa (Tame)</v>
      </c>
      <c r="F272" s="20" t="str">
        <f>'C COSTOS ESTADO FINANCIERO'!H272</f>
        <v>APOYO LOGÍSTICO</v>
      </c>
      <c r="G272" s="20" t="str">
        <f>'C COSTOS ESTADO FINANCIERO'!J272</f>
        <v>ACTIVO</v>
      </c>
    </row>
    <row r="273" spans="1:7" x14ac:dyDescent="0.25">
      <c r="A273" s="20">
        <f>'C COSTOS ESTADO FINANCIERO'!A273</f>
        <v>2012008</v>
      </c>
      <c r="B273" s="20" t="str">
        <f>'C COSTOS ESTADO FINANCIERO'!B273</f>
        <v>ESE01-TAME-SISTEMAS DE INFORMACION Y ARCHIVO</v>
      </c>
      <c r="C273" s="20" t="str">
        <f>'C COSTOS ESTADO FINANCIERO'!D273</f>
        <v>R09</v>
      </c>
      <c r="D273" s="20" t="str">
        <f>'C COSTOS ESTADO FINANCIERO'!E273</f>
        <v>GESTIÓN DOCUMENTAL Y ARCHIVÍSTICA</v>
      </c>
      <c r="E273" s="20" t="str">
        <f>'C COSTOS ESTADO FINANCIERO'!I273</f>
        <v>ESE01 - Sede Administrativa (Tame)</v>
      </c>
      <c r="F273" s="20" t="str">
        <f>'C COSTOS ESTADO FINANCIERO'!H273</f>
        <v>ADMINISTRATIVO</v>
      </c>
      <c r="G273" s="20" t="str">
        <f>'C COSTOS ESTADO FINANCIERO'!J273</f>
        <v>ACTIVO</v>
      </c>
    </row>
    <row r="274" spans="1:7" x14ac:dyDescent="0.25">
      <c r="A274" s="20">
        <f>'C COSTOS ESTADO FINANCIERO'!A274</f>
        <v>2012009</v>
      </c>
      <c r="B274" s="20" t="str">
        <f>'C COSTOS ESTADO FINANCIERO'!B274</f>
        <v>ESE01-TAME-INFORMATICA Y TELECOMUNICACIONES</v>
      </c>
      <c r="C274" s="20" t="str">
        <f>'C COSTOS ESTADO FINANCIERO'!D274</f>
        <v>T07</v>
      </c>
      <c r="D274" s="20" t="str">
        <f>'C COSTOS ESTADO FINANCIERO'!E274</f>
        <v>SISTEMAS</v>
      </c>
      <c r="E274" s="20" t="str">
        <f>'C COSTOS ESTADO FINANCIERO'!I274</f>
        <v>ESE01 - Sede Administrativa (Tame)</v>
      </c>
      <c r="F274" s="20" t="str">
        <f>'C COSTOS ESTADO FINANCIERO'!H274</f>
        <v>ADMINISTRATIVO</v>
      </c>
      <c r="G274" s="20" t="str">
        <f>'C COSTOS ESTADO FINANCIERO'!J274</f>
        <v>ACTIVO</v>
      </c>
    </row>
    <row r="275" spans="1:7" x14ac:dyDescent="0.25">
      <c r="A275" s="20">
        <f>'C COSTOS ESTADO FINANCIERO'!A275</f>
        <v>1010606</v>
      </c>
      <c r="B275" s="20" t="str">
        <f>'C COSTOS ESTADO FINANCIERO'!B275</f>
        <v>ESE01-TAME-FARMACIA E INSUMOS HOPITALARIOS</v>
      </c>
      <c r="C275" s="20" t="str">
        <f>'C COSTOS ESTADO FINANCIERO'!D275</f>
        <v>M05</v>
      </c>
      <c r="D275" s="20" t="str">
        <f>'C COSTOS ESTADO FINANCIERO'!E275</f>
        <v>FARMACIA</v>
      </c>
      <c r="E275" s="20" t="str">
        <f>'C COSTOS ESTADO FINANCIERO'!I275</f>
        <v>ESE01 - Sede Administrativa (Tame)</v>
      </c>
      <c r="F275" s="20" t="str">
        <f>'C COSTOS ESTADO FINANCIERO'!H275</f>
        <v>APOYO ASISTENCIAL (intermedio)</v>
      </c>
      <c r="G275" s="20" t="str">
        <f>'C COSTOS ESTADO FINANCIERO'!J275</f>
        <v>ACTIVO</v>
      </c>
    </row>
    <row r="276" spans="1:7" x14ac:dyDescent="0.25">
      <c r="A276" s="20">
        <f>'C COSTOS ESTADO FINANCIERO'!A276</f>
        <v>2012010</v>
      </c>
      <c r="B276" s="20" t="str">
        <f>'C COSTOS ESTADO FINANCIERO'!B276</f>
        <v>ESE01-TAME-AUDITORIA MEDICA</v>
      </c>
      <c r="C276" s="20" t="str">
        <f>'C COSTOS ESTADO FINANCIERO'!D276</f>
        <v>U02</v>
      </c>
      <c r="D276" s="20" t="str">
        <f>'C COSTOS ESTADO FINANCIERO'!E276</f>
        <v>AUDITORIA MÉDICA</v>
      </c>
      <c r="E276" s="20" t="str">
        <f>'C COSTOS ESTADO FINANCIERO'!I276</f>
        <v>ESE01 - Sede Administrativa (Tame)</v>
      </c>
      <c r="F276" s="20" t="str">
        <f>'C COSTOS ESTADO FINANCIERO'!H276</f>
        <v>ADMINISTRATIVO</v>
      </c>
      <c r="G276" s="20" t="str">
        <f>'C COSTOS ESTADO FINANCIERO'!J276</f>
        <v>ACTIVO</v>
      </c>
    </row>
    <row r="277" spans="1:7" x14ac:dyDescent="0.25">
      <c r="A277" s="20">
        <f>'C COSTOS ESTADO FINANCIERO'!A277</f>
        <v>2012011</v>
      </c>
      <c r="B277" s="20" t="str">
        <f>'C COSTOS ESTADO FINANCIERO'!B277</f>
        <v>ESE01-TAME-PGRHYS</v>
      </c>
      <c r="C277" s="20" t="str">
        <f>'C COSTOS ESTADO FINANCIERO'!D277</f>
        <v>R04</v>
      </c>
      <c r="D277" s="20" t="str">
        <f>'C COSTOS ESTADO FINANCIERO'!E277</f>
        <v>ASEO Y LIMPIEZA</v>
      </c>
      <c r="E277" s="20" t="str">
        <f>'C COSTOS ESTADO FINANCIERO'!I277</f>
        <v>ESE01 - Sede Administrativa (Tame)</v>
      </c>
      <c r="F277" s="20" t="str">
        <f>'C COSTOS ESTADO FINANCIERO'!H277</f>
        <v>ADMINISTRATIVO</v>
      </c>
      <c r="G277" s="20" t="str">
        <f>'C COSTOS ESTADO FINANCIERO'!J277</f>
        <v>ACTIVO</v>
      </c>
    </row>
    <row r="278" spans="1:7" x14ac:dyDescent="0.25">
      <c r="A278" s="20">
        <f>'C COSTOS ESTADO FINANCIERO'!A278</f>
        <v>2012012</v>
      </c>
      <c r="B278" s="20" t="str">
        <f>'C COSTOS ESTADO FINANCIERO'!B278</f>
        <v>ESE01-ARAUCA-ESTADISTICA</v>
      </c>
      <c r="C278" s="20" t="str">
        <f>'C COSTOS ESTADO FINANCIERO'!D278</f>
        <v>Q05</v>
      </c>
      <c r="D278" s="20" t="str">
        <f>'C COSTOS ESTADO FINANCIERO'!E278</f>
        <v>ESTADISTICA</v>
      </c>
      <c r="E278" s="20" t="str">
        <f>'C COSTOS ESTADO FINANCIERO'!I278</f>
        <v>ESE01 - Sede Administrativa (Tame)</v>
      </c>
      <c r="F278" s="20" t="str">
        <f>'C COSTOS ESTADO FINANCIERO'!H278</f>
        <v>APOYO LOGÍSTICO</v>
      </c>
      <c r="G278" s="20" t="str">
        <f>'C COSTOS ESTADO FINANCIERO'!J278</f>
        <v>ACTIVO</v>
      </c>
    </row>
    <row r="279" spans="1:7" x14ac:dyDescent="0.25">
      <c r="A279" s="20">
        <f>'C COSTOS ESTADO FINANCIERO'!A279</f>
        <v>3012101</v>
      </c>
      <c r="B279" s="20" t="str">
        <f>'C COSTOS ESTADO FINANCIERO'!B279</f>
        <v>ESE01-TAME- CONTABILIDAD</v>
      </c>
      <c r="C279" s="20" t="str">
        <f>'C COSTOS ESTADO FINANCIERO'!D279</f>
        <v>S02</v>
      </c>
      <c r="D279" s="20" t="str">
        <f>'C COSTOS ESTADO FINANCIERO'!E279</f>
        <v>CONTABILIDAD Y COSTOS</v>
      </c>
      <c r="E279" s="20" t="str">
        <f>'C COSTOS ESTADO FINANCIERO'!I279</f>
        <v>ESE01 - Sede Administrativa (Tame)</v>
      </c>
      <c r="F279" s="20" t="str">
        <f>'C COSTOS ESTADO FINANCIERO'!H279</f>
        <v>ADMINISTRATIVO</v>
      </c>
      <c r="G279" s="20" t="str">
        <f>'C COSTOS ESTADO FINANCIERO'!J279</f>
        <v>ACTIVO</v>
      </c>
    </row>
    <row r="280" spans="1:7" x14ac:dyDescent="0.25">
      <c r="A280" s="20">
        <f>'C COSTOS ESTADO FINANCIERO'!A280</f>
        <v>3012102</v>
      </c>
      <c r="B280" s="20" t="str">
        <f>'C COSTOS ESTADO FINANCIERO'!B280</f>
        <v>ESE01-TAME-PRESUPUESTO</v>
      </c>
      <c r="C280" s="20" t="str">
        <f>'C COSTOS ESTADO FINANCIERO'!D280</f>
        <v>S06</v>
      </c>
      <c r="D280" s="20" t="str">
        <f>'C COSTOS ESTADO FINANCIERO'!E280</f>
        <v>PRESUPUESTO</v>
      </c>
      <c r="E280" s="20" t="str">
        <f>'C COSTOS ESTADO FINANCIERO'!I280</f>
        <v>ESE01 - Sede Administrativa (Tame)</v>
      </c>
      <c r="F280" s="20" t="str">
        <f>'C COSTOS ESTADO FINANCIERO'!H280</f>
        <v>ADMINISTRATIVO</v>
      </c>
      <c r="G280" s="20" t="str">
        <f>'C COSTOS ESTADO FINANCIERO'!J280</f>
        <v>ACTIVO</v>
      </c>
    </row>
    <row r="281" spans="1:7" x14ac:dyDescent="0.25">
      <c r="A281" s="20">
        <f>'C COSTOS ESTADO FINANCIERO'!A281</f>
        <v>3012103</v>
      </c>
      <c r="B281" s="20" t="str">
        <f>'C COSTOS ESTADO FINANCIERO'!B281</f>
        <v>ESE01-TAME-CARTERA</v>
      </c>
      <c r="C281" s="20" t="str">
        <f>'C COSTOS ESTADO FINANCIERO'!D281</f>
        <v>S03</v>
      </c>
      <c r="D281" s="20" t="str">
        <f>'C COSTOS ESTADO FINANCIERO'!E281</f>
        <v>CARTERA</v>
      </c>
      <c r="E281" s="20" t="str">
        <f>'C COSTOS ESTADO FINANCIERO'!I281</f>
        <v>ESE01 - Sede Administrativa (Tame)</v>
      </c>
      <c r="F281" s="20" t="str">
        <f>'C COSTOS ESTADO FINANCIERO'!H281</f>
        <v>ADMINISTRATIVO</v>
      </c>
      <c r="G281" s="20" t="str">
        <f>'C COSTOS ESTADO FINANCIERO'!J281</f>
        <v>ACTIVO</v>
      </c>
    </row>
    <row r="282" spans="1:7" x14ac:dyDescent="0.25">
      <c r="A282" s="20">
        <f>'C COSTOS ESTADO FINANCIERO'!A282</f>
        <v>3012104</v>
      </c>
      <c r="B282" s="20" t="str">
        <f>'C COSTOS ESTADO FINANCIERO'!B282</f>
        <v>ESE01-ARAUCA-PAGOS</v>
      </c>
      <c r="C282" s="20" t="str">
        <f>'C COSTOS ESTADO FINANCIERO'!D282</f>
        <v>S05</v>
      </c>
      <c r="D282" s="20" t="str">
        <f>'C COSTOS ESTADO FINANCIERO'!E282</f>
        <v>TESORERÍA</v>
      </c>
      <c r="E282" s="20" t="str">
        <f>'C COSTOS ESTADO FINANCIERO'!I282</f>
        <v>ESE01 - Sede Administrativa (Tame)</v>
      </c>
      <c r="F282" s="20" t="str">
        <f>'C COSTOS ESTADO FINANCIERO'!H282</f>
        <v>ADMINISTRATIVO</v>
      </c>
      <c r="G282" s="20" t="str">
        <f>'C COSTOS ESTADO FINANCIERO'!J282</f>
        <v>ACTIVO</v>
      </c>
    </row>
    <row r="283" spans="1:7" x14ac:dyDescent="0.25">
      <c r="A283" s="20">
        <f>'C COSTOS ESTADO FINANCIERO'!A283</f>
        <v>3012105</v>
      </c>
      <c r="B283" s="20" t="str">
        <f>'C COSTOS ESTADO FINANCIERO'!B283</f>
        <v>ESE01-TAME-FACTURACION</v>
      </c>
      <c r="C283" s="20" t="str">
        <f>'C COSTOS ESTADO FINANCIERO'!D283</f>
        <v>S04</v>
      </c>
      <c r="D283" s="20" t="str">
        <f>'C COSTOS ESTADO FINANCIERO'!E283</f>
        <v>FACTURACIÓN Y AUDITORIA DE CUENTAS MÉDICAS</v>
      </c>
      <c r="E283" s="20" t="str">
        <f>'C COSTOS ESTADO FINANCIERO'!I283</f>
        <v>ESE01 - Sede Administrativa (Tame)</v>
      </c>
      <c r="F283" s="20" t="str">
        <f>'C COSTOS ESTADO FINANCIERO'!H283</f>
        <v>ADMINISTRATIVO</v>
      </c>
      <c r="G283" s="20" t="str">
        <f>'C COSTOS ESTADO FINANCIERO'!J283</f>
        <v>ACTIVO</v>
      </c>
    </row>
    <row r="284" spans="1:7" x14ac:dyDescent="0.25">
      <c r="A284" s="20">
        <f>'C COSTOS ESTADO FINANCIERO'!A284</f>
        <v>3012106</v>
      </c>
      <c r="B284" s="20" t="str">
        <f>'C COSTOS ESTADO FINANCIERO'!B284</f>
        <v>ESE01-TAME-TESORERIA</v>
      </c>
      <c r="C284" s="20" t="str">
        <f>'C COSTOS ESTADO FINANCIERO'!D284</f>
        <v>S05</v>
      </c>
      <c r="D284" s="20" t="str">
        <f>'C COSTOS ESTADO FINANCIERO'!E284</f>
        <v>TESORERÍA</v>
      </c>
      <c r="E284" s="20" t="str">
        <f>'C COSTOS ESTADO FINANCIERO'!I284</f>
        <v>ESE01 - Sede Administrativa (Tame)</v>
      </c>
      <c r="F284" s="20" t="str">
        <f>'C COSTOS ESTADO FINANCIERO'!H284</f>
        <v>ADMINISTRATIVO</v>
      </c>
      <c r="G284" s="20" t="str">
        <f>'C COSTOS ESTADO FINANCIERO'!J284</f>
        <v>ACTIVO</v>
      </c>
    </row>
    <row r="285" spans="1:7" x14ac:dyDescent="0.25">
      <c r="A285" s="20">
        <f>'C COSTOS ESTADO FINANCIERO'!A285</f>
        <v>2022007</v>
      </c>
      <c r="B285" s="20" t="str">
        <f>'C COSTOS ESTADO FINANCIERO'!B285</f>
        <v>HSLA-ARAUQUITA-ATENCION AL USUARIO</v>
      </c>
      <c r="C285" s="20" t="str">
        <f>'C COSTOS ESTADO FINANCIERO'!D285</f>
        <v>O02</v>
      </c>
      <c r="D285" s="20" t="str">
        <f>'C COSTOS ESTADO FINANCIERO'!E285</f>
        <v>ATENCIÓN AL USUARIO</v>
      </c>
      <c r="E285" s="20" t="str">
        <f>'C COSTOS ESTADO FINANCIERO'!I285</f>
        <v>HSLA - Arauquita</v>
      </c>
      <c r="F285" s="20" t="str">
        <f>'C COSTOS ESTADO FINANCIERO'!H285</f>
        <v>APOYO LOGÍSTICO</v>
      </c>
      <c r="G285" s="20" t="str">
        <f>'C COSTOS ESTADO FINANCIERO'!J285</f>
        <v>ACTIVO</v>
      </c>
    </row>
    <row r="286" spans="1:7" x14ac:dyDescent="0.25">
      <c r="A286" s="20">
        <f>'C COSTOS ESTADO FINANCIERO'!A286</f>
        <v>2022004</v>
      </c>
      <c r="B286" s="20" t="str">
        <f>'C COSTOS ESTADO FINANCIERO'!B286</f>
        <v>HSLA-ARAUQUITA-ALMACEN</v>
      </c>
      <c r="C286" s="20" t="str">
        <f>'C COSTOS ESTADO FINANCIERO'!D286</f>
        <v>R02</v>
      </c>
      <c r="D286" s="20" t="str">
        <f>'C COSTOS ESTADO FINANCIERO'!E286</f>
        <v>RECURSOS FÍSICOS</v>
      </c>
      <c r="E286" s="20" t="str">
        <f>'C COSTOS ESTADO FINANCIERO'!I286</f>
        <v>HSLA - Arauquita</v>
      </c>
      <c r="F286" s="20" t="str">
        <f>'C COSTOS ESTADO FINANCIERO'!H286</f>
        <v>ADMINISTRATIVO</v>
      </c>
      <c r="G286" s="20" t="str">
        <f>'C COSTOS ESTADO FINANCIERO'!J286</f>
        <v>ACTIVO</v>
      </c>
    </row>
    <row r="287" spans="1:7" x14ac:dyDescent="0.25">
      <c r="A287" s="20">
        <f>'C COSTOS ESTADO FINANCIERO'!A287</f>
        <v>3022105</v>
      </c>
      <c r="B287" s="20" t="str">
        <f>'C COSTOS ESTADO FINANCIERO'!B287</f>
        <v>HSLA-ARAUQUITA- FACTURACION</v>
      </c>
      <c r="C287" s="20" t="str">
        <f>'C COSTOS ESTADO FINANCIERO'!D287</f>
        <v>S04</v>
      </c>
      <c r="D287" s="20" t="str">
        <f>'C COSTOS ESTADO FINANCIERO'!E287</f>
        <v>FACTURACIÓN Y AUDITORIA DE CUENTAS MÉDICAS</v>
      </c>
      <c r="E287" s="20" t="str">
        <f>'C COSTOS ESTADO FINANCIERO'!I287</f>
        <v>HSLA - Arauquita</v>
      </c>
      <c r="F287" s="20" t="str">
        <f>'C COSTOS ESTADO FINANCIERO'!H287</f>
        <v>ADMINISTRATIVO</v>
      </c>
      <c r="G287" s="20" t="str">
        <f>'C COSTOS ESTADO FINANCIERO'!J287</f>
        <v>ACTIVO</v>
      </c>
    </row>
    <row r="288" spans="1:7" x14ac:dyDescent="0.25">
      <c r="A288" s="20">
        <f>'C COSTOS ESTADO FINANCIERO'!A288</f>
        <v>2022012</v>
      </c>
      <c r="B288" s="20" t="str">
        <f>'C COSTOS ESTADO FINANCIERO'!B288</f>
        <v>HSLA-ARAUQUITA- ESTADISTICA</v>
      </c>
      <c r="C288" s="20" t="str">
        <f>'C COSTOS ESTADO FINANCIERO'!D288</f>
        <v>Q05</v>
      </c>
      <c r="D288" s="20" t="str">
        <f>'C COSTOS ESTADO FINANCIERO'!E288</f>
        <v>ESTADISTICA</v>
      </c>
      <c r="E288" s="20" t="str">
        <f>'C COSTOS ESTADO FINANCIERO'!I288</f>
        <v>HSLA - Arauquita</v>
      </c>
      <c r="F288" s="20" t="str">
        <f>'C COSTOS ESTADO FINANCIERO'!H288</f>
        <v>APOYO LOGÍSTICO</v>
      </c>
      <c r="G288" s="20" t="str">
        <f>'C COSTOS ESTADO FINANCIERO'!J288</f>
        <v>ACTIVO</v>
      </c>
    </row>
    <row r="289" spans="1:7" x14ac:dyDescent="0.25">
      <c r="A289" s="20">
        <f>'C COSTOS ESTADO FINANCIERO'!A289</f>
        <v>2032007</v>
      </c>
      <c r="B289" s="20" t="str">
        <f>'C COSTOS ESTADO FINANCIERO'!B289</f>
        <v>HSFF-FORTUL-ATENCION AL USUARIO</v>
      </c>
      <c r="C289" s="20" t="str">
        <f>'C COSTOS ESTADO FINANCIERO'!D289</f>
        <v>O02</v>
      </c>
      <c r="D289" s="20" t="str">
        <f>'C COSTOS ESTADO FINANCIERO'!E289</f>
        <v>ATENCIÓN AL USUARIO</v>
      </c>
      <c r="E289" s="20" t="str">
        <f>'C COSTOS ESTADO FINANCIERO'!I289</f>
        <v>HSFF - Fortul</v>
      </c>
      <c r="F289" s="20" t="str">
        <f>'C COSTOS ESTADO FINANCIERO'!H289</f>
        <v>APOYO LOGÍSTICO</v>
      </c>
      <c r="G289" s="20" t="str">
        <f>'C COSTOS ESTADO FINANCIERO'!J289</f>
        <v>ACTIVO</v>
      </c>
    </row>
    <row r="290" spans="1:7" x14ac:dyDescent="0.25">
      <c r="A290" s="20">
        <f>'C COSTOS ESTADO FINANCIERO'!A290</f>
        <v>2032004</v>
      </c>
      <c r="B290" s="20" t="str">
        <f>'C COSTOS ESTADO FINANCIERO'!B290</f>
        <v>HSFF-FORTUL-ALMACEN</v>
      </c>
      <c r="C290" s="20" t="str">
        <f>'C COSTOS ESTADO FINANCIERO'!D290</f>
        <v>R02</v>
      </c>
      <c r="D290" s="20" t="str">
        <f>'C COSTOS ESTADO FINANCIERO'!E290</f>
        <v>RECURSOS FÍSICOS</v>
      </c>
      <c r="E290" s="20" t="str">
        <f>'C COSTOS ESTADO FINANCIERO'!I290</f>
        <v>HSFF - Fortul</v>
      </c>
      <c r="F290" s="20" t="str">
        <f>'C COSTOS ESTADO FINANCIERO'!H290</f>
        <v>ADMINISTRATIVO</v>
      </c>
      <c r="G290" s="20" t="str">
        <f>'C COSTOS ESTADO FINANCIERO'!J290</f>
        <v>ACTIVO</v>
      </c>
    </row>
    <row r="291" spans="1:7" x14ac:dyDescent="0.25">
      <c r="A291" s="20">
        <f>'C COSTOS ESTADO FINANCIERO'!A291</f>
        <v>3032105</v>
      </c>
      <c r="B291" s="20" t="str">
        <f>'C COSTOS ESTADO FINANCIERO'!B291</f>
        <v>HSFF-FORTUL- FACTURACION</v>
      </c>
      <c r="C291" s="20" t="str">
        <f>'C COSTOS ESTADO FINANCIERO'!D291</f>
        <v>S04</v>
      </c>
      <c r="D291" s="20" t="str">
        <f>'C COSTOS ESTADO FINANCIERO'!E291</f>
        <v>FACTURACIÓN Y AUDITORIA DE CUENTAS MÉDICAS</v>
      </c>
      <c r="E291" s="20" t="str">
        <f>'C COSTOS ESTADO FINANCIERO'!I291</f>
        <v>HSFF - Fortul</v>
      </c>
      <c r="F291" s="20" t="str">
        <f>'C COSTOS ESTADO FINANCIERO'!H291</f>
        <v>ADMINISTRATIVO</v>
      </c>
      <c r="G291" s="20" t="str">
        <f>'C COSTOS ESTADO FINANCIERO'!J291</f>
        <v>ACTIVO</v>
      </c>
    </row>
    <row r="292" spans="1:7" x14ac:dyDescent="0.25">
      <c r="A292" s="20">
        <f>'C COSTOS ESTADO FINANCIERO'!A292</f>
        <v>2032012</v>
      </c>
      <c r="B292" s="20" t="str">
        <f>'C COSTOS ESTADO FINANCIERO'!B292</f>
        <v>HSFF-FORTUL- ESTADISTICA</v>
      </c>
      <c r="C292" s="20" t="str">
        <f>'C COSTOS ESTADO FINANCIERO'!D292</f>
        <v>Q05</v>
      </c>
      <c r="D292" s="20" t="str">
        <f>'C COSTOS ESTADO FINANCIERO'!E292</f>
        <v>ESTADISTICA</v>
      </c>
      <c r="E292" s="20" t="str">
        <f>'C COSTOS ESTADO FINANCIERO'!I292</f>
        <v>HSFF - Fortul</v>
      </c>
      <c r="F292" s="20" t="str">
        <f>'C COSTOS ESTADO FINANCIERO'!H292</f>
        <v>APOYO LOGÍSTICO</v>
      </c>
      <c r="G292" s="20" t="str">
        <f>'C COSTOS ESTADO FINANCIERO'!J292</f>
        <v>ACTIVO</v>
      </c>
    </row>
    <row r="293" spans="1:7" x14ac:dyDescent="0.25">
      <c r="A293" s="20">
        <f>'C COSTOS ESTADO FINANCIERO'!A293</f>
        <v>2042007</v>
      </c>
      <c r="B293" s="20" t="str">
        <f>'C COSTOS ESTADO FINANCIERO'!B293</f>
        <v>HSAT-TAME-ATENCION AL USUARIO</v>
      </c>
      <c r="C293" s="20" t="str">
        <f>'C COSTOS ESTADO FINANCIERO'!D293</f>
        <v>O02</v>
      </c>
      <c r="D293" s="20" t="str">
        <f>'C COSTOS ESTADO FINANCIERO'!E293</f>
        <v>ATENCIÓN AL USUARIO</v>
      </c>
      <c r="E293" s="20" t="str">
        <f>'C COSTOS ESTADO FINANCIERO'!I293</f>
        <v>HSAT - Tame</v>
      </c>
      <c r="F293" s="20" t="str">
        <f>'C COSTOS ESTADO FINANCIERO'!H293</f>
        <v>APOYO LOGÍSTICO</v>
      </c>
      <c r="G293" s="20" t="str">
        <f>'C COSTOS ESTADO FINANCIERO'!J293</f>
        <v>ACTIVO</v>
      </c>
    </row>
    <row r="294" spans="1:7" x14ac:dyDescent="0.25">
      <c r="A294" s="20">
        <f>'C COSTOS ESTADO FINANCIERO'!A294</f>
        <v>2042004</v>
      </c>
      <c r="B294" s="20" t="str">
        <f>'C COSTOS ESTADO FINANCIERO'!B294</f>
        <v>HSAT-TAME-ALMACEN</v>
      </c>
      <c r="C294" s="20" t="str">
        <f>'C COSTOS ESTADO FINANCIERO'!D294</f>
        <v>R02</v>
      </c>
      <c r="D294" s="20" t="str">
        <f>'C COSTOS ESTADO FINANCIERO'!E294</f>
        <v>RECURSOS FÍSICOS</v>
      </c>
      <c r="E294" s="20" t="str">
        <f>'C COSTOS ESTADO FINANCIERO'!I294</f>
        <v>HSAT - Tame</v>
      </c>
      <c r="F294" s="20" t="str">
        <f>'C COSTOS ESTADO FINANCIERO'!H294</f>
        <v>ADMINISTRATIVO</v>
      </c>
      <c r="G294" s="20" t="str">
        <f>'C COSTOS ESTADO FINANCIERO'!J294</f>
        <v>ACTIVO</v>
      </c>
    </row>
    <row r="295" spans="1:7" x14ac:dyDescent="0.25">
      <c r="A295" s="20">
        <f>'C COSTOS ESTADO FINANCIERO'!A295</f>
        <v>3042105</v>
      </c>
      <c r="B295" s="20" t="str">
        <f>'C COSTOS ESTADO FINANCIERO'!B295</f>
        <v>HSAT-TAME- FACTURACION</v>
      </c>
      <c r="C295" s="20" t="str">
        <f>'C COSTOS ESTADO FINANCIERO'!D295</f>
        <v>S04</v>
      </c>
      <c r="D295" s="20" t="str">
        <f>'C COSTOS ESTADO FINANCIERO'!E295</f>
        <v>FACTURACIÓN Y AUDITORIA DE CUENTAS MÉDICAS</v>
      </c>
      <c r="E295" s="20" t="str">
        <f>'C COSTOS ESTADO FINANCIERO'!I295</f>
        <v>HSAT - Tame</v>
      </c>
      <c r="F295" s="20" t="str">
        <f>'C COSTOS ESTADO FINANCIERO'!H295</f>
        <v>ADMINISTRATIVO</v>
      </c>
      <c r="G295" s="20" t="str">
        <f>'C COSTOS ESTADO FINANCIERO'!J295</f>
        <v>ACTIVO</v>
      </c>
    </row>
    <row r="296" spans="1:7" x14ac:dyDescent="0.25">
      <c r="A296" s="20">
        <f>'C COSTOS ESTADO FINANCIERO'!A296</f>
        <v>2042012</v>
      </c>
      <c r="B296" s="20" t="str">
        <f>'C COSTOS ESTADO FINANCIERO'!B296</f>
        <v>HSAT-TAME- ESTADISTICA</v>
      </c>
      <c r="C296" s="20" t="str">
        <f>'C COSTOS ESTADO FINANCIERO'!D296</f>
        <v>Q05</v>
      </c>
      <c r="D296" s="20" t="str">
        <f>'C COSTOS ESTADO FINANCIERO'!E296</f>
        <v>ESTADISTICA</v>
      </c>
      <c r="E296" s="20" t="str">
        <f>'C COSTOS ESTADO FINANCIERO'!I296</f>
        <v>HSAT - Tame</v>
      </c>
      <c r="F296" s="20" t="str">
        <f>'C COSTOS ESTADO FINANCIERO'!H296</f>
        <v>APOYO LOGÍSTICO</v>
      </c>
      <c r="G296" s="20" t="str">
        <f>'C COSTOS ESTADO FINANCIERO'!J296</f>
        <v>ACTIVO</v>
      </c>
    </row>
    <row r="297" spans="1:7" x14ac:dyDescent="0.25">
      <c r="A297" s="20">
        <f>'C COSTOS ESTADO FINANCIERO'!A297</f>
        <v>2052007</v>
      </c>
      <c r="B297" s="20" t="str">
        <f>'C COSTOS ESTADO FINANCIERO'!B297</f>
        <v>HSJDP-PUERTO RONDON-ATENCION AL USUARIO</v>
      </c>
      <c r="C297" s="20" t="str">
        <f>'C COSTOS ESTADO FINANCIERO'!D297</f>
        <v>O02</v>
      </c>
      <c r="D297" s="20" t="str">
        <f>'C COSTOS ESTADO FINANCIERO'!E297</f>
        <v>ATENCIÓN AL USUARIO</v>
      </c>
      <c r="E297" s="20" t="str">
        <f>'C COSTOS ESTADO FINANCIERO'!I297</f>
        <v>HSJDP - Puerto Rondón</v>
      </c>
      <c r="F297" s="20" t="str">
        <f>'C COSTOS ESTADO FINANCIERO'!H297</f>
        <v>APOYO LOGÍSTICO</v>
      </c>
      <c r="G297" s="20" t="str">
        <f>'C COSTOS ESTADO FINANCIERO'!J297</f>
        <v>ACTIVO</v>
      </c>
    </row>
    <row r="298" spans="1:7" x14ac:dyDescent="0.25">
      <c r="A298" s="20">
        <f>'C COSTOS ESTADO FINANCIERO'!A298</f>
        <v>2052004</v>
      </c>
      <c r="B298" s="20" t="str">
        <f>'C COSTOS ESTADO FINANCIERO'!B298</f>
        <v>HSJDP-PUERTO RONDON-ALMACEN</v>
      </c>
      <c r="C298" s="20" t="str">
        <f>'C COSTOS ESTADO FINANCIERO'!D298</f>
        <v>R02</v>
      </c>
      <c r="D298" s="20" t="str">
        <f>'C COSTOS ESTADO FINANCIERO'!E298</f>
        <v>RECURSOS FÍSICOS</v>
      </c>
      <c r="E298" s="20" t="str">
        <f>'C COSTOS ESTADO FINANCIERO'!I298</f>
        <v>HSJDP - Puerto Rondón</v>
      </c>
      <c r="F298" s="20" t="str">
        <f>'C COSTOS ESTADO FINANCIERO'!H298</f>
        <v>ADMINISTRATIVO</v>
      </c>
      <c r="G298" s="20" t="str">
        <f>'C COSTOS ESTADO FINANCIERO'!J298</f>
        <v>ACTIVO</v>
      </c>
    </row>
    <row r="299" spans="1:7" x14ac:dyDescent="0.25">
      <c r="A299" s="20">
        <f>'C COSTOS ESTADO FINANCIERO'!A299</f>
        <v>3052105</v>
      </c>
      <c r="B299" s="20" t="str">
        <f>'C COSTOS ESTADO FINANCIERO'!B299</f>
        <v>HSJDP-PUERTO RONDON- FACTURACION</v>
      </c>
      <c r="C299" s="20" t="str">
        <f>'C COSTOS ESTADO FINANCIERO'!D299</f>
        <v>S04</v>
      </c>
      <c r="D299" s="20" t="str">
        <f>'C COSTOS ESTADO FINANCIERO'!E299</f>
        <v>FACTURACIÓN Y AUDITORIA DE CUENTAS MÉDICAS</v>
      </c>
      <c r="E299" s="20" t="str">
        <f>'C COSTOS ESTADO FINANCIERO'!I299</f>
        <v>HSJDP - Puerto Rondón</v>
      </c>
      <c r="F299" s="20" t="str">
        <f>'C COSTOS ESTADO FINANCIERO'!H299</f>
        <v>ADMINISTRATIVO</v>
      </c>
      <c r="G299" s="20" t="str">
        <f>'C COSTOS ESTADO FINANCIERO'!J299</f>
        <v>ACTIVO</v>
      </c>
    </row>
    <row r="300" spans="1:7" x14ac:dyDescent="0.25">
      <c r="A300" s="20">
        <f>'C COSTOS ESTADO FINANCIERO'!A300</f>
        <v>2052012</v>
      </c>
      <c r="B300" s="20" t="str">
        <f>'C COSTOS ESTADO FINANCIERO'!B300</f>
        <v>HSJDP-PUERTO RONDON- ESTADISTICA</v>
      </c>
      <c r="C300" s="20" t="str">
        <f>'C COSTOS ESTADO FINANCIERO'!D300</f>
        <v>Q05</v>
      </c>
      <c r="D300" s="20" t="str">
        <f>'C COSTOS ESTADO FINANCIERO'!E300</f>
        <v>ESTADISTICA</v>
      </c>
      <c r="E300" s="20" t="str">
        <f>'C COSTOS ESTADO FINANCIERO'!I300</f>
        <v>HSJDP - Puerto Rondón</v>
      </c>
      <c r="F300" s="20" t="str">
        <f>'C COSTOS ESTADO FINANCIERO'!H300</f>
        <v>APOYO LOGÍSTICO</v>
      </c>
      <c r="G300" s="20" t="str">
        <f>'C COSTOS ESTADO FINANCIERO'!J300</f>
        <v>ACTIVO</v>
      </c>
    </row>
    <row r="301" spans="1:7" x14ac:dyDescent="0.25">
      <c r="A301" s="20">
        <f>'C COSTOS ESTADO FINANCIERO'!A301</f>
        <v>2062007</v>
      </c>
      <c r="B301" s="20" t="str">
        <f>'C COSTOS ESTADO FINANCIERO'!B301</f>
        <v>HSJCN-CRAVO NORTE-ATENCION AL USUARIO</v>
      </c>
      <c r="C301" s="20" t="str">
        <f>'C COSTOS ESTADO FINANCIERO'!D301</f>
        <v>O02</v>
      </c>
      <c r="D301" s="20" t="str">
        <f>'C COSTOS ESTADO FINANCIERO'!E301</f>
        <v>ATENCIÓN AL USUARIO</v>
      </c>
      <c r="E301" s="20" t="str">
        <f>'C COSTOS ESTADO FINANCIERO'!I301</f>
        <v>HSJCN - Cravo Norte</v>
      </c>
      <c r="F301" s="20" t="str">
        <f>'C COSTOS ESTADO FINANCIERO'!H301</f>
        <v>APOYO LOGÍSTICO</v>
      </c>
      <c r="G301" s="20" t="str">
        <f>'C COSTOS ESTADO FINANCIERO'!J301</f>
        <v>ACTIVO</v>
      </c>
    </row>
    <row r="302" spans="1:7" x14ac:dyDescent="0.25">
      <c r="A302" s="20">
        <f>'C COSTOS ESTADO FINANCIERO'!A302</f>
        <v>2062004</v>
      </c>
      <c r="B302" s="20" t="str">
        <f>'C COSTOS ESTADO FINANCIERO'!B302</f>
        <v>HSJCN-CRAVO NORTE-ALMACEN</v>
      </c>
      <c r="C302" s="20" t="str">
        <f>'C COSTOS ESTADO FINANCIERO'!D302</f>
        <v>R02</v>
      </c>
      <c r="D302" s="20" t="str">
        <f>'C COSTOS ESTADO FINANCIERO'!E302</f>
        <v>RECURSOS FÍSICOS</v>
      </c>
      <c r="E302" s="20" t="str">
        <f>'C COSTOS ESTADO FINANCIERO'!I302</f>
        <v>HSJCN - Cravo Norte</v>
      </c>
      <c r="F302" s="20" t="str">
        <f>'C COSTOS ESTADO FINANCIERO'!H302</f>
        <v>ADMINISTRATIVO</v>
      </c>
      <c r="G302" s="20" t="str">
        <f>'C COSTOS ESTADO FINANCIERO'!J302</f>
        <v>ACTIVO</v>
      </c>
    </row>
    <row r="303" spans="1:7" x14ac:dyDescent="0.25">
      <c r="A303" s="20">
        <f>'C COSTOS ESTADO FINANCIERO'!A303</f>
        <v>3062105</v>
      </c>
      <c r="B303" s="20" t="str">
        <f>'C COSTOS ESTADO FINANCIERO'!B303</f>
        <v>HSJCN-CRAVO NORTE- FACTURACION</v>
      </c>
      <c r="C303" s="20" t="str">
        <f>'C COSTOS ESTADO FINANCIERO'!D303</f>
        <v>S04</v>
      </c>
      <c r="D303" s="20" t="str">
        <f>'C COSTOS ESTADO FINANCIERO'!E303</f>
        <v>FACTURACIÓN Y AUDITORIA DE CUENTAS MÉDICAS</v>
      </c>
      <c r="E303" s="20" t="str">
        <f>'C COSTOS ESTADO FINANCIERO'!I303</f>
        <v>HSJCN - Cravo Norte</v>
      </c>
      <c r="F303" s="20" t="str">
        <f>'C COSTOS ESTADO FINANCIERO'!H303</f>
        <v>ADMINISTRATIVO</v>
      </c>
      <c r="G303" s="20" t="str">
        <f>'C COSTOS ESTADO FINANCIERO'!J303</f>
        <v>ACTIVO</v>
      </c>
    </row>
    <row r="304" spans="1:7" x14ac:dyDescent="0.25">
      <c r="A304" s="20">
        <f>'C COSTOS ESTADO FINANCIERO'!A304</f>
        <v>2062012</v>
      </c>
      <c r="B304" s="20" t="str">
        <f>'C COSTOS ESTADO FINANCIERO'!B304</f>
        <v>HSJCN-CRAVO NORTE- ESTADISTICA</v>
      </c>
      <c r="C304" s="20" t="str">
        <f>'C COSTOS ESTADO FINANCIERO'!D304</f>
        <v>Q05</v>
      </c>
      <c r="D304" s="20" t="str">
        <f>'C COSTOS ESTADO FINANCIERO'!E304</f>
        <v>ESTADISTICA</v>
      </c>
      <c r="E304" s="20" t="str">
        <f>'C COSTOS ESTADO FINANCIERO'!I304</f>
        <v>HSJCN - Cravo Norte</v>
      </c>
      <c r="F304" s="20" t="str">
        <f>'C COSTOS ESTADO FINANCIERO'!H304</f>
        <v>APOYO LOGÍSTICO</v>
      </c>
      <c r="G304" s="20" t="str">
        <f>'C COSTOS ESTADO FINANCIERO'!J304</f>
        <v>ACTIVO</v>
      </c>
    </row>
    <row r="305" spans="1:7" x14ac:dyDescent="0.25">
      <c r="A305" s="20">
        <f>'C COSTOS ESTADO FINANCIERO'!A305</f>
        <v>2072007</v>
      </c>
      <c r="B305" s="20" t="str">
        <f>'C COSTOS ESTADO FINANCIERO'!B305</f>
        <v>HSRP-SARAVENA-ATENCION AL USUARIO</v>
      </c>
      <c r="C305" s="20" t="str">
        <f>'C COSTOS ESTADO FINANCIERO'!D305</f>
        <v>O02</v>
      </c>
      <c r="D305" s="20" t="str">
        <f>'C COSTOS ESTADO FINANCIERO'!E305</f>
        <v>ATENCIÓN AL USUARIO</v>
      </c>
      <c r="E305" s="20" t="str">
        <f>'C COSTOS ESTADO FINANCIERO'!I305</f>
        <v>HSRP - Pampurí / La Esmeralda</v>
      </c>
      <c r="F305" s="20" t="str">
        <f>'C COSTOS ESTADO FINANCIERO'!H305</f>
        <v>APOYO LOGÍSTICO</v>
      </c>
      <c r="G305" s="20" t="str">
        <f>'C COSTOS ESTADO FINANCIERO'!J305</f>
        <v>ACTIVO</v>
      </c>
    </row>
    <row r="306" spans="1:7" x14ac:dyDescent="0.25">
      <c r="A306" s="20">
        <f>'C COSTOS ESTADO FINANCIERO'!A306</f>
        <v>2072004</v>
      </c>
      <c r="B306" s="20" t="str">
        <f>'C COSTOS ESTADO FINANCIERO'!B306</f>
        <v>HSRP-ESMERALDA-ALMACEN</v>
      </c>
      <c r="C306" s="20" t="str">
        <f>'C COSTOS ESTADO FINANCIERO'!D306</f>
        <v>R02</v>
      </c>
      <c r="D306" s="20" t="str">
        <f>'C COSTOS ESTADO FINANCIERO'!E306</f>
        <v>RECURSOS FÍSICOS</v>
      </c>
      <c r="E306" s="20" t="str">
        <f>'C COSTOS ESTADO FINANCIERO'!I306</f>
        <v>HSRP - Pampurí / La Esmeralda</v>
      </c>
      <c r="F306" s="20" t="str">
        <f>'C COSTOS ESTADO FINANCIERO'!H306</f>
        <v>ADMINISTRATIVO</v>
      </c>
      <c r="G306" s="20" t="str">
        <f>'C COSTOS ESTADO FINANCIERO'!J306</f>
        <v>ACTIVO</v>
      </c>
    </row>
    <row r="307" spans="1:7" x14ac:dyDescent="0.25">
      <c r="A307" s="20">
        <f>'C COSTOS ESTADO FINANCIERO'!A307</f>
        <v>3072105</v>
      </c>
      <c r="B307" s="20" t="str">
        <f>'C COSTOS ESTADO FINANCIERO'!B307</f>
        <v>HSRP-PAMPURI- FACTURACION</v>
      </c>
      <c r="C307" s="20" t="str">
        <f>'C COSTOS ESTADO FINANCIERO'!D307</f>
        <v>S04</v>
      </c>
      <c r="D307" s="20" t="str">
        <f>'C COSTOS ESTADO FINANCIERO'!E307</f>
        <v>FACTURACIÓN Y AUDITORIA DE CUENTAS MÉDICAS</v>
      </c>
      <c r="E307" s="20" t="str">
        <f>'C COSTOS ESTADO FINANCIERO'!I307</f>
        <v>HSRP - Pampurí / La Esmeralda</v>
      </c>
      <c r="F307" s="20" t="str">
        <f>'C COSTOS ESTADO FINANCIERO'!H307</f>
        <v>ADMINISTRATIVO</v>
      </c>
      <c r="G307" s="20" t="str">
        <f>'C COSTOS ESTADO FINANCIERO'!J307</f>
        <v>ACTIVO</v>
      </c>
    </row>
    <row r="308" spans="1:7" x14ac:dyDescent="0.25">
      <c r="A308" s="20">
        <f>'C COSTOS ESTADO FINANCIERO'!A308</f>
        <v>2072012</v>
      </c>
      <c r="B308" s="20" t="str">
        <f>'C COSTOS ESTADO FINANCIERO'!B308</f>
        <v>HSRP-ESMERALDA- ESTADISTICA</v>
      </c>
      <c r="C308" s="20" t="str">
        <f>'C COSTOS ESTADO FINANCIERO'!D308</f>
        <v>Q05</v>
      </c>
      <c r="D308" s="20" t="str">
        <f>'C COSTOS ESTADO FINANCIERO'!E308</f>
        <v>ESTADISTICA</v>
      </c>
      <c r="E308" s="20" t="str">
        <f>'C COSTOS ESTADO FINANCIERO'!I308</f>
        <v>HSRP - Pampurí / La Esmeralda</v>
      </c>
      <c r="F308" s="20" t="str">
        <f>'C COSTOS ESTADO FINANCIERO'!H308</f>
        <v>APOYO LOGÍSTICO</v>
      </c>
      <c r="G308" s="20" t="str">
        <f>'C COSTOS ESTADO FINANCIERO'!J308</f>
        <v>ACTIVO</v>
      </c>
    </row>
    <row r="309" spans="1:7" x14ac:dyDescent="0.25">
      <c r="A309" s="20">
        <f>'C COSTOS ESTADO FINANCIERO'!A309</f>
        <v>2082007</v>
      </c>
      <c r="B309" s="20" t="str">
        <f>'C COSTOS ESTADO FINANCIERO'!B309</f>
        <v>CSPA-ARAUQUITA-ATENCION AL USUARIO</v>
      </c>
      <c r="C309" s="20" t="str">
        <f>'C COSTOS ESTADO FINANCIERO'!D309</f>
        <v>O02</v>
      </c>
      <c r="D309" s="20" t="str">
        <f>'C COSTOS ESTADO FINANCIERO'!E309</f>
        <v>ATENCIÓN AL USUARIO</v>
      </c>
      <c r="E309" s="20" t="str">
        <f>'C COSTOS ESTADO FINANCIERO'!I309</f>
        <v>CSPA - Panamá de Arauca</v>
      </c>
      <c r="F309" s="20" t="str">
        <f>'C COSTOS ESTADO FINANCIERO'!H309</f>
        <v>APOYO LOGÍSTICO</v>
      </c>
      <c r="G309" s="20" t="str">
        <f>'C COSTOS ESTADO FINANCIERO'!J309</f>
        <v>ACTIVO</v>
      </c>
    </row>
    <row r="310" spans="1:7" x14ac:dyDescent="0.25">
      <c r="A310" s="20">
        <f>'C COSTOS ESTADO FINANCIERO'!A310</f>
        <v>2082004</v>
      </c>
      <c r="B310" s="20" t="str">
        <f>'C COSTOS ESTADO FINANCIERO'!B310</f>
        <v>CSPA-ARAUQUITA-ALMACEN</v>
      </c>
      <c r="C310" s="20" t="str">
        <f>'C COSTOS ESTADO FINANCIERO'!D310</f>
        <v>R02</v>
      </c>
      <c r="D310" s="20" t="str">
        <f>'C COSTOS ESTADO FINANCIERO'!E310</f>
        <v>RECURSOS FÍSICOS</v>
      </c>
      <c r="E310" s="20" t="str">
        <f>'C COSTOS ESTADO FINANCIERO'!I310</f>
        <v>CSPA - Panamá de Arauca</v>
      </c>
      <c r="F310" s="20" t="str">
        <f>'C COSTOS ESTADO FINANCIERO'!H310</f>
        <v>ADMINISTRATIVO</v>
      </c>
      <c r="G310" s="20" t="str">
        <f>'C COSTOS ESTADO FINANCIERO'!J310</f>
        <v>ACTIVO</v>
      </c>
    </row>
    <row r="311" spans="1:7" x14ac:dyDescent="0.25">
      <c r="A311" s="20">
        <f>'C COSTOS ESTADO FINANCIERO'!A311</f>
        <v>3082105</v>
      </c>
      <c r="B311" s="20" t="str">
        <f>'C COSTOS ESTADO FINANCIERO'!B311</f>
        <v>CSPA-ARAUQUITA- FACTURACION</v>
      </c>
      <c r="C311" s="20" t="str">
        <f>'C COSTOS ESTADO FINANCIERO'!D311</f>
        <v>S04</v>
      </c>
      <c r="D311" s="20" t="str">
        <f>'C COSTOS ESTADO FINANCIERO'!E311</f>
        <v>FACTURACIÓN Y AUDITORIA DE CUENTAS MÉDICAS</v>
      </c>
      <c r="E311" s="20" t="str">
        <f>'C COSTOS ESTADO FINANCIERO'!I311</f>
        <v>CSPA - Panamá de Arauca</v>
      </c>
      <c r="F311" s="20" t="str">
        <f>'C COSTOS ESTADO FINANCIERO'!H311</f>
        <v>ADMINISTRATIVO</v>
      </c>
      <c r="G311" s="20" t="str">
        <f>'C COSTOS ESTADO FINANCIERO'!J311</f>
        <v>ACTIVO</v>
      </c>
    </row>
    <row r="312" spans="1:7" x14ac:dyDescent="0.25">
      <c r="A312" s="20">
        <f>'C COSTOS ESTADO FINANCIERO'!A312</f>
        <v>2082012</v>
      </c>
      <c r="B312" s="20" t="str">
        <f>'C COSTOS ESTADO FINANCIERO'!B312</f>
        <v>CSPA-ARAUQUITA- ESTADISTICA</v>
      </c>
      <c r="C312" s="20" t="str">
        <f>'C COSTOS ESTADO FINANCIERO'!D312</f>
        <v>Q05</v>
      </c>
      <c r="D312" s="20" t="str">
        <f>'C COSTOS ESTADO FINANCIERO'!E312</f>
        <v>ESTADISTICA</v>
      </c>
      <c r="E312" s="20" t="str">
        <f>'C COSTOS ESTADO FINANCIERO'!I312</f>
        <v>CSPA - Panamá de Arauca</v>
      </c>
      <c r="F312" s="20" t="str">
        <f>'C COSTOS ESTADO FINANCIERO'!H312</f>
        <v>APOYO LOGÍSTICO</v>
      </c>
      <c r="G312" s="20" t="str">
        <f>'C COSTOS ESTADO FINANCIERO'!J312</f>
        <v>ACTIVO</v>
      </c>
    </row>
    <row r="313" spans="1:7" x14ac:dyDescent="0.25">
      <c r="A313" s="20">
        <f>'C COSTOS ESTADO FINANCIERO'!A313</f>
        <v>2092007</v>
      </c>
      <c r="B313" s="20" t="str">
        <f>'C COSTOS ESTADO FINANCIERO'!B313</f>
        <v>CSJSC-TAME-ATENCION AL USUARIO</v>
      </c>
      <c r="C313" s="20" t="str">
        <f>'C COSTOS ESTADO FINANCIERO'!D313</f>
        <v>O02</v>
      </c>
      <c r="D313" s="20" t="str">
        <f>'C COSTOS ESTADO FINANCIERO'!E313</f>
        <v>ATENCIÓN AL USUARIO</v>
      </c>
      <c r="E313" s="20" t="str">
        <f>'C COSTOS ESTADO FINANCIERO'!I313</f>
        <v>CSJSC - Tame</v>
      </c>
      <c r="F313" s="20" t="str">
        <f>'C COSTOS ESTADO FINANCIERO'!H313</f>
        <v>APOYO LOGÍSTICO</v>
      </c>
      <c r="G313" s="20" t="str">
        <f>'C COSTOS ESTADO FINANCIERO'!J313</f>
        <v>ACTIVO</v>
      </c>
    </row>
    <row r="314" spans="1:7" x14ac:dyDescent="0.25">
      <c r="A314" s="20">
        <f>'C COSTOS ESTADO FINANCIERO'!A314</f>
        <v>2092004</v>
      </c>
      <c r="B314" s="20" t="str">
        <f>'C COSTOS ESTADO FINANCIERO'!B314</f>
        <v>CSJSC-TAME-ALMACEN</v>
      </c>
      <c r="C314" s="20" t="str">
        <f>'C COSTOS ESTADO FINANCIERO'!D314</f>
        <v>R02</v>
      </c>
      <c r="D314" s="20" t="str">
        <f>'C COSTOS ESTADO FINANCIERO'!E314</f>
        <v>RECURSOS FÍSICOS</v>
      </c>
      <c r="E314" s="20" t="str">
        <f>'C COSTOS ESTADO FINANCIERO'!I314</f>
        <v>CSJSC - Tame</v>
      </c>
      <c r="F314" s="20" t="str">
        <f>'C COSTOS ESTADO FINANCIERO'!H314</f>
        <v>ADMINISTRATIVO</v>
      </c>
      <c r="G314" s="20" t="str">
        <f>'C COSTOS ESTADO FINANCIERO'!J314</f>
        <v>ACTIVO</v>
      </c>
    </row>
    <row r="315" spans="1:7" x14ac:dyDescent="0.25">
      <c r="A315" s="20">
        <f>'C COSTOS ESTADO FINANCIERO'!A315</f>
        <v>3092105</v>
      </c>
      <c r="B315" s="20" t="str">
        <f>'C COSTOS ESTADO FINANCIERO'!B315</f>
        <v>CSJSC-TAME- FACTURACION</v>
      </c>
      <c r="C315" s="20" t="str">
        <f>'C COSTOS ESTADO FINANCIERO'!D315</f>
        <v>S04</v>
      </c>
      <c r="D315" s="20" t="str">
        <f>'C COSTOS ESTADO FINANCIERO'!E315</f>
        <v>FACTURACIÓN Y AUDITORIA DE CUENTAS MÉDICAS</v>
      </c>
      <c r="E315" s="20" t="str">
        <f>'C COSTOS ESTADO FINANCIERO'!I315</f>
        <v>CSJSC - Tame</v>
      </c>
      <c r="F315" s="20" t="str">
        <f>'C COSTOS ESTADO FINANCIERO'!H315</f>
        <v>ADMINISTRATIVO</v>
      </c>
      <c r="G315" s="20" t="str">
        <f>'C COSTOS ESTADO FINANCIERO'!J315</f>
        <v>ACTIVO</v>
      </c>
    </row>
    <row r="316" spans="1:7" x14ac:dyDescent="0.25">
      <c r="A316" s="20">
        <f>'C COSTOS ESTADO FINANCIERO'!A316</f>
        <v>2092012</v>
      </c>
      <c r="B316" s="20" t="str">
        <f>'C COSTOS ESTADO FINANCIERO'!B316</f>
        <v>CSJSC-TAME- ESTADISTICA</v>
      </c>
      <c r="C316" s="20" t="str">
        <f>'C COSTOS ESTADO FINANCIERO'!D316</f>
        <v>Q05</v>
      </c>
      <c r="D316" s="20" t="str">
        <f>'C COSTOS ESTADO FINANCIERO'!E316</f>
        <v>ESTADISTICA</v>
      </c>
      <c r="E316" s="20" t="str">
        <f>'C COSTOS ESTADO FINANCIERO'!I316</f>
        <v>CSJSC - Tame</v>
      </c>
      <c r="F316" s="20" t="str">
        <f>'C COSTOS ESTADO FINANCIERO'!H316</f>
        <v>APOYO LOGÍSTICO</v>
      </c>
      <c r="G316" s="20" t="str">
        <f>'C COSTOS ESTADO FINANCIERO'!J316</f>
        <v>ACTIVO</v>
      </c>
    </row>
    <row r="317" spans="1:7" x14ac:dyDescent="0.25">
      <c r="A317" s="20">
        <f>'C COSTOS ESTADO FINANCIERO'!A317</f>
        <v>2012013</v>
      </c>
      <c r="B317" s="20" t="str">
        <f>'C COSTOS ESTADO FINANCIERO'!B317</f>
        <v>ESE01-TAME-PLANEACION</v>
      </c>
      <c r="C317" s="20" t="str">
        <f>'C COSTOS ESTADO FINANCIERO'!D317</f>
        <v>T08</v>
      </c>
      <c r="D317" s="20" t="str">
        <f>'C COSTOS ESTADO FINANCIERO'!E317</f>
        <v>PLANEACIÓN Y DESARROLLO INSTITUCIONAL</v>
      </c>
      <c r="E317" s="20" t="str">
        <f>'C COSTOS ESTADO FINANCIERO'!I317</f>
        <v>ESE01 - Sede Administrativa (Tame)</v>
      </c>
      <c r="F317" s="20" t="str">
        <f>'C COSTOS ESTADO FINANCIERO'!H317</f>
        <v>ADMINISTRATIVO</v>
      </c>
      <c r="G317" s="20" t="str">
        <f>'C COSTOS ESTADO FINANCIERO'!J317</f>
        <v>ACTIVO</v>
      </c>
    </row>
    <row r="318" spans="1:7" x14ac:dyDescent="0.25">
      <c r="A318" s="20">
        <f>'C COSTOS ESTADO FINANCIERO'!A318</f>
        <v>2012014</v>
      </c>
      <c r="B318" s="20" t="str">
        <f>'C COSTOS ESTADO FINANCIERO'!B318</f>
        <v>ESE01-ARAUCA-COORDINACION DE PROYECTOS</v>
      </c>
      <c r="C318" s="20" t="str">
        <f>'C COSTOS ESTADO FINANCIERO'!D318</f>
        <v>T08</v>
      </c>
      <c r="D318" s="20" t="str">
        <f>'C COSTOS ESTADO FINANCIERO'!E318</f>
        <v>PLANEACIÓN Y DESARROLLO INSTITUCIONAL</v>
      </c>
      <c r="E318" s="20" t="str">
        <f>'C COSTOS ESTADO FINANCIERO'!I318</f>
        <v>ESE01 - Sede Administrativa (Tame)</v>
      </c>
      <c r="F318" s="20" t="str">
        <f>'C COSTOS ESTADO FINANCIERO'!H318</f>
        <v>ADMINISTRATIVO</v>
      </c>
      <c r="G318" s="20" t="str">
        <f>'C COSTOS ESTADO FINANCIERO'!J318</f>
        <v>ACTIVO</v>
      </c>
    </row>
    <row r="319" spans="1:7" x14ac:dyDescent="0.25">
      <c r="A319" s="20">
        <f>'C COSTOS ESTADO FINANCIERO'!A319</f>
        <v>2012015</v>
      </c>
      <c r="B319" s="20" t="str">
        <f>'C COSTOS ESTADO FINANCIERO'!B319</f>
        <v>ESE01-ARAUCA-COORDINACION DE ASISTENCIAL</v>
      </c>
      <c r="C319" s="20" t="str">
        <f>'C COSTOS ESTADO FINANCIERO'!D319</f>
        <v>U05</v>
      </c>
      <c r="D319" s="20" t="str">
        <f>'C COSTOS ESTADO FINANCIERO'!E319</f>
        <v>COORDINACION EN SALUD</v>
      </c>
      <c r="E319" s="20" t="str">
        <f>'C COSTOS ESTADO FINANCIERO'!I319</f>
        <v>ESE01 - Sede Administrativa (Tame)</v>
      </c>
      <c r="F319" s="20" t="str">
        <f>'C COSTOS ESTADO FINANCIERO'!H319</f>
        <v>ADMINISTRATIVO</v>
      </c>
      <c r="G319" s="20" t="str">
        <f>'C COSTOS ESTADO FINANCIERO'!J319</f>
        <v>ACTIVO</v>
      </c>
    </row>
    <row r="320" spans="1:7" x14ac:dyDescent="0.25">
      <c r="A320" s="20">
        <f>'C COSTOS ESTADO FINANCIERO'!A320</f>
        <v>4012201</v>
      </c>
      <c r="B320" s="20" t="str">
        <f>'C COSTOS ESTADO FINANCIERO'!B320</f>
        <v>ESE01 TAME-CONDUCTOR</v>
      </c>
      <c r="C320" s="20" t="str">
        <f>'C COSTOS ESTADO FINANCIERO'!D320</f>
        <v>R07</v>
      </c>
      <c r="D320" s="20" t="str">
        <f>'C COSTOS ESTADO FINANCIERO'!E320</f>
        <v>OTROS VEHÍCULOS Y CONDUCTORES</v>
      </c>
      <c r="E320" s="20" t="str">
        <f>'C COSTOS ESTADO FINANCIERO'!I320</f>
        <v>ESE01 - Sede Administrativa (Tame)</v>
      </c>
      <c r="F320" s="20" t="str">
        <f>'C COSTOS ESTADO FINANCIERO'!H320</f>
        <v>ADMINISTRATIVO</v>
      </c>
      <c r="G320" s="20" t="str">
        <f>'C COSTOS ESTADO FINANCIERO'!J320</f>
        <v>ACTIVO</v>
      </c>
    </row>
    <row r="321" spans="1:7" x14ac:dyDescent="0.25">
      <c r="A321" s="20">
        <f>'C COSTOS ESTADO FINANCIERO'!A321</f>
        <v>4012202</v>
      </c>
      <c r="B321" s="20" t="str">
        <f>'C COSTOS ESTADO FINANCIERO'!B321</f>
        <v>ESE01-TAME-MANTENIMIENTO VEHICULOS</v>
      </c>
      <c r="C321" s="20" t="str">
        <f>'C COSTOS ESTADO FINANCIERO'!D321</f>
        <v>R07</v>
      </c>
      <c r="D321" s="20" t="str">
        <f>'C COSTOS ESTADO FINANCIERO'!E321</f>
        <v>OTROS VEHÍCULOS Y CONDUCTORES</v>
      </c>
      <c r="E321" s="20" t="str">
        <f>'C COSTOS ESTADO FINANCIERO'!I321</f>
        <v>ESE01 - Sede Administrativa (Tame)</v>
      </c>
      <c r="F321" s="20" t="str">
        <f>'C COSTOS ESTADO FINANCIERO'!H321</f>
        <v>ADMINISTRATIVO</v>
      </c>
      <c r="G321" s="20" t="str">
        <f>'C COSTOS ESTADO FINANCIERO'!J321</f>
        <v>ACTIVO</v>
      </c>
    </row>
    <row r="322" spans="1:7" x14ac:dyDescent="0.25">
      <c r="A322" s="20">
        <f>'C COSTOS ESTADO FINANCIERO'!A322</f>
        <v>4012203</v>
      </c>
      <c r="B322" s="20" t="str">
        <f>'C COSTOS ESTADO FINANCIERO'!B322</f>
        <v>ESE01-CENTRAL-MANTENIMIENTO PLANTA FISICA</v>
      </c>
      <c r="C322" s="20" t="str">
        <f>'C COSTOS ESTADO FINANCIERO'!D322</f>
        <v>R03</v>
      </c>
      <c r="D322" s="20" t="str">
        <f>'C COSTOS ESTADO FINANCIERO'!E322</f>
        <v>MANTENIMIENTO</v>
      </c>
      <c r="E322" s="20" t="str">
        <f>'C COSTOS ESTADO FINANCIERO'!I322</f>
        <v>ESE01 - Sede Administrativa (Tame)</v>
      </c>
      <c r="F322" s="20" t="str">
        <f>'C COSTOS ESTADO FINANCIERO'!H322</f>
        <v>ADMINISTRATIVO</v>
      </c>
      <c r="G322" s="20" t="str">
        <f>'C COSTOS ESTADO FINANCIERO'!J322</f>
        <v>ACTIVO</v>
      </c>
    </row>
    <row r="323" spans="1:7" x14ac:dyDescent="0.25">
      <c r="A323" s="20">
        <f>'C COSTOS ESTADO FINANCIERO'!A323</f>
        <v>4012204</v>
      </c>
      <c r="B323" s="20" t="str">
        <f>'C COSTOS ESTADO FINANCIERO'!B323</f>
        <v>ESE01-TAME-MANTENIMIENTO EQUIPOS BIOMEDICOS</v>
      </c>
      <c r="C323" s="20" t="str">
        <f>'C COSTOS ESTADO FINANCIERO'!D323</f>
        <v>P02</v>
      </c>
      <c r="D323" s="20" t="str">
        <f>'C COSTOS ESTADO FINANCIERO'!E323</f>
        <v>MANTENIMIENTO HOSPITALARIO</v>
      </c>
      <c r="E323" s="20" t="str">
        <f>'C COSTOS ESTADO FINANCIERO'!I323</f>
        <v>ESE01 - Sede Administrativa (Tame)</v>
      </c>
      <c r="F323" s="20" t="str">
        <f>'C COSTOS ESTADO FINANCIERO'!H323</f>
        <v>APOYO LOGÍSTICO</v>
      </c>
      <c r="G323" s="20" t="str">
        <f>'C COSTOS ESTADO FINANCIERO'!J323</f>
        <v>ACTIVO</v>
      </c>
    </row>
    <row r="324" spans="1:7" x14ac:dyDescent="0.25">
      <c r="A324" s="20">
        <f>'C COSTOS ESTADO FINANCIERO'!A324</f>
        <v>4012205</v>
      </c>
      <c r="B324" s="20" t="str">
        <f>'C COSTOS ESTADO FINANCIERO'!B324</f>
        <v>ESE01-TAME-MANTENIMIENTO EQUIPOS NO BIOMEDICOS</v>
      </c>
      <c r="C324" s="20" t="str">
        <f>'C COSTOS ESTADO FINANCIERO'!D324</f>
        <v>R03</v>
      </c>
      <c r="D324" s="20" t="str">
        <f>'C COSTOS ESTADO FINANCIERO'!E324</f>
        <v>MANTENIMIENTO</v>
      </c>
      <c r="E324" s="20" t="str">
        <f>'C COSTOS ESTADO FINANCIERO'!I324</f>
        <v>ESE01 - Sede Administrativa (Tame)</v>
      </c>
      <c r="F324" s="20" t="str">
        <f>'C COSTOS ESTADO FINANCIERO'!H324</f>
        <v>ADMINISTRATIVO</v>
      </c>
      <c r="G324" s="20" t="str">
        <f>'C COSTOS ESTADO FINANCIERO'!J324</f>
        <v>ACTIVO</v>
      </c>
    </row>
    <row r="325" spans="1:7" x14ac:dyDescent="0.25">
      <c r="A325" s="20">
        <f>'C COSTOS ESTADO FINANCIERO'!A325</f>
        <v>4012206</v>
      </c>
      <c r="B325" s="20" t="str">
        <f>'C COSTOS ESTADO FINANCIERO'!B325</f>
        <v>ESE01-ARAUCA-LAVANDERIA</v>
      </c>
      <c r="C325" s="20" t="str">
        <f>'C COSTOS ESTADO FINANCIERO'!D325</f>
        <v>P03</v>
      </c>
      <c r="D325" s="20" t="str">
        <f>'C COSTOS ESTADO FINANCIERO'!E325</f>
        <v>LAVANDERIA, VESTUARIO Y COSTURERO</v>
      </c>
      <c r="E325" s="20" t="str">
        <f>'C COSTOS ESTADO FINANCIERO'!I325</f>
        <v>ESE01 - Sede Administrativa (Tame)</v>
      </c>
      <c r="F325" s="20" t="str">
        <f>'C COSTOS ESTADO FINANCIERO'!H325</f>
        <v>APOYO LOGÍSTICO</v>
      </c>
      <c r="G325" s="20" t="str">
        <f>'C COSTOS ESTADO FINANCIERO'!J325</f>
        <v>ACTIVO</v>
      </c>
    </row>
    <row r="326" spans="1:7" x14ac:dyDescent="0.25">
      <c r="A326" s="20">
        <f>'C COSTOS ESTADO FINANCIERO'!A326</f>
        <v>4012207</v>
      </c>
      <c r="B326" s="20" t="str">
        <f>'C COSTOS ESTADO FINANCIERO'!B326</f>
        <v>ESE01-TAME-ALIMENTACION ADMINISTRATIVO Y ASISTENCIAL</v>
      </c>
      <c r="C326" s="20" t="str">
        <f>'C COSTOS ESTADO FINANCIERO'!D326</f>
        <v>P01</v>
      </c>
      <c r="D326" s="20" t="str">
        <f>'C COSTOS ESTADO FINANCIERO'!E326</f>
        <v>COCINA</v>
      </c>
      <c r="E326" s="20" t="str">
        <f>'C COSTOS ESTADO FINANCIERO'!I326</f>
        <v>ESE01 - Sede Administrativa (Tame)</v>
      </c>
      <c r="F326" s="20" t="str">
        <f>'C COSTOS ESTADO FINANCIERO'!H326</f>
        <v>APOYO LOGÍSTICO</v>
      </c>
      <c r="G326" s="20" t="str">
        <f>'C COSTOS ESTADO FINANCIERO'!J326</f>
        <v>ACTIVO</v>
      </c>
    </row>
    <row r="327" spans="1:7" x14ac:dyDescent="0.25">
      <c r="A327" s="20">
        <f>'C COSTOS ESTADO FINANCIERO'!A327</f>
        <v>4022201</v>
      </c>
      <c r="B327" s="20" t="str">
        <f>'C COSTOS ESTADO FINANCIERO'!B327</f>
        <v>HSLA-ARAUQUITA-TRANSPORTE PACIENTES CONDUCTORES</v>
      </c>
      <c r="C327" s="20" t="str">
        <f>'C COSTOS ESTADO FINANCIERO'!D327</f>
        <v>N08</v>
      </c>
      <c r="D327" s="20" t="str">
        <f>'C COSTOS ESTADO FINANCIERO'!E327</f>
        <v>SERVICIO DE AMBULANCIAS</v>
      </c>
      <c r="E327" s="20" t="str">
        <f>'C COSTOS ESTADO FINANCIERO'!I327</f>
        <v>HSLA - Arauquita</v>
      </c>
      <c r="F327" s="20" t="str">
        <f>'C COSTOS ESTADO FINANCIERO'!H327</f>
        <v>PRODUCTIVO (final)</v>
      </c>
      <c r="G327" s="20" t="str">
        <f>'C COSTOS ESTADO FINANCIERO'!J327</f>
        <v>ACTIVO</v>
      </c>
    </row>
    <row r="328" spans="1:7" x14ac:dyDescent="0.25">
      <c r="A328" s="20">
        <f>'C COSTOS ESTADO FINANCIERO'!A328</f>
        <v>4022202</v>
      </c>
      <c r="B328" s="20" t="str">
        <f>'C COSTOS ESTADO FINANCIERO'!B328</f>
        <v>HSLA-ARAUQUITA-MANTENIMIENTO VEHICULOS</v>
      </c>
      <c r="C328" s="20" t="str">
        <f>'C COSTOS ESTADO FINANCIERO'!D328</f>
        <v>N08</v>
      </c>
      <c r="D328" s="20" t="str">
        <f>'C COSTOS ESTADO FINANCIERO'!E328</f>
        <v>SERVICIO DE AMBULANCIAS</v>
      </c>
      <c r="E328" s="20" t="str">
        <f>'C COSTOS ESTADO FINANCIERO'!I328</f>
        <v>HSLA - Arauquita</v>
      </c>
      <c r="F328" s="20" t="str">
        <f>'C COSTOS ESTADO FINANCIERO'!H328</f>
        <v>PRODUCTIVO (final)</v>
      </c>
      <c r="G328" s="20" t="str">
        <f>'C COSTOS ESTADO FINANCIERO'!J328</f>
        <v>ACTIVO</v>
      </c>
    </row>
    <row r="329" spans="1:7" x14ac:dyDescent="0.25">
      <c r="A329" s="20">
        <f>'C COSTOS ESTADO FINANCIERO'!A329</f>
        <v>4022203</v>
      </c>
      <c r="B329" s="20" t="str">
        <f>'C COSTOS ESTADO FINANCIERO'!B329</f>
        <v>HSLA-ARAUQUITA-MANTENIMIENTO PLANTA FISICA</v>
      </c>
      <c r="C329" s="20" t="str">
        <f>'C COSTOS ESTADO FINANCIERO'!D329</f>
        <v>P02</v>
      </c>
      <c r="D329" s="20" t="str">
        <f>'C COSTOS ESTADO FINANCIERO'!E329</f>
        <v>MANTENIMIENTO HOSPITALARIO</v>
      </c>
      <c r="E329" s="20" t="str">
        <f>'C COSTOS ESTADO FINANCIERO'!I329</f>
        <v>HSLA - Arauquita</v>
      </c>
      <c r="F329" s="20" t="str">
        <f>'C COSTOS ESTADO FINANCIERO'!H329</f>
        <v>APOYO LOGÍSTICO</v>
      </c>
      <c r="G329" s="20" t="str">
        <f>'C COSTOS ESTADO FINANCIERO'!J329</f>
        <v>ACTIVO</v>
      </c>
    </row>
    <row r="330" spans="1:7" x14ac:dyDescent="0.25">
      <c r="A330" s="20">
        <f>'C COSTOS ESTADO FINANCIERO'!A330</f>
        <v>4022204</v>
      </c>
      <c r="B330" s="20" t="str">
        <f>'C COSTOS ESTADO FINANCIERO'!B330</f>
        <v>HSLA-ARAUQUITA-MANTENIMIENTO EQUIPOS BIOMEDICOS</v>
      </c>
      <c r="C330" s="20" t="str">
        <f>'C COSTOS ESTADO FINANCIERO'!D330</f>
        <v>P02</v>
      </c>
      <c r="D330" s="20" t="str">
        <f>'C COSTOS ESTADO FINANCIERO'!E330</f>
        <v>MANTENIMIENTO HOSPITALARIO</v>
      </c>
      <c r="E330" s="20" t="str">
        <f>'C COSTOS ESTADO FINANCIERO'!I330</f>
        <v>HSLA - Arauquita</v>
      </c>
      <c r="F330" s="20" t="str">
        <f>'C COSTOS ESTADO FINANCIERO'!H330</f>
        <v>APOYO LOGÍSTICO</v>
      </c>
      <c r="G330" s="20" t="str">
        <f>'C COSTOS ESTADO FINANCIERO'!J330</f>
        <v>ACTIVO</v>
      </c>
    </row>
    <row r="331" spans="1:7" x14ac:dyDescent="0.25">
      <c r="A331" s="20">
        <f>'C COSTOS ESTADO FINANCIERO'!A331</f>
        <v>4022205</v>
      </c>
      <c r="B331" s="20" t="str">
        <f>'C COSTOS ESTADO FINANCIERO'!B331</f>
        <v>HSLA-ARAUQUITA-MANTENIMIENTO EQUIPOS NO BIOMEDICOS</v>
      </c>
      <c r="C331" s="20" t="str">
        <f>'C COSTOS ESTADO FINANCIERO'!D331</f>
        <v>P02</v>
      </c>
      <c r="D331" s="20" t="str">
        <f>'C COSTOS ESTADO FINANCIERO'!E331</f>
        <v>MANTENIMIENTO HOSPITALARIO</v>
      </c>
      <c r="E331" s="20" t="str">
        <f>'C COSTOS ESTADO FINANCIERO'!I331</f>
        <v>HSLA - Arauquita</v>
      </c>
      <c r="F331" s="20" t="str">
        <f>'C COSTOS ESTADO FINANCIERO'!H331</f>
        <v>APOYO LOGÍSTICO</v>
      </c>
      <c r="G331" s="20" t="str">
        <f>'C COSTOS ESTADO FINANCIERO'!J331</f>
        <v>ACTIVO</v>
      </c>
    </row>
    <row r="332" spans="1:7" x14ac:dyDescent="0.25">
      <c r="A332" s="20">
        <f>'C COSTOS ESTADO FINANCIERO'!A332</f>
        <v>4022206</v>
      </c>
      <c r="B332" s="20" t="str">
        <f>'C COSTOS ESTADO FINANCIERO'!B332</f>
        <v>HSLA-ARAUQUITA-LAVANDERIA</v>
      </c>
      <c r="C332" s="20" t="str">
        <f>'C COSTOS ESTADO FINANCIERO'!D332</f>
        <v>P03</v>
      </c>
      <c r="D332" s="20" t="str">
        <f>'C COSTOS ESTADO FINANCIERO'!E332</f>
        <v>LAVANDERIA, VESTUARIO Y COSTURERO</v>
      </c>
      <c r="E332" s="20" t="str">
        <f>'C COSTOS ESTADO FINANCIERO'!I332</f>
        <v>HSLA - Arauquita</v>
      </c>
      <c r="F332" s="20" t="str">
        <f>'C COSTOS ESTADO FINANCIERO'!H332</f>
        <v>APOYO LOGÍSTICO</v>
      </c>
      <c r="G332" s="20" t="str">
        <f>'C COSTOS ESTADO FINANCIERO'!J332</f>
        <v>ACTIVO</v>
      </c>
    </row>
    <row r="333" spans="1:7" x14ac:dyDescent="0.25">
      <c r="A333" s="20">
        <f>'C COSTOS ESTADO FINANCIERO'!A333</f>
        <v>4022207</v>
      </c>
      <c r="B333" s="20" t="str">
        <f>'C COSTOS ESTADO FINANCIERO'!B333</f>
        <v>HSLA-ARAUQUITA-ALIMENTACION A PACIENTES</v>
      </c>
      <c r="C333" s="20" t="str">
        <f>'C COSTOS ESTADO FINANCIERO'!D333</f>
        <v>P01</v>
      </c>
      <c r="D333" s="20" t="str">
        <f>'C COSTOS ESTADO FINANCIERO'!E333</f>
        <v>COCINA</v>
      </c>
      <c r="E333" s="20" t="str">
        <f>'C COSTOS ESTADO FINANCIERO'!I333</f>
        <v>HSLA - Arauquita</v>
      </c>
      <c r="F333" s="20" t="str">
        <f>'C COSTOS ESTADO FINANCIERO'!H333</f>
        <v>APOYO LOGÍSTICO</v>
      </c>
      <c r="G333" s="20" t="str">
        <f>'C COSTOS ESTADO FINANCIERO'!J333</f>
        <v>ACTIVO</v>
      </c>
    </row>
    <row r="334" spans="1:7" x14ac:dyDescent="0.25">
      <c r="A334" s="20">
        <f>'C COSTOS ESTADO FINANCIERO'!A334</f>
        <v>4032201</v>
      </c>
      <c r="B334" s="20" t="str">
        <f>'C COSTOS ESTADO FINANCIERO'!B334</f>
        <v>HSFF-FORTUL-TRANSPORTE PACIENTES CONDUCTORES</v>
      </c>
      <c r="C334" s="20" t="str">
        <f>'C COSTOS ESTADO FINANCIERO'!D334</f>
        <v>N08</v>
      </c>
      <c r="D334" s="20" t="str">
        <f>'C COSTOS ESTADO FINANCIERO'!E334</f>
        <v>SERVICIO DE AMBULANCIAS</v>
      </c>
      <c r="E334" s="20" t="str">
        <f>'C COSTOS ESTADO FINANCIERO'!I334</f>
        <v>HSFF - Fortul</v>
      </c>
      <c r="F334" s="20" t="str">
        <f>'C COSTOS ESTADO FINANCIERO'!H334</f>
        <v>PRODUCTIVO (final)</v>
      </c>
      <c r="G334" s="20" t="str">
        <f>'C COSTOS ESTADO FINANCIERO'!J334</f>
        <v>ACTIVO</v>
      </c>
    </row>
    <row r="335" spans="1:7" x14ac:dyDescent="0.25">
      <c r="A335" s="20">
        <f>'C COSTOS ESTADO FINANCIERO'!A335</f>
        <v>4032202</v>
      </c>
      <c r="B335" s="20" t="str">
        <f>'C COSTOS ESTADO FINANCIERO'!B335</f>
        <v>HSFF-FORTUL-MANTENIMIENTO VEHICULOS</v>
      </c>
      <c r="C335" s="20" t="str">
        <f>'C COSTOS ESTADO FINANCIERO'!D335</f>
        <v>N08</v>
      </c>
      <c r="D335" s="20" t="str">
        <f>'C COSTOS ESTADO FINANCIERO'!E335</f>
        <v>SERVICIO DE AMBULANCIAS</v>
      </c>
      <c r="E335" s="20" t="str">
        <f>'C COSTOS ESTADO FINANCIERO'!I335</f>
        <v>HSFF - Fortul</v>
      </c>
      <c r="F335" s="20" t="str">
        <f>'C COSTOS ESTADO FINANCIERO'!H335</f>
        <v>PRODUCTIVO (final)</v>
      </c>
      <c r="G335" s="20" t="str">
        <f>'C COSTOS ESTADO FINANCIERO'!J335</f>
        <v>ACTIVO</v>
      </c>
    </row>
    <row r="336" spans="1:7" x14ac:dyDescent="0.25">
      <c r="A336" s="20">
        <f>'C COSTOS ESTADO FINANCIERO'!A336</f>
        <v>4032203</v>
      </c>
      <c r="B336" s="20" t="str">
        <f>'C COSTOS ESTADO FINANCIERO'!B336</f>
        <v>HSFF-FORTUL-MANTENIMIENTO PLANTA FISICA</v>
      </c>
      <c r="C336" s="20" t="str">
        <f>'C COSTOS ESTADO FINANCIERO'!D336</f>
        <v>P02</v>
      </c>
      <c r="D336" s="20" t="str">
        <f>'C COSTOS ESTADO FINANCIERO'!E336</f>
        <v>MANTENIMIENTO HOSPITALARIO</v>
      </c>
      <c r="E336" s="20" t="str">
        <f>'C COSTOS ESTADO FINANCIERO'!I336</f>
        <v>HSFF - Fortul</v>
      </c>
      <c r="F336" s="20" t="str">
        <f>'C COSTOS ESTADO FINANCIERO'!H336</f>
        <v>APOYO LOGÍSTICO</v>
      </c>
      <c r="G336" s="20" t="str">
        <f>'C COSTOS ESTADO FINANCIERO'!J336</f>
        <v>ACTIVO</v>
      </c>
    </row>
    <row r="337" spans="1:7" x14ac:dyDescent="0.25">
      <c r="A337" s="20">
        <f>'C COSTOS ESTADO FINANCIERO'!A337</f>
        <v>4032204</v>
      </c>
      <c r="B337" s="20" t="str">
        <f>'C COSTOS ESTADO FINANCIERO'!B337</f>
        <v>HSFF-FORTUL-MANTENIMIENTO EQUIPOS BIOMEDICOS</v>
      </c>
      <c r="C337" s="20" t="str">
        <f>'C COSTOS ESTADO FINANCIERO'!D337</f>
        <v>P02</v>
      </c>
      <c r="D337" s="20" t="str">
        <f>'C COSTOS ESTADO FINANCIERO'!E337</f>
        <v>MANTENIMIENTO HOSPITALARIO</v>
      </c>
      <c r="E337" s="20" t="str">
        <f>'C COSTOS ESTADO FINANCIERO'!I337</f>
        <v>HSFF - Fortul</v>
      </c>
      <c r="F337" s="20" t="str">
        <f>'C COSTOS ESTADO FINANCIERO'!H337</f>
        <v>APOYO LOGÍSTICO</v>
      </c>
      <c r="G337" s="20" t="str">
        <f>'C COSTOS ESTADO FINANCIERO'!J337</f>
        <v>ACTIVO</v>
      </c>
    </row>
    <row r="338" spans="1:7" x14ac:dyDescent="0.25">
      <c r="A338" s="20">
        <f>'C COSTOS ESTADO FINANCIERO'!A338</f>
        <v>4032205</v>
      </c>
      <c r="B338" s="20" t="str">
        <f>'C COSTOS ESTADO FINANCIERO'!B338</f>
        <v>HSFF-FORTUL-MANTENIMIENTO EQUIPOS NO BIOMEDICOS</v>
      </c>
      <c r="C338" s="20" t="str">
        <f>'C COSTOS ESTADO FINANCIERO'!D338</f>
        <v>P02</v>
      </c>
      <c r="D338" s="20" t="str">
        <f>'C COSTOS ESTADO FINANCIERO'!E338</f>
        <v>MANTENIMIENTO HOSPITALARIO</v>
      </c>
      <c r="E338" s="20" t="str">
        <f>'C COSTOS ESTADO FINANCIERO'!I338</f>
        <v>HSFF - Fortul</v>
      </c>
      <c r="F338" s="20" t="str">
        <f>'C COSTOS ESTADO FINANCIERO'!H338</f>
        <v>APOYO LOGÍSTICO</v>
      </c>
      <c r="G338" s="20" t="str">
        <f>'C COSTOS ESTADO FINANCIERO'!J338</f>
        <v>ACTIVO</v>
      </c>
    </row>
    <row r="339" spans="1:7" x14ac:dyDescent="0.25">
      <c r="A339" s="20">
        <f>'C COSTOS ESTADO FINANCIERO'!A339</f>
        <v>4032206</v>
      </c>
      <c r="B339" s="20" t="str">
        <f>'C COSTOS ESTADO FINANCIERO'!B339</f>
        <v>HSFF-FORTUL-LAVANDERIA</v>
      </c>
      <c r="C339" s="20" t="str">
        <f>'C COSTOS ESTADO FINANCIERO'!D339</f>
        <v>P03</v>
      </c>
      <c r="D339" s="20" t="str">
        <f>'C COSTOS ESTADO FINANCIERO'!E339</f>
        <v>LAVANDERIA, VESTUARIO Y COSTURERO</v>
      </c>
      <c r="E339" s="20" t="str">
        <f>'C COSTOS ESTADO FINANCIERO'!I339</f>
        <v>HSFF - Fortul</v>
      </c>
      <c r="F339" s="20" t="str">
        <f>'C COSTOS ESTADO FINANCIERO'!H339</f>
        <v>APOYO LOGÍSTICO</v>
      </c>
      <c r="G339" s="20" t="str">
        <f>'C COSTOS ESTADO FINANCIERO'!J339</f>
        <v>ACTIVO</v>
      </c>
    </row>
    <row r="340" spans="1:7" x14ac:dyDescent="0.25">
      <c r="A340" s="20">
        <f>'C COSTOS ESTADO FINANCIERO'!A340</f>
        <v>4032207</v>
      </c>
      <c r="B340" s="20" t="str">
        <f>'C COSTOS ESTADO FINANCIERO'!B340</f>
        <v>HSFF-FORTUL-ALIMENTACION A PACIENTES</v>
      </c>
      <c r="C340" s="20" t="str">
        <f>'C COSTOS ESTADO FINANCIERO'!D340</f>
        <v>P01</v>
      </c>
      <c r="D340" s="20" t="str">
        <f>'C COSTOS ESTADO FINANCIERO'!E340</f>
        <v>COCINA</v>
      </c>
      <c r="E340" s="20" t="str">
        <f>'C COSTOS ESTADO FINANCIERO'!I340</f>
        <v>HSFF - Fortul</v>
      </c>
      <c r="F340" s="20" t="str">
        <f>'C COSTOS ESTADO FINANCIERO'!H340</f>
        <v>APOYO LOGÍSTICO</v>
      </c>
      <c r="G340" s="20" t="str">
        <f>'C COSTOS ESTADO FINANCIERO'!J340</f>
        <v>ACTIVO</v>
      </c>
    </row>
    <row r="341" spans="1:7" x14ac:dyDescent="0.25">
      <c r="A341" s="20">
        <f>'C COSTOS ESTADO FINANCIERO'!A341</f>
        <v>4042201</v>
      </c>
      <c r="B341" s="20" t="str">
        <f>'C COSTOS ESTADO FINANCIERO'!B341</f>
        <v>HSAT-TAME-TRANSPORTE PACIENTES CONDUCTORES</v>
      </c>
      <c r="C341" s="20" t="str">
        <f>'C COSTOS ESTADO FINANCIERO'!D341</f>
        <v>N08</v>
      </c>
      <c r="D341" s="20" t="str">
        <f>'C COSTOS ESTADO FINANCIERO'!E341</f>
        <v>SERVICIO DE AMBULANCIAS</v>
      </c>
      <c r="E341" s="20" t="str">
        <f>'C COSTOS ESTADO FINANCIERO'!I341</f>
        <v>HSAT - Tame</v>
      </c>
      <c r="F341" s="20" t="str">
        <f>'C COSTOS ESTADO FINANCIERO'!H341</f>
        <v>PRODUCTIVO (final)</v>
      </c>
      <c r="G341" s="20" t="str">
        <f>'C COSTOS ESTADO FINANCIERO'!J341</f>
        <v>ACTIVO</v>
      </c>
    </row>
    <row r="342" spans="1:7" x14ac:dyDescent="0.25">
      <c r="A342" s="20">
        <f>'C COSTOS ESTADO FINANCIERO'!A342</f>
        <v>4042202</v>
      </c>
      <c r="B342" s="20" t="str">
        <f>'C COSTOS ESTADO FINANCIERO'!B342</f>
        <v>HSAT-TAME-MANTENIMIENTO VEHICULOS</v>
      </c>
      <c r="C342" s="20" t="str">
        <f>'C COSTOS ESTADO FINANCIERO'!D342</f>
        <v>N08</v>
      </c>
      <c r="D342" s="20" t="str">
        <f>'C COSTOS ESTADO FINANCIERO'!E342</f>
        <v>SERVICIO DE AMBULANCIAS</v>
      </c>
      <c r="E342" s="20" t="str">
        <f>'C COSTOS ESTADO FINANCIERO'!I342</f>
        <v>HSAT - Tame</v>
      </c>
      <c r="F342" s="20" t="str">
        <f>'C COSTOS ESTADO FINANCIERO'!H342</f>
        <v>PRODUCTIVO (final)</v>
      </c>
      <c r="G342" s="20" t="str">
        <f>'C COSTOS ESTADO FINANCIERO'!J342</f>
        <v>ACTIVO</v>
      </c>
    </row>
    <row r="343" spans="1:7" x14ac:dyDescent="0.25">
      <c r="A343" s="20">
        <f>'C COSTOS ESTADO FINANCIERO'!A343</f>
        <v>4042203</v>
      </c>
      <c r="B343" s="20" t="str">
        <f>'C COSTOS ESTADO FINANCIERO'!B343</f>
        <v>HSAT-TAME-MANTENIMIENTO PLANTA FISICA</v>
      </c>
      <c r="C343" s="20" t="str">
        <f>'C COSTOS ESTADO FINANCIERO'!D343</f>
        <v>P02</v>
      </c>
      <c r="D343" s="20" t="str">
        <f>'C COSTOS ESTADO FINANCIERO'!E343</f>
        <v>MANTENIMIENTO HOSPITALARIO</v>
      </c>
      <c r="E343" s="20" t="str">
        <f>'C COSTOS ESTADO FINANCIERO'!I343</f>
        <v>HSAT - Tame</v>
      </c>
      <c r="F343" s="20" t="str">
        <f>'C COSTOS ESTADO FINANCIERO'!H343</f>
        <v>APOYO LOGÍSTICO</v>
      </c>
      <c r="G343" s="20" t="str">
        <f>'C COSTOS ESTADO FINANCIERO'!J343</f>
        <v>ACTIVO</v>
      </c>
    </row>
    <row r="344" spans="1:7" x14ac:dyDescent="0.25">
      <c r="A344" s="20">
        <f>'C COSTOS ESTADO FINANCIERO'!A344</f>
        <v>4042204</v>
      </c>
      <c r="B344" s="20" t="str">
        <f>'C COSTOS ESTADO FINANCIERO'!B344</f>
        <v>HSAT-TAME-MANTENIMIENTO EQUIPOS BIOMEDICOS</v>
      </c>
      <c r="C344" s="20" t="str">
        <f>'C COSTOS ESTADO FINANCIERO'!D344</f>
        <v>P02</v>
      </c>
      <c r="D344" s="20" t="str">
        <f>'C COSTOS ESTADO FINANCIERO'!E344</f>
        <v>MANTENIMIENTO HOSPITALARIO</v>
      </c>
      <c r="E344" s="20" t="str">
        <f>'C COSTOS ESTADO FINANCIERO'!I344</f>
        <v>HSAT - Tame</v>
      </c>
      <c r="F344" s="20" t="str">
        <f>'C COSTOS ESTADO FINANCIERO'!H344</f>
        <v>APOYO LOGÍSTICO</v>
      </c>
      <c r="G344" s="20" t="str">
        <f>'C COSTOS ESTADO FINANCIERO'!J344</f>
        <v>ACTIVO</v>
      </c>
    </row>
    <row r="345" spans="1:7" x14ac:dyDescent="0.25">
      <c r="A345" s="20">
        <f>'C COSTOS ESTADO FINANCIERO'!A345</f>
        <v>4042205</v>
      </c>
      <c r="B345" s="20" t="str">
        <f>'C COSTOS ESTADO FINANCIERO'!B345</f>
        <v>HSAT-TAME-MANTENIMIENTO EQUIPOS NO BIOMEDICOS</v>
      </c>
      <c r="C345" s="20" t="str">
        <f>'C COSTOS ESTADO FINANCIERO'!D345</f>
        <v>P02</v>
      </c>
      <c r="D345" s="20" t="str">
        <f>'C COSTOS ESTADO FINANCIERO'!E345</f>
        <v>MANTENIMIENTO HOSPITALARIO</v>
      </c>
      <c r="E345" s="20" t="str">
        <f>'C COSTOS ESTADO FINANCIERO'!I345</f>
        <v>HSAT - Tame</v>
      </c>
      <c r="F345" s="20" t="str">
        <f>'C COSTOS ESTADO FINANCIERO'!H345</f>
        <v>APOYO LOGÍSTICO</v>
      </c>
      <c r="G345" s="20" t="str">
        <f>'C COSTOS ESTADO FINANCIERO'!J345</f>
        <v>ACTIVO</v>
      </c>
    </row>
    <row r="346" spans="1:7" x14ac:dyDescent="0.25">
      <c r="A346" s="20">
        <f>'C COSTOS ESTADO FINANCIERO'!A346</f>
        <v>4042206</v>
      </c>
      <c r="B346" s="20" t="str">
        <f>'C COSTOS ESTADO FINANCIERO'!B346</f>
        <v>HSAT-TAME-LAVANDERIA</v>
      </c>
      <c r="C346" s="20" t="str">
        <f>'C COSTOS ESTADO FINANCIERO'!D346</f>
        <v>P03</v>
      </c>
      <c r="D346" s="20" t="str">
        <f>'C COSTOS ESTADO FINANCIERO'!E346</f>
        <v>LAVANDERIA, VESTUARIO Y COSTURERO</v>
      </c>
      <c r="E346" s="20" t="str">
        <f>'C COSTOS ESTADO FINANCIERO'!I346</f>
        <v>HSAT - Tame</v>
      </c>
      <c r="F346" s="20" t="str">
        <f>'C COSTOS ESTADO FINANCIERO'!H346</f>
        <v>APOYO LOGÍSTICO</v>
      </c>
      <c r="G346" s="20" t="str">
        <f>'C COSTOS ESTADO FINANCIERO'!J346</f>
        <v>ACTIVO</v>
      </c>
    </row>
    <row r="347" spans="1:7" x14ac:dyDescent="0.25">
      <c r="A347" s="20">
        <f>'C COSTOS ESTADO FINANCIERO'!A347</f>
        <v>4042207</v>
      </c>
      <c r="B347" s="20" t="str">
        <f>'C COSTOS ESTADO FINANCIERO'!B347</f>
        <v>HSAT-TAME-ALIMENTACION A PACIENTES</v>
      </c>
      <c r="C347" s="20" t="str">
        <f>'C COSTOS ESTADO FINANCIERO'!D347</f>
        <v>P01</v>
      </c>
      <c r="D347" s="20" t="str">
        <f>'C COSTOS ESTADO FINANCIERO'!E347</f>
        <v>COCINA</v>
      </c>
      <c r="E347" s="20" t="str">
        <f>'C COSTOS ESTADO FINANCIERO'!I347</f>
        <v>HSAT - Tame</v>
      </c>
      <c r="F347" s="20" t="str">
        <f>'C COSTOS ESTADO FINANCIERO'!H347</f>
        <v>APOYO LOGÍSTICO</v>
      </c>
      <c r="G347" s="20" t="str">
        <f>'C COSTOS ESTADO FINANCIERO'!J347</f>
        <v>ACTIVO</v>
      </c>
    </row>
    <row r="348" spans="1:7" x14ac:dyDescent="0.25">
      <c r="A348" s="20">
        <f>'C COSTOS ESTADO FINANCIERO'!A348</f>
        <v>4052201</v>
      </c>
      <c r="B348" s="20" t="str">
        <f>'C COSTOS ESTADO FINANCIERO'!B348</f>
        <v>HSJDP-PUERTO RONDON-TRANSPORTE PACIENTES CONDUCTORES</v>
      </c>
      <c r="C348" s="20" t="str">
        <f>'C COSTOS ESTADO FINANCIERO'!D348</f>
        <v>N08</v>
      </c>
      <c r="D348" s="20" t="str">
        <f>'C COSTOS ESTADO FINANCIERO'!E348</f>
        <v>SERVICIO DE AMBULANCIAS</v>
      </c>
      <c r="E348" s="20" t="str">
        <f>'C COSTOS ESTADO FINANCIERO'!I348</f>
        <v>HSJDP - Puerto Rondón</v>
      </c>
      <c r="F348" s="20" t="str">
        <f>'C COSTOS ESTADO FINANCIERO'!H348</f>
        <v>PRODUCTIVO (final)</v>
      </c>
      <c r="G348" s="20" t="str">
        <f>'C COSTOS ESTADO FINANCIERO'!J348</f>
        <v>ACTIVO</v>
      </c>
    </row>
    <row r="349" spans="1:7" x14ac:dyDescent="0.25">
      <c r="A349" s="20">
        <f>'C COSTOS ESTADO FINANCIERO'!A349</f>
        <v>4052202</v>
      </c>
      <c r="B349" s="20" t="str">
        <f>'C COSTOS ESTADO FINANCIERO'!B349</f>
        <v>HSJDP-PUERTO RONDON-MANTENIMIENTO VEHICULOS</v>
      </c>
      <c r="C349" s="20" t="str">
        <f>'C COSTOS ESTADO FINANCIERO'!D349</f>
        <v>N08</v>
      </c>
      <c r="D349" s="20" t="str">
        <f>'C COSTOS ESTADO FINANCIERO'!E349</f>
        <v>SERVICIO DE AMBULANCIAS</v>
      </c>
      <c r="E349" s="20" t="str">
        <f>'C COSTOS ESTADO FINANCIERO'!I349</f>
        <v>HSJDP - Puerto Rondón</v>
      </c>
      <c r="F349" s="20" t="str">
        <f>'C COSTOS ESTADO FINANCIERO'!H349</f>
        <v>PRODUCTIVO (final)</v>
      </c>
      <c r="G349" s="20" t="str">
        <f>'C COSTOS ESTADO FINANCIERO'!J349</f>
        <v>ACTIVO</v>
      </c>
    </row>
    <row r="350" spans="1:7" x14ac:dyDescent="0.25">
      <c r="A350" s="20">
        <f>'C COSTOS ESTADO FINANCIERO'!A350</f>
        <v>4052203</v>
      </c>
      <c r="B350" s="20" t="str">
        <f>'C COSTOS ESTADO FINANCIERO'!B350</f>
        <v>HSJDP-PUERTO RONDON-MANTENIMIENTO PLANTA FISICA</v>
      </c>
      <c r="C350" s="20" t="str">
        <f>'C COSTOS ESTADO FINANCIERO'!D350</f>
        <v>P02</v>
      </c>
      <c r="D350" s="20" t="str">
        <f>'C COSTOS ESTADO FINANCIERO'!E350</f>
        <v>MANTENIMIENTO HOSPITALARIO</v>
      </c>
      <c r="E350" s="20" t="str">
        <f>'C COSTOS ESTADO FINANCIERO'!I350</f>
        <v>HSJDP - Puerto Rondón</v>
      </c>
      <c r="F350" s="20" t="str">
        <f>'C COSTOS ESTADO FINANCIERO'!H350</f>
        <v>APOYO LOGÍSTICO</v>
      </c>
      <c r="G350" s="20" t="str">
        <f>'C COSTOS ESTADO FINANCIERO'!J350</f>
        <v>ACTIVO</v>
      </c>
    </row>
    <row r="351" spans="1:7" x14ac:dyDescent="0.25">
      <c r="A351" s="20">
        <f>'C COSTOS ESTADO FINANCIERO'!A351</f>
        <v>4052204</v>
      </c>
      <c r="B351" s="20" t="str">
        <f>'C COSTOS ESTADO FINANCIERO'!B351</f>
        <v>HSJDP-PUERTO RONDON-MANTENIMIENTO EQUIPOS BIOMEDICOS</v>
      </c>
      <c r="C351" s="20" t="str">
        <f>'C COSTOS ESTADO FINANCIERO'!D351</f>
        <v>P02</v>
      </c>
      <c r="D351" s="20" t="str">
        <f>'C COSTOS ESTADO FINANCIERO'!E351</f>
        <v>MANTENIMIENTO HOSPITALARIO</v>
      </c>
      <c r="E351" s="20" t="str">
        <f>'C COSTOS ESTADO FINANCIERO'!I351</f>
        <v>HSJDP - Puerto Rondón</v>
      </c>
      <c r="F351" s="20" t="str">
        <f>'C COSTOS ESTADO FINANCIERO'!H351</f>
        <v>APOYO LOGÍSTICO</v>
      </c>
      <c r="G351" s="20" t="str">
        <f>'C COSTOS ESTADO FINANCIERO'!J351</f>
        <v>ACTIVO</v>
      </c>
    </row>
    <row r="352" spans="1:7" x14ac:dyDescent="0.25">
      <c r="A352" s="20">
        <f>'C COSTOS ESTADO FINANCIERO'!A352</f>
        <v>4052205</v>
      </c>
      <c r="B352" s="20" t="str">
        <f>'C COSTOS ESTADO FINANCIERO'!B352</f>
        <v>HSJDP-PUERTO RONDON-MANTENIMIENTO EQUIPOS NO BIOMEDICOS</v>
      </c>
      <c r="C352" s="20" t="str">
        <f>'C COSTOS ESTADO FINANCIERO'!D352</f>
        <v>P02</v>
      </c>
      <c r="D352" s="20" t="str">
        <f>'C COSTOS ESTADO FINANCIERO'!E352</f>
        <v>MANTENIMIENTO HOSPITALARIO</v>
      </c>
      <c r="E352" s="20" t="str">
        <f>'C COSTOS ESTADO FINANCIERO'!I352</f>
        <v>HSJDP - Puerto Rondón</v>
      </c>
      <c r="F352" s="20" t="str">
        <f>'C COSTOS ESTADO FINANCIERO'!H352</f>
        <v>APOYO LOGÍSTICO</v>
      </c>
      <c r="G352" s="20" t="str">
        <f>'C COSTOS ESTADO FINANCIERO'!J352</f>
        <v>ACTIVO</v>
      </c>
    </row>
    <row r="353" spans="1:7" x14ac:dyDescent="0.25">
      <c r="A353" s="20">
        <f>'C COSTOS ESTADO FINANCIERO'!A353</f>
        <v>4052206</v>
      </c>
      <c r="B353" s="20" t="str">
        <f>'C COSTOS ESTADO FINANCIERO'!B353</f>
        <v>HSJDP-PUERTO RONDON-LAVANDERIA</v>
      </c>
      <c r="C353" s="20" t="str">
        <f>'C COSTOS ESTADO FINANCIERO'!D353</f>
        <v>P03</v>
      </c>
      <c r="D353" s="20" t="str">
        <f>'C COSTOS ESTADO FINANCIERO'!E353</f>
        <v>LAVANDERIA, VESTUARIO Y COSTURERO</v>
      </c>
      <c r="E353" s="20" t="str">
        <f>'C COSTOS ESTADO FINANCIERO'!I353</f>
        <v>HSJDP - Puerto Rondón</v>
      </c>
      <c r="F353" s="20" t="str">
        <f>'C COSTOS ESTADO FINANCIERO'!H353</f>
        <v>APOYO LOGÍSTICO</v>
      </c>
      <c r="G353" s="20" t="str">
        <f>'C COSTOS ESTADO FINANCIERO'!J353</f>
        <v>ACTIVO</v>
      </c>
    </row>
    <row r="354" spans="1:7" x14ac:dyDescent="0.25">
      <c r="A354" s="20">
        <f>'C COSTOS ESTADO FINANCIERO'!A354</f>
        <v>4052207</v>
      </c>
      <c r="B354" s="20" t="str">
        <f>'C COSTOS ESTADO FINANCIERO'!B354</f>
        <v>HSJDP-PUERTO RONDON-ALIMENTACION A PACIENTES</v>
      </c>
      <c r="C354" s="20" t="str">
        <f>'C COSTOS ESTADO FINANCIERO'!D354</f>
        <v>P01</v>
      </c>
      <c r="D354" s="20" t="str">
        <f>'C COSTOS ESTADO FINANCIERO'!E354</f>
        <v>COCINA</v>
      </c>
      <c r="E354" s="20" t="str">
        <f>'C COSTOS ESTADO FINANCIERO'!I354</f>
        <v>HSJDP - Puerto Rondón</v>
      </c>
      <c r="F354" s="20" t="str">
        <f>'C COSTOS ESTADO FINANCIERO'!H354</f>
        <v>APOYO LOGÍSTICO</v>
      </c>
      <c r="G354" s="20" t="str">
        <f>'C COSTOS ESTADO FINANCIERO'!J354</f>
        <v>ACTIVO</v>
      </c>
    </row>
    <row r="355" spans="1:7" x14ac:dyDescent="0.25">
      <c r="A355" s="20">
        <f>'C COSTOS ESTADO FINANCIERO'!A355</f>
        <v>4062201</v>
      </c>
      <c r="B355" s="20" t="str">
        <f>'C COSTOS ESTADO FINANCIERO'!B355</f>
        <v>HSJCN-CRAVO NORTE-TRANSPORTE PACIENTES CONDUCTORES</v>
      </c>
      <c r="C355" s="20" t="str">
        <f>'C COSTOS ESTADO FINANCIERO'!D355</f>
        <v>N08</v>
      </c>
      <c r="D355" s="20" t="str">
        <f>'C COSTOS ESTADO FINANCIERO'!E355</f>
        <v>SERVICIO DE AMBULANCIAS</v>
      </c>
      <c r="E355" s="20" t="str">
        <f>'C COSTOS ESTADO FINANCIERO'!I355</f>
        <v>HSJCN - Cravo Norte</v>
      </c>
      <c r="F355" s="20" t="str">
        <f>'C COSTOS ESTADO FINANCIERO'!H355</f>
        <v>PRODUCTIVO (final)</v>
      </c>
      <c r="G355" s="20" t="str">
        <f>'C COSTOS ESTADO FINANCIERO'!J355</f>
        <v>ACTIVO</v>
      </c>
    </row>
    <row r="356" spans="1:7" x14ac:dyDescent="0.25">
      <c r="A356" s="20">
        <f>'C COSTOS ESTADO FINANCIERO'!A356</f>
        <v>4062202</v>
      </c>
      <c r="B356" s="20" t="str">
        <f>'C COSTOS ESTADO FINANCIERO'!B356</f>
        <v>HSJCN-CRAVO NORTE-MANTENIMIENTO VEHICULOS</v>
      </c>
      <c r="C356" s="20" t="str">
        <f>'C COSTOS ESTADO FINANCIERO'!D356</f>
        <v>N08</v>
      </c>
      <c r="D356" s="20" t="str">
        <f>'C COSTOS ESTADO FINANCIERO'!E356</f>
        <v>SERVICIO DE AMBULANCIAS</v>
      </c>
      <c r="E356" s="20" t="str">
        <f>'C COSTOS ESTADO FINANCIERO'!I356</f>
        <v>HSJCN - Cravo Norte</v>
      </c>
      <c r="F356" s="20" t="str">
        <f>'C COSTOS ESTADO FINANCIERO'!H356</f>
        <v>PRODUCTIVO (final)</v>
      </c>
      <c r="G356" s="20" t="str">
        <f>'C COSTOS ESTADO FINANCIERO'!J356</f>
        <v>ACTIVO</v>
      </c>
    </row>
    <row r="357" spans="1:7" x14ac:dyDescent="0.25">
      <c r="A357" s="20">
        <f>'C COSTOS ESTADO FINANCIERO'!A357</f>
        <v>4062203</v>
      </c>
      <c r="B357" s="20" t="str">
        <f>'C COSTOS ESTADO FINANCIERO'!B357</f>
        <v>HSJCN-CRAVO NORTE-MANTENIMIENTO PLANTA FISICA</v>
      </c>
      <c r="C357" s="20" t="str">
        <f>'C COSTOS ESTADO FINANCIERO'!D357</f>
        <v>P02</v>
      </c>
      <c r="D357" s="20" t="str">
        <f>'C COSTOS ESTADO FINANCIERO'!E357</f>
        <v>MANTENIMIENTO HOSPITALARIO</v>
      </c>
      <c r="E357" s="20" t="str">
        <f>'C COSTOS ESTADO FINANCIERO'!I357</f>
        <v>HSJCN - Cravo Norte</v>
      </c>
      <c r="F357" s="20" t="str">
        <f>'C COSTOS ESTADO FINANCIERO'!H357</f>
        <v>APOYO LOGÍSTICO</v>
      </c>
      <c r="G357" s="20" t="str">
        <f>'C COSTOS ESTADO FINANCIERO'!J357</f>
        <v>ACTIVO</v>
      </c>
    </row>
    <row r="358" spans="1:7" x14ac:dyDescent="0.25">
      <c r="A358" s="20">
        <f>'C COSTOS ESTADO FINANCIERO'!A358</f>
        <v>4062204</v>
      </c>
      <c r="B358" s="20" t="str">
        <f>'C COSTOS ESTADO FINANCIERO'!B358</f>
        <v>HSJCN-CRAVO NORTE-MANTENIMIENTO EQUIPOS BIOMEDICOS</v>
      </c>
      <c r="C358" s="20" t="str">
        <f>'C COSTOS ESTADO FINANCIERO'!D358</f>
        <v>P02</v>
      </c>
      <c r="D358" s="20" t="str">
        <f>'C COSTOS ESTADO FINANCIERO'!E358</f>
        <v>MANTENIMIENTO HOSPITALARIO</v>
      </c>
      <c r="E358" s="20" t="str">
        <f>'C COSTOS ESTADO FINANCIERO'!I358</f>
        <v>HSJCN - Cravo Norte</v>
      </c>
      <c r="F358" s="20" t="str">
        <f>'C COSTOS ESTADO FINANCIERO'!H358</f>
        <v>APOYO LOGÍSTICO</v>
      </c>
      <c r="G358" s="20" t="str">
        <f>'C COSTOS ESTADO FINANCIERO'!J358</f>
        <v>ACTIVO</v>
      </c>
    </row>
    <row r="359" spans="1:7" x14ac:dyDescent="0.25">
      <c r="A359" s="20">
        <f>'C COSTOS ESTADO FINANCIERO'!A359</f>
        <v>4062205</v>
      </c>
      <c r="B359" s="20" t="str">
        <f>'C COSTOS ESTADO FINANCIERO'!B359</f>
        <v>HSJCN-CRAVO NORTE-MANTENIMIENTO EQUIPOS NO BIOMEDICOS</v>
      </c>
      <c r="C359" s="20" t="str">
        <f>'C COSTOS ESTADO FINANCIERO'!D359</f>
        <v>P02</v>
      </c>
      <c r="D359" s="20" t="str">
        <f>'C COSTOS ESTADO FINANCIERO'!E359</f>
        <v>MANTENIMIENTO HOSPITALARIO</v>
      </c>
      <c r="E359" s="20" t="str">
        <f>'C COSTOS ESTADO FINANCIERO'!I359</f>
        <v>HSJCN - Cravo Norte</v>
      </c>
      <c r="F359" s="20" t="str">
        <f>'C COSTOS ESTADO FINANCIERO'!H359</f>
        <v>APOYO LOGÍSTICO</v>
      </c>
      <c r="G359" s="20" t="str">
        <f>'C COSTOS ESTADO FINANCIERO'!J359</f>
        <v>ACTIVO</v>
      </c>
    </row>
    <row r="360" spans="1:7" x14ac:dyDescent="0.25">
      <c r="A360" s="20">
        <f>'C COSTOS ESTADO FINANCIERO'!A360</f>
        <v>4062206</v>
      </c>
      <c r="B360" s="20" t="str">
        <f>'C COSTOS ESTADO FINANCIERO'!B360</f>
        <v>HSJCN-CRAVO NORTE-LAVANDERIA</v>
      </c>
      <c r="C360" s="20" t="str">
        <f>'C COSTOS ESTADO FINANCIERO'!D360</f>
        <v>P03</v>
      </c>
      <c r="D360" s="20" t="str">
        <f>'C COSTOS ESTADO FINANCIERO'!E360</f>
        <v>LAVANDERIA, VESTUARIO Y COSTURERO</v>
      </c>
      <c r="E360" s="20" t="str">
        <f>'C COSTOS ESTADO FINANCIERO'!I360</f>
        <v>HSJCN - Cravo Norte</v>
      </c>
      <c r="F360" s="20" t="str">
        <f>'C COSTOS ESTADO FINANCIERO'!H360</f>
        <v>APOYO LOGÍSTICO</v>
      </c>
      <c r="G360" s="20" t="str">
        <f>'C COSTOS ESTADO FINANCIERO'!J360</f>
        <v>ACTIVO</v>
      </c>
    </row>
    <row r="361" spans="1:7" x14ac:dyDescent="0.25">
      <c r="A361" s="20">
        <f>'C COSTOS ESTADO FINANCIERO'!A361</f>
        <v>4062207</v>
      </c>
      <c r="B361" s="20" t="str">
        <f>'C COSTOS ESTADO FINANCIERO'!B361</f>
        <v>HSJCN-CRAVO NORTE-ALIMENTACION A PACIENTES</v>
      </c>
      <c r="C361" s="20" t="str">
        <f>'C COSTOS ESTADO FINANCIERO'!D361</f>
        <v>P01</v>
      </c>
      <c r="D361" s="20" t="str">
        <f>'C COSTOS ESTADO FINANCIERO'!E361</f>
        <v>COCINA</v>
      </c>
      <c r="E361" s="20" t="str">
        <f>'C COSTOS ESTADO FINANCIERO'!I361</f>
        <v>HSJCN - Cravo Norte</v>
      </c>
      <c r="F361" s="20" t="str">
        <f>'C COSTOS ESTADO FINANCIERO'!H361</f>
        <v>APOYO LOGÍSTICO</v>
      </c>
      <c r="G361" s="20" t="str">
        <f>'C COSTOS ESTADO FINANCIERO'!J361</f>
        <v>ACTIVO</v>
      </c>
    </row>
    <row r="362" spans="1:7" x14ac:dyDescent="0.25">
      <c r="A362" s="20">
        <f>'C COSTOS ESTADO FINANCIERO'!A362</f>
        <v>4072201</v>
      </c>
      <c r="B362" s="20" t="str">
        <f>'C COSTOS ESTADO FINANCIERO'!B362</f>
        <v>HSRP-PAMPURI-TRANSPORTE PACIENTES CONDUCTORES</v>
      </c>
      <c r="C362" s="20" t="str">
        <f>'C COSTOS ESTADO FINANCIERO'!D362</f>
        <v>N08</v>
      </c>
      <c r="D362" s="20" t="str">
        <f>'C COSTOS ESTADO FINANCIERO'!E362</f>
        <v>SERVICIO DE AMBULANCIAS</v>
      </c>
      <c r="E362" s="20" t="str">
        <f>'C COSTOS ESTADO FINANCIERO'!I362</f>
        <v>HSRP - Pampurí / La Esmeralda</v>
      </c>
      <c r="F362" s="20" t="str">
        <f>'C COSTOS ESTADO FINANCIERO'!H362</f>
        <v>PRODUCTIVO (final)</v>
      </c>
      <c r="G362" s="20" t="str">
        <f>'C COSTOS ESTADO FINANCIERO'!J362</f>
        <v>ACTIVO</v>
      </c>
    </row>
    <row r="363" spans="1:7" x14ac:dyDescent="0.25">
      <c r="A363" s="20">
        <f>'C COSTOS ESTADO FINANCIERO'!A363</f>
        <v>4072202</v>
      </c>
      <c r="B363" s="20" t="str">
        <f>'C COSTOS ESTADO FINANCIERO'!B363</f>
        <v>HSRP-MANTENIMIENTO VEHICULOS</v>
      </c>
      <c r="C363" s="20" t="str">
        <f>'C COSTOS ESTADO FINANCIERO'!D363</f>
        <v>N08</v>
      </c>
      <c r="D363" s="20" t="str">
        <f>'C COSTOS ESTADO FINANCIERO'!E363</f>
        <v>SERVICIO DE AMBULANCIAS</v>
      </c>
      <c r="E363" s="20" t="str">
        <f>'C COSTOS ESTADO FINANCIERO'!I363</f>
        <v>HSRP - Pampurí / La Esmeralda</v>
      </c>
      <c r="F363" s="20" t="str">
        <f>'C COSTOS ESTADO FINANCIERO'!H363</f>
        <v>PRODUCTIVO (final)</v>
      </c>
      <c r="G363" s="20" t="str">
        <f>'C COSTOS ESTADO FINANCIERO'!J363</f>
        <v>ACTIVO</v>
      </c>
    </row>
    <row r="364" spans="1:7" x14ac:dyDescent="0.25">
      <c r="A364" s="20">
        <f>'C COSTOS ESTADO FINANCIERO'!A364</f>
        <v>4072203</v>
      </c>
      <c r="B364" s="20" t="str">
        <f>'C COSTOS ESTADO FINANCIERO'!B364</f>
        <v>HSRP-PAMPURI-MANTENIMIENTO PLANTA FISICA</v>
      </c>
      <c r="C364" s="20" t="str">
        <f>'C COSTOS ESTADO FINANCIERO'!D364</f>
        <v>P02</v>
      </c>
      <c r="D364" s="20" t="str">
        <f>'C COSTOS ESTADO FINANCIERO'!E364</f>
        <v>MANTENIMIENTO HOSPITALARIO</v>
      </c>
      <c r="E364" s="20" t="str">
        <f>'C COSTOS ESTADO FINANCIERO'!I364</f>
        <v>HSRP - Pampurí / La Esmeralda</v>
      </c>
      <c r="F364" s="20" t="str">
        <f>'C COSTOS ESTADO FINANCIERO'!H364</f>
        <v>APOYO LOGÍSTICO</v>
      </c>
      <c r="G364" s="20" t="str">
        <f>'C COSTOS ESTADO FINANCIERO'!J364</f>
        <v>ACTIVO</v>
      </c>
    </row>
    <row r="365" spans="1:7" x14ac:dyDescent="0.25">
      <c r="A365" s="20">
        <f>'C COSTOS ESTADO FINANCIERO'!A365</f>
        <v>4072204</v>
      </c>
      <c r="B365" s="20" t="str">
        <f>'C COSTOS ESTADO FINANCIERO'!B365</f>
        <v>HSRP-PAMPURI-MANTENIMIENTO EQUIPOS BIOMEDICOS</v>
      </c>
      <c r="C365" s="20" t="str">
        <f>'C COSTOS ESTADO FINANCIERO'!D365</f>
        <v>P02</v>
      </c>
      <c r="D365" s="20" t="str">
        <f>'C COSTOS ESTADO FINANCIERO'!E365</f>
        <v>MANTENIMIENTO HOSPITALARIO</v>
      </c>
      <c r="E365" s="20" t="str">
        <f>'C COSTOS ESTADO FINANCIERO'!I365</f>
        <v>HSRP - Pampurí / La Esmeralda</v>
      </c>
      <c r="F365" s="20" t="str">
        <f>'C COSTOS ESTADO FINANCIERO'!H365</f>
        <v>APOYO LOGÍSTICO</v>
      </c>
      <c r="G365" s="20" t="str">
        <f>'C COSTOS ESTADO FINANCIERO'!J365</f>
        <v>ACTIVO</v>
      </c>
    </row>
    <row r="366" spans="1:7" x14ac:dyDescent="0.25">
      <c r="A366" s="20">
        <f>'C COSTOS ESTADO FINANCIERO'!A366</f>
        <v>4072205</v>
      </c>
      <c r="B366" s="20" t="str">
        <f>'C COSTOS ESTADO FINANCIERO'!B366</f>
        <v>HSRP-ESMERALDA-MANTENIMIENTO EQUIPOS NO BIOMEDICOS</v>
      </c>
      <c r="C366" s="20" t="str">
        <f>'C COSTOS ESTADO FINANCIERO'!D366</f>
        <v>P02</v>
      </c>
      <c r="D366" s="20" t="str">
        <f>'C COSTOS ESTADO FINANCIERO'!E366</f>
        <v>MANTENIMIENTO HOSPITALARIO</v>
      </c>
      <c r="E366" s="20" t="str">
        <f>'C COSTOS ESTADO FINANCIERO'!I366</f>
        <v>HSRP - Pampurí / La Esmeralda</v>
      </c>
      <c r="F366" s="20" t="str">
        <f>'C COSTOS ESTADO FINANCIERO'!H366</f>
        <v>APOYO LOGÍSTICO</v>
      </c>
      <c r="G366" s="20" t="str">
        <f>'C COSTOS ESTADO FINANCIERO'!J366</f>
        <v>ACTIVO</v>
      </c>
    </row>
    <row r="367" spans="1:7" x14ac:dyDescent="0.25">
      <c r="A367" s="20">
        <f>'C COSTOS ESTADO FINANCIERO'!A367</f>
        <v>4072206</v>
      </c>
      <c r="B367" s="20" t="str">
        <f>'C COSTOS ESTADO FINANCIERO'!B367</f>
        <v>HSRP-SARAVENA-LAVANDERIA</v>
      </c>
      <c r="C367" s="20" t="str">
        <f>'C COSTOS ESTADO FINANCIERO'!D367</f>
        <v>P03</v>
      </c>
      <c r="D367" s="20" t="str">
        <f>'C COSTOS ESTADO FINANCIERO'!E367</f>
        <v>LAVANDERIA, VESTUARIO Y COSTURERO</v>
      </c>
      <c r="E367" s="20" t="str">
        <f>'C COSTOS ESTADO FINANCIERO'!I367</f>
        <v>HSRP - Pampurí / La Esmeralda</v>
      </c>
      <c r="F367" s="20" t="str">
        <f>'C COSTOS ESTADO FINANCIERO'!H367</f>
        <v>APOYO LOGÍSTICO</v>
      </c>
      <c r="G367" s="20" t="str">
        <f>'C COSTOS ESTADO FINANCIERO'!J367</f>
        <v>ACTIVO</v>
      </c>
    </row>
    <row r="368" spans="1:7" x14ac:dyDescent="0.25">
      <c r="A368" s="20">
        <f>'C COSTOS ESTADO FINANCIERO'!A368</f>
        <v>4072207</v>
      </c>
      <c r="B368" s="20" t="str">
        <f>'C COSTOS ESTADO FINANCIERO'!B368</f>
        <v>HSRP-PAMPURI-ALIMENTACION A PACIENTES</v>
      </c>
      <c r="C368" s="20" t="str">
        <f>'C COSTOS ESTADO FINANCIERO'!D368</f>
        <v>P01</v>
      </c>
      <c r="D368" s="20" t="str">
        <f>'C COSTOS ESTADO FINANCIERO'!E368</f>
        <v>COCINA</v>
      </c>
      <c r="E368" s="20" t="str">
        <f>'C COSTOS ESTADO FINANCIERO'!I368</f>
        <v>HSRP - Pampurí / La Esmeralda</v>
      </c>
      <c r="F368" s="20" t="str">
        <f>'C COSTOS ESTADO FINANCIERO'!H368</f>
        <v>APOYO LOGÍSTICO</v>
      </c>
      <c r="G368" s="20" t="str">
        <f>'C COSTOS ESTADO FINANCIERO'!J368</f>
        <v>ACTIVO</v>
      </c>
    </row>
    <row r="369" spans="1:7" x14ac:dyDescent="0.25">
      <c r="A369" s="20">
        <f>'C COSTOS ESTADO FINANCIERO'!A369</f>
        <v>4082201</v>
      </c>
      <c r="B369" s="20" t="str">
        <f>'C COSTOS ESTADO FINANCIERO'!B369</f>
        <v>CSPA-TRANSPORTE PACIENTES CONDUCTORES</v>
      </c>
      <c r="C369" s="20" t="str">
        <f>'C COSTOS ESTADO FINANCIERO'!D369</f>
        <v>N08</v>
      </c>
      <c r="D369" s="20" t="str">
        <f>'C COSTOS ESTADO FINANCIERO'!E369</f>
        <v>SERVICIO DE AMBULANCIAS</v>
      </c>
      <c r="E369" s="20" t="str">
        <f>'C COSTOS ESTADO FINANCIERO'!I369</f>
        <v>CSPA - Panamá de Arauca</v>
      </c>
      <c r="F369" s="20" t="str">
        <f>'C COSTOS ESTADO FINANCIERO'!H369</f>
        <v>PRODUCTIVO (final)</v>
      </c>
      <c r="G369" s="20" t="str">
        <f>'C COSTOS ESTADO FINANCIERO'!J369</f>
        <v>ACTIVO</v>
      </c>
    </row>
    <row r="370" spans="1:7" x14ac:dyDescent="0.25">
      <c r="A370" s="20">
        <f>'C COSTOS ESTADO FINANCIERO'!A370</f>
        <v>4082202</v>
      </c>
      <c r="B370" s="20" t="str">
        <f>'C COSTOS ESTADO FINANCIERO'!B370</f>
        <v>CSPA-ARAUQUITA-MANTENIMIENTO VEHICULOS</v>
      </c>
      <c r="C370" s="20" t="str">
        <f>'C COSTOS ESTADO FINANCIERO'!D370</f>
        <v>N08</v>
      </c>
      <c r="D370" s="20" t="str">
        <f>'C COSTOS ESTADO FINANCIERO'!E370</f>
        <v>SERVICIO DE AMBULANCIAS</v>
      </c>
      <c r="E370" s="20" t="str">
        <f>'C COSTOS ESTADO FINANCIERO'!I370</f>
        <v>CSPA - Panamá de Arauca</v>
      </c>
      <c r="F370" s="20" t="str">
        <f>'C COSTOS ESTADO FINANCIERO'!H370</f>
        <v>PRODUCTIVO (final)</v>
      </c>
      <c r="G370" s="20" t="str">
        <f>'C COSTOS ESTADO FINANCIERO'!J370</f>
        <v>ACTIVO</v>
      </c>
    </row>
    <row r="371" spans="1:7" x14ac:dyDescent="0.25">
      <c r="A371" s="20">
        <f>'C COSTOS ESTADO FINANCIERO'!A371</f>
        <v>4082203</v>
      </c>
      <c r="B371" s="20" t="str">
        <f>'C COSTOS ESTADO FINANCIERO'!B371</f>
        <v>CSPA-ARAUQUITA-MANTENIMIENTO PLANTA FISICA</v>
      </c>
      <c r="C371" s="20" t="str">
        <f>'C COSTOS ESTADO FINANCIERO'!D371</f>
        <v>P02</v>
      </c>
      <c r="D371" s="20" t="str">
        <f>'C COSTOS ESTADO FINANCIERO'!E371</f>
        <v>MANTENIMIENTO HOSPITALARIO</v>
      </c>
      <c r="E371" s="20" t="str">
        <f>'C COSTOS ESTADO FINANCIERO'!I371</f>
        <v>CSPA - Panamá de Arauca</v>
      </c>
      <c r="F371" s="20" t="str">
        <f>'C COSTOS ESTADO FINANCIERO'!H371</f>
        <v>APOYO LOGÍSTICO</v>
      </c>
      <c r="G371" s="20" t="str">
        <f>'C COSTOS ESTADO FINANCIERO'!J371</f>
        <v>ACTIVO</v>
      </c>
    </row>
    <row r="372" spans="1:7" x14ac:dyDescent="0.25">
      <c r="A372" s="20">
        <f>'C COSTOS ESTADO FINANCIERO'!A372</f>
        <v>4082204</v>
      </c>
      <c r="B372" s="20" t="str">
        <f>'C COSTOS ESTADO FINANCIERO'!B372</f>
        <v>CSPA-ARAUQUITA-MANTENIMIENTO EQUIPOS BIOMEDICOS</v>
      </c>
      <c r="C372" s="20" t="str">
        <f>'C COSTOS ESTADO FINANCIERO'!D372</f>
        <v>P02</v>
      </c>
      <c r="D372" s="20" t="str">
        <f>'C COSTOS ESTADO FINANCIERO'!E372</f>
        <v>MANTENIMIENTO HOSPITALARIO</v>
      </c>
      <c r="E372" s="20" t="str">
        <f>'C COSTOS ESTADO FINANCIERO'!I372</f>
        <v>CSPA - Panamá de Arauca</v>
      </c>
      <c r="F372" s="20" t="str">
        <f>'C COSTOS ESTADO FINANCIERO'!H372</f>
        <v>APOYO LOGÍSTICO</v>
      </c>
      <c r="G372" s="20" t="str">
        <f>'C COSTOS ESTADO FINANCIERO'!J372</f>
        <v>ACTIVO</v>
      </c>
    </row>
    <row r="373" spans="1:7" x14ac:dyDescent="0.25">
      <c r="A373" s="20">
        <f>'C COSTOS ESTADO FINANCIERO'!A373</f>
        <v>4082205</v>
      </c>
      <c r="B373" s="20" t="str">
        <f>'C COSTOS ESTADO FINANCIERO'!B373</f>
        <v>CSPA-ARAUQUITA-MANTENIMIENTO EQUIPOS NO BIOMEDICOS</v>
      </c>
      <c r="C373" s="20" t="str">
        <f>'C COSTOS ESTADO FINANCIERO'!D373</f>
        <v>P02</v>
      </c>
      <c r="D373" s="20" t="str">
        <f>'C COSTOS ESTADO FINANCIERO'!E373</f>
        <v>MANTENIMIENTO HOSPITALARIO</v>
      </c>
      <c r="E373" s="20" t="str">
        <f>'C COSTOS ESTADO FINANCIERO'!I373</f>
        <v>CSPA - Panamá de Arauca</v>
      </c>
      <c r="F373" s="20" t="str">
        <f>'C COSTOS ESTADO FINANCIERO'!H373</f>
        <v>APOYO LOGÍSTICO</v>
      </c>
      <c r="G373" s="20" t="str">
        <f>'C COSTOS ESTADO FINANCIERO'!J373</f>
        <v>ACTIVO</v>
      </c>
    </row>
    <row r="374" spans="1:7" x14ac:dyDescent="0.25">
      <c r="A374" s="20">
        <f>'C COSTOS ESTADO FINANCIERO'!A374</f>
        <v>4082206</v>
      </c>
      <c r="B374" s="20" t="str">
        <f>'C COSTOS ESTADO FINANCIERO'!B374</f>
        <v>CSPA-ARAUQUITA-LAVANDERIA</v>
      </c>
      <c r="C374" s="20" t="str">
        <f>'C COSTOS ESTADO FINANCIERO'!D374</f>
        <v>P03</v>
      </c>
      <c r="D374" s="20" t="str">
        <f>'C COSTOS ESTADO FINANCIERO'!E374</f>
        <v>LAVANDERIA, VESTUARIO Y COSTURERO</v>
      </c>
      <c r="E374" s="20" t="str">
        <f>'C COSTOS ESTADO FINANCIERO'!I374</f>
        <v>CSPA - Panamá de Arauca</v>
      </c>
      <c r="F374" s="20" t="str">
        <f>'C COSTOS ESTADO FINANCIERO'!H374</f>
        <v>APOYO LOGÍSTICO</v>
      </c>
      <c r="G374" s="20" t="str">
        <f>'C COSTOS ESTADO FINANCIERO'!J374</f>
        <v>ACTIVO</v>
      </c>
    </row>
    <row r="375" spans="1:7" x14ac:dyDescent="0.25">
      <c r="A375" s="20">
        <f>'C COSTOS ESTADO FINANCIERO'!A375</f>
        <v>4082207</v>
      </c>
      <c r="B375" s="20" t="str">
        <f>'C COSTOS ESTADO FINANCIERO'!B375</f>
        <v>CSPA-ARAUQUITA-ALIMENTACION A PACIENTES</v>
      </c>
      <c r="C375" s="20" t="str">
        <f>'C COSTOS ESTADO FINANCIERO'!D375</f>
        <v>P01</v>
      </c>
      <c r="D375" s="20" t="str">
        <f>'C COSTOS ESTADO FINANCIERO'!E375</f>
        <v>COCINA</v>
      </c>
      <c r="E375" s="20" t="str">
        <f>'C COSTOS ESTADO FINANCIERO'!I375</f>
        <v>CSPA - Panamá de Arauca</v>
      </c>
      <c r="F375" s="20" t="str">
        <f>'C COSTOS ESTADO FINANCIERO'!H375</f>
        <v>APOYO LOGÍSTICO</v>
      </c>
      <c r="G375" s="20" t="str">
        <f>'C COSTOS ESTADO FINANCIERO'!J375</f>
        <v>ACTIVO</v>
      </c>
    </row>
    <row r="376" spans="1:7" x14ac:dyDescent="0.25">
      <c r="A376" s="20">
        <f>'C COSTOS ESTADO FINANCIERO'!A376</f>
        <v>4092201</v>
      </c>
      <c r="B376" s="20" t="str">
        <f>'C COSTOS ESTADO FINANCIERO'!B376</f>
        <v>CSJSC-TAME- TRANSPORTE PACIENTES CONDUCTORES</v>
      </c>
      <c r="C376" s="20" t="str">
        <f>'C COSTOS ESTADO FINANCIERO'!D376</f>
        <v>N08</v>
      </c>
      <c r="D376" s="20" t="str">
        <f>'C COSTOS ESTADO FINANCIERO'!E376</f>
        <v>SERVICIO DE AMBULANCIAS</v>
      </c>
      <c r="E376" s="20" t="str">
        <f>'C COSTOS ESTADO FINANCIERO'!I376</f>
        <v>CSJSC - Tame</v>
      </c>
      <c r="F376" s="20" t="str">
        <f>'C COSTOS ESTADO FINANCIERO'!H376</f>
        <v>PRODUCTIVO (final)</v>
      </c>
      <c r="G376" s="20" t="str">
        <f>'C COSTOS ESTADO FINANCIERO'!J376</f>
        <v>ACTIVO</v>
      </c>
    </row>
    <row r="377" spans="1:7" x14ac:dyDescent="0.25">
      <c r="A377" s="20">
        <f>'C COSTOS ESTADO FINANCIERO'!A377</f>
        <v>4092202</v>
      </c>
      <c r="B377" s="20" t="str">
        <f>'C COSTOS ESTADO FINANCIERO'!B377</f>
        <v>CSJSC-TAME- MANTENIMIENTO VEHICULOS</v>
      </c>
      <c r="C377" s="20" t="str">
        <f>'C COSTOS ESTADO FINANCIERO'!D377</f>
        <v>N08</v>
      </c>
      <c r="D377" s="20" t="str">
        <f>'C COSTOS ESTADO FINANCIERO'!E377</f>
        <v>SERVICIO DE AMBULANCIAS</v>
      </c>
      <c r="E377" s="20" t="str">
        <f>'C COSTOS ESTADO FINANCIERO'!I377</f>
        <v>CSJSC - Tame</v>
      </c>
      <c r="F377" s="20" t="str">
        <f>'C COSTOS ESTADO FINANCIERO'!H377</f>
        <v>PRODUCTIVO (final)</v>
      </c>
      <c r="G377" s="20" t="str">
        <f>'C COSTOS ESTADO FINANCIERO'!J377</f>
        <v>ACTIVO</v>
      </c>
    </row>
    <row r="378" spans="1:7" x14ac:dyDescent="0.25">
      <c r="A378" s="20">
        <f>'C COSTOS ESTADO FINANCIERO'!A378</f>
        <v>4092203</v>
      </c>
      <c r="B378" s="20" t="str">
        <f>'C COSTOS ESTADO FINANCIERO'!B378</f>
        <v>CSJSC-TAME- MANTENIMIENTO PLANTA FISICA</v>
      </c>
      <c r="C378" s="20" t="str">
        <f>'C COSTOS ESTADO FINANCIERO'!D378</f>
        <v>P02</v>
      </c>
      <c r="D378" s="20" t="str">
        <f>'C COSTOS ESTADO FINANCIERO'!E378</f>
        <v>MANTENIMIENTO HOSPITALARIO</v>
      </c>
      <c r="E378" s="20" t="str">
        <f>'C COSTOS ESTADO FINANCIERO'!I378</f>
        <v>CSJSC - Tame</v>
      </c>
      <c r="F378" s="20" t="str">
        <f>'C COSTOS ESTADO FINANCIERO'!H378</f>
        <v>APOYO LOGÍSTICO</v>
      </c>
      <c r="G378" s="20" t="str">
        <f>'C COSTOS ESTADO FINANCIERO'!J378</f>
        <v>ACTIVO</v>
      </c>
    </row>
    <row r="379" spans="1:7" x14ac:dyDescent="0.25">
      <c r="A379" s="20">
        <f>'C COSTOS ESTADO FINANCIERO'!A379</f>
        <v>4092204</v>
      </c>
      <c r="B379" s="20" t="str">
        <f>'C COSTOS ESTADO FINANCIERO'!B379</f>
        <v>CSJSC-TAME- MANTENIMIENTO EQUIPOS BIOMEDICOS</v>
      </c>
      <c r="C379" s="20" t="str">
        <f>'C COSTOS ESTADO FINANCIERO'!D379</f>
        <v>P02</v>
      </c>
      <c r="D379" s="20" t="str">
        <f>'C COSTOS ESTADO FINANCIERO'!E379</f>
        <v>MANTENIMIENTO HOSPITALARIO</v>
      </c>
      <c r="E379" s="20" t="str">
        <f>'C COSTOS ESTADO FINANCIERO'!I379</f>
        <v>CSJSC - Tame</v>
      </c>
      <c r="F379" s="20" t="str">
        <f>'C COSTOS ESTADO FINANCIERO'!H379</f>
        <v>APOYO LOGÍSTICO</v>
      </c>
      <c r="G379" s="20" t="str">
        <f>'C COSTOS ESTADO FINANCIERO'!J379</f>
        <v>ACTIVO</v>
      </c>
    </row>
    <row r="380" spans="1:7" x14ac:dyDescent="0.25">
      <c r="A380" s="20">
        <f>'C COSTOS ESTADO FINANCIERO'!A380</f>
        <v>4092205</v>
      </c>
      <c r="B380" s="20" t="str">
        <f>'C COSTOS ESTADO FINANCIERO'!B380</f>
        <v>CSJSC-TAME- MANTENIMIENTO EQUIPOS NO BIOMEDICOS</v>
      </c>
      <c r="C380" s="20" t="str">
        <f>'C COSTOS ESTADO FINANCIERO'!D380</f>
        <v>P02</v>
      </c>
      <c r="D380" s="20" t="str">
        <f>'C COSTOS ESTADO FINANCIERO'!E380</f>
        <v>MANTENIMIENTO HOSPITALARIO</v>
      </c>
      <c r="E380" s="20" t="str">
        <f>'C COSTOS ESTADO FINANCIERO'!I380</f>
        <v>CSJSC - Tame</v>
      </c>
      <c r="F380" s="20" t="str">
        <f>'C COSTOS ESTADO FINANCIERO'!H380</f>
        <v>APOYO LOGÍSTICO</v>
      </c>
      <c r="G380" s="20" t="str">
        <f>'C COSTOS ESTADO FINANCIERO'!J380</f>
        <v>ACTIVO</v>
      </c>
    </row>
    <row r="381" spans="1:7" x14ac:dyDescent="0.25">
      <c r="A381" s="20">
        <f>'C COSTOS ESTADO FINANCIERO'!A381</f>
        <v>4092206</v>
      </c>
      <c r="B381" s="20" t="str">
        <f>'C COSTOS ESTADO FINANCIERO'!B381</f>
        <v>CSJSC-TAME- LAVANDERIA</v>
      </c>
      <c r="C381" s="20" t="str">
        <f>'C COSTOS ESTADO FINANCIERO'!D381</f>
        <v>P03</v>
      </c>
      <c r="D381" s="20" t="str">
        <f>'C COSTOS ESTADO FINANCIERO'!E381</f>
        <v>LAVANDERIA, VESTUARIO Y COSTURERO</v>
      </c>
      <c r="E381" s="20" t="str">
        <f>'C COSTOS ESTADO FINANCIERO'!I381</f>
        <v>CSJSC - Tame</v>
      </c>
      <c r="F381" s="20" t="str">
        <f>'C COSTOS ESTADO FINANCIERO'!H381</f>
        <v>APOYO LOGÍSTICO</v>
      </c>
      <c r="G381" s="20" t="str">
        <f>'C COSTOS ESTADO FINANCIERO'!J381</f>
        <v>ACTIVO</v>
      </c>
    </row>
    <row r="382" spans="1:7" x14ac:dyDescent="0.25">
      <c r="A382" s="20">
        <f>'C COSTOS ESTADO FINANCIERO'!A382</f>
        <v>4092207</v>
      </c>
      <c r="B382" s="20" t="str">
        <f>'C COSTOS ESTADO FINANCIERO'!B382</f>
        <v>CSJSC-TAME- ALIMENTACION A PACIENTES</v>
      </c>
      <c r="C382" s="20" t="str">
        <f>'C COSTOS ESTADO FINANCIERO'!D382</f>
        <v>P01</v>
      </c>
      <c r="D382" s="20" t="str">
        <f>'C COSTOS ESTADO FINANCIERO'!E382</f>
        <v>COCINA</v>
      </c>
      <c r="E382" s="20" t="str">
        <f>'C COSTOS ESTADO FINANCIERO'!I382</f>
        <v>CSJSC - Tame</v>
      </c>
      <c r="F382" s="20" t="str">
        <f>'C COSTOS ESTADO FINANCIERO'!H382</f>
        <v>APOYO LOGÍSTICO</v>
      </c>
      <c r="G382" s="20" t="str">
        <f>'C COSTOS ESTADO FINANCIERO'!J382</f>
        <v>ACTIVO</v>
      </c>
    </row>
    <row r="383" spans="1:7" x14ac:dyDescent="0.25">
      <c r="A383" s="20">
        <f>'C COSTOS ESTADO FINANCIERO'!A383</f>
        <v>3022106</v>
      </c>
      <c r="B383" s="20" t="str">
        <f>'C COSTOS ESTADO FINANCIERO'!B383</f>
        <v>HSLA-ARAUQUITA-TESORERIA CAJA</v>
      </c>
      <c r="C383" s="20" t="str">
        <f>'C COSTOS ESTADO FINANCIERO'!D383</f>
        <v>S05</v>
      </c>
      <c r="D383" s="20" t="str">
        <f>'C COSTOS ESTADO FINANCIERO'!E383</f>
        <v>TESORERÍA</v>
      </c>
      <c r="E383" s="20" t="str">
        <f>'C COSTOS ESTADO FINANCIERO'!I383</f>
        <v>HSLA - Arauquita</v>
      </c>
      <c r="F383" s="20" t="str">
        <f>'C COSTOS ESTADO FINANCIERO'!H383</f>
        <v>ADMINISTRATIVO</v>
      </c>
      <c r="G383" s="20" t="str">
        <f>'C COSTOS ESTADO FINANCIERO'!J383</f>
        <v>ACTIVO</v>
      </c>
    </row>
    <row r="384" spans="1:7" x14ac:dyDescent="0.25">
      <c r="A384" s="20">
        <f>'C COSTOS ESTADO FINANCIERO'!A384</f>
        <v>3032106</v>
      </c>
      <c r="B384" s="20" t="str">
        <f>'C COSTOS ESTADO FINANCIERO'!B384</f>
        <v>HSFF-FORTUL-TESORERIA CAJA</v>
      </c>
      <c r="C384" s="20" t="str">
        <f>'C COSTOS ESTADO FINANCIERO'!D384</f>
        <v>S05</v>
      </c>
      <c r="D384" s="20" t="str">
        <f>'C COSTOS ESTADO FINANCIERO'!E384</f>
        <v>TESORERÍA</v>
      </c>
      <c r="E384" s="20" t="str">
        <f>'C COSTOS ESTADO FINANCIERO'!I384</f>
        <v>HSFF - Fortul</v>
      </c>
      <c r="F384" s="20" t="str">
        <f>'C COSTOS ESTADO FINANCIERO'!H384</f>
        <v>ADMINISTRATIVO</v>
      </c>
      <c r="G384" s="20" t="str">
        <f>'C COSTOS ESTADO FINANCIERO'!J384</f>
        <v>ACTIVO</v>
      </c>
    </row>
    <row r="385" spans="1:7" x14ac:dyDescent="0.25">
      <c r="A385" s="20">
        <f>'C COSTOS ESTADO FINANCIERO'!A385</f>
        <v>3042106</v>
      </c>
      <c r="B385" s="20" t="str">
        <f>'C COSTOS ESTADO FINANCIERO'!B385</f>
        <v>HSAT-TAME-TESORERIA CAJA</v>
      </c>
      <c r="C385" s="20" t="str">
        <f>'C COSTOS ESTADO FINANCIERO'!D385</f>
        <v>S05</v>
      </c>
      <c r="D385" s="20" t="str">
        <f>'C COSTOS ESTADO FINANCIERO'!E385</f>
        <v>TESORERÍA</v>
      </c>
      <c r="E385" s="20" t="str">
        <f>'C COSTOS ESTADO FINANCIERO'!I385</f>
        <v>HSAT - Tame</v>
      </c>
      <c r="F385" s="20" t="str">
        <f>'C COSTOS ESTADO FINANCIERO'!H385</f>
        <v>ADMINISTRATIVO</v>
      </c>
      <c r="G385" s="20" t="str">
        <f>'C COSTOS ESTADO FINANCIERO'!J385</f>
        <v>ACTIVO</v>
      </c>
    </row>
    <row r="386" spans="1:7" x14ac:dyDescent="0.25">
      <c r="A386" s="20">
        <f>'C COSTOS ESTADO FINANCIERO'!A386</f>
        <v>3052106</v>
      </c>
      <c r="B386" s="20" t="str">
        <f>'C COSTOS ESTADO FINANCIERO'!B386</f>
        <v>HSJDP-PUERTO RONDON-TESORERIA CAJA</v>
      </c>
      <c r="C386" s="20" t="str">
        <f>'C COSTOS ESTADO FINANCIERO'!D386</f>
        <v>S05</v>
      </c>
      <c r="D386" s="20" t="str">
        <f>'C COSTOS ESTADO FINANCIERO'!E386</f>
        <v>TESORERÍA</v>
      </c>
      <c r="E386" s="20" t="str">
        <f>'C COSTOS ESTADO FINANCIERO'!I386</f>
        <v>HSJDP - Puerto Rondón</v>
      </c>
      <c r="F386" s="20" t="str">
        <f>'C COSTOS ESTADO FINANCIERO'!H386</f>
        <v>ADMINISTRATIVO</v>
      </c>
      <c r="G386" s="20" t="str">
        <f>'C COSTOS ESTADO FINANCIERO'!J386</f>
        <v>ACTIVO</v>
      </c>
    </row>
    <row r="387" spans="1:7" x14ac:dyDescent="0.25">
      <c r="A387" s="20">
        <f>'C COSTOS ESTADO FINANCIERO'!A387</f>
        <v>3062106</v>
      </c>
      <c r="B387" s="20" t="str">
        <f>'C COSTOS ESTADO FINANCIERO'!B387</f>
        <v>HSJCN-CRAVO NORTE-TESORERIA CAJA</v>
      </c>
      <c r="C387" s="20" t="str">
        <f>'C COSTOS ESTADO FINANCIERO'!D387</f>
        <v>S05</v>
      </c>
      <c r="D387" s="20" t="str">
        <f>'C COSTOS ESTADO FINANCIERO'!E387</f>
        <v>TESORERÍA</v>
      </c>
      <c r="E387" s="20" t="str">
        <f>'C COSTOS ESTADO FINANCIERO'!I387</f>
        <v>HSJCN - Cravo Norte</v>
      </c>
      <c r="F387" s="20" t="str">
        <f>'C COSTOS ESTADO FINANCIERO'!H387</f>
        <v>ADMINISTRATIVO</v>
      </c>
      <c r="G387" s="20" t="str">
        <f>'C COSTOS ESTADO FINANCIERO'!J387</f>
        <v>ACTIVO</v>
      </c>
    </row>
    <row r="388" spans="1:7" x14ac:dyDescent="0.25">
      <c r="A388" s="20">
        <f>'C COSTOS ESTADO FINANCIERO'!A388</f>
        <v>3072106</v>
      </c>
      <c r="B388" s="20" t="str">
        <f>'C COSTOS ESTADO FINANCIERO'!B388</f>
        <v>HSRP-SARAVENA-TESORERIA CAJA</v>
      </c>
      <c r="C388" s="20" t="str">
        <f>'C COSTOS ESTADO FINANCIERO'!D388</f>
        <v>S05</v>
      </c>
      <c r="D388" s="20" t="str">
        <f>'C COSTOS ESTADO FINANCIERO'!E388</f>
        <v>TESORERÍA</v>
      </c>
      <c r="E388" s="20" t="str">
        <f>'C COSTOS ESTADO FINANCIERO'!I388</f>
        <v>HSRP - Pampurí / La Esmeralda</v>
      </c>
      <c r="F388" s="20" t="str">
        <f>'C COSTOS ESTADO FINANCIERO'!H388</f>
        <v>ADMINISTRATIVO</v>
      </c>
      <c r="G388" s="20" t="str">
        <f>'C COSTOS ESTADO FINANCIERO'!J388</f>
        <v>ACTIVO</v>
      </c>
    </row>
    <row r="389" spans="1:7" x14ac:dyDescent="0.25">
      <c r="A389" s="20">
        <f>'C COSTOS ESTADO FINANCIERO'!A389</f>
        <v>3082106</v>
      </c>
      <c r="B389" s="20" t="str">
        <f>'C COSTOS ESTADO FINANCIERO'!B389</f>
        <v>CSPA-ARAUQUITA-TESORERIA CAJA</v>
      </c>
      <c r="C389" s="20" t="str">
        <f>'C COSTOS ESTADO FINANCIERO'!D389</f>
        <v>S05</v>
      </c>
      <c r="D389" s="20" t="str">
        <f>'C COSTOS ESTADO FINANCIERO'!E389</f>
        <v>TESORERÍA</v>
      </c>
      <c r="E389" s="20" t="str">
        <f>'C COSTOS ESTADO FINANCIERO'!I389</f>
        <v>CSPA - Panamá de Arauca</v>
      </c>
      <c r="F389" s="20" t="str">
        <f>'C COSTOS ESTADO FINANCIERO'!H389</f>
        <v>ADMINISTRATIVO</v>
      </c>
      <c r="G389" s="20" t="str">
        <f>'C COSTOS ESTADO FINANCIERO'!J389</f>
        <v>ACTIVO</v>
      </c>
    </row>
    <row r="390" spans="1:7" x14ac:dyDescent="0.25">
      <c r="A390" s="20">
        <f>'C COSTOS ESTADO FINANCIERO'!A390</f>
        <v>3092106</v>
      </c>
      <c r="B390" s="20" t="str">
        <f>'C COSTOS ESTADO FINANCIERO'!B390</f>
        <v>CSJSC-TAME-TESORERIA CAJA</v>
      </c>
      <c r="C390" s="20" t="str">
        <f>'C COSTOS ESTADO FINANCIERO'!D390</f>
        <v>S05</v>
      </c>
      <c r="D390" s="20" t="str">
        <f>'C COSTOS ESTADO FINANCIERO'!E390</f>
        <v>TESORERÍA</v>
      </c>
      <c r="E390" s="20" t="str">
        <f>'C COSTOS ESTADO FINANCIERO'!I390</f>
        <v>CSJSC - Tame</v>
      </c>
      <c r="F390" s="20" t="str">
        <f>'C COSTOS ESTADO FINANCIERO'!H390</f>
        <v>ADMINISTRATIVO</v>
      </c>
      <c r="G390" s="20" t="str">
        <f>'C COSTOS ESTADO FINANCIERO'!J390</f>
        <v>ACTIVO</v>
      </c>
    </row>
    <row r="391" spans="1:7" x14ac:dyDescent="0.25">
      <c r="A391" s="20">
        <f>'C COSTOS ESTADO FINANCIERO'!A391</f>
        <v>4012208</v>
      </c>
      <c r="B391" s="20" t="str">
        <f>'C COSTOS ESTADO FINANCIERO'!B391</f>
        <v>ESE01-TAME-SERVICIOS PUBLICOS</v>
      </c>
      <c r="C391" s="20" t="str">
        <f>'C COSTOS ESTADO FINANCIERO'!D391</f>
        <v>R02</v>
      </c>
      <c r="D391" s="20" t="str">
        <f>'C COSTOS ESTADO FINANCIERO'!E391</f>
        <v>RECURSOS FÍSICOS</v>
      </c>
      <c r="E391" s="20" t="str">
        <f>'C COSTOS ESTADO FINANCIERO'!I391</f>
        <v>ESE01 - Sede Administrativa (Tame)</v>
      </c>
      <c r="F391" s="20" t="str">
        <f>'C COSTOS ESTADO FINANCIERO'!H391</f>
        <v>ADMINISTRATIVO</v>
      </c>
      <c r="G391" s="20" t="str">
        <f>'C COSTOS ESTADO FINANCIERO'!J391</f>
        <v>ACTIVO</v>
      </c>
    </row>
    <row r="392" spans="1:7" x14ac:dyDescent="0.25">
      <c r="A392" s="20">
        <f>'C COSTOS ESTADO FINANCIERO'!A392</f>
        <v>4022208</v>
      </c>
      <c r="B392" s="20" t="str">
        <f>'C COSTOS ESTADO FINANCIERO'!B392</f>
        <v>HSLA-ARAUQUITA-SERVICIOS PUBLICOS</v>
      </c>
      <c r="C392" s="20" t="str">
        <f>'C COSTOS ESTADO FINANCIERO'!D392</f>
        <v>R02</v>
      </c>
      <c r="D392" s="20" t="str">
        <f>'C COSTOS ESTADO FINANCIERO'!E392</f>
        <v>RECURSOS FÍSICOS</v>
      </c>
      <c r="E392" s="20" t="str">
        <f>'C COSTOS ESTADO FINANCIERO'!I392</f>
        <v>HSLA - Arauquita</v>
      </c>
      <c r="F392" s="20" t="str">
        <f>'C COSTOS ESTADO FINANCIERO'!H392</f>
        <v>ADMINISTRATIVO</v>
      </c>
      <c r="G392" s="20" t="str">
        <f>'C COSTOS ESTADO FINANCIERO'!J392</f>
        <v>ACTIVO</v>
      </c>
    </row>
    <row r="393" spans="1:7" x14ac:dyDescent="0.25">
      <c r="A393" s="20">
        <f>'C COSTOS ESTADO FINANCIERO'!A393</f>
        <v>4032208</v>
      </c>
      <c r="B393" s="20" t="str">
        <f>'C COSTOS ESTADO FINANCIERO'!B393</f>
        <v>HSFF-FORTUL-SERVICIOS PUBLICOS</v>
      </c>
      <c r="C393" s="20" t="str">
        <f>'C COSTOS ESTADO FINANCIERO'!D393</f>
        <v>R02</v>
      </c>
      <c r="D393" s="20" t="str">
        <f>'C COSTOS ESTADO FINANCIERO'!E393</f>
        <v>RECURSOS FÍSICOS</v>
      </c>
      <c r="E393" s="20" t="str">
        <f>'C COSTOS ESTADO FINANCIERO'!I393</f>
        <v>HSFF - Fortul</v>
      </c>
      <c r="F393" s="20" t="str">
        <f>'C COSTOS ESTADO FINANCIERO'!H393</f>
        <v>ADMINISTRATIVO</v>
      </c>
      <c r="G393" s="20" t="str">
        <f>'C COSTOS ESTADO FINANCIERO'!J393</f>
        <v>ACTIVO</v>
      </c>
    </row>
    <row r="394" spans="1:7" x14ac:dyDescent="0.25">
      <c r="A394" s="20">
        <f>'C COSTOS ESTADO FINANCIERO'!A394</f>
        <v>4042208</v>
      </c>
      <c r="B394" s="20" t="str">
        <f>'C COSTOS ESTADO FINANCIERO'!B394</f>
        <v>HSAT-TAME-SERVICIOS PUBLICOS</v>
      </c>
      <c r="C394" s="20" t="str">
        <f>'C COSTOS ESTADO FINANCIERO'!D394</f>
        <v>R02</v>
      </c>
      <c r="D394" s="20" t="str">
        <f>'C COSTOS ESTADO FINANCIERO'!E394</f>
        <v>RECURSOS FÍSICOS</v>
      </c>
      <c r="E394" s="20" t="str">
        <f>'C COSTOS ESTADO FINANCIERO'!I394</f>
        <v>HSAT - Tame</v>
      </c>
      <c r="F394" s="20" t="str">
        <f>'C COSTOS ESTADO FINANCIERO'!H394</f>
        <v>ADMINISTRATIVO</v>
      </c>
      <c r="G394" s="20" t="str">
        <f>'C COSTOS ESTADO FINANCIERO'!J394</f>
        <v>ACTIVO</v>
      </c>
    </row>
    <row r="395" spans="1:7" x14ac:dyDescent="0.25">
      <c r="A395" s="20">
        <f>'C COSTOS ESTADO FINANCIERO'!A395</f>
        <v>4052208</v>
      </c>
      <c r="B395" s="20" t="str">
        <f>'C COSTOS ESTADO FINANCIERO'!B395</f>
        <v>HSJDP-PUERTO RONDON-SERVICIOS PUBLICOS</v>
      </c>
      <c r="C395" s="20" t="str">
        <f>'C COSTOS ESTADO FINANCIERO'!D395</f>
        <v>R02</v>
      </c>
      <c r="D395" s="20" t="str">
        <f>'C COSTOS ESTADO FINANCIERO'!E395</f>
        <v>RECURSOS FÍSICOS</v>
      </c>
      <c r="E395" s="20" t="str">
        <f>'C COSTOS ESTADO FINANCIERO'!I395</f>
        <v>HSJDP - Puerto Rondón</v>
      </c>
      <c r="F395" s="20" t="str">
        <f>'C COSTOS ESTADO FINANCIERO'!H395</f>
        <v>ADMINISTRATIVO</v>
      </c>
      <c r="G395" s="20" t="str">
        <f>'C COSTOS ESTADO FINANCIERO'!J395</f>
        <v>ACTIVO</v>
      </c>
    </row>
    <row r="396" spans="1:7" x14ac:dyDescent="0.25">
      <c r="A396" s="20">
        <f>'C COSTOS ESTADO FINANCIERO'!A396</f>
        <v>4062208</v>
      </c>
      <c r="B396" s="20" t="str">
        <f>'C COSTOS ESTADO FINANCIERO'!B396</f>
        <v>HSJCN-CRAVO NORTE-SERVICIOS PUBLICOS</v>
      </c>
      <c r="C396" s="20" t="str">
        <f>'C COSTOS ESTADO FINANCIERO'!D396</f>
        <v>R02</v>
      </c>
      <c r="D396" s="20" t="str">
        <f>'C COSTOS ESTADO FINANCIERO'!E396</f>
        <v>RECURSOS FÍSICOS</v>
      </c>
      <c r="E396" s="20" t="str">
        <f>'C COSTOS ESTADO FINANCIERO'!I396</f>
        <v>HSJCN - Cravo Norte</v>
      </c>
      <c r="F396" s="20" t="str">
        <f>'C COSTOS ESTADO FINANCIERO'!H396</f>
        <v>ADMINISTRATIVO</v>
      </c>
      <c r="G396" s="20" t="str">
        <f>'C COSTOS ESTADO FINANCIERO'!J396</f>
        <v>ACTIVO</v>
      </c>
    </row>
    <row r="397" spans="1:7" x14ac:dyDescent="0.25">
      <c r="A397" s="20">
        <f>'C COSTOS ESTADO FINANCIERO'!A397</f>
        <v>4072208</v>
      </c>
      <c r="B397" s="20" t="str">
        <f>'C COSTOS ESTADO FINANCIERO'!B397</f>
        <v>HSRP-PAMPURI-SERVICIOS PUBLICOS</v>
      </c>
      <c r="C397" s="20" t="str">
        <f>'C COSTOS ESTADO FINANCIERO'!D397</f>
        <v>R02</v>
      </c>
      <c r="D397" s="20" t="str">
        <f>'C COSTOS ESTADO FINANCIERO'!E397</f>
        <v>RECURSOS FÍSICOS</v>
      </c>
      <c r="E397" s="20" t="str">
        <f>'C COSTOS ESTADO FINANCIERO'!I397</f>
        <v>HSRP - Pampurí / La Esmeralda</v>
      </c>
      <c r="F397" s="20" t="str">
        <f>'C COSTOS ESTADO FINANCIERO'!H397</f>
        <v>ADMINISTRATIVO</v>
      </c>
      <c r="G397" s="20" t="str">
        <f>'C COSTOS ESTADO FINANCIERO'!J397</f>
        <v>ACTIVO</v>
      </c>
    </row>
    <row r="398" spans="1:7" x14ac:dyDescent="0.25">
      <c r="A398" s="20">
        <f>'C COSTOS ESTADO FINANCIERO'!A398</f>
        <v>4082208</v>
      </c>
      <c r="B398" s="20" t="str">
        <f>'C COSTOS ESTADO FINANCIERO'!B398</f>
        <v>CSPA-ARAUQUITA-SERVICIOS PUBLICOS</v>
      </c>
      <c r="C398" s="20" t="str">
        <f>'C COSTOS ESTADO FINANCIERO'!D398</f>
        <v>R02</v>
      </c>
      <c r="D398" s="20" t="str">
        <f>'C COSTOS ESTADO FINANCIERO'!E398</f>
        <v>RECURSOS FÍSICOS</v>
      </c>
      <c r="E398" s="20" t="str">
        <f>'C COSTOS ESTADO FINANCIERO'!I398</f>
        <v>CSPA - Panamá de Arauca</v>
      </c>
      <c r="F398" s="20" t="str">
        <f>'C COSTOS ESTADO FINANCIERO'!H398</f>
        <v>ADMINISTRATIVO</v>
      </c>
      <c r="G398" s="20" t="str">
        <f>'C COSTOS ESTADO FINANCIERO'!J398</f>
        <v>ACTIVO</v>
      </c>
    </row>
    <row r="399" spans="1:7" x14ac:dyDescent="0.25">
      <c r="A399" s="20">
        <f>'C COSTOS ESTADO FINANCIERO'!A399</f>
        <v>4092208</v>
      </c>
      <c r="B399" s="20" t="str">
        <f>'C COSTOS ESTADO FINANCIERO'!B399</f>
        <v>CSJSC-TAME-SERVICIOS PUBLICOS</v>
      </c>
      <c r="C399" s="20" t="str">
        <f>'C COSTOS ESTADO FINANCIERO'!D399</f>
        <v>R02</v>
      </c>
      <c r="D399" s="20" t="str">
        <f>'C COSTOS ESTADO FINANCIERO'!E399</f>
        <v>RECURSOS FÍSICOS</v>
      </c>
      <c r="E399" s="20" t="str">
        <f>'C COSTOS ESTADO FINANCIERO'!I399</f>
        <v>CSJSC - Tame</v>
      </c>
      <c r="F399" s="20" t="str">
        <f>'C COSTOS ESTADO FINANCIERO'!H399</f>
        <v>ADMINISTRATIVO</v>
      </c>
      <c r="G399" s="20" t="str">
        <f>'C COSTOS ESTADO FINANCIERO'!J399</f>
        <v>ACTIVO</v>
      </c>
    </row>
    <row r="400" spans="1:7" x14ac:dyDescent="0.25">
      <c r="A400" s="20">
        <f>'C COSTOS ESTADO FINANCIERO'!A400</f>
        <v>2022016</v>
      </c>
      <c r="B400" s="20" t="str">
        <f>'C COSTOS ESTADO FINANCIERO'!B400</f>
        <v>HSLA-ARAUQUITA-ADMINISTRACION HOSPITALARIA</v>
      </c>
      <c r="C400" s="20" t="str">
        <f>'C COSTOS ESTADO FINANCIERO'!D400</f>
        <v>R01</v>
      </c>
      <c r="D400" s="20" t="str">
        <f>'C COSTOS ESTADO FINANCIERO'!E400</f>
        <v>COORDINACIÓN ADMINISTRATIVA</v>
      </c>
      <c r="E400" s="20" t="str">
        <f>'C COSTOS ESTADO FINANCIERO'!I400</f>
        <v>HSLA - Arauquita</v>
      </c>
      <c r="F400" s="20" t="str">
        <f>'C COSTOS ESTADO FINANCIERO'!H400</f>
        <v>ADMINISTRATIVO</v>
      </c>
      <c r="G400" s="20" t="str">
        <f>'C COSTOS ESTADO FINANCIERO'!J400</f>
        <v>ACTIVO</v>
      </c>
    </row>
    <row r="401" spans="1:7" x14ac:dyDescent="0.25">
      <c r="A401" s="20">
        <f>'C COSTOS ESTADO FINANCIERO'!A401</f>
        <v>2032016</v>
      </c>
      <c r="B401" s="20" t="str">
        <f>'C COSTOS ESTADO FINANCIERO'!B401</f>
        <v>HSFF-FORTUL-ADMINISTRACION HOSPITALARIA</v>
      </c>
      <c r="C401" s="20" t="str">
        <f>'C COSTOS ESTADO FINANCIERO'!D401</f>
        <v>R01</v>
      </c>
      <c r="D401" s="20" t="str">
        <f>'C COSTOS ESTADO FINANCIERO'!E401</f>
        <v>COORDINACIÓN ADMINISTRATIVA</v>
      </c>
      <c r="E401" s="20" t="str">
        <f>'C COSTOS ESTADO FINANCIERO'!I401</f>
        <v>HSFF - Fortul</v>
      </c>
      <c r="F401" s="20" t="str">
        <f>'C COSTOS ESTADO FINANCIERO'!H401</f>
        <v>ADMINISTRATIVO</v>
      </c>
      <c r="G401" s="20" t="str">
        <f>'C COSTOS ESTADO FINANCIERO'!J401</f>
        <v>ACTIVO</v>
      </c>
    </row>
    <row r="402" spans="1:7" x14ac:dyDescent="0.25">
      <c r="A402" s="20">
        <f>'C COSTOS ESTADO FINANCIERO'!A402</f>
        <v>2042016</v>
      </c>
      <c r="B402" s="20" t="str">
        <f>'C COSTOS ESTADO FINANCIERO'!B402</f>
        <v>HSAT-TAME-ADMINISTRACION HOSPITALARIA</v>
      </c>
      <c r="C402" s="20" t="str">
        <f>'C COSTOS ESTADO FINANCIERO'!D402</f>
        <v>R01</v>
      </c>
      <c r="D402" s="20" t="str">
        <f>'C COSTOS ESTADO FINANCIERO'!E402</f>
        <v>COORDINACIÓN ADMINISTRATIVA</v>
      </c>
      <c r="E402" s="20" t="str">
        <f>'C COSTOS ESTADO FINANCIERO'!I402</f>
        <v>HSAT - Tame</v>
      </c>
      <c r="F402" s="20" t="str">
        <f>'C COSTOS ESTADO FINANCIERO'!H402</f>
        <v>ADMINISTRATIVO</v>
      </c>
      <c r="G402" s="20" t="str">
        <f>'C COSTOS ESTADO FINANCIERO'!J402</f>
        <v>ACTIVO</v>
      </c>
    </row>
    <row r="403" spans="1:7" x14ac:dyDescent="0.25">
      <c r="A403" s="20">
        <f>'C COSTOS ESTADO FINANCIERO'!A403</f>
        <v>2052016</v>
      </c>
      <c r="B403" s="20" t="str">
        <f>'C COSTOS ESTADO FINANCIERO'!B403</f>
        <v>HSJDP-PUERTO RONDON-ADMINISTRACION HOSPITALARIA</v>
      </c>
      <c r="C403" s="20" t="str">
        <f>'C COSTOS ESTADO FINANCIERO'!D403</f>
        <v>R01</v>
      </c>
      <c r="D403" s="20" t="str">
        <f>'C COSTOS ESTADO FINANCIERO'!E403</f>
        <v>COORDINACIÓN ADMINISTRATIVA</v>
      </c>
      <c r="E403" s="20" t="str">
        <f>'C COSTOS ESTADO FINANCIERO'!I403</f>
        <v>HSJDP - Puerto Rondón</v>
      </c>
      <c r="F403" s="20" t="str">
        <f>'C COSTOS ESTADO FINANCIERO'!H403</f>
        <v>ADMINISTRATIVO</v>
      </c>
      <c r="G403" s="20" t="str">
        <f>'C COSTOS ESTADO FINANCIERO'!J403</f>
        <v>ACTIVO</v>
      </c>
    </row>
    <row r="404" spans="1:7" x14ac:dyDescent="0.25">
      <c r="A404" s="20">
        <f>'C COSTOS ESTADO FINANCIERO'!A404</f>
        <v>2062016</v>
      </c>
      <c r="B404" s="20" t="str">
        <f>'C COSTOS ESTADO FINANCIERO'!B404</f>
        <v>HSJCN-CRAVO NORTE-ADMINISTRACION HOSPITALARIA</v>
      </c>
      <c r="C404" s="20" t="str">
        <f>'C COSTOS ESTADO FINANCIERO'!D404</f>
        <v>R01</v>
      </c>
      <c r="D404" s="20" t="str">
        <f>'C COSTOS ESTADO FINANCIERO'!E404</f>
        <v>COORDINACIÓN ADMINISTRATIVA</v>
      </c>
      <c r="E404" s="20" t="str">
        <f>'C COSTOS ESTADO FINANCIERO'!I404</f>
        <v>HSJCN - Cravo Norte</v>
      </c>
      <c r="F404" s="20" t="str">
        <f>'C COSTOS ESTADO FINANCIERO'!H404</f>
        <v>ADMINISTRATIVO</v>
      </c>
      <c r="G404" s="20" t="str">
        <f>'C COSTOS ESTADO FINANCIERO'!J404</f>
        <v>ACTIVO</v>
      </c>
    </row>
    <row r="405" spans="1:7" x14ac:dyDescent="0.25">
      <c r="A405" s="20">
        <f>'C COSTOS ESTADO FINANCIERO'!A405</f>
        <v>2072016</v>
      </c>
      <c r="B405" s="20" t="str">
        <f>'C COSTOS ESTADO FINANCIERO'!B405</f>
        <v>HSRP-PAMPURI-ADMINISTRACION HOSPITALARIA</v>
      </c>
      <c r="C405" s="20" t="str">
        <f>'C COSTOS ESTADO FINANCIERO'!D405</f>
        <v>R01</v>
      </c>
      <c r="D405" s="20" t="str">
        <f>'C COSTOS ESTADO FINANCIERO'!E405</f>
        <v>COORDINACIÓN ADMINISTRATIVA</v>
      </c>
      <c r="E405" s="20" t="str">
        <f>'C COSTOS ESTADO FINANCIERO'!I405</f>
        <v>HSRP - Pampurí / La Esmeralda</v>
      </c>
      <c r="F405" s="20" t="str">
        <f>'C COSTOS ESTADO FINANCIERO'!H405</f>
        <v>ADMINISTRATIVO</v>
      </c>
      <c r="G405" s="20" t="str">
        <f>'C COSTOS ESTADO FINANCIERO'!J405</f>
        <v>ACTIVO</v>
      </c>
    </row>
    <row r="406" spans="1:7" x14ac:dyDescent="0.25">
      <c r="A406" s="20">
        <f>'C COSTOS ESTADO FINANCIERO'!A406</f>
        <v>2082016</v>
      </c>
      <c r="B406" s="20" t="str">
        <f>'C COSTOS ESTADO FINANCIERO'!B406</f>
        <v>CSPA-ARAUQUITA-ADMINISTRACION HOSPITALARIA</v>
      </c>
      <c r="C406" s="20" t="str">
        <f>'C COSTOS ESTADO FINANCIERO'!D406</f>
        <v>R01</v>
      </c>
      <c r="D406" s="20" t="str">
        <f>'C COSTOS ESTADO FINANCIERO'!E406</f>
        <v>COORDINACIÓN ADMINISTRATIVA</v>
      </c>
      <c r="E406" s="20" t="str">
        <f>'C COSTOS ESTADO FINANCIERO'!I406</f>
        <v>CSPA - Panamá de Arauca</v>
      </c>
      <c r="F406" s="20" t="str">
        <f>'C COSTOS ESTADO FINANCIERO'!H406</f>
        <v>ADMINISTRATIVO</v>
      </c>
      <c r="G406" s="20" t="str">
        <f>'C COSTOS ESTADO FINANCIERO'!J406</f>
        <v>ACTIVO</v>
      </c>
    </row>
    <row r="407" spans="1:7" x14ac:dyDescent="0.25">
      <c r="A407" s="20">
        <f>'C COSTOS ESTADO FINANCIERO'!A407</f>
        <v>2092016</v>
      </c>
      <c r="B407" s="20" t="str">
        <f>'C COSTOS ESTADO FINANCIERO'!B407</f>
        <v>CSJSC-TAME-ADMINISTRACION HOSPITALARIA</v>
      </c>
      <c r="C407" s="20" t="str">
        <f>'C COSTOS ESTADO FINANCIERO'!D407</f>
        <v>R01</v>
      </c>
      <c r="D407" s="20" t="str">
        <f>'C COSTOS ESTADO FINANCIERO'!E407</f>
        <v>COORDINACIÓN ADMINISTRATIVA</v>
      </c>
      <c r="E407" s="20" t="str">
        <f>'C COSTOS ESTADO FINANCIERO'!I407</f>
        <v>CSJSC - Tame</v>
      </c>
      <c r="F407" s="20" t="str">
        <f>'C COSTOS ESTADO FINANCIERO'!H407</f>
        <v>ADMINISTRATIVO</v>
      </c>
      <c r="G407" s="20" t="str">
        <f>'C COSTOS ESTADO FINANCIERO'!J407</f>
        <v>ACTIVO</v>
      </c>
    </row>
    <row r="408" spans="1:7" x14ac:dyDescent="0.25">
      <c r="A408" s="20">
        <f>'C COSTOS ESTADO FINANCIERO'!A408</f>
        <v>2012016</v>
      </c>
      <c r="B408" s="20" t="str">
        <f>'C COSTOS ESTADO FINANCIERO'!B408</f>
        <v>ESE01-TAME-ADMINISTRACION SEDE CENTRAL</v>
      </c>
      <c r="C408" s="20" t="str">
        <f>'C COSTOS ESTADO FINANCIERO'!D408</f>
        <v>R01</v>
      </c>
      <c r="D408" s="20" t="str">
        <f>'C COSTOS ESTADO FINANCIERO'!E408</f>
        <v>COORDINACIÓN ADMINISTRATIVA</v>
      </c>
      <c r="E408" s="20" t="str">
        <f>'C COSTOS ESTADO FINANCIERO'!I408</f>
        <v>ESE01 - Sede Administrativa (Tame)</v>
      </c>
      <c r="F408" s="20" t="str">
        <f>'C COSTOS ESTADO FINANCIERO'!H408</f>
        <v>ADMINISTRATIVO</v>
      </c>
      <c r="G408" s="20" t="str">
        <f>'C COSTOS ESTADO FINANCIERO'!J408</f>
        <v>ACTIVO</v>
      </c>
    </row>
    <row r="409" spans="1:7" x14ac:dyDescent="0.25">
      <c r="A409" s="20">
        <f>'C COSTOS ESTADO FINANCIERO'!A409</f>
        <v>2022009</v>
      </c>
      <c r="B409" s="20" t="str">
        <f>'C COSTOS ESTADO FINANCIERO'!B409</f>
        <v>HSLA-ARAUQUITA- INFORMATICA Y TELECOMUNICACIONES</v>
      </c>
      <c r="C409" s="20" t="str">
        <f>'C COSTOS ESTADO FINANCIERO'!D409</f>
        <v>T07</v>
      </c>
      <c r="D409" s="20" t="str">
        <f>'C COSTOS ESTADO FINANCIERO'!E409</f>
        <v>SISTEMAS</v>
      </c>
      <c r="E409" s="20" t="str">
        <f>'C COSTOS ESTADO FINANCIERO'!I409</f>
        <v>HSLA - Arauquita</v>
      </c>
      <c r="F409" s="20" t="str">
        <f>'C COSTOS ESTADO FINANCIERO'!H409</f>
        <v>ADMINISTRATIVO</v>
      </c>
      <c r="G409" s="20" t="str">
        <f>'C COSTOS ESTADO FINANCIERO'!J409</f>
        <v>ACTIVO</v>
      </c>
    </row>
    <row r="410" spans="1:7" x14ac:dyDescent="0.25">
      <c r="A410" s="20">
        <f>'C COSTOS ESTADO FINANCIERO'!A410</f>
        <v>2032009</v>
      </c>
      <c r="B410" s="20" t="str">
        <f>'C COSTOS ESTADO FINANCIERO'!B410</f>
        <v>HSFF-FORTUL- INFORMATICA Y TELECOMUNICACIONES</v>
      </c>
      <c r="C410" s="20" t="str">
        <f>'C COSTOS ESTADO FINANCIERO'!D410</f>
        <v>T07</v>
      </c>
      <c r="D410" s="20" t="str">
        <f>'C COSTOS ESTADO FINANCIERO'!E410</f>
        <v>SISTEMAS</v>
      </c>
      <c r="E410" s="20" t="str">
        <f>'C COSTOS ESTADO FINANCIERO'!I410</f>
        <v>HSFF - Fortul</v>
      </c>
      <c r="F410" s="20" t="str">
        <f>'C COSTOS ESTADO FINANCIERO'!H410</f>
        <v>ADMINISTRATIVO</v>
      </c>
      <c r="G410" s="20" t="str">
        <f>'C COSTOS ESTADO FINANCIERO'!J410</f>
        <v>ACTIVO</v>
      </c>
    </row>
    <row r="411" spans="1:7" x14ac:dyDescent="0.25">
      <c r="A411" s="20">
        <f>'C COSTOS ESTADO FINANCIERO'!A411</f>
        <v>2042009</v>
      </c>
      <c r="B411" s="20" t="str">
        <f>'C COSTOS ESTADO FINANCIERO'!B411</f>
        <v>HSAT-TAME- INFORMATICA Y TELECOMUNICACIONES</v>
      </c>
      <c r="C411" s="20" t="str">
        <f>'C COSTOS ESTADO FINANCIERO'!D411</f>
        <v>T07</v>
      </c>
      <c r="D411" s="20" t="str">
        <f>'C COSTOS ESTADO FINANCIERO'!E411</f>
        <v>SISTEMAS</v>
      </c>
      <c r="E411" s="20" t="str">
        <f>'C COSTOS ESTADO FINANCIERO'!I411</f>
        <v>HSAT - Tame</v>
      </c>
      <c r="F411" s="20" t="str">
        <f>'C COSTOS ESTADO FINANCIERO'!H411</f>
        <v>ADMINISTRATIVO</v>
      </c>
      <c r="G411" s="20" t="str">
        <f>'C COSTOS ESTADO FINANCIERO'!J411</f>
        <v>ACTIVO</v>
      </c>
    </row>
    <row r="412" spans="1:7" x14ac:dyDescent="0.25">
      <c r="A412" s="20">
        <f>'C COSTOS ESTADO FINANCIERO'!A412</f>
        <v>2052009</v>
      </c>
      <c r="B412" s="20" t="str">
        <f>'C COSTOS ESTADO FINANCIERO'!B412</f>
        <v>HSJDP-PUERTO RONDON- INFORMATICA Y TELECOMUNICACIONES</v>
      </c>
      <c r="C412" s="20" t="str">
        <f>'C COSTOS ESTADO FINANCIERO'!D412</f>
        <v>T07</v>
      </c>
      <c r="D412" s="20" t="str">
        <f>'C COSTOS ESTADO FINANCIERO'!E412</f>
        <v>SISTEMAS</v>
      </c>
      <c r="E412" s="20" t="str">
        <f>'C COSTOS ESTADO FINANCIERO'!I412</f>
        <v>HSJDP - Puerto Rondón</v>
      </c>
      <c r="F412" s="20" t="str">
        <f>'C COSTOS ESTADO FINANCIERO'!H412</f>
        <v>ADMINISTRATIVO</v>
      </c>
      <c r="G412" s="20" t="str">
        <f>'C COSTOS ESTADO FINANCIERO'!J412</f>
        <v>ACTIVO</v>
      </c>
    </row>
    <row r="413" spans="1:7" x14ac:dyDescent="0.25">
      <c r="A413" s="20">
        <f>'C COSTOS ESTADO FINANCIERO'!A413</f>
        <v>2062009</v>
      </c>
      <c r="B413" s="20" t="str">
        <f>'C COSTOS ESTADO FINANCIERO'!B413</f>
        <v>HSJCN-CRAVO NORTE- INFORMATICA Y TELECOMUNICACIONES</v>
      </c>
      <c r="C413" s="20" t="str">
        <f>'C COSTOS ESTADO FINANCIERO'!D413</f>
        <v>T07</v>
      </c>
      <c r="D413" s="20" t="str">
        <f>'C COSTOS ESTADO FINANCIERO'!E413</f>
        <v>SISTEMAS</v>
      </c>
      <c r="E413" s="20" t="str">
        <f>'C COSTOS ESTADO FINANCIERO'!I413</f>
        <v>HSJCN - Cravo Norte</v>
      </c>
      <c r="F413" s="20" t="str">
        <f>'C COSTOS ESTADO FINANCIERO'!H413</f>
        <v>ADMINISTRATIVO</v>
      </c>
      <c r="G413" s="20" t="str">
        <f>'C COSTOS ESTADO FINANCIERO'!J413</f>
        <v>ACTIVO</v>
      </c>
    </row>
    <row r="414" spans="1:7" x14ac:dyDescent="0.25">
      <c r="A414" s="20">
        <f>'C COSTOS ESTADO FINANCIERO'!A414</f>
        <v>2072009</v>
      </c>
      <c r="B414" s="20" t="str">
        <f>'C COSTOS ESTADO FINANCIERO'!B414</f>
        <v>HSRP-PAMPURI- INFORMATICA Y TELECOMUNICACIONES</v>
      </c>
      <c r="C414" s="20" t="str">
        <f>'C COSTOS ESTADO FINANCIERO'!D414</f>
        <v>T07</v>
      </c>
      <c r="D414" s="20" t="str">
        <f>'C COSTOS ESTADO FINANCIERO'!E414</f>
        <v>SISTEMAS</v>
      </c>
      <c r="E414" s="20" t="str">
        <f>'C COSTOS ESTADO FINANCIERO'!I414</f>
        <v>HSRP - Pampurí / La Esmeralda</v>
      </c>
      <c r="F414" s="20" t="str">
        <f>'C COSTOS ESTADO FINANCIERO'!H414</f>
        <v>ADMINISTRATIVO</v>
      </c>
      <c r="G414" s="20" t="str">
        <f>'C COSTOS ESTADO FINANCIERO'!J414</f>
        <v>ACTIVO</v>
      </c>
    </row>
    <row r="415" spans="1:7" x14ac:dyDescent="0.25">
      <c r="A415" s="20">
        <f>'C COSTOS ESTADO FINANCIERO'!A415</f>
        <v>2082009</v>
      </c>
      <c r="B415" s="20" t="str">
        <f>'C COSTOS ESTADO FINANCIERO'!B415</f>
        <v>CSPA-ARAUQUITA- INFORMATICA Y TELECOMUNICACIONES</v>
      </c>
      <c r="C415" s="20" t="str">
        <f>'C COSTOS ESTADO FINANCIERO'!D415</f>
        <v>T07</v>
      </c>
      <c r="D415" s="20" t="str">
        <f>'C COSTOS ESTADO FINANCIERO'!E415</f>
        <v>SISTEMAS</v>
      </c>
      <c r="E415" s="20" t="str">
        <f>'C COSTOS ESTADO FINANCIERO'!I415</f>
        <v>CSPA - Panamá de Arauca</v>
      </c>
      <c r="F415" s="20" t="str">
        <f>'C COSTOS ESTADO FINANCIERO'!H415</f>
        <v>ADMINISTRATIVO</v>
      </c>
      <c r="G415" s="20" t="str">
        <f>'C COSTOS ESTADO FINANCIERO'!J415</f>
        <v>ACTIVO</v>
      </c>
    </row>
    <row r="416" spans="1:7" x14ac:dyDescent="0.25">
      <c r="A416" s="20">
        <f>'C COSTOS ESTADO FINANCIERO'!A416</f>
        <v>2092009</v>
      </c>
      <c r="B416" s="20" t="str">
        <f>'C COSTOS ESTADO FINANCIERO'!B416</f>
        <v>CSJSC-TAME- INFORMATICA Y TELECOMUNICACIONES</v>
      </c>
      <c r="C416" s="20" t="str">
        <f>'C COSTOS ESTADO FINANCIERO'!D416</f>
        <v>T07</v>
      </c>
      <c r="D416" s="20" t="str">
        <f>'C COSTOS ESTADO FINANCIERO'!E416</f>
        <v>SISTEMAS</v>
      </c>
      <c r="E416" s="20" t="str">
        <f>'C COSTOS ESTADO FINANCIERO'!I416</f>
        <v>CSJSC - Tame</v>
      </c>
      <c r="F416" s="20" t="str">
        <f>'C COSTOS ESTADO FINANCIERO'!H416</f>
        <v>ADMINISTRATIVO</v>
      </c>
      <c r="G416" s="20" t="str">
        <f>'C COSTOS ESTADO FINANCIERO'!J416</f>
        <v>ACTIVO</v>
      </c>
    </row>
    <row r="417" spans="1:7" x14ac:dyDescent="0.25">
      <c r="A417" s="20">
        <f>'C COSTOS ESTADO FINANCIERO'!A417</f>
        <v>1010204</v>
      </c>
      <c r="B417" s="20" t="str">
        <f>'C COSTOS ESTADO FINANCIERO'!B417</f>
        <v>ESE01-TAME-PROMOCION Y MANTENIMIENTO</v>
      </c>
      <c r="C417" s="20" t="str">
        <f>'C COSTOS ESTADO FINANCIERO'!D417</f>
        <v>N03</v>
      </c>
      <c r="D417" s="20" t="str">
        <f>'C COSTOS ESTADO FINANCIERO'!E417</f>
        <v>PROMOCIÓN Y PREVENCIÓN</v>
      </c>
      <c r="E417" s="20" t="str">
        <f>'C COSTOS ESTADO FINANCIERO'!I417</f>
        <v>ESE01 - Sede Administrativa (Tame)</v>
      </c>
      <c r="F417" s="20" t="str">
        <f>'C COSTOS ESTADO FINANCIERO'!H417</f>
        <v>PRODUCTIVO (final)</v>
      </c>
      <c r="G417" s="20" t="str">
        <f>'C COSTOS ESTADO FINANCIERO'!J417</f>
        <v>ACTIVO</v>
      </c>
    </row>
    <row r="418" spans="1:7" x14ac:dyDescent="0.25">
      <c r="A418" s="20">
        <f>'C COSTOS ESTADO FINANCIERO'!A418</f>
        <v>4012209</v>
      </c>
      <c r="B418" s="20" t="str">
        <f>'C COSTOS ESTADO FINANCIERO'!B418</f>
        <v>ESE01-TAME-VIGILANCIA Y ASEO</v>
      </c>
      <c r="C418" s="20" t="str">
        <f>'C COSTOS ESTADO FINANCIERO'!D418</f>
        <v>R04</v>
      </c>
      <c r="D418" s="20" t="str">
        <f>'C COSTOS ESTADO FINANCIERO'!E418</f>
        <v>ASEO Y LIMPIEZA</v>
      </c>
      <c r="E418" s="20" t="str">
        <f>'C COSTOS ESTADO FINANCIERO'!I418</f>
        <v>ESE01 - Sede Administrativa (Tame)</v>
      </c>
      <c r="F418" s="20" t="str">
        <f>'C COSTOS ESTADO FINANCIERO'!H418</f>
        <v>ADMINISTRATIVO</v>
      </c>
      <c r="G418" s="20" t="str">
        <f>'C COSTOS ESTADO FINANCIERO'!J418</f>
        <v>ACTIVO</v>
      </c>
    </row>
    <row r="419" spans="1:7" x14ac:dyDescent="0.25">
      <c r="A419" s="20">
        <f>'C COSTOS ESTADO FINANCIERO'!A419</f>
        <v>4022209</v>
      </c>
      <c r="B419" s="20" t="str">
        <f>'C COSTOS ESTADO FINANCIERO'!B419</f>
        <v>HSLA-ARAUQUITA-VIGILANCIA Y ASEO</v>
      </c>
      <c r="C419" s="20" t="str">
        <f>'C COSTOS ESTADO FINANCIERO'!D419</f>
        <v>R04</v>
      </c>
      <c r="D419" s="20" t="str">
        <f>'C COSTOS ESTADO FINANCIERO'!E419</f>
        <v>ASEO Y LIMPIEZA</v>
      </c>
      <c r="E419" s="20" t="str">
        <f>'C COSTOS ESTADO FINANCIERO'!I419</f>
        <v>HSLA - Arauquita</v>
      </c>
      <c r="F419" s="20" t="str">
        <f>'C COSTOS ESTADO FINANCIERO'!H419</f>
        <v>ADMINISTRATIVO</v>
      </c>
      <c r="G419" s="20" t="str">
        <f>'C COSTOS ESTADO FINANCIERO'!J419</f>
        <v>ACTIVO</v>
      </c>
    </row>
    <row r="420" spans="1:7" x14ac:dyDescent="0.25">
      <c r="A420" s="20">
        <f>'C COSTOS ESTADO FINANCIERO'!A420</f>
        <v>4032209</v>
      </c>
      <c r="B420" s="20" t="str">
        <f>'C COSTOS ESTADO FINANCIERO'!B420</f>
        <v>HSFF-FORTUL-VIGILANCIA Y ASEO</v>
      </c>
      <c r="C420" s="20" t="str">
        <f>'C COSTOS ESTADO FINANCIERO'!D420</f>
        <v>R04</v>
      </c>
      <c r="D420" s="20" t="str">
        <f>'C COSTOS ESTADO FINANCIERO'!E420</f>
        <v>ASEO Y LIMPIEZA</v>
      </c>
      <c r="E420" s="20" t="str">
        <f>'C COSTOS ESTADO FINANCIERO'!I420</f>
        <v>HSFF - Fortul</v>
      </c>
      <c r="F420" s="20" t="str">
        <f>'C COSTOS ESTADO FINANCIERO'!H420</f>
        <v>ADMINISTRATIVO</v>
      </c>
      <c r="G420" s="20" t="str">
        <f>'C COSTOS ESTADO FINANCIERO'!J420</f>
        <v>ACTIVO</v>
      </c>
    </row>
    <row r="421" spans="1:7" x14ac:dyDescent="0.25">
      <c r="A421" s="20">
        <f>'C COSTOS ESTADO FINANCIERO'!A421</f>
        <v>4042209</v>
      </c>
      <c r="B421" s="20" t="str">
        <f>'C COSTOS ESTADO FINANCIERO'!B421</f>
        <v>HSAT-TAME-VIGILANCIA Y ASEO</v>
      </c>
      <c r="C421" s="20" t="str">
        <f>'C COSTOS ESTADO FINANCIERO'!D421</f>
        <v>R04</v>
      </c>
      <c r="D421" s="20" t="str">
        <f>'C COSTOS ESTADO FINANCIERO'!E421</f>
        <v>ASEO Y LIMPIEZA</v>
      </c>
      <c r="E421" s="20" t="str">
        <f>'C COSTOS ESTADO FINANCIERO'!I421</f>
        <v>HSAT - Tame</v>
      </c>
      <c r="F421" s="20" t="str">
        <f>'C COSTOS ESTADO FINANCIERO'!H421</f>
        <v>ADMINISTRATIVO</v>
      </c>
      <c r="G421" s="20" t="str">
        <f>'C COSTOS ESTADO FINANCIERO'!J421</f>
        <v>ACTIVO</v>
      </c>
    </row>
    <row r="422" spans="1:7" x14ac:dyDescent="0.25">
      <c r="A422" s="20">
        <f>'C COSTOS ESTADO FINANCIERO'!A422</f>
        <v>4052209</v>
      </c>
      <c r="B422" s="20" t="str">
        <f>'C COSTOS ESTADO FINANCIERO'!B422</f>
        <v>HSJDP-PUERTO RONDON-VIGILANCIA Y ASEO</v>
      </c>
      <c r="C422" s="20" t="str">
        <f>'C COSTOS ESTADO FINANCIERO'!D422</f>
        <v>R04</v>
      </c>
      <c r="D422" s="20" t="str">
        <f>'C COSTOS ESTADO FINANCIERO'!E422</f>
        <v>ASEO Y LIMPIEZA</v>
      </c>
      <c r="E422" s="20" t="str">
        <f>'C COSTOS ESTADO FINANCIERO'!I422</f>
        <v>HSJDP - Puerto Rondón</v>
      </c>
      <c r="F422" s="20" t="str">
        <f>'C COSTOS ESTADO FINANCIERO'!H422</f>
        <v>ADMINISTRATIVO</v>
      </c>
      <c r="G422" s="20" t="str">
        <f>'C COSTOS ESTADO FINANCIERO'!J422</f>
        <v>ACTIVO</v>
      </c>
    </row>
    <row r="423" spans="1:7" x14ac:dyDescent="0.25">
      <c r="A423" s="20">
        <f>'C COSTOS ESTADO FINANCIERO'!A423</f>
        <v>4062209</v>
      </c>
      <c r="B423" s="20" t="str">
        <f>'C COSTOS ESTADO FINANCIERO'!B423</f>
        <v>HSJCN-CRAVO NORTE-VIGILANCIA Y ASEO</v>
      </c>
      <c r="C423" s="20" t="str">
        <f>'C COSTOS ESTADO FINANCIERO'!D423</f>
        <v>R04</v>
      </c>
      <c r="D423" s="20" t="str">
        <f>'C COSTOS ESTADO FINANCIERO'!E423</f>
        <v>ASEO Y LIMPIEZA</v>
      </c>
      <c r="E423" s="20" t="str">
        <f>'C COSTOS ESTADO FINANCIERO'!I423</f>
        <v>HSJCN - Cravo Norte</v>
      </c>
      <c r="F423" s="20" t="str">
        <f>'C COSTOS ESTADO FINANCIERO'!H423</f>
        <v>ADMINISTRATIVO</v>
      </c>
      <c r="G423" s="20" t="str">
        <f>'C COSTOS ESTADO FINANCIERO'!J423</f>
        <v>ACTIVO</v>
      </c>
    </row>
    <row r="424" spans="1:7" x14ac:dyDescent="0.25">
      <c r="A424" s="20">
        <f>'C COSTOS ESTADO FINANCIERO'!A424</f>
        <v>4072209</v>
      </c>
      <c r="B424" s="20" t="str">
        <f>'C COSTOS ESTADO FINANCIERO'!B424</f>
        <v>HSRP-PAMPURI-VIGILANCIA Y ASEO</v>
      </c>
      <c r="C424" s="20" t="str">
        <f>'C COSTOS ESTADO FINANCIERO'!D424</f>
        <v>R04</v>
      </c>
      <c r="D424" s="20" t="str">
        <f>'C COSTOS ESTADO FINANCIERO'!E424</f>
        <v>ASEO Y LIMPIEZA</v>
      </c>
      <c r="E424" s="20" t="str">
        <f>'C COSTOS ESTADO FINANCIERO'!I424</f>
        <v>HSRP - Pampurí / La Esmeralda</v>
      </c>
      <c r="F424" s="20" t="str">
        <f>'C COSTOS ESTADO FINANCIERO'!H424</f>
        <v>ADMINISTRATIVO</v>
      </c>
      <c r="G424" s="20" t="str">
        <f>'C COSTOS ESTADO FINANCIERO'!J424</f>
        <v>ACTIVO</v>
      </c>
    </row>
    <row r="425" spans="1:7" x14ac:dyDescent="0.25">
      <c r="A425" s="20">
        <f>'C COSTOS ESTADO FINANCIERO'!A425</f>
        <v>4082209</v>
      </c>
      <c r="B425" s="20" t="str">
        <f>'C COSTOS ESTADO FINANCIERO'!B425</f>
        <v>CSPA-ARAUQUITA-VIGILANCIA Y ASEO</v>
      </c>
      <c r="C425" s="20" t="str">
        <f>'C COSTOS ESTADO FINANCIERO'!D425</f>
        <v>R04</v>
      </c>
      <c r="D425" s="20" t="str">
        <f>'C COSTOS ESTADO FINANCIERO'!E425</f>
        <v>ASEO Y LIMPIEZA</v>
      </c>
      <c r="E425" s="20" t="str">
        <f>'C COSTOS ESTADO FINANCIERO'!I425</f>
        <v>CSPA - Panamá de Arauca</v>
      </c>
      <c r="F425" s="20" t="str">
        <f>'C COSTOS ESTADO FINANCIERO'!H425</f>
        <v>ADMINISTRATIVO</v>
      </c>
      <c r="G425" s="20" t="str">
        <f>'C COSTOS ESTADO FINANCIERO'!J425</f>
        <v>ACTIVO</v>
      </c>
    </row>
    <row r="426" spans="1:7" x14ac:dyDescent="0.25">
      <c r="A426" s="20">
        <f>'C COSTOS ESTADO FINANCIERO'!A426</f>
        <v>4092209</v>
      </c>
      <c r="B426" s="20" t="str">
        <f>'C COSTOS ESTADO FINANCIERO'!B426</f>
        <v>CSJSC-TAME-VIGILANCIA Y ASEO</v>
      </c>
      <c r="C426" s="20" t="str">
        <f>'C COSTOS ESTADO FINANCIERO'!D426</f>
        <v>R04</v>
      </c>
      <c r="D426" s="20" t="str">
        <f>'C COSTOS ESTADO FINANCIERO'!E426</f>
        <v>ASEO Y LIMPIEZA</v>
      </c>
      <c r="E426" s="20" t="str">
        <f>'C COSTOS ESTADO FINANCIERO'!I426</f>
        <v>CSJSC - Tame</v>
      </c>
      <c r="F426" s="20" t="str">
        <f>'C COSTOS ESTADO FINANCIERO'!H426</f>
        <v>ADMINISTRATIVO</v>
      </c>
      <c r="G426" s="20" t="str">
        <f>'C COSTOS ESTADO FINANCIERO'!J426</f>
        <v>ACTIVO</v>
      </c>
    </row>
    <row r="427" spans="1:7" x14ac:dyDescent="0.25">
      <c r="A427" s="20">
        <f>'C COSTOS ESTADO FINANCIERO'!A427</f>
        <v>4012210</v>
      </c>
      <c r="B427" s="20" t="str">
        <f>'C COSTOS ESTADO FINANCIERO'!B427</f>
        <v>ESE01 TAME TRANSPORTE PERSONAL</v>
      </c>
      <c r="C427" s="20" t="str">
        <f>'C COSTOS ESTADO FINANCIERO'!D427</f>
        <v>R07</v>
      </c>
      <c r="D427" s="20" t="str">
        <f>'C COSTOS ESTADO FINANCIERO'!E427</f>
        <v>OTROS VEHÍCULOS Y CONDUCTORES</v>
      </c>
      <c r="E427" s="20" t="str">
        <f>'C COSTOS ESTADO FINANCIERO'!I427</f>
        <v>ESE01 - Sede Administrativa (Tame)</v>
      </c>
      <c r="F427" s="20" t="str">
        <f>'C COSTOS ESTADO FINANCIERO'!H427</f>
        <v>ADMINISTRATIVO</v>
      </c>
      <c r="G427" s="20" t="str">
        <f>'C COSTOS ESTADO FINANCIERO'!J427</f>
        <v>ACTIVO</v>
      </c>
    </row>
    <row r="428" spans="1:7" x14ac:dyDescent="0.25">
      <c r="A428" s="20">
        <f>'C COSTOS ESTADO FINANCIERO'!A428</f>
        <v>4012211</v>
      </c>
      <c r="B428" s="20" t="str">
        <f>'C COSTOS ESTADO FINANCIERO'!B428</f>
        <v>PAGO IMPUESTOS RETENIDOS</v>
      </c>
      <c r="C428" s="20" t="str">
        <f>'C COSTOS ESTADO FINANCIERO'!D428</f>
        <v>S05</v>
      </c>
      <c r="D428" s="20" t="str">
        <f>'C COSTOS ESTADO FINANCIERO'!E428</f>
        <v>TESORERÍA</v>
      </c>
      <c r="E428" s="20" t="str">
        <f>'C COSTOS ESTADO FINANCIERO'!I428</f>
        <v>ESE01 - Sede Administrativa (Tame)</v>
      </c>
      <c r="F428" s="20" t="str">
        <f>'C COSTOS ESTADO FINANCIERO'!H428</f>
        <v>ADMINISTRATIVO</v>
      </c>
      <c r="G428" s="20" t="str">
        <f>'C COSTOS ESTADO FINANCIERO'!J428</f>
        <v>EXCLUIR</v>
      </c>
    </row>
    <row r="429" spans="1:7" x14ac:dyDescent="0.25">
      <c r="A429" s="20">
        <f>'C COSTOS ESTADO FINANCIERO'!A429</f>
        <v>1010205</v>
      </c>
      <c r="B429" s="20" t="str">
        <f>'C COSTOS ESTADO FINANCIERO'!B429</f>
        <v>ESE01- SEDE ADMINISTRATIVA - OTRAS ACTIVIDADES EXTRAMURALES</v>
      </c>
      <c r="C429" s="20" t="str">
        <f>'C COSTOS ESTADO FINANCIERO'!D429</f>
        <v>K25</v>
      </c>
      <c r="D429" s="20" t="str">
        <f>'C COSTOS ESTADO FINANCIERO'!E429</f>
        <v>SALUD PUBLICA</v>
      </c>
      <c r="E429" s="20" t="str">
        <f>'C COSTOS ESTADO FINANCIERO'!I429</f>
        <v>ESE01 - Sede Administrativa (Tame)</v>
      </c>
      <c r="F429" s="20" t="str">
        <f>'C COSTOS ESTADO FINANCIERO'!H429</f>
        <v>PRODUCTIVO (final)</v>
      </c>
      <c r="G429" s="20" t="str">
        <f>'C COSTOS ESTADO FINANCIERO'!J429</f>
        <v>ACTIVO</v>
      </c>
    </row>
    <row r="430" spans="1:7" x14ac:dyDescent="0.25">
      <c r="A430" s="20">
        <f>'C COSTOS ESTADO FINANCIERO'!A430</f>
        <v>3012199</v>
      </c>
      <c r="B430" s="20" t="str">
        <f>'C COSTOS ESTADO FINANCIERO'!B430</f>
        <v>ESE01-SALDOS INCIALES</v>
      </c>
      <c r="C430" s="20" t="str">
        <f>'C COSTOS ESTADO FINANCIERO'!D430</f>
        <v>S02</v>
      </c>
      <c r="D430" s="20" t="str">
        <f>'C COSTOS ESTADO FINANCIERO'!E430</f>
        <v>CONTABILIDAD Y COSTOS</v>
      </c>
      <c r="E430" s="20" t="str">
        <f>'C COSTOS ESTADO FINANCIERO'!I430</f>
        <v>ESE01 - Sede Administrativa (Tame)</v>
      </c>
      <c r="F430" s="20" t="str">
        <f>'C COSTOS ESTADO FINANCIERO'!H430</f>
        <v>ADMINISTRATIVO</v>
      </c>
      <c r="G430" s="20" t="str">
        <f>'C COSTOS ESTADO FINANCIERO'!J430</f>
        <v>EXCLUIR</v>
      </c>
    </row>
    <row r="431" spans="1:7" x14ac:dyDescent="0.25">
      <c r="A431" s="20">
        <f>'C COSTOS ESTADO FINANCIERO'!A431</f>
        <v>4012212</v>
      </c>
      <c r="B431" s="20" t="str">
        <f>'C COSTOS ESTADO FINANCIERO'!B431</f>
        <v>ESE01-TRANSPORTE PACIENTES - COMBUSTIBLE</v>
      </c>
      <c r="C431" s="20" t="str">
        <f>'C COSTOS ESTADO FINANCIERO'!D431</f>
        <v>N08</v>
      </c>
      <c r="D431" s="20" t="str">
        <f>'C COSTOS ESTADO FINANCIERO'!E431</f>
        <v>SERVICIO DE AMBULANCIAS</v>
      </c>
      <c r="E431" s="20" t="str">
        <f>'C COSTOS ESTADO FINANCIERO'!I431</f>
        <v>ESE01 - Sede Administrativa (Tame)</v>
      </c>
      <c r="F431" s="20" t="str">
        <f>'C COSTOS ESTADO FINANCIERO'!H431</f>
        <v>PRODUCTIVO (final)</v>
      </c>
      <c r="G431" s="20" t="str">
        <f>'C COSTOS ESTADO FINANCIERO'!J431</f>
        <v>ACTIVO</v>
      </c>
    </row>
    <row r="432" spans="1:7" x14ac:dyDescent="0.25">
      <c r="A432" s="20">
        <f>'C COSTOS ESTADO FINANCIERO'!A432</f>
        <v>4022212</v>
      </c>
      <c r="B432" s="20" t="str">
        <f>'C COSTOS ESTADO FINANCIERO'!B432</f>
        <v>HSLA - ARAUQUITA - TRANSPORTE PACIENTES - COMBUSTIBLE</v>
      </c>
      <c r="C432" s="20" t="str">
        <f>'C COSTOS ESTADO FINANCIERO'!D432</f>
        <v>N08</v>
      </c>
      <c r="D432" s="20" t="str">
        <f>'C COSTOS ESTADO FINANCIERO'!E432</f>
        <v>SERVICIO DE AMBULANCIAS</v>
      </c>
      <c r="E432" s="20" t="str">
        <f>'C COSTOS ESTADO FINANCIERO'!I432</f>
        <v>HSLA - Arauquita</v>
      </c>
      <c r="F432" s="20" t="str">
        <f>'C COSTOS ESTADO FINANCIERO'!H432</f>
        <v>PRODUCTIVO (final)</v>
      </c>
      <c r="G432" s="20" t="str">
        <f>'C COSTOS ESTADO FINANCIERO'!J432</f>
        <v>ACTIVO</v>
      </c>
    </row>
    <row r="433" spans="1:7" x14ac:dyDescent="0.25">
      <c r="A433" s="20">
        <f>'C COSTOS ESTADO FINANCIERO'!A433</f>
        <v>4032212</v>
      </c>
      <c r="B433" s="20" t="str">
        <f>'C COSTOS ESTADO FINANCIERO'!B433</f>
        <v>HSFF-FORTUL-TRANSPORTE PACIENTES - COMBUSTIBLE</v>
      </c>
      <c r="C433" s="20" t="str">
        <f>'C COSTOS ESTADO FINANCIERO'!D433</f>
        <v>N08</v>
      </c>
      <c r="D433" s="20" t="str">
        <f>'C COSTOS ESTADO FINANCIERO'!E433</f>
        <v>SERVICIO DE AMBULANCIAS</v>
      </c>
      <c r="E433" s="20" t="str">
        <f>'C COSTOS ESTADO FINANCIERO'!I433</f>
        <v>HSFF - Fortul</v>
      </c>
      <c r="F433" s="20" t="str">
        <f>'C COSTOS ESTADO FINANCIERO'!H433</f>
        <v>PRODUCTIVO (final)</v>
      </c>
      <c r="G433" s="20" t="str">
        <f>'C COSTOS ESTADO FINANCIERO'!J433</f>
        <v>ACTIVO</v>
      </c>
    </row>
    <row r="434" spans="1:7" x14ac:dyDescent="0.25">
      <c r="A434" s="20">
        <f>'C COSTOS ESTADO FINANCIERO'!A434</f>
        <v>4042212</v>
      </c>
      <c r="B434" s="20" t="str">
        <f>'C COSTOS ESTADO FINANCIERO'!B434</f>
        <v>HSAT-TAME-TRANSPORTE PACIENTES - COMBUSTIBLE</v>
      </c>
      <c r="C434" s="20" t="str">
        <f>'C COSTOS ESTADO FINANCIERO'!D434</f>
        <v>N08</v>
      </c>
      <c r="D434" s="20" t="str">
        <f>'C COSTOS ESTADO FINANCIERO'!E434</f>
        <v>SERVICIO DE AMBULANCIAS</v>
      </c>
      <c r="E434" s="20" t="str">
        <f>'C COSTOS ESTADO FINANCIERO'!I434</f>
        <v>HSAT - Tame</v>
      </c>
      <c r="F434" s="20" t="str">
        <f>'C COSTOS ESTADO FINANCIERO'!H434</f>
        <v>PRODUCTIVO (final)</v>
      </c>
      <c r="G434" s="20" t="str">
        <f>'C COSTOS ESTADO FINANCIERO'!J434</f>
        <v>ACTIVO</v>
      </c>
    </row>
    <row r="435" spans="1:7" x14ac:dyDescent="0.25">
      <c r="A435" s="20">
        <f>'C COSTOS ESTADO FINANCIERO'!A435</f>
        <v>4052212</v>
      </c>
      <c r="B435" s="20" t="str">
        <f>'C COSTOS ESTADO FINANCIERO'!B435</f>
        <v>HSJDP-RONDON-TRANSPORTE PACIENTES - COMBUSTIBLE</v>
      </c>
      <c r="C435" s="20" t="str">
        <f>'C COSTOS ESTADO FINANCIERO'!D435</f>
        <v>N08</v>
      </c>
      <c r="D435" s="20" t="str">
        <f>'C COSTOS ESTADO FINANCIERO'!E435</f>
        <v>SERVICIO DE AMBULANCIAS</v>
      </c>
      <c r="E435" s="20" t="str">
        <f>'C COSTOS ESTADO FINANCIERO'!I435</f>
        <v>HSJDP - Puerto Rondón</v>
      </c>
      <c r="F435" s="20" t="str">
        <f>'C COSTOS ESTADO FINANCIERO'!H435</f>
        <v>PRODUCTIVO (final)</v>
      </c>
      <c r="G435" s="20" t="str">
        <f>'C COSTOS ESTADO FINANCIERO'!J435</f>
        <v>ACTIVO</v>
      </c>
    </row>
    <row r="436" spans="1:7" x14ac:dyDescent="0.25">
      <c r="A436" s="20">
        <f>'C COSTOS ESTADO FINANCIERO'!A436</f>
        <v>4062212</v>
      </c>
      <c r="B436" s="20" t="str">
        <f>'C COSTOS ESTADO FINANCIERO'!B436</f>
        <v>HSJCN-CRAVO NORTE-TRANSPORTE PACIENTES - COMBUSTIBLE</v>
      </c>
      <c r="C436" s="20" t="str">
        <f>'C COSTOS ESTADO FINANCIERO'!D436</f>
        <v>N08</v>
      </c>
      <c r="D436" s="20" t="str">
        <f>'C COSTOS ESTADO FINANCIERO'!E436</f>
        <v>SERVICIO DE AMBULANCIAS</v>
      </c>
      <c r="E436" s="20" t="str">
        <f>'C COSTOS ESTADO FINANCIERO'!I436</f>
        <v>HSJCN - Cravo Norte</v>
      </c>
      <c r="F436" s="20" t="str">
        <f>'C COSTOS ESTADO FINANCIERO'!H436</f>
        <v>PRODUCTIVO (final)</v>
      </c>
      <c r="G436" s="20" t="str">
        <f>'C COSTOS ESTADO FINANCIERO'!J436</f>
        <v>ACTIVO</v>
      </c>
    </row>
    <row r="437" spans="1:7" x14ac:dyDescent="0.25">
      <c r="A437" s="20">
        <f>'C COSTOS ESTADO FINANCIERO'!A437</f>
        <v>4072212</v>
      </c>
      <c r="B437" s="20" t="str">
        <f>'C COSTOS ESTADO FINANCIERO'!B437</f>
        <v>HSRP-LA ESMERALDA-TRANSPORTE PACIENTES - COMBUSTIBLE</v>
      </c>
      <c r="C437" s="20" t="str">
        <f>'C COSTOS ESTADO FINANCIERO'!D437</f>
        <v>N08</v>
      </c>
      <c r="D437" s="20" t="str">
        <f>'C COSTOS ESTADO FINANCIERO'!E437</f>
        <v>SERVICIO DE AMBULANCIAS</v>
      </c>
      <c r="E437" s="20" t="str">
        <f>'C COSTOS ESTADO FINANCIERO'!I437</f>
        <v>HSRP - Pampurí / La Esmeralda</v>
      </c>
      <c r="F437" s="20" t="str">
        <f>'C COSTOS ESTADO FINANCIERO'!H437</f>
        <v>PRODUCTIVO (final)</v>
      </c>
      <c r="G437" s="20" t="str">
        <f>'C COSTOS ESTADO FINANCIERO'!J437</f>
        <v>ACTIVO</v>
      </c>
    </row>
    <row r="438" spans="1:7" x14ac:dyDescent="0.25">
      <c r="A438" s="20">
        <f>'C COSTOS ESTADO FINANCIERO'!A438</f>
        <v>4082212</v>
      </c>
      <c r="B438" s="20" t="str">
        <f>'C COSTOS ESTADO FINANCIERO'!B438</f>
        <v>CSPA-PANAMA-TRANSPORTE PACIENTES - COMBUSTIBLE</v>
      </c>
      <c r="C438" s="20" t="str">
        <f>'C COSTOS ESTADO FINANCIERO'!D438</f>
        <v>N08</v>
      </c>
      <c r="D438" s="20" t="str">
        <f>'C COSTOS ESTADO FINANCIERO'!E438</f>
        <v>SERVICIO DE AMBULANCIAS</v>
      </c>
      <c r="E438" s="20" t="str">
        <f>'C COSTOS ESTADO FINANCIERO'!I438</f>
        <v>CSPA - Panamá de Arauca</v>
      </c>
      <c r="F438" s="20" t="str">
        <f>'C COSTOS ESTADO FINANCIERO'!H438</f>
        <v>PRODUCTIVO (final)</v>
      </c>
      <c r="G438" s="20" t="str">
        <f>'C COSTOS ESTADO FINANCIERO'!J438</f>
        <v>ACTIVO</v>
      </c>
    </row>
    <row r="439" spans="1:7" x14ac:dyDescent="0.25">
      <c r="A439" s="20">
        <f>'C COSTOS ESTADO FINANCIERO'!A439</f>
        <v>4092212</v>
      </c>
      <c r="B439" s="20" t="str">
        <f>'C COSTOS ESTADO FINANCIERO'!B439</f>
        <v>CSJSC-PUERTO JORDAN-TRANSPORTE PACIENTES - COMBUSTIBLE</v>
      </c>
      <c r="C439" s="20" t="str">
        <f>'C COSTOS ESTADO FINANCIERO'!D439</f>
        <v>N08</v>
      </c>
      <c r="D439" s="20" t="str">
        <f>'C COSTOS ESTADO FINANCIERO'!E439</f>
        <v>SERVICIO DE AMBULANCIAS</v>
      </c>
      <c r="E439" s="20" t="str">
        <f>'C COSTOS ESTADO FINANCIERO'!I439</f>
        <v>CSJSC - Tame</v>
      </c>
      <c r="F439" s="20" t="str">
        <f>'C COSTOS ESTADO FINANCIERO'!H439</f>
        <v>PRODUCTIVO (final)</v>
      </c>
      <c r="G439" s="20" t="str">
        <f>'C COSTOS ESTADO FINANCIERO'!J439</f>
        <v>ACTIVO</v>
      </c>
    </row>
    <row r="440" spans="1:7" x14ac:dyDescent="0.25">
      <c r="A440" s="20">
        <f>'C COSTOS ESTADO FINANCIERO'!A440</f>
        <v>4092213</v>
      </c>
      <c r="B440" s="20" t="str">
        <f>'C COSTOS ESTADO FINANCIERO'!B440</f>
        <v>AMPLIACION Y ADECUACION INFRAESTRUCTURA</v>
      </c>
      <c r="C440" s="20" t="str">
        <f>'C COSTOS ESTADO FINANCIERO'!D440</f>
        <v>R02</v>
      </c>
      <c r="D440" s="20" t="str">
        <f>'C COSTOS ESTADO FINANCIERO'!E440</f>
        <v>RECURSOS FÍSICOS</v>
      </c>
      <c r="E440" s="20" t="str">
        <f>'C COSTOS ESTADO FINANCIERO'!I440</f>
        <v>CSJSC - Tame</v>
      </c>
      <c r="F440" s="20" t="str">
        <f>'C COSTOS ESTADO FINANCIERO'!H440</f>
        <v>ADMINISTRATIVO</v>
      </c>
      <c r="G440" s="20" t="str">
        <f>'C COSTOS ESTADO FINANCIERO'!J440</f>
        <v>EXCLUIR</v>
      </c>
    </row>
    <row r="441" spans="1:7" x14ac:dyDescent="0.25">
      <c r="A441" s="20">
        <f>'C COSTOS ESTADO FINANCIERO'!A441</f>
        <v>1100606</v>
      </c>
      <c r="B441" s="20" t="str">
        <f>'C COSTOS ESTADO FINANCIERO'!B441</f>
        <v>PSLP-FARMACIA E INSUMOS HOPITALARIOS</v>
      </c>
      <c r="C441" s="20" t="str">
        <f>'C COSTOS ESTADO FINANCIERO'!D441</f>
        <v>M05</v>
      </c>
      <c r="D441" s="20" t="str">
        <f>'C COSTOS ESTADO FINANCIERO'!E441</f>
        <v>FARMACIA</v>
      </c>
      <c r="E441" s="20" t="str">
        <f>'C COSTOS ESTADO FINANCIERO'!I441</f>
        <v>PSLP</v>
      </c>
      <c r="F441" s="20" t="str">
        <f>'C COSTOS ESTADO FINANCIERO'!H441</f>
        <v>APOYO ASISTENCIAL (intermedio)</v>
      </c>
      <c r="G441" s="20" t="str">
        <f>'C COSTOS ESTADO FINANCIERO'!J441</f>
        <v>ACTIVO</v>
      </c>
    </row>
    <row r="442" spans="1:7" x14ac:dyDescent="0.25">
      <c r="A442" s="20">
        <f>'C COSTOS ESTADO FINANCIERO'!A442</f>
        <v>1110606</v>
      </c>
      <c r="B442" s="20" t="str">
        <f>'C COSTOS ESTADO FINANCIERO'!B442</f>
        <v>PSAC-FARMACIA E INSUMOS HOPITALARIOS</v>
      </c>
      <c r="C442" s="20" t="str">
        <f>'C COSTOS ESTADO FINANCIERO'!D442</f>
        <v>M05</v>
      </c>
      <c r="D442" s="20" t="str">
        <f>'C COSTOS ESTADO FINANCIERO'!E442</f>
        <v>FARMACIA</v>
      </c>
      <c r="E442" s="20" t="str">
        <f>'C COSTOS ESTADO FINANCIERO'!I442</f>
        <v>PSAC</v>
      </c>
      <c r="F442" s="20" t="str">
        <f>'C COSTOS ESTADO FINANCIERO'!H442</f>
        <v>APOYO ASISTENCIAL (intermedio)</v>
      </c>
      <c r="G442" s="20" t="str">
        <f>'C COSTOS ESTADO FINANCIERO'!J442</f>
        <v>ACTIVO</v>
      </c>
    </row>
    <row r="443" spans="1:7" x14ac:dyDescent="0.25">
      <c r="A443" s="20">
        <f>'C COSTOS ESTADO FINANCIERO'!A443</f>
        <v>1120606</v>
      </c>
      <c r="B443" s="20" t="str">
        <f>'C COSTOS ESTADO FINANCIERO'!B443</f>
        <v>PSO1-FARMACIA E INSUMOS HOPITALARIOS</v>
      </c>
      <c r="C443" s="20" t="str">
        <f>'C COSTOS ESTADO FINANCIERO'!D443</f>
        <v>M05</v>
      </c>
      <c r="D443" s="20" t="str">
        <f>'C COSTOS ESTADO FINANCIERO'!E443</f>
        <v>FARMACIA</v>
      </c>
      <c r="E443" s="20" t="str">
        <f>'C COSTOS ESTADO FINANCIERO'!I443</f>
        <v>PSO1</v>
      </c>
      <c r="F443" s="20" t="str">
        <f>'C COSTOS ESTADO FINANCIERO'!H443</f>
        <v>APOYO ASISTENCIAL (intermedio)</v>
      </c>
      <c r="G443" s="20" t="str">
        <f>'C COSTOS ESTADO FINANCIERO'!J443</f>
        <v>ACTIVO</v>
      </c>
    </row>
    <row r="444" spans="1:7" x14ac:dyDescent="0.25">
      <c r="A444" s="20">
        <f>'C COSTOS ESTADO FINANCIERO'!A444</f>
        <v>4012213</v>
      </c>
      <c r="B444" s="20" t="str">
        <f>'C COSTOS ESTADO FINANCIERO'!B444</f>
        <v>ESE01-MEDICAMENTOS</v>
      </c>
      <c r="C444" s="20" t="str">
        <f>'C COSTOS ESTADO FINANCIERO'!D444</f>
        <v>M05</v>
      </c>
      <c r="D444" s="20" t="str">
        <f>'C COSTOS ESTADO FINANCIERO'!E444</f>
        <v>FARMACIA</v>
      </c>
      <c r="E444" s="20" t="str">
        <f>'C COSTOS ESTADO FINANCIERO'!I444</f>
        <v>ESE01 - Sede Administrativa (Tame)</v>
      </c>
      <c r="F444" s="20" t="str">
        <f>'C COSTOS ESTADO FINANCIERO'!H444</f>
        <v>APOYO ASISTENCIAL (intermedio)</v>
      </c>
      <c r="G444" s="20" t="str">
        <f>'C COSTOS ESTADO FINANCIERO'!J444</f>
        <v>ACTIVO</v>
      </c>
    </row>
    <row r="445" spans="1:7" x14ac:dyDescent="0.25">
      <c r="A445" s="20">
        <f>'C COSTOS ESTADO FINANCIERO'!A445</f>
        <v>2022011</v>
      </c>
      <c r="B445" s="20" t="str">
        <f>'C COSTOS ESTADO FINANCIERO'!B445</f>
        <v>HSLA - ARAUQUITA - CONTROL DE RESIDUOS SOLIDOS</v>
      </c>
      <c r="C445" s="20" t="str">
        <f>'C COSTOS ESTADO FINANCIERO'!D445</f>
        <v>R04</v>
      </c>
      <c r="D445" s="20" t="str">
        <f>'C COSTOS ESTADO FINANCIERO'!E445</f>
        <v>ASEO Y LIMPIEZA</v>
      </c>
      <c r="E445" s="20" t="str">
        <f>'C COSTOS ESTADO FINANCIERO'!I445</f>
        <v>HSLA - Arauquita</v>
      </c>
      <c r="F445" s="20" t="str">
        <f>'C COSTOS ESTADO FINANCIERO'!H445</f>
        <v>ADMINISTRATIVO</v>
      </c>
      <c r="G445" s="20" t="str">
        <f>'C COSTOS ESTADO FINANCIERO'!J445</f>
        <v>ACTIVO</v>
      </c>
    </row>
    <row r="446" spans="1:7" x14ac:dyDescent="0.25">
      <c r="A446" s="20">
        <f>'C COSTOS ESTADO FINANCIERO'!A446</f>
        <v>2032011</v>
      </c>
      <c r="B446" s="20" t="str">
        <f>'C COSTOS ESTADO FINANCIERO'!B446</f>
        <v>HSFF-FORTUL-CONTROL DE RESIDUOS HOSPITALARIOS</v>
      </c>
      <c r="C446" s="20" t="str">
        <f>'C COSTOS ESTADO FINANCIERO'!D446</f>
        <v>R04</v>
      </c>
      <c r="D446" s="20" t="str">
        <f>'C COSTOS ESTADO FINANCIERO'!E446</f>
        <v>ASEO Y LIMPIEZA</v>
      </c>
      <c r="E446" s="20" t="str">
        <f>'C COSTOS ESTADO FINANCIERO'!I446</f>
        <v>HSFF - Fortul</v>
      </c>
      <c r="F446" s="20" t="str">
        <f>'C COSTOS ESTADO FINANCIERO'!H446</f>
        <v>ADMINISTRATIVO</v>
      </c>
      <c r="G446" s="20" t="str">
        <f>'C COSTOS ESTADO FINANCIERO'!J446</f>
        <v>ACTIVO</v>
      </c>
    </row>
    <row r="447" spans="1:7" x14ac:dyDescent="0.25">
      <c r="A447" s="20">
        <f>'C COSTOS ESTADO FINANCIERO'!A447</f>
        <v>2042011</v>
      </c>
      <c r="B447" s="20" t="str">
        <f>'C COSTOS ESTADO FINANCIERO'!B447</f>
        <v>HSAT-TAME- CONTROL DE RESIDUOS HOSPITALARIOS</v>
      </c>
      <c r="C447" s="20" t="str">
        <f>'C COSTOS ESTADO FINANCIERO'!D447</f>
        <v>R04</v>
      </c>
      <c r="D447" s="20" t="str">
        <f>'C COSTOS ESTADO FINANCIERO'!E447</f>
        <v>ASEO Y LIMPIEZA</v>
      </c>
      <c r="E447" s="20" t="str">
        <f>'C COSTOS ESTADO FINANCIERO'!I447</f>
        <v>HSAT - Tame</v>
      </c>
      <c r="F447" s="20" t="str">
        <f>'C COSTOS ESTADO FINANCIERO'!H447</f>
        <v>ADMINISTRATIVO</v>
      </c>
      <c r="G447" s="20" t="str">
        <f>'C COSTOS ESTADO FINANCIERO'!J447</f>
        <v>ACTIVO</v>
      </c>
    </row>
    <row r="448" spans="1:7" x14ac:dyDescent="0.25">
      <c r="A448" s="20">
        <f>'C COSTOS ESTADO FINANCIERO'!A448</f>
        <v>2052011</v>
      </c>
      <c r="B448" s="20" t="str">
        <f>'C COSTOS ESTADO FINANCIERO'!B448</f>
        <v>HSJDP-RONDON - CONTROL DE RESIDUOS HOSPITALARIOS</v>
      </c>
      <c r="C448" s="20" t="str">
        <f>'C COSTOS ESTADO FINANCIERO'!D448</f>
        <v>R04</v>
      </c>
      <c r="D448" s="20" t="str">
        <f>'C COSTOS ESTADO FINANCIERO'!E448</f>
        <v>ASEO Y LIMPIEZA</v>
      </c>
      <c r="E448" s="20" t="str">
        <f>'C COSTOS ESTADO FINANCIERO'!I448</f>
        <v>HSJDP - Puerto Rondón</v>
      </c>
      <c r="F448" s="20" t="str">
        <f>'C COSTOS ESTADO FINANCIERO'!H448</f>
        <v>ADMINISTRATIVO</v>
      </c>
      <c r="G448" s="20" t="str">
        <f>'C COSTOS ESTADO FINANCIERO'!J448</f>
        <v>ACTIVO</v>
      </c>
    </row>
    <row r="449" spans="1:7" x14ac:dyDescent="0.25">
      <c r="A449" s="20">
        <f>'C COSTOS ESTADO FINANCIERO'!A449</f>
        <v>2092011</v>
      </c>
      <c r="B449" s="20" t="str">
        <f>'C COSTOS ESTADO FINANCIERO'!B449</f>
        <v>CSJSC - TAME - CONTROL DE RESIDUOS SOLIDOS</v>
      </c>
      <c r="C449" s="20" t="str">
        <f>'C COSTOS ESTADO FINANCIERO'!D449</f>
        <v>R04</v>
      </c>
      <c r="D449" s="20" t="str">
        <f>'C COSTOS ESTADO FINANCIERO'!E449</f>
        <v>ASEO Y LIMPIEZA</v>
      </c>
      <c r="E449" s="20" t="str">
        <f>'C COSTOS ESTADO FINANCIERO'!I449</f>
        <v>CSJSC - Tame</v>
      </c>
      <c r="F449" s="20" t="str">
        <f>'C COSTOS ESTADO FINANCIERO'!H449</f>
        <v>ADMINISTRATIVO</v>
      </c>
      <c r="G449" s="20" t="str">
        <f>'C COSTOS ESTADO FINANCIERO'!J449</f>
        <v>ACTIVO</v>
      </c>
    </row>
    <row r="450" spans="1:7" x14ac:dyDescent="0.25">
      <c r="A450" s="20">
        <f>'C COSTOS ESTADO FINANCIERO'!A450</f>
        <v>2082011</v>
      </c>
      <c r="B450" s="20" t="str">
        <f>'C COSTOS ESTADO FINANCIERO'!B450</f>
        <v>CSPA - PANAMA- CONTROL DE RESIDUOS SOLIDOS</v>
      </c>
      <c r="C450" s="20" t="str">
        <f>'C COSTOS ESTADO FINANCIERO'!D450</f>
        <v>R04</v>
      </c>
      <c r="D450" s="20" t="str">
        <f>'C COSTOS ESTADO FINANCIERO'!E450</f>
        <v>ASEO Y LIMPIEZA</v>
      </c>
      <c r="E450" s="20" t="str">
        <f>'C COSTOS ESTADO FINANCIERO'!I450</f>
        <v>CSPA - Panamá de Arauca</v>
      </c>
      <c r="F450" s="20" t="str">
        <f>'C COSTOS ESTADO FINANCIERO'!H450</f>
        <v>ADMINISTRATIVO</v>
      </c>
      <c r="G450" s="20" t="str">
        <f>'C COSTOS ESTADO FINANCIERO'!J450</f>
        <v>ACTIVO</v>
      </c>
    </row>
    <row r="451" spans="1:7" x14ac:dyDescent="0.25">
      <c r="A451" s="20">
        <f>'C COSTOS ESTADO FINANCIERO'!A451</f>
        <v>2072011</v>
      </c>
      <c r="B451" s="20" t="str">
        <f>'C COSTOS ESTADO FINANCIERO'!B451</f>
        <v>HSRP - LA ESMERALDA - CONTROL DE RESIDUOS SOLIDOS</v>
      </c>
      <c r="C451" s="20" t="str">
        <f>'C COSTOS ESTADO FINANCIERO'!D451</f>
        <v>R04</v>
      </c>
      <c r="D451" s="20" t="str">
        <f>'C COSTOS ESTADO FINANCIERO'!E451</f>
        <v>ASEO Y LIMPIEZA</v>
      </c>
      <c r="E451" s="20" t="str">
        <f>'C COSTOS ESTADO FINANCIERO'!I451</f>
        <v>HSRP - Pampurí / La Esmeralda</v>
      </c>
      <c r="F451" s="20" t="str">
        <f>'C COSTOS ESTADO FINANCIERO'!H451</f>
        <v>ADMINISTRATIVO</v>
      </c>
      <c r="G451" s="20" t="str">
        <f>'C COSTOS ESTADO FINANCIERO'!J451</f>
        <v>ACTIVO</v>
      </c>
    </row>
    <row r="452" spans="1:7" x14ac:dyDescent="0.25">
      <c r="A452" s="20">
        <f>'C COSTOS ESTADO FINANCIERO'!A452</f>
        <v>2062011</v>
      </c>
      <c r="B452" s="20" t="str">
        <f>'C COSTOS ESTADO FINANCIERO'!B452</f>
        <v>HSJCN - CONTROL DE RESIDUOS SOLIDOS</v>
      </c>
      <c r="C452" s="20" t="str">
        <f>'C COSTOS ESTADO FINANCIERO'!D452</f>
        <v>R04</v>
      </c>
      <c r="D452" s="20" t="str">
        <f>'C COSTOS ESTADO FINANCIERO'!E452</f>
        <v>ASEO Y LIMPIEZA</v>
      </c>
      <c r="E452" s="20" t="str">
        <f>'C COSTOS ESTADO FINANCIERO'!I452</f>
        <v>HSJCN - Cravo Norte</v>
      </c>
      <c r="F452" s="20" t="str">
        <f>'C COSTOS ESTADO FINANCIERO'!H452</f>
        <v>ADMINISTRATIVO</v>
      </c>
      <c r="G452" s="20" t="str">
        <f>'C COSTOS ESTADO FINANCIERO'!J452</f>
        <v>ACTIVO</v>
      </c>
    </row>
    <row r="453" spans="1:7" x14ac:dyDescent="0.25">
      <c r="A453" s="20">
        <f>'C COSTOS ESTADO FINANCIERO'!A453</f>
        <v>4032213</v>
      </c>
      <c r="B453" s="20" t="str">
        <f>'C COSTOS ESTADO FINANCIERO'!B453</f>
        <v>HSFF - FORTUL - GASTOS ADMINISTRATIVOS</v>
      </c>
      <c r="C453" s="20" t="str">
        <f>'C COSTOS ESTADO FINANCIERO'!D453</f>
        <v>R01</v>
      </c>
      <c r="D453" s="20" t="str">
        <f>'C COSTOS ESTADO FINANCIERO'!E453</f>
        <v>COORDINACIÓN ADMINISTRATIVA</v>
      </c>
      <c r="E453" s="20" t="str">
        <f>'C COSTOS ESTADO FINANCIERO'!I453</f>
        <v>HSFF - Fortul</v>
      </c>
      <c r="F453" s="20" t="str">
        <f>'C COSTOS ESTADO FINANCIERO'!H453</f>
        <v>ADMINISTRATIVO</v>
      </c>
      <c r="G453" s="20" t="str">
        <f>'C COSTOS ESTADO FINANCIERO'!J453</f>
        <v>ACTIVO</v>
      </c>
    </row>
    <row r="454" spans="1:7" x14ac:dyDescent="0.25">
      <c r="A454" s="20">
        <f>'C COSTOS ESTADO FINANCIERO'!A454</f>
        <v>4012214</v>
      </c>
      <c r="B454" s="20" t="str">
        <f>'C COSTOS ESTADO FINANCIERO'!B454</f>
        <v>ESE01-TAME-SEGURIDAD INDUSTRIAL</v>
      </c>
      <c r="C454" s="20" t="str">
        <f>'C COSTOS ESTADO FINANCIERO'!D454</f>
        <v>R08</v>
      </c>
      <c r="D454" s="20" t="str">
        <f>'C COSTOS ESTADO FINANCIERO'!E454</f>
        <v>SALUD OCUPACIONAL</v>
      </c>
      <c r="E454" s="20" t="str">
        <f>'C COSTOS ESTADO FINANCIERO'!I454</f>
        <v>ESE01 - Sede Administrativa (Tame)</v>
      </c>
      <c r="F454" s="20" t="str">
        <f>'C COSTOS ESTADO FINANCIERO'!H454</f>
        <v>ADMINISTRATIVO</v>
      </c>
      <c r="G454" s="20" t="str">
        <f>'C COSTOS ESTADO FINANCIERO'!J454</f>
        <v>ACTIVO</v>
      </c>
    </row>
    <row r="455" spans="1:7" x14ac:dyDescent="0.25">
      <c r="A455" s="20">
        <f>'C COSTOS ESTADO FINANCIERO'!A455</f>
        <v>4022214</v>
      </c>
      <c r="B455" s="20" t="str">
        <f>'C COSTOS ESTADO FINANCIERO'!B455</f>
        <v>HSLA-ARAUQUITA-SEGURIDAD INSDUSTRIAL</v>
      </c>
      <c r="C455" s="20" t="str">
        <f>'C COSTOS ESTADO FINANCIERO'!D455</f>
        <v>R08</v>
      </c>
      <c r="D455" s="20" t="str">
        <f>'C COSTOS ESTADO FINANCIERO'!E455</f>
        <v>SALUD OCUPACIONAL</v>
      </c>
      <c r="E455" s="20" t="str">
        <f>'C COSTOS ESTADO FINANCIERO'!I455</f>
        <v>HSLA - Arauquita</v>
      </c>
      <c r="F455" s="20" t="str">
        <f>'C COSTOS ESTADO FINANCIERO'!H455</f>
        <v>ADMINISTRATIVO</v>
      </c>
      <c r="G455" s="20" t="str">
        <f>'C COSTOS ESTADO FINANCIERO'!J455</f>
        <v>ACTIVO</v>
      </c>
    </row>
    <row r="456" spans="1:7" x14ac:dyDescent="0.25">
      <c r="A456" s="20">
        <f>'C COSTOS ESTADO FINANCIERO'!A456</f>
        <v>4032214</v>
      </c>
      <c r="B456" s="20" t="str">
        <f>'C COSTOS ESTADO FINANCIERO'!B456</f>
        <v>HSFF - FORTUL-SEGURIDAD INDUSTRIAL</v>
      </c>
      <c r="C456" s="20" t="str">
        <f>'C COSTOS ESTADO FINANCIERO'!D456</f>
        <v>R08</v>
      </c>
      <c r="D456" s="20" t="str">
        <f>'C COSTOS ESTADO FINANCIERO'!E456</f>
        <v>SALUD OCUPACIONAL</v>
      </c>
      <c r="E456" s="20" t="str">
        <f>'C COSTOS ESTADO FINANCIERO'!I456</f>
        <v>HSFF - Fortul</v>
      </c>
      <c r="F456" s="20" t="str">
        <f>'C COSTOS ESTADO FINANCIERO'!H456</f>
        <v>ADMINISTRATIVO</v>
      </c>
      <c r="G456" s="20" t="str">
        <f>'C COSTOS ESTADO FINANCIERO'!J456</f>
        <v>ACTIVO</v>
      </c>
    </row>
    <row r="457" spans="1:7" x14ac:dyDescent="0.25">
      <c r="A457" s="20">
        <f>'C COSTOS ESTADO FINANCIERO'!A457</f>
        <v>4042214</v>
      </c>
      <c r="B457" s="20" t="str">
        <f>'C COSTOS ESTADO FINANCIERO'!B457</f>
        <v>HSAT- TAME-SEGURIDAD INDUSTRIAL</v>
      </c>
      <c r="C457" s="20" t="str">
        <f>'C COSTOS ESTADO FINANCIERO'!D457</f>
        <v>R08</v>
      </c>
      <c r="D457" s="20" t="str">
        <f>'C COSTOS ESTADO FINANCIERO'!E457</f>
        <v>SALUD OCUPACIONAL</v>
      </c>
      <c r="E457" s="20" t="str">
        <f>'C COSTOS ESTADO FINANCIERO'!I457</f>
        <v>HSAT - Tame</v>
      </c>
      <c r="F457" s="20" t="str">
        <f>'C COSTOS ESTADO FINANCIERO'!H457</f>
        <v>ADMINISTRATIVO</v>
      </c>
      <c r="G457" s="20" t="str">
        <f>'C COSTOS ESTADO FINANCIERO'!J457</f>
        <v>ACTIVO</v>
      </c>
    </row>
    <row r="458" spans="1:7" x14ac:dyDescent="0.25">
      <c r="A458" s="20">
        <f>'C COSTOS ESTADO FINANCIERO'!A458</f>
        <v>4052214</v>
      </c>
      <c r="B458" s="20" t="str">
        <f>'C COSTOS ESTADO FINANCIERO'!B458</f>
        <v>HSJDP-RONDON-SEGURIDAD INDUSTRIAL</v>
      </c>
      <c r="C458" s="20" t="str">
        <f>'C COSTOS ESTADO FINANCIERO'!D458</f>
        <v>R08</v>
      </c>
      <c r="D458" s="20" t="str">
        <f>'C COSTOS ESTADO FINANCIERO'!E458</f>
        <v>SALUD OCUPACIONAL</v>
      </c>
      <c r="E458" s="20" t="str">
        <f>'C COSTOS ESTADO FINANCIERO'!I458</f>
        <v>HSJDP - Puerto Rondón</v>
      </c>
      <c r="F458" s="20" t="str">
        <f>'C COSTOS ESTADO FINANCIERO'!H458</f>
        <v>ADMINISTRATIVO</v>
      </c>
      <c r="G458" s="20" t="str">
        <f>'C COSTOS ESTADO FINANCIERO'!J458</f>
        <v>ACTIVO</v>
      </c>
    </row>
    <row r="459" spans="1:7" x14ac:dyDescent="0.25">
      <c r="A459" s="20">
        <f>'C COSTOS ESTADO FINANCIERO'!A459</f>
        <v>4062214</v>
      </c>
      <c r="B459" s="20" t="str">
        <f>'C COSTOS ESTADO FINANCIERO'!B459</f>
        <v>HSJCN-CRAVO NORTE- SEGURIDAD INDUSTRIAL</v>
      </c>
      <c r="C459" s="20" t="str">
        <f>'C COSTOS ESTADO FINANCIERO'!D459</f>
        <v>R08</v>
      </c>
      <c r="D459" s="20" t="str">
        <f>'C COSTOS ESTADO FINANCIERO'!E459</f>
        <v>SALUD OCUPACIONAL</v>
      </c>
      <c r="E459" s="20" t="str">
        <f>'C COSTOS ESTADO FINANCIERO'!I459</f>
        <v>HSJCN - Cravo Norte</v>
      </c>
      <c r="F459" s="20" t="str">
        <f>'C COSTOS ESTADO FINANCIERO'!H459</f>
        <v>ADMINISTRATIVO</v>
      </c>
      <c r="G459" s="20" t="str">
        <f>'C COSTOS ESTADO FINANCIERO'!J459</f>
        <v>ACTIVO</v>
      </c>
    </row>
    <row r="460" spans="1:7" x14ac:dyDescent="0.25">
      <c r="A460" s="20">
        <f>'C COSTOS ESTADO FINANCIERO'!A460</f>
        <v>4072214</v>
      </c>
      <c r="B460" s="20" t="str">
        <f>'C COSTOS ESTADO FINANCIERO'!B460</f>
        <v>HSRP-LA ESMERALDA-SEGURIDAD INDUSTRIAL</v>
      </c>
      <c r="C460" s="20" t="str">
        <f>'C COSTOS ESTADO FINANCIERO'!D460</f>
        <v>R08</v>
      </c>
      <c r="D460" s="20" t="str">
        <f>'C COSTOS ESTADO FINANCIERO'!E460</f>
        <v>SALUD OCUPACIONAL</v>
      </c>
      <c r="E460" s="20" t="str">
        <f>'C COSTOS ESTADO FINANCIERO'!I460</f>
        <v>HSRP - Pampurí / La Esmeralda</v>
      </c>
      <c r="F460" s="20" t="str">
        <f>'C COSTOS ESTADO FINANCIERO'!H460</f>
        <v>ADMINISTRATIVO</v>
      </c>
      <c r="G460" s="20" t="str">
        <f>'C COSTOS ESTADO FINANCIERO'!J460</f>
        <v>ACTIVO</v>
      </c>
    </row>
    <row r="461" spans="1:7" x14ac:dyDescent="0.25">
      <c r="A461" s="20">
        <f>'C COSTOS ESTADO FINANCIERO'!A461</f>
        <v>4082214</v>
      </c>
      <c r="B461" s="20" t="str">
        <f>'C COSTOS ESTADO FINANCIERO'!B461</f>
        <v>CSPA-ARAUQUITA-SEGURIDAD INDUSTRIAL</v>
      </c>
      <c r="C461" s="20" t="str">
        <f>'C COSTOS ESTADO FINANCIERO'!D461</f>
        <v>R08</v>
      </c>
      <c r="D461" s="20" t="str">
        <f>'C COSTOS ESTADO FINANCIERO'!E461</f>
        <v>SALUD OCUPACIONAL</v>
      </c>
      <c r="E461" s="20" t="str">
        <f>'C COSTOS ESTADO FINANCIERO'!I461</f>
        <v>CSPA - Panamá de Arauca</v>
      </c>
      <c r="F461" s="20" t="str">
        <f>'C COSTOS ESTADO FINANCIERO'!H461</f>
        <v>ADMINISTRATIVO</v>
      </c>
      <c r="G461" s="20" t="str">
        <f>'C COSTOS ESTADO FINANCIERO'!J461</f>
        <v>ACTIVO</v>
      </c>
    </row>
    <row r="462" spans="1:7" x14ac:dyDescent="0.25">
      <c r="A462" s="20">
        <f>'C COSTOS ESTADO FINANCIERO'!A462</f>
        <v>4092214</v>
      </c>
      <c r="B462" s="20" t="str">
        <f>'C COSTOS ESTADO FINANCIERO'!B462</f>
        <v>CSJSC-TAME-SEGURIDAD INDUSTRIAL</v>
      </c>
      <c r="C462" s="20" t="str">
        <f>'C COSTOS ESTADO FINANCIERO'!D462</f>
        <v>R08</v>
      </c>
      <c r="D462" s="20" t="str">
        <f>'C COSTOS ESTADO FINANCIERO'!E462</f>
        <v>SALUD OCUPACIONAL</v>
      </c>
      <c r="E462" s="20" t="str">
        <f>'C COSTOS ESTADO FINANCIERO'!I462</f>
        <v>CSJSC - Tame</v>
      </c>
      <c r="F462" s="20" t="str">
        <f>'C COSTOS ESTADO FINANCIERO'!H462</f>
        <v>ADMINISTRATIVO</v>
      </c>
      <c r="G462" s="20" t="str">
        <f>'C COSTOS ESTADO FINANCIERO'!J462</f>
        <v>ACTIVO</v>
      </c>
    </row>
    <row r="463" spans="1:7" x14ac:dyDescent="0.25">
      <c r="A463" s="20">
        <f>'C COSTOS ESTADO FINANCIERO'!A463</f>
        <v>4012215</v>
      </c>
      <c r="B463" s="20" t="str">
        <f>'C COSTOS ESTADO FINANCIERO'!B463</f>
        <v>ESE01- TAME - MENSAJERIA Y ARCHIVO</v>
      </c>
      <c r="C463" s="20" t="str">
        <f>'C COSTOS ESTADO FINANCIERO'!D463</f>
        <v>R09</v>
      </c>
      <c r="D463" s="20" t="str">
        <f>'C COSTOS ESTADO FINANCIERO'!E463</f>
        <v>GESTIÓN DOCUMENTAL Y ARCHIVÍSTICA</v>
      </c>
      <c r="E463" s="20" t="str">
        <f>'C COSTOS ESTADO FINANCIERO'!I463</f>
        <v>ESE01 - Sede Administrativa (Tame)</v>
      </c>
      <c r="F463" s="20" t="str">
        <f>'C COSTOS ESTADO FINANCIERO'!H463</f>
        <v>ADMINISTRATIVO</v>
      </c>
      <c r="G463" s="20" t="str">
        <f>'C COSTOS ESTADO FINANCIERO'!J463</f>
        <v>ACTIVO</v>
      </c>
    </row>
    <row r="464" spans="1:7" x14ac:dyDescent="0.25">
      <c r="A464" s="20">
        <f>'C COSTOS ESTADO FINANCIERO'!A464</f>
        <v>4052215</v>
      </c>
      <c r="B464" s="20" t="str">
        <f>'C COSTOS ESTADO FINANCIERO'!B464</f>
        <v>HSJDP-RONDON - MENSAJERIA Y ARCHIVO</v>
      </c>
      <c r="C464" s="20" t="str">
        <f>'C COSTOS ESTADO FINANCIERO'!D464</f>
        <v>R09</v>
      </c>
      <c r="D464" s="20" t="str">
        <f>'C COSTOS ESTADO FINANCIERO'!E464</f>
        <v>GESTIÓN DOCUMENTAL Y ARCHIVÍSTICA</v>
      </c>
      <c r="E464" s="20" t="str">
        <f>'C COSTOS ESTADO FINANCIERO'!I464</f>
        <v>HSJDP - Puerto Rondón</v>
      </c>
      <c r="F464" s="20" t="str">
        <f>'C COSTOS ESTADO FINANCIERO'!H464</f>
        <v>ADMINISTRATIVO</v>
      </c>
      <c r="G464" s="20" t="str">
        <f>'C COSTOS ESTADO FINANCIERO'!J464</f>
        <v>ACTIVO</v>
      </c>
    </row>
    <row r="465" spans="1:7" x14ac:dyDescent="0.25">
      <c r="A465" s="20">
        <f>'C COSTOS ESTADO FINANCIERO'!A465</f>
        <v>4022215</v>
      </c>
      <c r="B465" s="20" t="str">
        <f>'C COSTOS ESTADO FINANCIERO'!B465</f>
        <v>HSLA - ARAUQUITA - ARCHIVO Y MENSAJERIA</v>
      </c>
      <c r="C465" s="20" t="str">
        <f>'C COSTOS ESTADO FINANCIERO'!D465</f>
        <v>R09</v>
      </c>
      <c r="D465" s="20" t="str">
        <f>'C COSTOS ESTADO FINANCIERO'!E465</f>
        <v>GESTIÓN DOCUMENTAL Y ARCHIVÍSTICA</v>
      </c>
      <c r="E465" s="20" t="str">
        <f>'C COSTOS ESTADO FINANCIERO'!I465</f>
        <v>HSLA - Arauquita</v>
      </c>
      <c r="F465" s="20" t="str">
        <f>'C COSTOS ESTADO FINANCIERO'!H465</f>
        <v>ADMINISTRATIVO</v>
      </c>
      <c r="G465" s="20" t="str">
        <f>'C COSTOS ESTADO FINANCIERO'!J465</f>
        <v>ACTIVO</v>
      </c>
    </row>
    <row r="466" spans="1:7" x14ac:dyDescent="0.25">
      <c r="A466" s="20">
        <f>'C COSTOS ESTADO FINANCIERO'!A466</f>
        <v>4092215</v>
      </c>
      <c r="B466" s="20" t="str">
        <f>'C COSTOS ESTADO FINANCIERO'!B466</f>
        <v>CSJSC-TAME-MENSAJERIA Y ARCHIVO</v>
      </c>
      <c r="C466" s="20" t="str">
        <f>'C COSTOS ESTADO FINANCIERO'!D466</f>
        <v>R09</v>
      </c>
      <c r="D466" s="20" t="str">
        <f>'C COSTOS ESTADO FINANCIERO'!E466</f>
        <v>GESTIÓN DOCUMENTAL Y ARCHIVÍSTICA</v>
      </c>
      <c r="E466" s="20" t="str">
        <f>'C COSTOS ESTADO FINANCIERO'!I466</f>
        <v>CSJSC - Tame</v>
      </c>
      <c r="F466" s="20" t="str">
        <f>'C COSTOS ESTADO FINANCIERO'!H466</f>
        <v>ADMINISTRATIVO</v>
      </c>
      <c r="G466" s="20" t="str">
        <f>'C COSTOS ESTADO FINANCIERO'!J466</f>
        <v>ACTIVO</v>
      </c>
    </row>
    <row r="467" spans="1:7" x14ac:dyDescent="0.25">
      <c r="A467" s="20">
        <f>'C COSTOS ESTADO FINANCIERO'!A467</f>
        <v>4042215</v>
      </c>
      <c r="B467" s="20" t="str">
        <f>'C COSTOS ESTADO FINANCIERO'!B467</f>
        <v>HSAT-TAME-MENSAJERIA Y ARCHIVO</v>
      </c>
      <c r="C467" s="20" t="str">
        <f>'C COSTOS ESTADO FINANCIERO'!D467</f>
        <v>R09</v>
      </c>
      <c r="D467" s="20" t="str">
        <f>'C COSTOS ESTADO FINANCIERO'!E467</f>
        <v>GESTIÓN DOCUMENTAL Y ARCHIVÍSTICA</v>
      </c>
      <c r="E467" s="20" t="str">
        <f>'C COSTOS ESTADO FINANCIERO'!I467</f>
        <v>HSAT - Tame</v>
      </c>
      <c r="F467" s="20" t="str">
        <f>'C COSTOS ESTADO FINANCIERO'!H467</f>
        <v>ADMINISTRATIVO</v>
      </c>
      <c r="G467" s="20" t="str">
        <f>'C COSTOS ESTADO FINANCIERO'!J467</f>
        <v>ACTIVO</v>
      </c>
    </row>
    <row r="468" spans="1:7" x14ac:dyDescent="0.25">
      <c r="A468" s="20">
        <f>'C COSTOS ESTADO FINANCIERO'!A468</f>
        <v>4032215</v>
      </c>
      <c r="B468" s="20" t="str">
        <f>'C COSTOS ESTADO FINANCIERO'!B468</f>
        <v>HSFF - FORTUL - ARCHIVO Y MENSAJERIA</v>
      </c>
      <c r="C468" s="20" t="str">
        <f>'C COSTOS ESTADO FINANCIERO'!D468</f>
        <v>R09</v>
      </c>
      <c r="D468" s="20" t="str">
        <f>'C COSTOS ESTADO FINANCIERO'!E468</f>
        <v>GESTIÓN DOCUMENTAL Y ARCHIVÍSTICA</v>
      </c>
      <c r="E468" s="20" t="str">
        <f>'C COSTOS ESTADO FINANCIERO'!I468</f>
        <v>HSFF - Fortul</v>
      </c>
      <c r="F468" s="20" t="str">
        <f>'C COSTOS ESTADO FINANCIERO'!H468</f>
        <v>ADMINISTRATIVO</v>
      </c>
      <c r="G468" s="20" t="str">
        <f>'C COSTOS ESTADO FINANCIERO'!J468</f>
        <v>ACTIVO</v>
      </c>
    </row>
    <row r="469" spans="1:7" x14ac:dyDescent="0.25">
      <c r="A469" s="20">
        <f>'C COSTOS ESTADO FINANCIERO'!A469</f>
        <v>4012216</v>
      </c>
      <c r="B469" s="20" t="str">
        <f>'C COSTOS ESTADO FINANCIERO'!B469</f>
        <v>ESE01-CAPACITACION, BIENESTAR SOCIAL Y ESTIMULOS</v>
      </c>
      <c r="C469" s="20" t="str">
        <f>'C COSTOS ESTADO FINANCIERO'!D469</f>
        <v>R05</v>
      </c>
      <c r="D469" s="20" t="str">
        <f>'C COSTOS ESTADO FINANCIERO'!E469</f>
        <v>TALENTO HUMANO</v>
      </c>
      <c r="E469" s="20" t="str">
        <f>'C COSTOS ESTADO FINANCIERO'!I469</f>
        <v>ESE01 - Sede Administrativa (Tame)</v>
      </c>
      <c r="F469" s="20" t="str">
        <f>'C COSTOS ESTADO FINANCIERO'!H469</f>
        <v>ADMINISTRATIVO</v>
      </c>
      <c r="G469" s="20" t="str">
        <f>'C COSTOS ESTADO FINANCIERO'!J469</f>
        <v>ACTIVO</v>
      </c>
    </row>
    <row r="470" spans="1:7" x14ac:dyDescent="0.25">
      <c r="A470" s="20">
        <f>'C COSTOS ESTADO FINANCIERO'!A470</f>
        <v>4022216</v>
      </c>
      <c r="B470" s="20" t="str">
        <f>'C COSTOS ESTADO FINANCIERO'!B470</f>
        <v>HSLA - ARAUQUITA- CAPACITACION, BIENESTAR SOCIAL Y ESTIMULOS</v>
      </c>
      <c r="C470" s="20" t="str">
        <f>'C COSTOS ESTADO FINANCIERO'!D470</f>
        <v>R05</v>
      </c>
      <c r="D470" s="20" t="str">
        <f>'C COSTOS ESTADO FINANCIERO'!E470</f>
        <v>TALENTO HUMANO</v>
      </c>
      <c r="E470" s="20" t="str">
        <f>'C COSTOS ESTADO FINANCIERO'!I470</f>
        <v>HSLA - Arauquita</v>
      </c>
      <c r="F470" s="20" t="str">
        <f>'C COSTOS ESTADO FINANCIERO'!H470</f>
        <v>ADMINISTRATIVO</v>
      </c>
      <c r="G470" s="20" t="str">
        <f>'C COSTOS ESTADO FINANCIERO'!J470</f>
        <v>ACTIVO</v>
      </c>
    </row>
    <row r="471" spans="1:7" x14ac:dyDescent="0.25">
      <c r="A471" s="20">
        <f>'C COSTOS ESTADO FINANCIERO'!A471</f>
        <v>4042216</v>
      </c>
      <c r="B471" s="20" t="str">
        <f>'C COSTOS ESTADO FINANCIERO'!B471</f>
        <v>HSAT- TAME- CAPACITACION, BIENESTAR SOCIAL Y ESTIMULOS</v>
      </c>
      <c r="C471" s="20" t="str">
        <f>'C COSTOS ESTADO FINANCIERO'!D471</f>
        <v>R05</v>
      </c>
      <c r="D471" s="20" t="str">
        <f>'C COSTOS ESTADO FINANCIERO'!E471</f>
        <v>TALENTO HUMANO</v>
      </c>
      <c r="E471" s="20" t="str">
        <f>'C COSTOS ESTADO FINANCIERO'!I471</f>
        <v>HSAT - Tame</v>
      </c>
      <c r="F471" s="20" t="str">
        <f>'C COSTOS ESTADO FINANCIERO'!H471</f>
        <v>ADMINISTRATIVO</v>
      </c>
      <c r="G471" s="20" t="str">
        <f>'C COSTOS ESTADO FINANCIERO'!J471</f>
        <v>ACTIVO</v>
      </c>
    </row>
    <row r="472" spans="1:7" x14ac:dyDescent="0.25">
      <c r="A472" s="20">
        <f>'C COSTOS ESTADO FINANCIERO'!A472</f>
        <v>4032216</v>
      </c>
      <c r="B472" s="20" t="str">
        <f>'C COSTOS ESTADO FINANCIERO'!B472</f>
        <v>HSSF-FORTUL- CAPACITACION, BIENESTAR SOCIAL Y ESTIMULOS</v>
      </c>
      <c r="C472" s="20" t="str">
        <f>'C COSTOS ESTADO FINANCIERO'!D472</f>
        <v>R05</v>
      </c>
      <c r="D472" s="20" t="str">
        <f>'C COSTOS ESTADO FINANCIERO'!E472</f>
        <v>TALENTO HUMANO</v>
      </c>
      <c r="E472" s="20" t="str">
        <f>'C COSTOS ESTADO FINANCIERO'!I472</f>
        <v>HSFF - Fortul</v>
      </c>
      <c r="F472" s="20" t="str">
        <f>'C COSTOS ESTADO FINANCIERO'!H472</f>
        <v>ADMINISTRATIVO</v>
      </c>
      <c r="G472" s="20" t="str">
        <f>'C COSTOS ESTADO FINANCIERO'!J472</f>
        <v>ACTIVO</v>
      </c>
    </row>
    <row r="473" spans="1:7" x14ac:dyDescent="0.25">
      <c r="A473" s="20">
        <f>'C COSTOS ESTADO FINANCIERO'!A473</f>
        <v>4052216</v>
      </c>
      <c r="B473" s="20" t="str">
        <f>'C COSTOS ESTADO FINANCIERO'!B473</f>
        <v>HSJDP-PUERTO RONDON-CAPACITACION, BIENESTAR SOCIAL Y ESTIMULOS</v>
      </c>
      <c r="C473" s="20" t="str">
        <f>'C COSTOS ESTADO FINANCIERO'!D473</f>
        <v>R05</v>
      </c>
      <c r="D473" s="20" t="str">
        <f>'C COSTOS ESTADO FINANCIERO'!E473</f>
        <v>TALENTO HUMANO</v>
      </c>
      <c r="E473" s="20" t="str">
        <f>'C COSTOS ESTADO FINANCIERO'!I473</f>
        <v>HSJDP - Puerto Rondón</v>
      </c>
      <c r="F473" s="20" t="str">
        <f>'C COSTOS ESTADO FINANCIERO'!H473</f>
        <v>ADMINISTRATIVO</v>
      </c>
      <c r="G473" s="20" t="str">
        <f>'C COSTOS ESTADO FINANCIERO'!J473</f>
        <v>ACTIVO</v>
      </c>
    </row>
    <row r="474" spans="1:7" x14ac:dyDescent="0.25">
      <c r="A474" s="20">
        <f>'C COSTOS ESTADO FINANCIERO'!A474</f>
        <v>4062216</v>
      </c>
      <c r="B474" s="20" t="str">
        <f>'C COSTOS ESTADO FINANCIERO'!B474</f>
        <v>HSJCN - CRAVO NORTE - CAPACITACION, BIENESTAR SOCIAL Y ESTIMULOS</v>
      </c>
      <c r="C474" s="20" t="str">
        <f>'C COSTOS ESTADO FINANCIERO'!D474</f>
        <v>R05</v>
      </c>
      <c r="D474" s="20" t="str">
        <f>'C COSTOS ESTADO FINANCIERO'!E474</f>
        <v>TALENTO HUMANO</v>
      </c>
      <c r="E474" s="20" t="str">
        <f>'C COSTOS ESTADO FINANCIERO'!I474</f>
        <v>HSJCN - Cravo Norte</v>
      </c>
      <c r="F474" s="20" t="str">
        <f>'C COSTOS ESTADO FINANCIERO'!H474</f>
        <v>ADMINISTRATIVO</v>
      </c>
      <c r="G474" s="20" t="str">
        <f>'C COSTOS ESTADO FINANCIERO'!J474</f>
        <v>ACTIVO</v>
      </c>
    </row>
    <row r="475" spans="1:7" x14ac:dyDescent="0.25">
      <c r="A475" s="20">
        <f>'C COSTOS ESTADO FINANCIERO'!A475</f>
        <v>4062215</v>
      </c>
      <c r="B475" s="20" t="str">
        <f>'C COSTOS ESTADO FINANCIERO'!B475</f>
        <v>HSJC - CRAVO NORTE MENSAJERIA Y ARCHIVO</v>
      </c>
      <c r="C475" s="20" t="str">
        <f>'C COSTOS ESTADO FINANCIERO'!D475</f>
        <v>R09</v>
      </c>
      <c r="D475" s="20" t="str">
        <f>'C COSTOS ESTADO FINANCIERO'!E475</f>
        <v>GESTIÓN DOCUMENTAL Y ARCHIVÍSTICA</v>
      </c>
      <c r="E475" s="20" t="str">
        <f>'C COSTOS ESTADO FINANCIERO'!I475</f>
        <v>HSJCN - Cravo Norte</v>
      </c>
      <c r="F475" s="20" t="str">
        <f>'C COSTOS ESTADO FINANCIERO'!H475</f>
        <v>ADMINISTRATIVO</v>
      </c>
      <c r="G475" s="20" t="str">
        <f>'C COSTOS ESTADO FINANCIERO'!J475</f>
        <v>ACTIVO</v>
      </c>
    </row>
    <row r="476" spans="1:7" x14ac:dyDescent="0.25">
      <c r="A476" s="20">
        <f>'C COSTOS ESTADO FINANCIERO'!A476</f>
        <v>4102208</v>
      </c>
      <c r="B476" s="20" t="str">
        <f>'C COSTOS ESTADO FINANCIERO'!B476</f>
        <v>PSPG-TAME-SERVICIOS PUBLICOS</v>
      </c>
      <c r="C476" s="20" t="str">
        <f>'C COSTOS ESTADO FINANCIERO'!D476</f>
        <v>R02</v>
      </c>
      <c r="D476" s="20" t="str">
        <f>'C COSTOS ESTADO FINANCIERO'!E476</f>
        <v>RECURSOS FÍSICOS</v>
      </c>
      <c r="E476" s="20" t="str">
        <f>'C COSTOS ESTADO FINANCIERO'!I476</f>
        <v>PSPG - Tame</v>
      </c>
      <c r="F476" s="20" t="str">
        <f>'C COSTOS ESTADO FINANCIERO'!H476</f>
        <v>ADMINISTRATIVO</v>
      </c>
      <c r="G476" s="20" t="str">
        <f>'C COSTOS ESTADO FINANCIERO'!J476</f>
        <v>ACTIVO</v>
      </c>
    </row>
    <row r="477" spans="1:7" x14ac:dyDescent="0.25">
      <c r="A477" s="20">
        <f>'C COSTOS ESTADO FINANCIERO'!A477</f>
        <v>5012101</v>
      </c>
      <c r="B477" s="20" t="str">
        <f>'C COSTOS ESTADO FINANCIERO'!B477</f>
        <v>SEGUROS-SOAT VEHICULOS SEDE ADMINISTRATIVA</v>
      </c>
      <c r="C477" s="20" t="str">
        <f>'C COSTOS ESTADO FINANCIERO'!D477</f>
        <v>R07</v>
      </c>
      <c r="D477" s="20" t="str">
        <f>'C COSTOS ESTADO FINANCIERO'!E477</f>
        <v>OTROS VEHÍCULOS Y CONDUCTORES</v>
      </c>
      <c r="E477" s="20" t="str">
        <f>'C COSTOS ESTADO FINANCIERO'!I477</f>
        <v>ESE01 - Sede Administrativa (Tame)</v>
      </c>
      <c r="F477" s="20" t="str">
        <f>'C COSTOS ESTADO FINANCIERO'!H477</f>
        <v>ADMINISTRATIVO</v>
      </c>
      <c r="G477" s="20" t="str">
        <f>'C COSTOS ESTADO FINANCIERO'!J477</f>
        <v>ACTIVO</v>
      </c>
    </row>
    <row r="478" spans="1:7" x14ac:dyDescent="0.25">
      <c r="A478" s="20">
        <f>'C COSTOS ESTADO FINANCIERO'!A478</f>
        <v>5022101</v>
      </c>
      <c r="B478" s="20" t="str">
        <f>'C COSTOS ESTADO FINANCIERO'!B478</f>
        <v>SEGURO-SOAT VEHICULO ARAUQUITA</v>
      </c>
      <c r="C478" s="20" t="str">
        <f>'C COSTOS ESTADO FINANCIERO'!D478</f>
        <v>N08</v>
      </c>
      <c r="D478" s="20" t="str">
        <f>'C COSTOS ESTADO FINANCIERO'!E478</f>
        <v>SERVICIO DE AMBULANCIAS</v>
      </c>
      <c r="E478" s="20" t="str">
        <f>'C COSTOS ESTADO FINANCIERO'!I478</f>
        <v>HSLA - Arauquita</v>
      </c>
      <c r="F478" s="20" t="str">
        <f>'C COSTOS ESTADO FINANCIERO'!H478</f>
        <v>PRODUCTIVO (final)</v>
      </c>
      <c r="G478" s="20" t="str">
        <f>'C COSTOS ESTADO FINANCIERO'!J478</f>
        <v>ACTIVO</v>
      </c>
    </row>
    <row r="479" spans="1:7" x14ac:dyDescent="0.25">
      <c r="A479" s="20">
        <f>'C COSTOS ESTADO FINANCIERO'!A479</f>
        <v>5032101</v>
      </c>
      <c r="B479" s="20" t="str">
        <f>'C COSTOS ESTADO FINANCIERO'!B479</f>
        <v>SEGURO-SOAT VEHICULO FORTUL</v>
      </c>
      <c r="C479" s="20" t="str">
        <f>'C COSTOS ESTADO FINANCIERO'!D479</f>
        <v>N08</v>
      </c>
      <c r="D479" s="20" t="str">
        <f>'C COSTOS ESTADO FINANCIERO'!E479</f>
        <v>SERVICIO DE AMBULANCIAS</v>
      </c>
      <c r="E479" s="20" t="str">
        <f>'C COSTOS ESTADO FINANCIERO'!I479</f>
        <v>HSFF - Fortul</v>
      </c>
      <c r="F479" s="20" t="str">
        <f>'C COSTOS ESTADO FINANCIERO'!H479</f>
        <v>PRODUCTIVO (final)</v>
      </c>
      <c r="G479" s="20" t="str">
        <f>'C COSTOS ESTADO FINANCIERO'!J479</f>
        <v>ACTIVO</v>
      </c>
    </row>
    <row r="480" spans="1:7" x14ac:dyDescent="0.25">
      <c r="A480" s="20">
        <f>'C COSTOS ESTADO FINANCIERO'!A480</f>
        <v>5042101</v>
      </c>
      <c r="B480" s="20" t="str">
        <f>'C COSTOS ESTADO FINANCIERO'!B480</f>
        <v>SEGURO-SOAT VEHICULO TAME</v>
      </c>
      <c r="C480" s="20" t="str">
        <f>'C COSTOS ESTADO FINANCIERO'!D480</f>
        <v>N08</v>
      </c>
      <c r="D480" s="20" t="str">
        <f>'C COSTOS ESTADO FINANCIERO'!E480</f>
        <v>SERVICIO DE AMBULANCIAS</v>
      </c>
      <c r="E480" s="20" t="str">
        <f>'C COSTOS ESTADO FINANCIERO'!I480</f>
        <v>HSAT - Tame</v>
      </c>
      <c r="F480" s="20" t="str">
        <f>'C COSTOS ESTADO FINANCIERO'!H480</f>
        <v>PRODUCTIVO (final)</v>
      </c>
      <c r="G480" s="20" t="str">
        <f>'C COSTOS ESTADO FINANCIERO'!J480</f>
        <v>ACTIVO</v>
      </c>
    </row>
    <row r="481" spans="1:7" x14ac:dyDescent="0.25">
      <c r="A481" s="20">
        <f>'C COSTOS ESTADO FINANCIERO'!A481</f>
        <v>5052101</v>
      </c>
      <c r="B481" s="20" t="str">
        <f>'C COSTOS ESTADO FINANCIERO'!B481</f>
        <v>SEGURO-SOAT VEHICULO PUERTO RONDON</v>
      </c>
      <c r="C481" s="20" t="str">
        <f>'C COSTOS ESTADO FINANCIERO'!D481</f>
        <v>N08</v>
      </c>
      <c r="D481" s="20" t="str">
        <f>'C COSTOS ESTADO FINANCIERO'!E481</f>
        <v>SERVICIO DE AMBULANCIAS</v>
      </c>
      <c r="E481" s="20" t="str">
        <f>'C COSTOS ESTADO FINANCIERO'!I481</f>
        <v>HSJDP - Puerto Rondón</v>
      </c>
      <c r="F481" s="20" t="str">
        <f>'C COSTOS ESTADO FINANCIERO'!H481</f>
        <v>PRODUCTIVO (final)</v>
      </c>
      <c r="G481" s="20" t="str">
        <f>'C COSTOS ESTADO FINANCIERO'!J481</f>
        <v>ACTIVO</v>
      </c>
    </row>
    <row r="482" spans="1:7" x14ac:dyDescent="0.25">
      <c r="A482" s="20">
        <f>'C COSTOS ESTADO FINANCIERO'!A482</f>
        <v>5062101</v>
      </c>
      <c r="B482" s="20" t="str">
        <f>'C COSTOS ESTADO FINANCIERO'!B482</f>
        <v>SEGURO-SOAT VEHICULO CRAVO NORTE</v>
      </c>
      <c r="C482" s="20" t="str">
        <f>'C COSTOS ESTADO FINANCIERO'!D482</f>
        <v>N08</v>
      </c>
      <c r="D482" s="20" t="str">
        <f>'C COSTOS ESTADO FINANCIERO'!E482</f>
        <v>SERVICIO DE AMBULANCIAS</v>
      </c>
      <c r="E482" s="20" t="str">
        <f>'C COSTOS ESTADO FINANCIERO'!I482</f>
        <v>HSJCN - Cravo Norte</v>
      </c>
      <c r="F482" s="20" t="str">
        <f>'C COSTOS ESTADO FINANCIERO'!H482</f>
        <v>PRODUCTIVO (final)</v>
      </c>
      <c r="G482" s="20" t="str">
        <f>'C COSTOS ESTADO FINANCIERO'!J482</f>
        <v>ACTIVO</v>
      </c>
    </row>
    <row r="483" spans="1:7" x14ac:dyDescent="0.25">
      <c r="A483" s="20">
        <f>'C COSTOS ESTADO FINANCIERO'!A483</f>
        <v>5072101</v>
      </c>
      <c r="B483" s="20" t="str">
        <f>'C COSTOS ESTADO FINANCIERO'!B483</f>
        <v>SEGURO-SOAT VEHICULO PANAMA ARAUQUITA</v>
      </c>
      <c r="C483" s="20" t="str">
        <f>'C COSTOS ESTADO FINANCIERO'!D483</f>
        <v>N08</v>
      </c>
      <c r="D483" s="20" t="str">
        <f>'C COSTOS ESTADO FINANCIERO'!E483</f>
        <v>SERVICIO DE AMBULANCIAS</v>
      </c>
      <c r="E483" s="20" t="str">
        <f>'C COSTOS ESTADO FINANCIERO'!I483</f>
        <v>HSRP - Pampurí / La Esmeralda</v>
      </c>
      <c r="F483" s="20" t="str">
        <f>'C COSTOS ESTADO FINANCIERO'!H483</f>
        <v>PRODUCTIVO (final)</v>
      </c>
      <c r="G483" s="20" t="str">
        <f>'C COSTOS ESTADO FINANCIERO'!J483</f>
        <v>ACTIVO</v>
      </c>
    </row>
    <row r="484" spans="1:7" x14ac:dyDescent="0.25">
      <c r="A484" s="20">
        <f>'C COSTOS ESTADO FINANCIERO'!A484</f>
        <v>5082101</v>
      </c>
      <c r="B484" s="20" t="str">
        <f>'C COSTOS ESTADO FINANCIERO'!B484</f>
        <v>SEGURO-SOAT VEHICULO PAMPURI LA ESEMERALDA</v>
      </c>
      <c r="C484" s="20" t="str">
        <f>'C COSTOS ESTADO FINANCIERO'!D484</f>
        <v>N08</v>
      </c>
      <c r="D484" s="20" t="str">
        <f>'C COSTOS ESTADO FINANCIERO'!E484</f>
        <v>SERVICIO DE AMBULANCIAS</v>
      </c>
      <c r="E484" s="20" t="str">
        <f>'C COSTOS ESTADO FINANCIERO'!I484</f>
        <v>CSPA - Panamá de Arauca</v>
      </c>
      <c r="F484" s="20" t="str">
        <f>'C COSTOS ESTADO FINANCIERO'!H484</f>
        <v>PRODUCTIVO (final)</v>
      </c>
      <c r="G484" s="20" t="str">
        <f>'C COSTOS ESTADO FINANCIERO'!J484</f>
        <v>ACTIVO</v>
      </c>
    </row>
    <row r="485" spans="1:7" x14ac:dyDescent="0.25">
      <c r="A485" s="20">
        <f>'C COSTOS ESTADO FINANCIERO'!A485</f>
        <v>4022217</v>
      </c>
      <c r="B485" s="20" t="str">
        <f>'C COSTOS ESTADO FINANCIERO'!B485</f>
        <v>HSLA-TRANSPORTE MEDICOS Y PARAMEDICOS</v>
      </c>
      <c r="C485" s="20" t="str">
        <f>'C COSTOS ESTADO FINANCIERO'!D485</f>
        <v>R07</v>
      </c>
      <c r="D485" s="20" t="str">
        <f>'C COSTOS ESTADO FINANCIERO'!E485</f>
        <v>OTROS VEHÍCULOS Y CONDUCTORES</v>
      </c>
      <c r="E485" s="20" t="str">
        <f>'C COSTOS ESTADO FINANCIERO'!I485</f>
        <v>HSLA - Arauquita</v>
      </c>
      <c r="F485" s="20" t="str">
        <f>'C COSTOS ESTADO FINANCIERO'!H485</f>
        <v>ADMINISTRATIVO</v>
      </c>
      <c r="G485" s="20" t="str">
        <f>'C COSTOS ESTADO FINANCIERO'!J485</f>
        <v>ACTIVO</v>
      </c>
    </row>
    <row r="486" spans="1:7" x14ac:dyDescent="0.25">
      <c r="A486" s="20">
        <f>'C COSTOS ESTADO FINANCIERO'!A486</f>
        <v>4012217</v>
      </c>
      <c r="B486" s="20" t="str">
        <f>'C COSTOS ESTADO FINANCIERO'!B486</f>
        <v>ESE01- TAME-SALUD OCUPACIONAL</v>
      </c>
      <c r="C486" s="20" t="str">
        <f>'C COSTOS ESTADO FINANCIERO'!D486</f>
        <v>R08</v>
      </c>
      <c r="D486" s="20" t="str">
        <f>'C COSTOS ESTADO FINANCIERO'!E486</f>
        <v>SALUD OCUPACIONAL</v>
      </c>
      <c r="E486" s="20" t="str">
        <f>'C COSTOS ESTADO FINANCIERO'!I486</f>
        <v>ESE01 - Sede Administrativa (Tame)</v>
      </c>
      <c r="F486" s="20" t="str">
        <f>'C COSTOS ESTADO FINANCIERO'!H486</f>
        <v>ADMINISTRATIVO</v>
      </c>
      <c r="G486" s="20" t="str">
        <f>'C COSTOS ESTADO FINANCIERO'!J486</f>
        <v>ACTIVO</v>
      </c>
    </row>
    <row r="487" spans="1:7" x14ac:dyDescent="0.25">
      <c r="A487" s="20">
        <f>'C COSTOS ESTADO FINANCIERO'!A487</f>
        <v>4012219</v>
      </c>
      <c r="B487" s="20" t="str">
        <f>'C COSTOS ESTADO FINANCIERO'!B487</f>
        <v>ESE01-TAME-HOSPEDAJE- ADMINISTRATIVO Y ASISTENCIAL</v>
      </c>
      <c r="C487" s="20" t="str">
        <f>'C COSTOS ESTADO FINANCIERO'!D487</f>
        <v>R01</v>
      </c>
      <c r="D487" s="20" t="str">
        <f>'C COSTOS ESTADO FINANCIERO'!E487</f>
        <v>COORDINACIÓN ADMINISTRATIVA</v>
      </c>
      <c r="E487" s="20" t="str">
        <f>'C COSTOS ESTADO FINANCIERO'!I487</f>
        <v>ESE01 - Sede Administrativa (Tame)</v>
      </c>
      <c r="F487" s="20" t="str">
        <f>'C COSTOS ESTADO FINANCIERO'!H487</f>
        <v>ADMINISTRATIVO</v>
      </c>
      <c r="G487" s="20" t="str">
        <f>'C COSTOS ESTADO FINANCIERO'!J487</f>
        <v>ACTIVO</v>
      </c>
    </row>
    <row r="488" spans="1:7" x14ac:dyDescent="0.25">
      <c r="A488" s="20">
        <f>'C COSTOS ESTADO FINANCIERO'!A488</f>
        <v>4012220</v>
      </c>
      <c r="B488" s="20" t="str">
        <f>'C COSTOS ESTADO FINANCIERO'!B488</f>
        <v>ESE-ACTIVIDADES DE SALUD PUBLICA</v>
      </c>
      <c r="C488" s="20" t="str">
        <f>'C COSTOS ESTADO FINANCIERO'!D488</f>
        <v>K25</v>
      </c>
      <c r="D488" s="20" t="str">
        <f>'C COSTOS ESTADO FINANCIERO'!E488</f>
        <v>SALUD PUBLICA</v>
      </c>
      <c r="E488" s="20" t="str">
        <f>'C COSTOS ESTADO FINANCIERO'!I488</f>
        <v>ESE01 - Sede Administrativa (Tame)</v>
      </c>
      <c r="F488" s="20" t="str">
        <f>'C COSTOS ESTADO FINANCIERO'!H488</f>
        <v>PRODUCTIVO (final)</v>
      </c>
      <c r="G488" s="20" t="str">
        <f>'C COSTOS ESTADO FINANCIERO'!J488</f>
        <v>ACTIVO</v>
      </c>
    </row>
    <row r="489" spans="1:7" x14ac:dyDescent="0.25">
      <c r="A489" s="20">
        <f>'C COSTOS ESTADO FINANCIERO'!A489</f>
        <v>1040707</v>
      </c>
      <c r="B489" s="20" t="str">
        <f>'C COSTOS ESTADO FINANCIERO'!B489</f>
        <v>HSAT-FONOAUDIOLOGIA</v>
      </c>
      <c r="C489" s="20" t="str">
        <f>'C COSTOS ESTADO FINANCIERO'!D489</f>
        <v>M07</v>
      </c>
      <c r="D489" s="20" t="str">
        <f>'C COSTOS ESTADO FINANCIERO'!E489</f>
        <v>OTRAS TERAPIAS</v>
      </c>
      <c r="E489" s="20" t="str">
        <f>'C COSTOS ESTADO FINANCIERO'!I489</f>
        <v>HSAT - Tame</v>
      </c>
      <c r="F489" s="20" t="str">
        <f>'C COSTOS ESTADO FINANCIERO'!H489</f>
        <v>APOYO ASISTENCIAL (intermedio)</v>
      </c>
      <c r="G489" s="20" t="str">
        <f>'C COSTOS ESTADO FINANCIERO'!J489</f>
        <v>ACTIVO</v>
      </c>
    </row>
    <row r="490" spans="1:7" x14ac:dyDescent="0.25">
      <c r="A490" s="20">
        <f>'C COSTOS ESTADO FINANCIERO'!A490</f>
        <v>6041001</v>
      </c>
      <c r="B490" s="20" t="str">
        <f>'C COSTOS ESTADO FINANCIERO'!B490</f>
        <v>HSAT-FILIPINAS-MANTENIMIENTO PLANTA FISICA</v>
      </c>
      <c r="C490" s="20" t="str">
        <f>'C COSTOS ESTADO FINANCIERO'!D490</f>
        <v>P02</v>
      </c>
      <c r="D490" s="20" t="str">
        <f>'C COSTOS ESTADO FINANCIERO'!E490</f>
        <v>MANTENIMIENTO HOSPITALARIO</v>
      </c>
      <c r="E490" s="20" t="str">
        <f>'C COSTOS ESTADO FINANCIERO'!I490</f>
        <v>HSAT - Filipinas</v>
      </c>
      <c r="F490" s="20" t="str">
        <f>'C COSTOS ESTADO FINANCIERO'!H490</f>
        <v>APOYO LOGÍSTICO</v>
      </c>
      <c r="G490" s="20" t="str">
        <f>'C COSTOS ESTADO FINANCIERO'!J490</f>
        <v>ACTIVO</v>
      </c>
    </row>
    <row r="491" spans="1:7" x14ac:dyDescent="0.25">
      <c r="A491" s="20">
        <f>'C COSTOS ESTADO FINANCIERO'!A491</f>
        <v>6041003</v>
      </c>
      <c r="B491" s="20" t="str">
        <f>'C COSTOS ESTADO FINANCIERO'!B491</f>
        <v>HSAT- MAPOY-MANTENIMIENTO PLANTA FISICA</v>
      </c>
      <c r="C491" s="20" t="str">
        <f>'C COSTOS ESTADO FINANCIERO'!D491</f>
        <v>P02</v>
      </c>
      <c r="D491" s="20" t="str">
        <f>'C COSTOS ESTADO FINANCIERO'!E491</f>
        <v>MANTENIMIENTO HOSPITALARIO</v>
      </c>
      <c r="E491" s="20" t="str">
        <f>'C COSTOS ESTADO FINANCIERO'!I491</f>
        <v>HSAT - Tame</v>
      </c>
      <c r="F491" s="20" t="str">
        <f>'C COSTOS ESTADO FINANCIERO'!H491</f>
        <v>APOYO LOGÍSTICO</v>
      </c>
      <c r="G491" s="20" t="str">
        <f>'C COSTOS ESTADO FINANCIERO'!J491</f>
        <v>ACTIVO</v>
      </c>
    </row>
    <row r="492" spans="1:7" x14ac:dyDescent="0.25">
      <c r="A492" s="20">
        <f>'C COSTOS ESTADO FINANCIERO'!A492</f>
        <v>6041002</v>
      </c>
      <c r="B492" s="20" t="str">
        <f>'C COSTOS ESTADO FINANCIERO'!B492</f>
        <v>HSAT- ALTO CAUCA-MAMTENIMIENTO PLANTA FISICA</v>
      </c>
      <c r="C492" s="20" t="str">
        <f>'C COSTOS ESTADO FINANCIERO'!D492</f>
        <v>P02</v>
      </c>
      <c r="D492" s="20" t="str">
        <f>'C COSTOS ESTADO FINANCIERO'!E492</f>
        <v>MANTENIMIENTO HOSPITALARIO</v>
      </c>
      <c r="E492" s="20" t="str">
        <f>'C COSTOS ESTADO FINANCIERO'!I492</f>
        <v>HSAT - Tame</v>
      </c>
      <c r="F492" s="20" t="str">
        <f>'C COSTOS ESTADO FINANCIERO'!H492</f>
        <v>APOYO LOGÍSTICO</v>
      </c>
      <c r="G492" s="20" t="str">
        <f>'C COSTOS ESTADO FINANCIERO'!J492</f>
        <v>ACTIVO</v>
      </c>
    </row>
    <row r="493" spans="1:7" x14ac:dyDescent="0.25">
      <c r="A493" s="20">
        <f>'C COSTOS ESTADO FINANCIERO'!A493</f>
        <v>6041004</v>
      </c>
      <c r="B493" s="20" t="str">
        <f>'C COSTOS ESTADO FINANCIERO'!B493</f>
        <v>HSAT-PUERTO GAITAN-MANTENIMIENTO PLANTA FISICA</v>
      </c>
      <c r="C493" s="20" t="str">
        <f>'C COSTOS ESTADO FINANCIERO'!D493</f>
        <v>P02</v>
      </c>
      <c r="D493" s="20" t="str">
        <f>'C COSTOS ESTADO FINANCIERO'!E493</f>
        <v>MANTENIMIENTO HOSPITALARIO</v>
      </c>
      <c r="E493" s="20" t="str">
        <f>'C COSTOS ESTADO FINANCIERO'!I493</f>
        <v>HSAT - Tame</v>
      </c>
      <c r="F493" s="20" t="str">
        <f>'C COSTOS ESTADO FINANCIERO'!H493</f>
        <v>APOYO LOGÍSTICO</v>
      </c>
      <c r="G493" s="20" t="str">
        <f>'C COSTOS ESTADO FINANCIERO'!J493</f>
        <v>ACTIVO</v>
      </c>
    </row>
    <row r="494" spans="1:7" x14ac:dyDescent="0.25">
      <c r="A494" s="20">
        <f>'C COSTOS ESTADO FINANCIERO'!A494</f>
        <v>6041005</v>
      </c>
      <c r="B494" s="20" t="str">
        <f>'C COSTOS ESTADO FINANCIERO'!B494</f>
        <v>HSAT-BETOYES-MANTENIMIENTO PLANTA FISICA</v>
      </c>
      <c r="C494" s="20" t="str">
        <f>'C COSTOS ESTADO FINANCIERO'!D494</f>
        <v>P02</v>
      </c>
      <c r="D494" s="20" t="str">
        <f>'C COSTOS ESTADO FINANCIERO'!E494</f>
        <v>MANTENIMIENTO HOSPITALARIO</v>
      </c>
      <c r="E494" s="20" t="str">
        <f>'C COSTOS ESTADO FINANCIERO'!I494</f>
        <v>HSAT - Tame</v>
      </c>
      <c r="F494" s="20" t="str">
        <f>'C COSTOS ESTADO FINANCIERO'!H494</f>
        <v>APOYO LOGÍSTICO</v>
      </c>
      <c r="G494" s="20" t="str">
        <f>'C COSTOS ESTADO FINANCIERO'!J494</f>
        <v>ACTIVO</v>
      </c>
    </row>
    <row r="495" spans="1:7" x14ac:dyDescent="0.25">
      <c r="A495" s="20">
        <f>'C COSTOS ESTADO FINANCIERO'!A495</f>
        <v>6041006</v>
      </c>
      <c r="B495" s="20" t="str">
        <f>'C COSTOS ESTADO FINANCIERO'!B495</f>
        <v>HSAT-CAÑO CAMAME-MANTENIMIENTO PLANTA FISICA</v>
      </c>
      <c r="C495" s="20" t="str">
        <f>'C COSTOS ESTADO FINANCIERO'!D495</f>
        <v>P02</v>
      </c>
      <c r="D495" s="20" t="str">
        <f>'C COSTOS ESTADO FINANCIERO'!E495</f>
        <v>MANTENIMIENTO HOSPITALARIO</v>
      </c>
      <c r="E495" s="20" t="str">
        <f>'C COSTOS ESTADO FINANCIERO'!I495</f>
        <v>HSAT - Tame</v>
      </c>
      <c r="F495" s="20" t="str">
        <f>'C COSTOS ESTADO FINANCIERO'!H495</f>
        <v>APOYO LOGÍSTICO</v>
      </c>
      <c r="G495" s="20" t="str">
        <f>'C COSTOS ESTADO FINANCIERO'!J495</f>
        <v>ACTIVO</v>
      </c>
    </row>
    <row r="496" spans="1:7" x14ac:dyDescent="0.25">
      <c r="A496" s="20">
        <f>'C COSTOS ESTADO FINANCIERO'!A496</f>
        <v>6041007</v>
      </c>
      <c r="B496" s="20" t="str">
        <f>'C COSTOS ESTADO FINANCIERO'!B496</f>
        <v>HSAT-PUERTO MIRANDA-MANTENIMIENTO PLANTA FISICA</v>
      </c>
      <c r="C496" s="20" t="str">
        <f>'C COSTOS ESTADO FINANCIERO'!D496</f>
        <v>P02</v>
      </c>
      <c r="D496" s="20" t="str">
        <f>'C COSTOS ESTADO FINANCIERO'!E496</f>
        <v>MANTENIMIENTO HOSPITALARIO</v>
      </c>
      <c r="E496" s="20" t="str">
        <f>'C COSTOS ESTADO FINANCIERO'!I496</f>
        <v>HSAT - Tame</v>
      </c>
      <c r="F496" s="20" t="str">
        <f>'C COSTOS ESTADO FINANCIERO'!H496</f>
        <v>APOYO LOGÍSTICO</v>
      </c>
      <c r="G496" s="20" t="str">
        <f>'C COSTOS ESTADO FINANCIERO'!J496</f>
        <v>ACTIVO</v>
      </c>
    </row>
    <row r="497" spans="1:7" x14ac:dyDescent="0.25">
      <c r="A497" s="20">
        <f>'C COSTOS ESTADO FINANCIERO'!A497</f>
        <v>6041008</v>
      </c>
      <c r="B497" s="20" t="str">
        <f>'C COSTOS ESTADO FINANCIERO'!B497</f>
        <v>HSAT-LA HORQUETA-MANTENIMIENTO PLANTA FISICA</v>
      </c>
      <c r="C497" s="20" t="str">
        <f>'C COSTOS ESTADO FINANCIERO'!D497</f>
        <v>P02</v>
      </c>
      <c r="D497" s="20" t="str">
        <f>'C COSTOS ESTADO FINANCIERO'!E497</f>
        <v>MANTENIMIENTO HOSPITALARIO</v>
      </c>
      <c r="E497" s="20" t="str">
        <f>'C COSTOS ESTADO FINANCIERO'!I497</f>
        <v>HSAT - Tame</v>
      </c>
      <c r="F497" s="20" t="str">
        <f>'C COSTOS ESTADO FINANCIERO'!H497</f>
        <v>APOYO LOGÍSTICO</v>
      </c>
      <c r="G497" s="20" t="str">
        <f>'C COSTOS ESTADO FINANCIERO'!J497</f>
        <v>ACTIVO</v>
      </c>
    </row>
    <row r="498" spans="1:7" x14ac:dyDescent="0.25">
      <c r="A498" s="20">
        <f>'C COSTOS ESTADO FINANCIERO'!A498</f>
        <v>6041009</v>
      </c>
      <c r="B498" s="20" t="str">
        <f>'C COSTOS ESTADO FINANCIERO'!B498</f>
        <v>HSAT-MALVINAS-MANTENIMIENTO PLANTA FISICA</v>
      </c>
      <c r="C498" s="20" t="str">
        <f>'C COSTOS ESTADO FINANCIERO'!D498</f>
        <v>P02</v>
      </c>
      <c r="D498" s="20" t="str">
        <f>'C COSTOS ESTADO FINANCIERO'!E498</f>
        <v>MANTENIMIENTO HOSPITALARIO</v>
      </c>
      <c r="E498" s="20" t="str">
        <f>'C COSTOS ESTADO FINANCIERO'!I498</f>
        <v>HSAT - Tame</v>
      </c>
      <c r="F498" s="20" t="str">
        <f>'C COSTOS ESTADO FINANCIERO'!H498</f>
        <v>APOYO LOGÍSTICO</v>
      </c>
      <c r="G498" s="20" t="str">
        <f>'C COSTOS ESTADO FINANCIERO'!J498</f>
        <v>ACTIVO</v>
      </c>
    </row>
    <row r="499" spans="1:7" x14ac:dyDescent="0.25">
      <c r="A499" s="20">
        <f>'C COSTOS ESTADO FINANCIERO'!A499</f>
        <v>6031001</v>
      </c>
      <c r="B499" s="20" t="str">
        <f>'C COSTOS ESTADO FINANCIERO'!B499</f>
        <v>HSFF-LA 20-MANTENIMIENTO PLANTA FISICA</v>
      </c>
      <c r="C499" s="20" t="str">
        <f>'C COSTOS ESTADO FINANCIERO'!D499</f>
        <v>P02</v>
      </c>
      <c r="D499" s="20" t="str">
        <f>'C COSTOS ESTADO FINANCIERO'!E499</f>
        <v>MANTENIMIENTO HOSPITALARIO</v>
      </c>
      <c r="E499" s="20" t="str">
        <f>'C COSTOS ESTADO FINANCIERO'!I499</f>
        <v>HSFF - La 20</v>
      </c>
      <c r="F499" s="20" t="str">
        <f>'C COSTOS ESTADO FINANCIERO'!H499</f>
        <v>APOYO LOGÍSTICO</v>
      </c>
      <c r="G499" s="20" t="str">
        <f>'C COSTOS ESTADO FINANCIERO'!J499</f>
        <v>ACTIVO</v>
      </c>
    </row>
    <row r="500" spans="1:7" x14ac:dyDescent="0.25">
      <c r="A500" s="20">
        <f>'C COSTOS ESTADO FINANCIERO'!A500</f>
        <v>6031002</v>
      </c>
      <c r="B500" s="20" t="str">
        <f>'C COSTOS ESTADO FINANCIERO'!B500</f>
        <v>HSFF-PUERTO NIDIA-MANTENIMIENTO PLANTA FISICA</v>
      </c>
      <c r="C500" s="20" t="str">
        <f>'C COSTOS ESTADO FINANCIERO'!D500</f>
        <v>P02</v>
      </c>
      <c r="D500" s="20" t="str">
        <f>'C COSTOS ESTADO FINANCIERO'!E500</f>
        <v>MANTENIMIENTO HOSPITALARIO</v>
      </c>
      <c r="E500" s="20" t="str">
        <f>'C COSTOS ESTADO FINANCIERO'!I500</f>
        <v>HSFF - Fortul</v>
      </c>
      <c r="F500" s="20" t="str">
        <f>'C COSTOS ESTADO FINANCIERO'!H500</f>
        <v>APOYO LOGÍSTICO</v>
      </c>
      <c r="G500" s="20" t="str">
        <f>'C COSTOS ESTADO FINANCIERO'!J500</f>
        <v>ACTIVO</v>
      </c>
    </row>
    <row r="501" spans="1:7" x14ac:dyDescent="0.25">
      <c r="A501" s="20">
        <f>'C COSTOS ESTADO FINANCIERO'!A501</f>
        <v>6031003</v>
      </c>
      <c r="B501" s="20" t="str">
        <f>'C COSTOS ESTADO FINANCIERO'!B501</f>
        <v>HSFF-CARANAL-MANTENIMIENTO PLANTA FISICA</v>
      </c>
      <c r="C501" s="20" t="str">
        <f>'C COSTOS ESTADO FINANCIERO'!D501</f>
        <v>P02</v>
      </c>
      <c r="D501" s="20" t="str">
        <f>'C COSTOS ESTADO FINANCIERO'!E501</f>
        <v>MANTENIMIENTO HOSPITALARIO</v>
      </c>
      <c r="E501" s="20" t="str">
        <f>'C COSTOS ESTADO FINANCIERO'!I501</f>
        <v>HSFF - Fortul</v>
      </c>
      <c r="F501" s="20" t="str">
        <f>'C COSTOS ESTADO FINANCIERO'!H501</f>
        <v>APOYO LOGÍSTICO</v>
      </c>
      <c r="G501" s="20" t="str">
        <f>'C COSTOS ESTADO FINANCIERO'!J501</f>
        <v>ACTIVO</v>
      </c>
    </row>
    <row r="502" spans="1:7" x14ac:dyDescent="0.25">
      <c r="A502" s="20">
        <f>'C COSTOS ESTADO FINANCIERO'!A502</f>
        <v>6031004</v>
      </c>
      <c r="B502" s="20" t="str">
        <f>'C COSTOS ESTADO FINANCIERO'!B502</f>
        <v>HSFF-CARACOLES-MANTENIMIENTO PLANTA FISICA</v>
      </c>
      <c r="C502" s="20" t="str">
        <f>'C COSTOS ESTADO FINANCIERO'!D502</f>
        <v>P02</v>
      </c>
      <c r="D502" s="20" t="str">
        <f>'C COSTOS ESTADO FINANCIERO'!E502</f>
        <v>MANTENIMIENTO HOSPITALARIO</v>
      </c>
      <c r="E502" s="20" t="str">
        <f>'C COSTOS ESTADO FINANCIERO'!I502</f>
        <v>HSFF - Fortul</v>
      </c>
      <c r="F502" s="20" t="str">
        <f>'C COSTOS ESTADO FINANCIERO'!H502</f>
        <v>APOYO LOGÍSTICO</v>
      </c>
      <c r="G502" s="20" t="str">
        <f>'C COSTOS ESTADO FINANCIERO'!J502</f>
        <v>ACTIVO</v>
      </c>
    </row>
    <row r="503" spans="1:7" x14ac:dyDescent="0.25">
      <c r="A503" s="20">
        <f>'C COSTOS ESTADO FINANCIERO'!A503</f>
        <v>6031005</v>
      </c>
      <c r="B503" s="20" t="str">
        <f>'C COSTOS ESTADO FINANCIERO'!B503</f>
        <v>HSFF-CUSAY-MANTENIMIENTO PLANTA FISICA</v>
      </c>
      <c r="C503" s="20" t="str">
        <f>'C COSTOS ESTADO FINANCIERO'!D503</f>
        <v>P02</v>
      </c>
      <c r="D503" s="20" t="str">
        <f>'C COSTOS ESTADO FINANCIERO'!E503</f>
        <v>MANTENIMIENTO HOSPITALARIO</v>
      </c>
      <c r="E503" s="20" t="str">
        <f>'C COSTOS ESTADO FINANCIERO'!I503</f>
        <v>HSFF - Fortul</v>
      </c>
      <c r="F503" s="20" t="str">
        <f>'C COSTOS ESTADO FINANCIERO'!H503</f>
        <v>APOYO LOGÍSTICO</v>
      </c>
      <c r="G503" s="20" t="str">
        <f>'C COSTOS ESTADO FINANCIERO'!J503</f>
        <v>ACTIVO</v>
      </c>
    </row>
    <row r="504" spans="1:7" x14ac:dyDescent="0.25">
      <c r="A504" s="20">
        <f>'C COSTOS ESTADO FINANCIERO'!A504</f>
        <v>6031006</v>
      </c>
      <c r="B504" s="20" t="str">
        <f>'C COSTOS ESTADO FINANCIERO'!B504</f>
        <v>HSFF-EL SALEM-MANTENIMIENTO PLANTA FISICA</v>
      </c>
      <c r="C504" s="20" t="str">
        <f>'C COSTOS ESTADO FINANCIERO'!D504</f>
        <v>P02</v>
      </c>
      <c r="D504" s="20" t="str">
        <f>'C COSTOS ESTADO FINANCIERO'!E504</f>
        <v>MANTENIMIENTO HOSPITALARIO</v>
      </c>
      <c r="E504" s="20" t="str">
        <f>'C COSTOS ESTADO FINANCIERO'!I504</f>
        <v>HSFF - Fortul</v>
      </c>
      <c r="F504" s="20" t="str">
        <f>'C COSTOS ESTADO FINANCIERO'!H504</f>
        <v>APOYO LOGÍSTICO</v>
      </c>
      <c r="G504" s="20" t="str">
        <f>'C COSTOS ESTADO FINANCIERO'!J504</f>
        <v>ACTIVO</v>
      </c>
    </row>
    <row r="505" spans="1:7" x14ac:dyDescent="0.25">
      <c r="A505" s="20">
        <f>'C COSTOS ESTADO FINANCIERO'!A505</f>
        <v>6021001</v>
      </c>
      <c r="B505" s="20" t="str">
        <f>'C COSTOS ESTADO FINANCIERO'!B505</f>
        <v>HSLA-LA PESQUERA-MANTENIMIENTO PLANTA FISICA</v>
      </c>
      <c r="C505" s="20" t="str">
        <f>'C COSTOS ESTADO FINANCIERO'!D505</f>
        <v>P02</v>
      </c>
      <c r="D505" s="20" t="str">
        <f>'C COSTOS ESTADO FINANCIERO'!E505</f>
        <v>MANTENIMIENTO HOSPITALARIO</v>
      </c>
      <c r="E505" s="20" t="str">
        <f>'C COSTOS ESTADO FINANCIERO'!I505</f>
        <v>HSLA - La Pesquera</v>
      </c>
      <c r="F505" s="20" t="str">
        <f>'C COSTOS ESTADO FINANCIERO'!H505</f>
        <v>APOYO LOGÍSTICO</v>
      </c>
      <c r="G505" s="20" t="str">
        <f>'C COSTOS ESTADO FINANCIERO'!J505</f>
        <v>ACTIVO</v>
      </c>
    </row>
    <row r="506" spans="1:7" x14ac:dyDescent="0.25">
      <c r="A506" s="20">
        <f>'C COSTOS ESTADO FINANCIERO'!A506</f>
        <v>6021002</v>
      </c>
      <c r="B506" s="20" t="str">
        <f>'C COSTOS ESTADO FINANCIERO'!B506</f>
        <v>HSLA-EL OASIS-MANTENIMIENTO PLANTA FISICA</v>
      </c>
      <c r="C506" s="20" t="str">
        <f>'C COSTOS ESTADO FINANCIERO'!D506</f>
        <v>P02</v>
      </c>
      <c r="D506" s="20" t="str">
        <f>'C COSTOS ESTADO FINANCIERO'!E506</f>
        <v>MANTENIMIENTO HOSPITALARIO</v>
      </c>
      <c r="E506" s="20" t="str">
        <f>'C COSTOS ESTADO FINANCIERO'!I506</f>
        <v>HSLA - Arauquita</v>
      </c>
      <c r="F506" s="20" t="str">
        <f>'C COSTOS ESTADO FINANCIERO'!H506</f>
        <v>APOYO LOGÍSTICO</v>
      </c>
      <c r="G506" s="20" t="str">
        <f>'C COSTOS ESTADO FINANCIERO'!J506</f>
        <v>ACTIVO</v>
      </c>
    </row>
    <row r="507" spans="1:7" x14ac:dyDescent="0.25">
      <c r="A507" s="20">
        <f>'C COSTOS ESTADO FINANCIERO'!A507</f>
        <v>6021003</v>
      </c>
      <c r="B507" s="20" t="str">
        <f>'C COSTOS ESTADO FINANCIERO'!B507</f>
        <v>HSLA-LA PAZ-MANTENIMIENTO PLANTA FISICA</v>
      </c>
      <c r="C507" s="20" t="str">
        <f>'C COSTOS ESTADO FINANCIERO'!D507</f>
        <v>P02</v>
      </c>
      <c r="D507" s="20" t="str">
        <f>'C COSTOS ESTADO FINANCIERO'!E507</f>
        <v>MANTENIMIENTO HOSPITALARIO</v>
      </c>
      <c r="E507" s="20" t="str">
        <f>'C COSTOS ESTADO FINANCIERO'!I507</f>
        <v>HSLA - Arauquita</v>
      </c>
      <c r="F507" s="20" t="str">
        <f>'C COSTOS ESTADO FINANCIERO'!H507</f>
        <v>APOYO LOGÍSTICO</v>
      </c>
      <c r="G507" s="20" t="str">
        <f>'C COSTOS ESTADO FINANCIERO'!J507</f>
        <v>ACTIVO</v>
      </c>
    </row>
    <row r="508" spans="1:7" x14ac:dyDescent="0.25">
      <c r="A508" s="20">
        <f>'C COSTOS ESTADO FINANCIERO'!A508</f>
        <v>6021004</v>
      </c>
      <c r="B508" s="20" t="str">
        <f>'C COSTOS ESTADO FINANCIERO'!B508</f>
        <v>HSLA-EL PARAISO-MANTENIMIENTO PLANTA FISICA</v>
      </c>
      <c r="C508" s="20" t="str">
        <f>'C COSTOS ESTADO FINANCIERO'!D508</f>
        <v>P02</v>
      </c>
      <c r="D508" s="20" t="str">
        <f>'C COSTOS ESTADO FINANCIERO'!E508</f>
        <v>MANTENIMIENTO HOSPITALARIO</v>
      </c>
      <c r="E508" s="20" t="str">
        <f>'C COSTOS ESTADO FINANCIERO'!I508</f>
        <v>HSLA - Arauquita</v>
      </c>
      <c r="F508" s="20" t="str">
        <f>'C COSTOS ESTADO FINANCIERO'!H508</f>
        <v>APOYO LOGÍSTICO</v>
      </c>
      <c r="G508" s="20" t="str">
        <f>'C COSTOS ESTADO FINANCIERO'!J508</f>
        <v>ACTIVO</v>
      </c>
    </row>
    <row r="509" spans="1:7" x14ac:dyDescent="0.25">
      <c r="A509" s="20">
        <f>'C COSTOS ESTADO FINANCIERO'!A509</f>
        <v>6021005</v>
      </c>
      <c r="B509" s="20" t="str">
        <f>'C COSTOS ESTADO FINANCIERO'!B509</f>
        <v>HSLA-AGUACHICA-MANTENIMIENTO PLANTA FISICA</v>
      </c>
      <c r="C509" s="20" t="str">
        <f>'C COSTOS ESTADO FINANCIERO'!D509</f>
        <v>P02</v>
      </c>
      <c r="D509" s="20" t="str">
        <f>'C COSTOS ESTADO FINANCIERO'!E509</f>
        <v>MANTENIMIENTO HOSPITALARIO</v>
      </c>
      <c r="E509" s="20" t="str">
        <f>'C COSTOS ESTADO FINANCIERO'!I509</f>
        <v>HSLA - Arauquita</v>
      </c>
      <c r="F509" s="20" t="str">
        <f>'C COSTOS ESTADO FINANCIERO'!H509</f>
        <v>APOYO LOGÍSTICO</v>
      </c>
      <c r="G509" s="20" t="str">
        <f>'C COSTOS ESTADO FINANCIERO'!J509</f>
        <v>ACTIVO</v>
      </c>
    </row>
    <row r="510" spans="1:7" x14ac:dyDescent="0.25">
      <c r="A510" s="20">
        <f>'C COSTOS ESTADO FINANCIERO'!A510</f>
        <v>6021006</v>
      </c>
      <c r="B510" s="20" t="str">
        <f>'C COSTOS ESTADO FINANCIERO'!B510</f>
        <v>HSLA-LA REINERA-MANTENIMIENTO PLANTA FISICA</v>
      </c>
      <c r="C510" s="20" t="str">
        <f>'C COSTOS ESTADO FINANCIERO'!D510</f>
        <v>P02</v>
      </c>
      <c r="D510" s="20" t="str">
        <f>'C COSTOS ESTADO FINANCIERO'!E510</f>
        <v>MANTENIMIENTO HOSPITALARIO</v>
      </c>
      <c r="E510" s="20" t="str">
        <f>'C COSTOS ESTADO FINANCIERO'!I510</f>
        <v>HSLA - Arauquita</v>
      </c>
      <c r="F510" s="20" t="str">
        <f>'C COSTOS ESTADO FINANCIERO'!H510</f>
        <v>APOYO LOGÍSTICO</v>
      </c>
      <c r="G510" s="20" t="str">
        <f>'C COSTOS ESTADO FINANCIERO'!J510</f>
        <v>ACTIVO</v>
      </c>
    </row>
    <row r="511" spans="1:7" x14ac:dyDescent="0.25">
      <c r="A511" s="20">
        <f>'C COSTOS ESTADO FINANCIERO'!A511</f>
        <v>4042217</v>
      </c>
      <c r="B511" s="20" t="str">
        <f>'C COSTOS ESTADO FINANCIERO'!B511</f>
        <v>HSAT-MANTENIMIENTO SISTEMA ELECTRICO</v>
      </c>
      <c r="C511" s="20" t="str">
        <f>'C COSTOS ESTADO FINANCIERO'!D511</f>
        <v>P02</v>
      </c>
      <c r="D511" s="20" t="str">
        <f>'C COSTOS ESTADO FINANCIERO'!E511</f>
        <v>MANTENIMIENTO HOSPITALARIO</v>
      </c>
      <c r="E511" s="20" t="str">
        <f>'C COSTOS ESTADO FINANCIERO'!I511</f>
        <v>HSAT - Tame</v>
      </c>
      <c r="F511" s="20" t="str">
        <f>'C COSTOS ESTADO FINANCIERO'!H511</f>
        <v>APOYO LOGÍSTICO</v>
      </c>
      <c r="G511" s="20" t="str">
        <f>'C COSTOS ESTADO FINANCIERO'!J511</f>
        <v>ACTIVO</v>
      </c>
    </row>
    <row r="512" spans="1:7" x14ac:dyDescent="0.25">
      <c r="A512" s="20">
        <f>'C COSTOS ESTADO FINANCIERO'!A512</f>
        <v>1010706</v>
      </c>
      <c r="B512" s="20" t="str">
        <f>'C COSTOS ESTADO FINANCIERO'!B512</f>
        <v>ESE- INGENIERIA CIVIL</v>
      </c>
      <c r="C512" s="20" t="str">
        <f>'C COSTOS ESTADO FINANCIERO'!D512</f>
        <v>R03</v>
      </c>
      <c r="D512" s="20" t="str">
        <f>'C COSTOS ESTADO FINANCIERO'!E512</f>
        <v>MANTENIMIENTO</v>
      </c>
      <c r="E512" s="20" t="str">
        <f>'C COSTOS ESTADO FINANCIERO'!I512</f>
        <v>ESE01 - Sede Administrativa (Tame)</v>
      </c>
      <c r="F512" s="20" t="str">
        <f>'C COSTOS ESTADO FINANCIERO'!H512</f>
        <v>ADMINISTRATIVO</v>
      </c>
      <c r="G512" s="20" t="str">
        <f>'C COSTOS ESTADO FINANCIERO'!J512</f>
        <v>ACTIVO</v>
      </c>
    </row>
    <row r="513" spans="1:7" x14ac:dyDescent="0.25">
      <c r="A513" s="20">
        <f>'C COSTOS ESTADO FINANCIERO'!A513</f>
        <v>5092001</v>
      </c>
      <c r="B513" s="20" t="str">
        <f>'C COSTOS ESTADO FINANCIERO'!B513</f>
        <v>CSJSC - PLANTA ELECTRICA</v>
      </c>
      <c r="C513" s="20" t="str">
        <f>'C COSTOS ESTADO FINANCIERO'!D513</f>
        <v>P02</v>
      </c>
      <c r="D513" s="20" t="str">
        <f>'C COSTOS ESTADO FINANCIERO'!E513</f>
        <v>MANTENIMIENTO HOSPITALARIO</v>
      </c>
      <c r="E513" s="20" t="str">
        <f>'C COSTOS ESTADO FINANCIERO'!I513</f>
        <v>CSJSC - Tame</v>
      </c>
      <c r="F513" s="20" t="str">
        <f>'C COSTOS ESTADO FINANCIERO'!H513</f>
        <v>APOYO LOGÍSTICO</v>
      </c>
      <c r="G513" s="20" t="str">
        <f>'C COSTOS ESTADO FINANCIERO'!J513</f>
        <v>ACTIVO</v>
      </c>
    </row>
    <row r="514" spans="1:7" x14ac:dyDescent="0.25">
      <c r="A514" s="20">
        <f>'C COSTOS ESTADO FINANCIERO'!A514</f>
        <v>4042218</v>
      </c>
      <c r="B514" s="20" t="str">
        <f>'C COSTOS ESTADO FINANCIERO'!B514</f>
        <v>HSAT-TAME-SISTEMA DE PRESION Y PURIFICACION DE AGUA</v>
      </c>
      <c r="C514" s="20" t="str">
        <f>'C COSTOS ESTADO FINANCIERO'!D514</f>
        <v>P02</v>
      </c>
      <c r="D514" s="20" t="str">
        <f>'C COSTOS ESTADO FINANCIERO'!E514</f>
        <v>MANTENIMIENTO HOSPITALARIO</v>
      </c>
      <c r="E514" s="20" t="str">
        <f>'C COSTOS ESTADO FINANCIERO'!I514</f>
        <v>HSAT - Tame</v>
      </c>
      <c r="F514" s="20" t="str">
        <f>'C COSTOS ESTADO FINANCIERO'!H514</f>
        <v>APOYO LOGÍSTICO</v>
      </c>
      <c r="G514" s="20" t="str">
        <f>'C COSTOS ESTADO FINANCIERO'!J514</f>
        <v>ACTIVO</v>
      </c>
    </row>
    <row r="515" spans="1:7" x14ac:dyDescent="0.25">
      <c r="A515" s="20">
        <f>'C COSTOS ESTADO FINANCIERO'!A515</f>
        <v>4012221</v>
      </c>
      <c r="B515" s="20" t="str">
        <f>'C COSTOS ESTADO FINANCIERO'!B515</f>
        <v>ESE01 - UNIDAD DE CORRESPONDENCIA</v>
      </c>
      <c r="C515" s="20" t="str">
        <f>'C COSTOS ESTADO FINANCIERO'!D515</f>
        <v>R09</v>
      </c>
      <c r="D515" s="20" t="str">
        <f>'C COSTOS ESTADO FINANCIERO'!E515</f>
        <v>GESTIÓN DOCUMENTAL Y ARCHIVÍSTICA</v>
      </c>
      <c r="E515" s="20" t="str">
        <f>'C COSTOS ESTADO FINANCIERO'!I515</f>
        <v>ESE01 - Sede Administrativa (Tame)</v>
      </c>
      <c r="F515" s="20" t="str">
        <f>'C COSTOS ESTADO FINANCIERO'!H515</f>
        <v>ADMINISTRATIVO</v>
      </c>
      <c r="G515" s="20" t="str">
        <f>'C COSTOS ESTADO FINANCIERO'!J515</f>
        <v>ACTIVO</v>
      </c>
    </row>
    <row r="516" spans="1:7" x14ac:dyDescent="0.25">
      <c r="A516" s="20">
        <f>'C COSTOS ESTADO FINANCIERO'!A516</f>
        <v>4042219</v>
      </c>
      <c r="B516" s="20" t="str">
        <f>'C COSTOS ESTADO FINANCIERO'!B516</f>
        <v>HSAT-TAME-REDES DE DISTRIBUCION AGUA</v>
      </c>
      <c r="C516" s="20" t="str">
        <f>'C COSTOS ESTADO FINANCIERO'!D516</f>
        <v>P02</v>
      </c>
      <c r="D516" s="20" t="str">
        <f>'C COSTOS ESTADO FINANCIERO'!E516</f>
        <v>MANTENIMIENTO HOSPITALARIO</v>
      </c>
      <c r="E516" s="20" t="str">
        <f>'C COSTOS ESTADO FINANCIERO'!I516</f>
        <v>HSAT - Tame</v>
      </c>
      <c r="F516" s="20" t="str">
        <f>'C COSTOS ESTADO FINANCIERO'!H516</f>
        <v>APOYO LOGÍSTICO</v>
      </c>
      <c r="G516" s="20" t="str">
        <f>'C COSTOS ESTADO FINANCIERO'!J516</f>
        <v>ACTIVO</v>
      </c>
    </row>
    <row r="517" spans="1:7" x14ac:dyDescent="0.25">
      <c r="A517" s="20">
        <f>'C COSTOS ESTADO FINANCIERO'!A517</f>
        <v>3012107</v>
      </c>
      <c r="B517" s="20" t="str">
        <f>'C COSTOS ESTADO FINANCIERO'!B517</f>
        <v>ESE01-SUBGERENCIA ADMINISTRATIVA</v>
      </c>
      <c r="C517" s="20" t="str">
        <f>'C COSTOS ESTADO FINANCIERO'!D517</f>
        <v>R01</v>
      </c>
      <c r="D517" s="20" t="str">
        <f>'C COSTOS ESTADO FINANCIERO'!E517</f>
        <v>COORDINACIÓN ADMINISTRATIVA</v>
      </c>
      <c r="E517" s="20" t="str">
        <f>'C COSTOS ESTADO FINANCIERO'!I517</f>
        <v>ESE01 - Sede Administrativa (Tame)</v>
      </c>
      <c r="F517" s="20" t="str">
        <f>'C COSTOS ESTADO FINANCIERO'!H517</f>
        <v>ADMINISTRATIVO</v>
      </c>
      <c r="G517" s="20" t="str">
        <f>'C COSTOS ESTADO FINANCIERO'!J517</f>
        <v>ACTIVO</v>
      </c>
    </row>
    <row r="518" spans="1:7" x14ac:dyDescent="0.25">
      <c r="A518" s="20">
        <f>'C COSTOS ESTADO FINANCIERO'!A518</f>
        <v>4042220</v>
      </c>
      <c r="B518" s="20" t="str">
        <f>'C COSTOS ESTADO FINANCIERO'!B518</f>
        <v>HSAT-TAME-MANTENIMIENTO PREVENTIVO Y CORRECTIVO</v>
      </c>
      <c r="C518" s="20" t="str">
        <f>'C COSTOS ESTADO FINANCIERO'!D518</f>
        <v>P02</v>
      </c>
      <c r="D518" s="20" t="str">
        <f>'C COSTOS ESTADO FINANCIERO'!E518</f>
        <v>MANTENIMIENTO HOSPITALARIO</v>
      </c>
      <c r="E518" s="20" t="str">
        <f>'C COSTOS ESTADO FINANCIERO'!I518</f>
        <v>HSAT - Tame</v>
      </c>
      <c r="F518" s="20" t="str">
        <f>'C COSTOS ESTADO FINANCIERO'!H518</f>
        <v>APOYO LOGÍSTICO</v>
      </c>
      <c r="G518" s="20" t="str">
        <f>'C COSTOS ESTADO FINANCIERO'!J518</f>
        <v>ACTIVO</v>
      </c>
    </row>
    <row r="519" spans="1:7" x14ac:dyDescent="0.25">
      <c r="A519" s="20">
        <f>'C COSTOS ESTADO FINANCIERO'!A519</f>
        <v>4022220</v>
      </c>
      <c r="B519" s="20" t="str">
        <f>'C COSTOS ESTADO FINANCIERO'!B519</f>
        <v>HSLA-ARAUQUITA-MANTENIMIENTO PREVENTIVO Y CORRECTIVO</v>
      </c>
      <c r="C519" s="20" t="str">
        <f>'C COSTOS ESTADO FINANCIERO'!D519</f>
        <v>P02</v>
      </c>
      <c r="D519" s="20" t="str">
        <f>'C COSTOS ESTADO FINANCIERO'!E519</f>
        <v>MANTENIMIENTO HOSPITALARIO</v>
      </c>
      <c r="E519" s="20" t="str">
        <f>'C COSTOS ESTADO FINANCIERO'!I519</f>
        <v>HSLA - Arauquita</v>
      </c>
      <c r="F519" s="20" t="str">
        <f>'C COSTOS ESTADO FINANCIERO'!H519</f>
        <v>APOYO LOGÍSTICO</v>
      </c>
      <c r="G519" s="20" t="str">
        <f>'C COSTOS ESTADO FINANCIERO'!J519</f>
        <v>ACTIVO</v>
      </c>
    </row>
    <row r="520" spans="1:7" x14ac:dyDescent="0.25">
      <c r="A520" s="20">
        <f>'C COSTOS ESTADO FINANCIERO'!A520</f>
        <v>4032220</v>
      </c>
      <c r="B520" s="20" t="str">
        <f>'C COSTOS ESTADO FINANCIERO'!B520</f>
        <v>HSFF-FORTUL-MANTENIMIENTO PREVENTIVO Y CORRECTIVO</v>
      </c>
      <c r="C520" s="20" t="str">
        <f>'C COSTOS ESTADO FINANCIERO'!D520</f>
        <v>P02</v>
      </c>
      <c r="D520" s="20" t="str">
        <f>'C COSTOS ESTADO FINANCIERO'!E520</f>
        <v>MANTENIMIENTO HOSPITALARIO</v>
      </c>
      <c r="E520" s="20" t="str">
        <f>'C COSTOS ESTADO FINANCIERO'!I520</f>
        <v>HSFF - Fortul</v>
      </c>
      <c r="F520" s="20" t="str">
        <f>'C COSTOS ESTADO FINANCIERO'!H520</f>
        <v>APOYO LOGÍSTICO</v>
      </c>
      <c r="G520" s="20" t="str">
        <f>'C COSTOS ESTADO FINANCIERO'!J520</f>
        <v>ACTIVO</v>
      </c>
    </row>
    <row r="521" spans="1:7" x14ac:dyDescent="0.25">
      <c r="A521" s="20">
        <f>'C COSTOS ESTADO FINANCIERO'!A521</f>
        <v>4052220</v>
      </c>
      <c r="B521" s="20" t="str">
        <f>'C COSTOS ESTADO FINANCIERO'!B521</f>
        <v>HSJDP-PUERTO RONDON-MANTENIMIENTO PREVENTIVO Y CORRECTIVO</v>
      </c>
      <c r="C521" s="20" t="str">
        <f>'C COSTOS ESTADO FINANCIERO'!D521</f>
        <v>P02</v>
      </c>
      <c r="D521" s="20" t="str">
        <f>'C COSTOS ESTADO FINANCIERO'!E521</f>
        <v>MANTENIMIENTO HOSPITALARIO</v>
      </c>
      <c r="E521" s="20" t="str">
        <f>'C COSTOS ESTADO FINANCIERO'!I521</f>
        <v>HSJDP - Puerto Rondón</v>
      </c>
      <c r="F521" s="20" t="str">
        <f>'C COSTOS ESTADO FINANCIERO'!H521</f>
        <v>APOYO LOGÍSTICO</v>
      </c>
      <c r="G521" s="20" t="str">
        <f>'C COSTOS ESTADO FINANCIERO'!J521</f>
        <v>ACTIVO</v>
      </c>
    </row>
    <row r="522" spans="1:7" x14ac:dyDescent="0.25">
      <c r="A522" s="20">
        <f>'C COSTOS ESTADO FINANCIERO'!A522</f>
        <v>4062220</v>
      </c>
      <c r="B522" s="20" t="str">
        <f>'C COSTOS ESTADO FINANCIERO'!B522</f>
        <v>HSJC-CRAVO NORTE-MANTENIMIENTO PREVENTIVO Y CORRECTIVO</v>
      </c>
      <c r="C522" s="20" t="str">
        <f>'C COSTOS ESTADO FINANCIERO'!D522</f>
        <v>P02</v>
      </c>
      <c r="D522" s="20" t="str">
        <f>'C COSTOS ESTADO FINANCIERO'!E522</f>
        <v>MANTENIMIENTO HOSPITALARIO</v>
      </c>
      <c r="E522" s="20" t="str">
        <f>'C COSTOS ESTADO FINANCIERO'!I522</f>
        <v>HSJCN - Cravo Norte</v>
      </c>
      <c r="F522" s="20" t="str">
        <f>'C COSTOS ESTADO FINANCIERO'!H522</f>
        <v>APOYO LOGÍSTICO</v>
      </c>
      <c r="G522" s="20" t="str">
        <f>'C COSTOS ESTADO FINANCIERO'!J522</f>
        <v>ACTIVO</v>
      </c>
    </row>
    <row r="523" spans="1:7" x14ac:dyDescent="0.25">
      <c r="A523" s="20">
        <f>'C COSTOS ESTADO FINANCIERO'!A523</f>
        <v>4082220</v>
      </c>
      <c r="B523" s="20" t="str">
        <f>'C COSTOS ESTADO FINANCIERO'!B523</f>
        <v>CSPA-PANAMA-MANTENIMIENTO PREVENTIVO Y CORRECTIVO</v>
      </c>
      <c r="C523" s="20" t="str">
        <f>'C COSTOS ESTADO FINANCIERO'!D523</f>
        <v>P02</v>
      </c>
      <c r="D523" s="20" t="str">
        <f>'C COSTOS ESTADO FINANCIERO'!E523</f>
        <v>MANTENIMIENTO HOSPITALARIO</v>
      </c>
      <c r="E523" s="20" t="str">
        <f>'C COSTOS ESTADO FINANCIERO'!I523</f>
        <v>CSPA - Panamá de Arauca</v>
      </c>
      <c r="F523" s="20" t="str">
        <f>'C COSTOS ESTADO FINANCIERO'!H523</f>
        <v>APOYO LOGÍSTICO</v>
      </c>
      <c r="G523" s="20" t="str">
        <f>'C COSTOS ESTADO FINANCIERO'!J523</f>
        <v>ACTIVO</v>
      </c>
    </row>
    <row r="524" spans="1:7" x14ac:dyDescent="0.25">
      <c r="A524" s="20">
        <f>'C COSTOS ESTADO FINANCIERO'!A524</f>
        <v>4072220</v>
      </c>
      <c r="B524" s="20" t="str">
        <f>'C COSTOS ESTADO FINANCIERO'!B524</f>
        <v>HSRP-PAMPURI-MANTENIMIENTO PREVENTIVO Y CORRECTIVO</v>
      </c>
      <c r="C524" s="20" t="str">
        <f>'C COSTOS ESTADO FINANCIERO'!D524</f>
        <v>P02</v>
      </c>
      <c r="D524" s="20" t="str">
        <f>'C COSTOS ESTADO FINANCIERO'!E524</f>
        <v>MANTENIMIENTO HOSPITALARIO</v>
      </c>
      <c r="E524" s="20" t="str">
        <f>'C COSTOS ESTADO FINANCIERO'!I524</f>
        <v>HSRP - Pampurí / La Esmeralda</v>
      </c>
      <c r="F524" s="20" t="str">
        <f>'C COSTOS ESTADO FINANCIERO'!H524</f>
        <v>APOYO LOGÍSTICO</v>
      </c>
      <c r="G524" s="20" t="str">
        <f>'C COSTOS ESTADO FINANCIERO'!J524</f>
        <v>ACTIVO</v>
      </c>
    </row>
    <row r="525" spans="1:7" x14ac:dyDescent="0.25">
      <c r="A525" s="20">
        <f>'C COSTOS ESTADO FINANCIERO'!A525</f>
        <v>5012220</v>
      </c>
      <c r="B525" s="20" t="str">
        <f>'C COSTOS ESTADO FINANCIERO'!B525</f>
        <v>ESE01-SEDE ADMINISTRATIVA-MANTENIMIENTO PREVENTIVO Y CORRECTIVO</v>
      </c>
      <c r="C525" s="20" t="str">
        <f>'C COSTOS ESTADO FINANCIERO'!D525</f>
        <v>R03</v>
      </c>
      <c r="D525" s="20" t="str">
        <f>'C COSTOS ESTADO FINANCIERO'!E525</f>
        <v>MANTENIMIENTO</v>
      </c>
      <c r="E525" s="20" t="str">
        <f>'C COSTOS ESTADO FINANCIERO'!I525</f>
        <v>ESE01 - Sede Administrativa (Tame)</v>
      </c>
      <c r="F525" s="20" t="str">
        <f>'C COSTOS ESTADO FINANCIERO'!H525</f>
        <v>ADMINISTRATIVO</v>
      </c>
      <c r="G525" s="20" t="str">
        <f>'C COSTOS ESTADO FINANCIERO'!J525</f>
        <v>ACTIVO</v>
      </c>
    </row>
    <row r="526" spans="1:7" x14ac:dyDescent="0.25">
      <c r="A526" s="20">
        <f>'C COSTOS ESTADO FINANCIERO'!A526</f>
        <v>7010101</v>
      </c>
      <c r="B526" s="20" t="str">
        <f>'C COSTOS ESTADO FINANCIERO'!B526</f>
        <v>ESE01-TAME- TRANSPORTE Y VEHICULOS</v>
      </c>
      <c r="C526" s="20" t="str">
        <f>'C COSTOS ESTADO FINANCIERO'!D526</f>
        <v>R07</v>
      </c>
      <c r="D526" s="20" t="str">
        <f>'C COSTOS ESTADO FINANCIERO'!E526</f>
        <v>OTROS VEHÍCULOS Y CONDUCTORES</v>
      </c>
      <c r="E526" s="20" t="str">
        <f>'C COSTOS ESTADO FINANCIERO'!I526</f>
        <v>ESE01 - Sede Administrativa (Tame)</v>
      </c>
      <c r="F526" s="20" t="str">
        <f>'C COSTOS ESTADO FINANCIERO'!H526</f>
        <v>ADMINISTRATIVO</v>
      </c>
      <c r="G526" s="20" t="str">
        <f>'C COSTOS ESTADO FINANCIERO'!J526</f>
        <v>ACTIVO</v>
      </c>
    </row>
    <row r="527" spans="1:7" x14ac:dyDescent="0.25">
      <c r="A527" s="20">
        <f>'C COSTOS ESTADO FINANCIERO'!A527</f>
        <v>7020101</v>
      </c>
      <c r="B527" s="20" t="str">
        <f>'C COSTOS ESTADO FINANCIERO'!B527</f>
        <v>HSLA-ARAUQUITA-TRANSPORTE Y VEHICULOS</v>
      </c>
      <c r="C527" s="20" t="str">
        <f>'C COSTOS ESTADO FINANCIERO'!D527</f>
        <v>R07</v>
      </c>
      <c r="D527" s="20" t="str">
        <f>'C COSTOS ESTADO FINANCIERO'!E527</f>
        <v>OTROS VEHÍCULOS Y CONDUCTORES</v>
      </c>
      <c r="E527" s="20" t="str">
        <f>'C COSTOS ESTADO FINANCIERO'!I527</f>
        <v>HSLA - Arauquita</v>
      </c>
      <c r="F527" s="20" t="str">
        <f>'C COSTOS ESTADO FINANCIERO'!H527</f>
        <v>ADMINISTRATIVO</v>
      </c>
      <c r="G527" s="20" t="str">
        <f>'C COSTOS ESTADO FINANCIERO'!J527</f>
        <v>ACTIVO</v>
      </c>
    </row>
    <row r="528" spans="1:7" x14ac:dyDescent="0.25">
      <c r="A528" s="20">
        <f>'C COSTOS ESTADO FINANCIERO'!A528</f>
        <v>7060101</v>
      </c>
      <c r="B528" s="20" t="str">
        <f>'C COSTOS ESTADO FINANCIERO'!B528</f>
        <v>HSJC-CRAVO NORTE-TRANSPORTE Y VEHICULOS</v>
      </c>
      <c r="C528" s="20" t="str">
        <f>'C COSTOS ESTADO FINANCIERO'!D528</f>
        <v>R07</v>
      </c>
      <c r="D528" s="20" t="str">
        <f>'C COSTOS ESTADO FINANCIERO'!E528</f>
        <v>OTROS VEHÍCULOS Y CONDUCTORES</v>
      </c>
      <c r="E528" s="20" t="str">
        <f>'C COSTOS ESTADO FINANCIERO'!I528</f>
        <v>HSJCN - Cravo Norte</v>
      </c>
      <c r="F528" s="20" t="str">
        <f>'C COSTOS ESTADO FINANCIERO'!H528</f>
        <v>ADMINISTRATIVO</v>
      </c>
      <c r="G528" s="20" t="str">
        <f>'C COSTOS ESTADO FINANCIERO'!J528</f>
        <v>ACTIVO</v>
      </c>
    </row>
    <row r="529" spans="1:7" x14ac:dyDescent="0.25">
      <c r="A529" s="20">
        <f>'C COSTOS ESTADO FINANCIERO'!A529</f>
        <v>7080101</v>
      </c>
      <c r="B529" s="20" t="str">
        <f>'C COSTOS ESTADO FINANCIERO'!B529</f>
        <v>HSRP-PAMPURI-TRANSPORTE Y VEHICULOS</v>
      </c>
      <c r="C529" s="20" t="str">
        <f>'C COSTOS ESTADO FINANCIERO'!D529</f>
        <v>R07</v>
      </c>
      <c r="D529" s="20" t="str">
        <f>'C COSTOS ESTADO FINANCIERO'!E529</f>
        <v>OTROS VEHÍCULOS Y CONDUCTORES</v>
      </c>
      <c r="E529" s="20" t="str">
        <f>'C COSTOS ESTADO FINANCIERO'!I529</f>
        <v>CSPA - Panamá de Arauca</v>
      </c>
      <c r="F529" s="20" t="str">
        <f>'C COSTOS ESTADO FINANCIERO'!H529</f>
        <v>ADMINISTRATIVO</v>
      </c>
      <c r="G529" s="20" t="str">
        <f>'C COSTOS ESTADO FINANCIERO'!J529</f>
        <v>ACTIVO</v>
      </c>
    </row>
    <row r="530" spans="1:7" x14ac:dyDescent="0.25">
      <c r="A530" s="20">
        <f>'C COSTOS ESTADO FINANCIERO'!A530</f>
        <v>7090101</v>
      </c>
      <c r="B530" s="20" t="str">
        <f>'C COSTOS ESTADO FINANCIERO'!B530</f>
        <v>ESE01-CONSULTORIA-PROFESIONAL</v>
      </c>
      <c r="C530" s="20" t="str">
        <f>'C COSTOS ESTADO FINANCIERO'!D530</f>
        <v>R01</v>
      </c>
      <c r="D530" s="20" t="str">
        <f>'C COSTOS ESTADO FINANCIERO'!E530</f>
        <v>COORDINACIÓN ADMINISTRATIVA</v>
      </c>
      <c r="E530" s="20" t="str">
        <f>'C COSTOS ESTADO FINANCIERO'!I530</f>
        <v>ESE01 - Sede Administrativa (Tame)</v>
      </c>
      <c r="F530" s="20" t="str">
        <f>'C COSTOS ESTADO FINANCIERO'!H530</f>
        <v>ADMINISTRATIVO</v>
      </c>
      <c r="G530" s="20" t="str">
        <f>'C COSTOS ESTADO FINANCIERO'!J530</f>
        <v>VERIFICAR</v>
      </c>
    </row>
    <row r="531" spans="1:7" x14ac:dyDescent="0.25">
      <c r="A531" s="20">
        <f>'C COSTOS ESTADO FINANCIERO'!A531</f>
        <v>4012222</v>
      </c>
      <c r="B531" s="20" t="str">
        <f>'C COSTOS ESTADO FINANCIERO'!B531</f>
        <v>ESE01-DOSIMETRIA</v>
      </c>
      <c r="C531" s="20" t="str">
        <f>'C COSTOS ESTADO FINANCIERO'!D531</f>
        <v>L02</v>
      </c>
      <c r="D531" s="20" t="str">
        <f>'C COSTOS ESTADO FINANCIERO'!E531</f>
        <v>IMAGENEOLOGÍA RADIOLÓGICA</v>
      </c>
      <c r="E531" s="20" t="str">
        <f>'C COSTOS ESTADO FINANCIERO'!I531</f>
        <v>ESE01 - Sede Administrativa (Tame)</v>
      </c>
      <c r="F531" s="20" t="str">
        <f>'C COSTOS ESTADO FINANCIERO'!H531</f>
        <v>APOYO ASISTENCIAL (intermedio)</v>
      </c>
      <c r="G531" s="20" t="str">
        <f>'C COSTOS ESTADO FINANCIERO'!J531</f>
        <v>ACTIVO</v>
      </c>
    </row>
    <row r="532" spans="1:7" x14ac:dyDescent="0.25">
      <c r="A532" s="20">
        <f>'C COSTOS ESTADO FINANCIERO'!A532</f>
        <v>4042221</v>
      </c>
      <c r="B532" s="20" t="str">
        <f>'C COSTOS ESTADO FINANCIERO'!B532</f>
        <v>HSAT-TAME-DOSIMETRIA</v>
      </c>
      <c r="C532" s="20" t="str">
        <f>'C COSTOS ESTADO FINANCIERO'!D532</f>
        <v>L02</v>
      </c>
      <c r="D532" s="20" t="str">
        <f>'C COSTOS ESTADO FINANCIERO'!E532</f>
        <v>IMAGENEOLOGÍA RADIOLÓGICA</v>
      </c>
      <c r="E532" s="20" t="str">
        <f>'C COSTOS ESTADO FINANCIERO'!I532</f>
        <v>HSAT - Tame</v>
      </c>
      <c r="F532" s="20" t="str">
        <f>'C COSTOS ESTADO FINANCIERO'!H532</f>
        <v>APOYO ASISTENCIAL (intermedio)</v>
      </c>
      <c r="G532" s="20" t="str">
        <f>'C COSTOS ESTADO FINANCIERO'!J532</f>
        <v>ACTIVO</v>
      </c>
    </row>
    <row r="533" spans="1:7" x14ac:dyDescent="0.25">
      <c r="A533" s="20">
        <f>'C COSTOS ESTADO FINANCIERO'!A533</f>
        <v>4062221</v>
      </c>
      <c r="B533" s="20" t="str">
        <f>'C COSTOS ESTADO FINANCIERO'!B533</f>
        <v>HSJC-CRAVO NORTE-DOSIMETRIA</v>
      </c>
      <c r="C533" s="20" t="str">
        <f>'C COSTOS ESTADO FINANCIERO'!D533</f>
        <v>L02</v>
      </c>
      <c r="D533" s="20" t="str">
        <f>'C COSTOS ESTADO FINANCIERO'!E533</f>
        <v>IMAGENEOLOGÍA RADIOLÓGICA</v>
      </c>
      <c r="E533" s="20" t="str">
        <f>'C COSTOS ESTADO FINANCIERO'!I533</f>
        <v>HSJCN - Cravo Norte</v>
      </c>
      <c r="F533" s="20" t="str">
        <f>'C COSTOS ESTADO FINANCIERO'!H533</f>
        <v>APOYO ASISTENCIAL (intermedio)</v>
      </c>
      <c r="G533" s="20" t="str">
        <f>'C COSTOS ESTADO FINANCIERO'!J533</f>
        <v>ACTIVO</v>
      </c>
    </row>
    <row r="534" spans="1:7" x14ac:dyDescent="0.25">
      <c r="A534" s="20">
        <f>'C COSTOS ESTADO FINANCIERO'!A534</f>
        <v>4052221</v>
      </c>
      <c r="B534" s="20" t="str">
        <f>'C COSTOS ESTADO FINANCIERO'!B534</f>
        <v>HSJDP-PUERTO RONDON-DOSIMETRIA</v>
      </c>
      <c r="C534" s="20" t="str">
        <f>'C COSTOS ESTADO FINANCIERO'!D534</f>
        <v>L02</v>
      </c>
      <c r="D534" s="20" t="str">
        <f>'C COSTOS ESTADO FINANCIERO'!E534</f>
        <v>IMAGENEOLOGÍA RADIOLÓGICA</v>
      </c>
      <c r="E534" s="20" t="str">
        <f>'C COSTOS ESTADO FINANCIERO'!I534</f>
        <v>HSJDP - Puerto Rondón</v>
      </c>
      <c r="F534" s="20" t="str">
        <f>'C COSTOS ESTADO FINANCIERO'!H534</f>
        <v>APOYO ASISTENCIAL (intermedio)</v>
      </c>
      <c r="G534" s="20" t="str">
        <f>'C COSTOS ESTADO FINANCIERO'!J534</f>
        <v>ACTIVO</v>
      </c>
    </row>
    <row r="535" spans="1:7" x14ac:dyDescent="0.25">
      <c r="A535" s="20">
        <f>'C COSTOS ESTADO FINANCIERO'!A535</f>
        <v>4022221</v>
      </c>
      <c r="B535" s="20" t="str">
        <f>'C COSTOS ESTADO FINANCIERO'!B535</f>
        <v>HSLA-ARAUQUITA-DOSIMETRIA</v>
      </c>
      <c r="C535" s="20" t="str">
        <f>'C COSTOS ESTADO FINANCIERO'!D535</f>
        <v>L02</v>
      </c>
      <c r="D535" s="20" t="str">
        <f>'C COSTOS ESTADO FINANCIERO'!E535</f>
        <v>IMAGENEOLOGÍA RADIOLÓGICA</v>
      </c>
      <c r="E535" s="20" t="str">
        <f>'C COSTOS ESTADO FINANCIERO'!I535</f>
        <v>HSLA - Arauquita</v>
      </c>
      <c r="F535" s="20" t="str">
        <f>'C COSTOS ESTADO FINANCIERO'!H535</f>
        <v>APOYO ASISTENCIAL (intermedio)</v>
      </c>
      <c r="G535" s="20" t="str">
        <f>'C COSTOS ESTADO FINANCIERO'!J535</f>
        <v>ACTIVO</v>
      </c>
    </row>
    <row r="536" spans="1:7" x14ac:dyDescent="0.25">
      <c r="A536" s="20">
        <f>'C COSTOS ESTADO FINANCIERO'!A536</f>
        <v>4032221</v>
      </c>
      <c r="B536" s="20" t="str">
        <f>'C COSTOS ESTADO FINANCIERO'!B536</f>
        <v>HSFF-FORTUL-DOSIMETRIA</v>
      </c>
      <c r="C536" s="20" t="str">
        <f>'C COSTOS ESTADO FINANCIERO'!D536</f>
        <v>L02</v>
      </c>
      <c r="D536" s="20" t="str">
        <f>'C COSTOS ESTADO FINANCIERO'!E536</f>
        <v>IMAGENEOLOGÍA RADIOLÓGICA</v>
      </c>
      <c r="E536" s="20" t="str">
        <f>'C COSTOS ESTADO FINANCIERO'!I536</f>
        <v>HSFF - Fortul</v>
      </c>
      <c r="F536" s="20" t="str">
        <f>'C COSTOS ESTADO FINANCIERO'!H536</f>
        <v>APOYO ASISTENCIAL (intermedio)</v>
      </c>
      <c r="G536" s="20" t="str">
        <f>'C COSTOS ESTADO FINANCIERO'!J536</f>
        <v>ACTIVO</v>
      </c>
    </row>
    <row r="537" spans="1:7" x14ac:dyDescent="0.25">
      <c r="A537" s="20">
        <f>'C COSTOS ESTADO FINANCIERO'!A537</f>
        <v>4072215</v>
      </c>
      <c r="B537" s="20" t="str">
        <f>'C COSTOS ESTADO FINANCIERO'!B537</f>
        <v>HSRP MENSAJERIA Y ARCHIVO</v>
      </c>
      <c r="C537" s="20" t="str">
        <f>'C COSTOS ESTADO FINANCIERO'!D537</f>
        <v>R09</v>
      </c>
      <c r="D537" s="20" t="str">
        <f>'C COSTOS ESTADO FINANCIERO'!E537</f>
        <v>GESTIÓN DOCUMENTAL Y ARCHIVÍSTICA</v>
      </c>
      <c r="E537" s="20" t="str">
        <f>'C COSTOS ESTADO FINANCIERO'!I537</f>
        <v>HSRP - Pampurí / La Esmeralda</v>
      </c>
      <c r="F537" s="20" t="str">
        <f>'C COSTOS ESTADO FINANCIERO'!H537</f>
        <v>ADMINISTRATIVO</v>
      </c>
      <c r="G537" s="20" t="str">
        <f>'C COSTOS ESTADO FINANCIERO'!J537</f>
        <v>ACTIVO</v>
      </c>
    </row>
    <row r="538" spans="1:7" x14ac:dyDescent="0.25">
      <c r="A538" s="20">
        <f>'C COSTOS ESTADO FINANCIERO'!A538</f>
        <v>4092220</v>
      </c>
      <c r="B538" s="20" t="str">
        <f>'C COSTOS ESTADO FINANCIERO'!B538</f>
        <v>CJDC MANTENIMIENTO PREVENTIVO Y CORRECTIVO P JORDAN</v>
      </c>
      <c r="C538" s="20" t="str">
        <f>'C COSTOS ESTADO FINANCIERO'!D538</f>
        <v>P02</v>
      </c>
      <c r="D538" s="20" t="str">
        <f>'C COSTOS ESTADO FINANCIERO'!E538</f>
        <v>MANTENIMIENTO HOSPITALARIO</v>
      </c>
      <c r="E538" s="20" t="str">
        <f>'C COSTOS ESTADO FINANCIERO'!I538</f>
        <v>Puerto Jordán</v>
      </c>
      <c r="F538" s="20" t="str">
        <f>'C COSTOS ESTADO FINANCIERO'!H538</f>
        <v>APOYO LOGÍSTICO</v>
      </c>
      <c r="G538" s="20" t="str">
        <f>'C COSTOS ESTADO FINANCIERO'!J538</f>
        <v>ACTIVO</v>
      </c>
    </row>
    <row r="539" spans="1:7" x14ac:dyDescent="0.25">
      <c r="A539" s="20">
        <f>'C COSTOS ESTADO FINANCIERO'!A539</f>
        <v>4072221</v>
      </c>
      <c r="B539" s="20" t="str">
        <f>'C COSTOS ESTADO FINANCIERO'!B539</f>
        <v>HSRP DOSIMETRIA</v>
      </c>
      <c r="C539" s="20" t="str">
        <f>'C COSTOS ESTADO FINANCIERO'!D539</f>
        <v>L02</v>
      </c>
      <c r="D539" s="20" t="str">
        <f>'C COSTOS ESTADO FINANCIERO'!E539</f>
        <v>IMAGENEOLOGÍA RADIOLÓGICA</v>
      </c>
      <c r="E539" s="20" t="str">
        <f>'C COSTOS ESTADO FINANCIERO'!I539</f>
        <v>HSRP - Pampurí / La Esmeralda</v>
      </c>
      <c r="F539" s="20" t="str">
        <f>'C COSTOS ESTADO FINANCIERO'!H539</f>
        <v>APOYO ASISTENCIAL (intermedio)</v>
      </c>
      <c r="G539" s="20" t="str">
        <f>'C COSTOS ESTADO FINANCIERO'!J539</f>
        <v>ACTIVO</v>
      </c>
    </row>
    <row r="540" spans="1:7" x14ac:dyDescent="0.25">
      <c r="A540" s="20">
        <f>'C COSTOS ESTADO FINANCIERO'!A540</f>
        <v>4082215</v>
      </c>
      <c r="B540" s="20" t="str">
        <f>'C COSTOS ESTADO FINANCIERO'!B540</f>
        <v>CSPA-PANAMA-MENSAJERIA Y ARCHIVO</v>
      </c>
      <c r="C540" s="20" t="str">
        <f>'C COSTOS ESTADO FINANCIERO'!D540</f>
        <v>R09</v>
      </c>
      <c r="D540" s="20" t="str">
        <f>'C COSTOS ESTADO FINANCIERO'!E540</f>
        <v>GESTIÓN DOCUMENTAL Y ARCHIVÍSTICA</v>
      </c>
      <c r="E540" s="20" t="str">
        <f>'C COSTOS ESTADO FINANCIERO'!I540</f>
        <v>CSPA - Panamá de Arauca</v>
      </c>
      <c r="F540" s="20" t="str">
        <f>'C COSTOS ESTADO FINANCIERO'!H540</f>
        <v>ADMINISTRATIVO</v>
      </c>
      <c r="G540" s="20" t="str">
        <f>'C COSTOS ESTADO FINANCIERO'!J540</f>
        <v>ACTIVO</v>
      </c>
    </row>
    <row r="541" spans="1:7" x14ac:dyDescent="0.25">
      <c r="A541" s="20">
        <f>'C COSTOS ESTADO FINANCIERO'!A541</f>
        <v>7030101</v>
      </c>
      <c r="B541" s="20" t="str">
        <f>'C COSTOS ESTADO FINANCIERO'!B541</f>
        <v>HSFF-FORTUL TRANSPORTE VEHICULOS</v>
      </c>
      <c r="C541" s="20" t="str">
        <f>'C COSTOS ESTADO FINANCIERO'!D541</f>
        <v>R07</v>
      </c>
      <c r="D541" s="20" t="str">
        <f>'C COSTOS ESTADO FINANCIERO'!E541</f>
        <v>OTROS VEHÍCULOS Y CONDUCTORES</v>
      </c>
      <c r="E541" s="20" t="str">
        <f>'C COSTOS ESTADO FINANCIERO'!I541</f>
        <v>HSFF - Fortul</v>
      </c>
      <c r="F541" s="20" t="str">
        <f>'C COSTOS ESTADO FINANCIERO'!H541</f>
        <v>ADMINISTRATIVO</v>
      </c>
      <c r="G541" s="20" t="str">
        <f>'C COSTOS ESTADO FINANCIERO'!J541</f>
        <v>ACTIVO</v>
      </c>
    </row>
    <row r="542" spans="1:7" x14ac:dyDescent="0.25">
      <c r="A542" s="20">
        <f>'C COSTOS ESTADO FINANCIERO'!A542</f>
        <v>7040101</v>
      </c>
      <c r="B542" s="20" t="str">
        <f>'C COSTOS ESTADO FINANCIERO'!B542</f>
        <v>HSAT-TAME TRANSPORTE VEHICULOS</v>
      </c>
      <c r="C542" s="20" t="str">
        <f>'C COSTOS ESTADO FINANCIERO'!D542</f>
        <v>R07</v>
      </c>
      <c r="D542" s="20" t="str">
        <f>'C COSTOS ESTADO FINANCIERO'!E542</f>
        <v>OTROS VEHÍCULOS Y CONDUCTORES</v>
      </c>
      <c r="E542" s="20" t="str">
        <f>'C COSTOS ESTADO FINANCIERO'!I542</f>
        <v>HSAT - Tame</v>
      </c>
      <c r="F542" s="20" t="str">
        <f>'C COSTOS ESTADO FINANCIERO'!H542</f>
        <v>ADMINISTRATIVO</v>
      </c>
      <c r="G542" s="20" t="str">
        <f>'C COSTOS ESTADO FINANCIERO'!J542</f>
        <v>ACTIVO</v>
      </c>
    </row>
    <row r="543" spans="1:7" x14ac:dyDescent="0.25">
      <c r="A543" s="20">
        <f>'C COSTOS ESTADO FINANCIERO'!A543</f>
        <v>7050101</v>
      </c>
      <c r="B543" s="20" t="str">
        <f>'C COSTOS ESTADO FINANCIERO'!B543</f>
        <v>HSJP-RONDON TRANSPORTE DE VEHICULOS</v>
      </c>
      <c r="C543" s="20" t="str">
        <f>'C COSTOS ESTADO FINANCIERO'!D543</f>
        <v>R07</v>
      </c>
      <c r="D543" s="20" t="str">
        <f>'C COSTOS ESTADO FINANCIERO'!E543</f>
        <v>OTROS VEHÍCULOS Y CONDUCTORES</v>
      </c>
      <c r="E543" s="20" t="str">
        <f>'C COSTOS ESTADO FINANCIERO'!I543</f>
        <v>HSJDP - Puerto Rondón</v>
      </c>
      <c r="F543" s="20" t="str">
        <f>'C COSTOS ESTADO FINANCIERO'!H543</f>
        <v>ADMINISTRATIVO</v>
      </c>
      <c r="G543" s="20" t="str">
        <f>'C COSTOS ESTADO FINANCIERO'!J543</f>
        <v>ACTIVO</v>
      </c>
    </row>
    <row r="544" spans="1:7" x14ac:dyDescent="0.25">
      <c r="A544" s="20">
        <f>'C COSTOS ESTADO FINANCIERO'!A544</f>
        <v>3012108</v>
      </c>
      <c r="B544" s="20" t="str">
        <f>'C COSTOS ESTADO FINANCIERO'!B544</f>
        <v>SUBGERENCIA EN SALUD</v>
      </c>
      <c r="C544" s="20" t="str">
        <f>'C COSTOS ESTADO FINANCIERO'!D544</f>
        <v>U05</v>
      </c>
      <c r="D544" s="20" t="str">
        <f>'C COSTOS ESTADO FINANCIERO'!E544</f>
        <v>COORDINACION EN SALUD</v>
      </c>
      <c r="E544" s="20" t="str">
        <f>'C COSTOS ESTADO FINANCIERO'!I544</f>
        <v>ESE01 - Sede Administrativa (Tame)</v>
      </c>
      <c r="F544" s="20" t="str">
        <f>'C COSTOS ESTADO FINANCIERO'!H544</f>
        <v>ADMINISTRATIVO</v>
      </c>
      <c r="G544" s="20" t="str">
        <f>'C COSTOS ESTADO FINANCIERO'!J544</f>
        <v>ACTIVO</v>
      </c>
    </row>
    <row r="545" spans="1:7" x14ac:dyDescent="0.25">
      <c r="A545" s="20">
        <f>'C COSTOS ESTADO FINANCIERO'!A545</f>
        <v>1091606</v>
      </c>
      <c r="B545" s="20" t="str">
        <f>'C COSTOS ESTADO FINANCIERO'!B545</f>
        <v>FARMACIA PRINCIPAL FILIPINAS</v>
      </c>
      <c r="C545" s="20" t="str">
        <f>'C COSTOS ESTADO FINANCIERO'!D545</f>
        <v>M05</v>
      </c>
      <c r="D545" s="20" t="str">
        <f>'C COSTOS ESTADO FINANCIERO'!E545</f>
        <v>FARMACIA</v>
      </c>
      <c r="E545" s="20" t="str">
        <f>'C COSTOS ESTADO FINANCIERO'!I545</f>
        <v>HSAT - Filipinas</v>
      </c>
      <c r="F545" s="20" t="str">
        <f>'C COSTOS ESTADO FINANCIERO'!H545</f>
        <v>APOYO ASISTENCIAL (intermedio)</v>
      </c>
      <c r="G545" s="20" t="str">
        <f>'C COSTOS ESTADO FINANCIERO'!J545</f>
        <v>ACTIVO</v>
      </c>
    </row>
    <row r="546" spans="1:7" x14ac:dyDescent="0.25">
      <c r="A546" s="20">
        <f>'C COSTOS ESTADO FINANCIERO'!A546</f>
        <v>4093212</v>
      </c>
      <c r="B546" s="20" t="str">
        <f>'C COSTOS ESTADO FINANCIERO'!B546</f>
        <v>COMBUSTIBLE FILIPINAS</v>
      </c>
      <c r="C546" s="20" t="str">
        <f>'C COSTOS ESTADO FINANCIERO'!D546</f>
        <v>R07</v>
      </c>
      <c r="D546" s="20" t="str">
        <f>'C COSTOS ESTADO FINANCIERO'!E546</f>
        <v>OTROS VEHÍCULOS Y CONDUCTORES</v>
      </c>
      <c r="E546" s="20" t="str">
        <f>'C COSTOS ESTADO FINANCIERO'!I546</f>
        <v>HSAT - Filipinas</v>
      </c>
      <c r="F546" s="20" t="str">
        <f>'C COSTOS ESTADO FINANCIERO'!H546</f>
        <v>ADMINISTRATIVO</v>
      </c>
      <c r="G546" s="20" t="str">
        <f>'C COSTOS ESTADO FINANCIERO'!J546</f>
        <v>VERIFICAR</v>
      </c>
    </row>
    <row r="547" spans="1:7" x14ac:dyDescent="0.25">
      <c r="A547" s="20">
        <f>'C COSTOS ESTADO FINANCIERO'!A547</f>
        <v>4093202</v>
      </c>
      <c r="B547" s="20" t="str">
        <f>'C COSTOS ESTADO FINANCIERO'!B547</f>
        <v>MANTENIMIENTO VEHICULOS FILIPINA</v>
      </c>
      <c r="C547" s="20" t="str">
        <f>'C COSTOS ESTADO FINANCIERO'!D547</f>
        <v>R07</v>
      </c>
      <c r="D547" s="20" t="str">
        <f>'C COSTOS ESTADO FINANCIERO'!E547</f>
        <v>OTROS VEHÍCULOS Y CONDUCTORES</v>
      </c>
      <c r="E547" s="20" t="str">
        <f>'C COSTOS ESTADO FINANCIERO'!I547</f>
        <v>HSAT - Filipinas</v>
      </c>
      <c r="F547" s="20" t="str">
        <f>'C COSTOS ESTADO FINANCIERO'!H547</f>
        <v>ADMINISTRATIVO</v>
      </c>
      <c r="G547" s="20" t="str">
        <f>'C COSTOS ESTADO FINANCIERO'!J547</f>
        <v>VERIFICAR</v>
      </c>
    </row>
    <row r="548" spans="1:7" x14ac:dyDescent="0.25">
      <c r="A548" s="20">
        <f>'C COSTOS ESTADO FINANCIERO'!A548</f>
        <v>1010220</v>
      </c>
      <c r="B548" s="20" t="str">
        <f>'C COSTOS ESTADO FINANCIERO'!B548</f>
        <v>ESE-MANTENIMIENTO PREVENTIVO Y CORRECTIVO</v>
      </c>
      <c r="C548" s="20" t="str">
        <f>'C COSTOS ESTADO FINANCIERO'!D548</f>
        <v>R03</v>
      </c>
      <c r="D548" s="20" t="str">
        <f>'C COSTOS ESTADO FINANCIERO'!E548</f>
        <v>MANTENIMIENTO</v>
      </c>
      <c r="E548" s="20" t="str">
        <f>'C COSTOS ESTADO FINANCIERO'!I548</f>
        <v>ESE01 - Sede Administrativa (Tame)</v>
      </c>
      <c r="F548" s="20" t="str">
        <f>'C COSTOS ESTADO FINANCIERO'!H548</f>
        <v>ADMINISTRATIVO</v>
      </c>
      <c r="G548" s="20" t="str">
        <f>'C COSTOS ESTADO FINANCIERO'!J548</f>
        <v>ACTIVO</v>
      </c>
    </row>
    <row r="549" spans="1:7" x14ac:dyDescent="0.25">
      <c r="A549" s="20">
        <f>'C COSTOS ESTADO FINANCIERO'!A549</f>
        <v>3012109</v>
      </c>
      <c r="B549" s="20" t="str">
        <f>'C COSTOS ESTADO FINANCIERO'!B549</f>
        <v>ESE-TAME-BIOMEDICO</v>
      </c>
      <c r="C549" s="20" t="str">
        <f>'C COSTOS ESTADO FINANCIERO'!D549</f>
        <v>P02</v>
      </c>
      <c r="D549" s="20" t="str">
        <f>'C COSTOS ESTADO FINANCIERO'!E549</f>
        <v>MANTENIMIENTO HOSPITALARIO</v>
      </c>
      <c r="E549" s="20" t="str">
        <f>'C COSTOS ESTADO FINANCIERO'!I549</f>
        <v>ESE01 - Sede Administrativa (Tame)</v>
      </c>
      <c r="F549" s="20" t="str">
        <f>'C COSTOS ESTADO FINANCIERO'!H549</f>
        <v>APOYO LOGÍSTICO</v>
      </c>
      <c r="G549" s="20" t="str">
        <f>'C COSTOS ESTADO FINANCIERO'!J549</f>
        <v>ACTIVO</v>
      </c>
    </row>
    <row r="550" spans="1:7" x14ac:dyDescent="0.25">
      <c r="A550" s="20">
        <f>'C COSTOS ESTADO FINANCIERO'!A550</f>
        <v>4142217</v>
      </c>
      <c r="B550" s="20" t="str">
        <f>'C COSTOS ESTADO FINANCIERO'!B550</f>
        <v>ESE01 - TAME - SISTEMA ELECTRICO</v>
      </c>
      <c r="C550" s="20" t="str">
        <f>'C COSTOS ESTADO FINANCIERO'!D550</f>
        <v>R03</v>
      </c>
      <c r="D550" s="20" t="str">
        <f>'C COSTOS ESTADO FINANCIERO'!E550</f>
        <v>MANTENIMIENTO</v>
      </c>
      <c r="E550" s="20" t="str">
        <f>'C COSTOS ESTADO FINANCIERO'!I550</f>
        <v>ESE01 - Sede Administrativa (Tame)</v>
      </c>
      <c r="F550" s="20" t="str">
        <f>'C COSTOS ESTADO FINANCIERO'!H550</f>
        <v>ADMINISTRATIVO</v>
      </c>
      <c r="G550" s="20" t="str">
        <f>'C COSTOS ESTADO FINANCIERO'!J550</f>
        <v>ACTIVO</v>
      </c>
    </row>
  </sheetData>
  <autoFilter ref="A1:G550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HOMOLOGACIÓN</vt:lpstr>
      <vt:lpstr>C COSTOS ESTADO FINANCIERO</vt:lpstr>
      <vt:lpstr>CENTROS DE COSTOS UTILIZADOS</vt:lpstr>
      <vt:lpstr>CENTROS DE COSTOS RESOLUCION</vt:lpstr>
      <vt:lpstr>TABLA HERRAMIENTA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Costos</cp:lastModifiedBy>
  <cp:revision>0</cp:revision>
  <dcterms:created xsi:type="dcterms:W3CDTF">2026-10-22T22:07:03Z</dcterms:created>
  <dcterms:modified xsi:type="dcterms:W3CDTF">2026-10-22T22:41:48Z</dcterms:modified>
  <dc:language>en-US</dc:language>
</cp:coreProperties>
</file>
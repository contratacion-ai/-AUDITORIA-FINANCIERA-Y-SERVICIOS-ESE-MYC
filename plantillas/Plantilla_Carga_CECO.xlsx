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RGA" sheetId="2" state="visible" r:id="rId2"/>
    <sheet xmlns:r="http://schemas.openxmlformats.org/officeDocument/2006/relationships" name="CATALOGO CECO" sheetId="3" state="visible" r:id="rId3"/>
    <sheet xmlns:r="http://schemas.openxmlformats.org/officeDocument/2006/relationships" name="RESUMEN" sheetId="4" state="visible" r:id="rId4"/>
  </sheets>
  <definedNames>
    <definedName name="CECO_CODIGOS">'CATALOGO CECO'!$A$2:$A$550</definedName>
    <definedName name="_xlnm._FilterDatabase" localSheetId="1" hidden="1">'CARGA'!$A$1:$K$3001</definedName>
    <definedName name="_xlnm._FilterDatabase" localSheetId="2" hidden="1">'CATALOGO CECO'!$A$1:$H$550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49" fontId="0" fillId="3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PLANTILLA DE CARGA DIRECTA – COSTOS POR CENTRO DE COSTOS (CECO)</t>
        </is>
      </c>
    </row>
    <row r="2">
      <c r="A2" s="2" t="inlineStr">
        <is>
          <t>ESE Departamental de Primer Nivel Moreno y Clavijo</t>
        </is>
      </c>
    </row>
    <row r="3">
      <c r="A3" s="3" t="inlineStr"/>
    </row>
    <row r="4">
      <c r="A4" s="3" t="inlineStr">
        <is>
          <t>1. Diligencie la hoja CARGA desde la fila 2. Una fila por CECO y cuenta contable del mes.</t>
        </is>
      </c>
    </row>
    <row r="5">
      <c r="A5" s="3" t="inlineStr">
        <is>
          <t>2. Columnas azules (editables): PERIODO (AAAA-MM), CODIGO CECO (elíjalo de la lista), CUENTA, NOMBRE CUENTA, VALOR y DESCRIPCION.</t>
        </is>
      </c>
    </row>
    <row r="6">
      <c r="A6" s="3" t="inlineStr">
        <is>
          <t>3. Las columnas grises (AUTO) se calculan solas: nombre del CECO, código de resolución, llave CECO|SEDE, estado y validación. No las edite.</t>
        </is>
      </c>
    </row>
    <row r="7">
      <c r="A7" s="3" t="inlineStr">
        <is>
          <t>4. Revise la columna VALIDACIÓN: solo las filas en OK se cargarán. Los mensajes indican qué corregir.</t>
        </is>
      </c>
    </row>
    <row r="8">
      <c r="A8" s="3" t="inlineStr">
        <is>
          <t>5. Estados: ACTIVO = se carga · VERIFICAR = validar con contabilidad/habilitación (no se carga) · NO APLICA = servicio no habilitado en primer nivel (no debería tener gasto) · EXCLUIR = partida que no es costo.</t>
        </is>
      </c>
    </row>
    <row r="9">
      <c r="A9" s="3" t="inlineStr">
        <is>
          <t>6. Revise la hoja RESUMEN antes de cargar: total por estado y número de filas con error.</t>
        </is>
      </c>
    </row>
    <row r="10">
      <c r="A10" s="3" t="inlineStr">
        <is>
          <t>7. Guarde el archivo (.xlsx) y procéselo: python -m homologacion_ceco procesar PLANTILLA.xlsx --salida resultado.xlsx</t>
        </is>
      </c>
    </row>
    <row r="11">
      <c r="A11" s="3" t="inlineStr">
        <is>
          <t xml:space="preserve">   Puede incluirlo en un ZIP con otros archivos; la herramienta reconoce esta plantilla sin configuración adicional.</t>
        </is>
      </c>
    </row>
    <row r="12">
      <c r="A12" s="3" t="inlineStr">
        <is>
          <t>8. Montos: escriba números (sin texto). Si pega desde otro sistema, use Pegado especial &gt; Valores.</t>
        </is>
      </c>
    </row>
    <row r="13">
      <c r="A13" s="3" t="inlineStr">
        <is>
          <t>9. Si un CECO no aparece en la lista, no lo invente: solicite su homologación (se agrega al archivo de referencia).</t>
        </is>
      </c>
    </row>
    <row r="14">
      <c r="A14" s="3" t="inlineStr"/>
    </row>
    <row r="15">
      <c r="A15" s="3" t="inlineStr">
        <is>
          <t>Validaciones antes de cargar (columna VALIDACIÓN):</t>
        </is>
      </c>
    </row>
    <row r="16">
      <c r="A16" s="3" t="inlineStr">
        <is>
          <t>• PERIODO con formato AAAA-MM · CECO existente en el catálogo · CUENTA solo dígitos y de clase 5, 6 o 7 · VALOR numérico y distinto de cero</t>
        </is>
      </c>
    </row>
    <row r="17">
      <c r="A17" s="3" t="inlineStr">
        <is>
          <t>• Estado del CECO: solo ACTIVO se carga; los demás se reportan como retenidos en el resultado.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36" customWidth="1" min="4" max="4"/>
    <col width="18" customWidth="1" min="5" max="5"/>
    <col width="30" customWidth="1" min="6" max="6"/>
    <col width="42" customWidth="1" min="7" max="7"/>
    <col width="14" customWidth="1" min="8" max="8"/>
    <col width="16" customWidth="1" min="9" max="9"/>
    <col width="13" customWidth="1" min="10" max="10"/>
    <col width="44" customWidth="1" min="11" max="11"/>
  </cols>
  <sheetData>
    <row r="1" ht="32" customHeight="1">
      <c r="A1" s="4" t="inlineStr">
        <is>
          <t>PERIODO</t>
        </is>
      </c>
      <c r="B1" s="4" t="inlineStr">
        <is>
          <t>CODIGO CECO</t>
        </is>
      </c>
      <c r="C1" s="4" t="inlineStr">
        <is>
          <t>CUENTA</t>
        </is>
      </c>
      <c r="D1" s="4" t="inlineStr">
        <is>
          <t>NOMBRE CUENTA</t>
        </is>
      </c>
      <c r="E1" s="4" t="inlineStr">
        <is>
          <t>VALOR</t>
        </is>
      </c>
      <c r="F1" s="4" t="inlineStr">
        <is>
          <t>DESCRIPCION</t>
        </is>
      </c>
      <c r="G1" s="4" t="inlineStr">
        <is>
          <t>NOMBRE CECO (AUTO)</t>
        </is>
      </c>
      <c r="H1" s="4" t="inlineStr">
        <is>
          <t>CECO RESOLUCIÓN (AUTO)</t>
        </is>
      </c>
      <c r="I1" s="4" t="inlineStr">
        <is>
          <t>LLAVE CECO|SEDE (AUTO)</t>
        </is>
      </c>
      <c r="J1" s="4" t="inlineStr">
        <is>
          <t>ESTADO (AUTO)</t>
        </is>
      </c>
      <c r="K1" s="4" t="inlineStr">
        <is>
          <t>VALIDACIÓN (AUTO)</t>
        </is>
      </c>
    </row>
    <row r="2">
      <c r="A2" s="5" t="n"/>
      <c r="B2" s="6" t="n"/>
      <c r="C2" s="5" t="n"/>
      <c r="D2" s="6" t="n"/>
      <c r="E2" s="7" t="n"/>
      <c r="F2" s="6" t="n"/>
      <c r="G2" s="8">
        <f>IF(B2="","",IFERROR(VLOOKUP(--B2,'CATALOGO CECO'!$A$2:$H$550,2,FALSE),"CECO NO EXISTE"))</f>
        <v/>
      </c>
      <c r="H2" s="8">
        <f>IF(B2="","",IFERROR(VLOOKUP(--B2,'CATALOGO CECO'!$A$2:$H$550,3,FALSE),""))</f>
        <v/>
      </c>
      <c r="I2" s="8">
        <f>IF(B2="","",IFERROR(VLOOKUP(--B2,'CATALOGO CECO'!$A$2:$H$550,5,FALSE),""))</f>
        <v/>
      </c>
      <c r="J2" s="8">
        <f>IF(B2="","",IFERROR(VLOOKUP(--B2,'CATALOGO CECO'!$A$2:$H$550,8,FALSE),""))</f>
        <v/>
      </c>
      <c r="K2" s="8">
        <f>IF(COUNTA(A2:F2)=0,"",IF(OR(LEN(A2)&lt;&gt;7,MID(A2,5,1)&lt;&gt;"-",ISERROR(--LEFT(A2,4)),ISERROR(--RIGHT(A2,2))),"ERROR: PERIODO debe ser AAAA-MM",IF(B2="","ERROR: falta CODIGO CECO",IF(G2="CECO NO EXISTE","ERROR: CECO no existe en el catálogo",IF(C2="","ERROR: falta CUENTA",IF(ISERROR(--C2),"ERROR: CUENTA debe tener solo dígitos",IF(ISERROR(FIND(LEFT(C2,1),"567")),"ERROR: CUENTA fuera de las clases de costo",IF(NOT(ISNUMBER(E2)),"ERROR: VALOR debe ser numérico",IF(E2=0,"AVISO: valor cero (no se carga)",IF(J2&lt;&gt;"ACTIVO","NO SE CARGA: CECO en estado "&amp;J2,"OK"))))))))))</f>
        <v/>
      </c>
    </row>
    <row r="3">
      <c r="A3" s="5" t="n"/>
      <c r="B3" s="6" t="n"/>
      <c r="C3" s="5" t="n"/>
      <c r="D3" s="6" t="n"/>
      <c r="E3" s="7" t="n"/>
      <c r="F3" s="6" t="n"/>
      <c r="G3" s="8">
        <f>IF(B3="","",IFERROR(VLOOKUP(--B3,'CATALOGO CECO'!$A$2:$H$550,2,FALSE),"CECO NO EXISTE"))</f>
        <v/>
      </c>
      <c r="H3" s="8">
        <f>IF(B3="","",IFERROR(VLOOKUP(--B3,'CATALOGO CECO'!$A$2:$H$550,3,FALSE),""))</f>
        <v/>
      </c>
      <c r="I3" s="8">
        <f>IF(B3="","",IFERROR(VLOOKUP(--B3,'CATALOGO CECO'!$A$2:$H$550,5,FALSE),""))</f>
        <v/>
      </c>
      <c r="J3" s="8">
        <f>IF(B3="","",IFERROR(VLOOKUP(--B3,'CATALOGO CECO'!$A$2:$H$550,8,FALSE),""))</f>
        <v/>
      </c>
      <c r="K3" s="8">
        <f>IF(COUNTA(A3:F3)=0,"",IF(OR(LEN(A3)&lt;&gt;7,MID(A3,5,1)&lt;&gt;"-",ISERROR(--LEFT(A3,4)),ISERROR(--RIGHT(A3,2))),"ERROR: PERIODO debe ser AAAA-MM",IF(B3="","ERROR: falta CODIGO CECO",IF(G3="CECO NO EXISTE","ERROR: CECO no existe en el catálogo",IF(C3="","ERROR: falta CUENTA",IF(ISERROR(--C3),"ERROR: CUENTA debe tener solo dígitos",IF(ISERROR(FIND(LEFT(C3,1),"567")),"ERROR: CUENTA fuera de las clases de costo",IF(NOT(ISNUMBER(E3)),"ERROR: VALOR debe ser numérico",IF(E3=0,"AVISO: valor cero (no se carga)",IF(J3&lt;&gt;"ACTIVO","NO SE CARGA: CECO en estado "&amp;J3,"OK"))))))))))</f>
        <v/>
      </c>
    </row>
    <row r="4">
      <c r="A4" s="5" t="n"/>
      <c r="B4" s="6" t="n"/>
      <c r="C4" s="5" t="n"/>
      <c r="D4" s="6" t="n"/>
      <c r="E4" s="7" t="n"/>
      <c r="F4" s="6" t="n"/>
      <c r="G4" s="8">
        <f>IF(B4="","",IFERROR(VLOOKUP(--B4,'CATALOGO CECO'!$A$2:$H$550,2,FALSE),"CECO NO EXISTE"))</f>
        <v/>
      </c>
      <c r="H4" s="8">
        <f>IF(B4="","",IFERROR(VLOOKUP(--B4,'CATALOGO CECO'!$A$2:$H$550,3,FALSE),""))</f>
        <v/>
      </c>
      <c r="I4" s="8">
        <f>IF(B4="","",IFERROR(VLOOKUP(--B4,'CATALOGO CECO'!$A$2:$H$550,5,FALSE),""))</f>
        <v/>
      </c>
      <c r="J4" s="8">
        <f>IF(B4="","",IFERROR(VLOOKUP(--B4,'CATALOGO CECO'!$A$2:$H$550,8,FALSE),""))</f>
        <v/>
      </c>
      <c r="K4" s="8">
        <f>IF(COUNTA(A4:F4)=0,"",IF(OR(LEN(A4)&lt;&gt;7,MID(A4,5,1)&lt;&gt;"-",ISERROR(--LEFT(A4,4)),ISERROR(--RIGHT(A4,2))),"ERROR: PERIODO debe ser AAAA-MM",IF(B4="","ERROR: falta CODIGO CECO",IF(G4="CECO NO EXISTE","ERROR: CECO no existe en el catálogo",IF(C4="","ERROR: falta CUENTA",IF(ISERROR(--C4),"ERROR: CUENTA debe tener solo dígitos",IF(ISERROR(FIND(LEFT(C4,1),"567")),"ERROR: CUENTA fuera de las clases de costo",IF(NOT(ISNUMBER(E4)),"ERROR: VALOR debe ser numérico",IF(E4=0,"AVISO: valor cero (no se carga)",IF(J4&lt;&gt;"ACTIVO","NO SE CARGA: CECO en estado "&amp;J4,"OK"))))))))))</f>
        <v/>
      </c>
    </row>
    <row r="5">
      <c r="A5" s="5" t="n"/>
      <c r="B5" s="6" t="n"/>
      <c r="C5" s="5" t="n"/>
      <c r="D5" s="6" t="n"/>
      <c r="E5" s="7" t="n"/>
      <c r="F5" s="6" t="n"/>
      <c r="G5" s="8">
        <f>IF(B5="","",IFERROR(VLOOKUP(--B5,'CATALOGO CECO'!$A$2:$H$550,2,FALSE),"CECO NO EXISTE"))</f>
        <v/>
      </c>
      <c r="H5" s="8">
        <f>IF(B5="","",IFERROR(VLOOKUP(--B5,'CATALOGO CECO'!$A$2:$H$550,3,FALSE),""))</f>
        <v/>
      </c>
      <c r="I5" s="8">
        <f>IF(B5="","",IFERROR(VLOOKUP(--B5,'CATALOGO CECO'!$A$2:$H$550,5,FALSE),""))</f>
        <v/>
      </c>
      <c r="J5" s="8">
        <f>IF(B5="","",IFERROR(VLOOKUP(--B5,'CATALOGO CECO'!$A$2:$H$550,8,FALSE),""))</f>
        <v/>
      </c>
      <c r="K5" s="8">
        <f>IF(COUNTA(A5:F5)=0,"",IF(OR(LEN(A5)&lt;&gt;7,MID(A5,5,1)&lt;&gt;"-",ISERROR(--LEFT(A5,4)),ISERROR(--RIGHT(A5,2))),"ERROR: PERIODO debe ser AAAA-MM",IF(B5="","ERROR: falta CODIGO CECO",IF(G5="CECO NO EXISTE","ERROR: CECO no existe en el catálogo",IF(C5="","ERROR: falta CUENTA",IF(ISERROR(--C5),"ERROR: CUENTA debe tener solo dígitos",IF(ISERROR(FIND(LEFT(C5,1),"567")),"ERROR: CUENTA fuera de las clases de costo",IF(NOT(ISNUMBER(E5)),"ERROR: VALOR debe ser numérico",IF(E5=0,"AVISO: valor cero (no se carga)",IF(J5&lt;&gt;"ACTIVO","NO SE CARGA: CECO en estado "&amp;J5,"OK"))))))))))</f>
        <v/>
      </c>
    </row>
    <row r="6">
      <c r="A6" s="5" t="n"/>
      <c r="B6" s="6" t="n"/>
      <c r="C6" s="5" t="n"/>
      <c r="D6" s="6" t="n"/>
      <c r="E6" s="7" t="n"/>
      <c r="F6" s="6" t="n"/>
      <c r="G6" s="8">
        <f>IF(B6="","",IFERROR(VLOOKUP(--B6,'CATALOGO CECO'!$A$2:$H$550,2,FALSE),"CECO NO EXISTE"))</f>
        <v/>
      </c>
      <c r="H6" s="8">
        <f>IF(B6="","",IFERROR(VLOOKUP(--B6,'CATALOGO CECO'!$A$2:$H$550,3,FALSE),""))</f>
        <v/>
      </c>
      <c r="I6" s="8">
        <f>IF(B6="","",IFERROR(VLOOKUP(--B6,'CATALOGO CECO'!$A$2:$H$550,5,FALSE),""))</f>
        <v/>
      </c>
      <c r="J6" s="8">
        <f>IF(B6="","",IFERROR(VLOOKUP(--B6,'CATALOGO CECO'!$A$2:$H$550,8,FALSE),""))</f>
        <v/>
      </c>
      <c r="K6" s="8">
        <f>IF(COUNTA(A6:F6)=0,"",IF(OR(LEN(A6)&lt;&gt;7,MID(A6,5,1)&lt;&gt;"-",ISERROR(--LEFT(A6,4)),ISERROR(--RIGHT(A6,2))),"ERROR: PERIODO debe ser AAAA-MM",IF(B6="","ERROR: falta CODIGO CECO",IF(G6="CECO NO EXISTE","ERROR: CECO no existe en el catálogo",IF(C6="","ERROR: falta CUENTA",IF(ISERROR(--C6),"ERROR: CUENTA debe tener solo dígitos",IF(ISERROR(FIND(LEFT(C6,1),"567")),"ERROR: CUENTA fuera de las clases de costo",IF(NOT(ISNUMBER(E6)),"ERROR: VALOR debe ser numérico",IF(E6=0,"AVISO: valor cero (no se carga)",IF(J6&lt;&gt;"ACTIVO","NO SE CARGA: CECO en estado "&amp;J6,"OK"))))))))))</f>
        <v/>
      </c>
    </row>
    <row r="7">
      <c r="A7" s="5" t="n"/>
      <c r="B7" s="6" t="n"/>
      <c r="C7" s="5" t="n"/>
      <c r="D7" s="6" t="n"/>
      <c r="E7" s="7" t="n"/>
      <c r="F7" s="6" t="n"/>
      <c r="G7" s="8">
        <f>IF(B7="","",IFERROR(VLOOKUP(--B7,'CATALOGO CECO'!$A$2:$H$550,2,FALSE),"CECO NO EXISTE"))</f>
        <v/>
      </c>
      <c r="H7" s="8">
        <f>IF(B7="","",IFERROR(VLOOKUP(--B7,'CATALOGO CECO'!$A$2:$H$550,3,FALSE),""))</f>
        <v/>
      </c>
      <c r="I7" s="8">
        <f>IF(B7="","",IFERROR(VLOOKUP(--B7,'CATALOGO CECO'!$A$2:$H$550,5,FALSE),""))</f>
        <v/>
      </c>
      <c r="J7" s="8">
        <f>IF(B7="","",IFERROR(VLOOKUP(--B7,'CATALOGO CECO'!$A$2:$H$550,8,FALSE),""))</f>
        <v/>
      </c>
      <c r="K7" s="8">
        <f>IF(COUNTA(A7:F7)=0,"",IF(OR(LEN(A7)&lt;&gt;7,MID(A7,5,1)&lt;&gt;"-",ISERROR(--LEFT(A7,4)),ISERROR(--RIGHT(A7,2))),"ERROR: PERIODO debe ser AAAA-MM",IF(B7="","ERROR: falta CODIGO CECO",IF(G7="CECO NO EXISTE","ERROR: CECO no existe en el catálogo",IF(C7="","ERROR: falta CUENTA",IF(ISERROR(--C7),"ERROR: CUENTA debe tener solo dígitos",IF(ISERROR(FIND(LEFT(C7,1),"567")),"ERROR: CUENTA fuera de las clases de costo",IF(NOT(ISNUMBER(E7)),"ERROR: VALOR debe ser numérico",IF(E7=0,"AVISO: valor cero (no se carga)",IF(J7&lt;&gt;"ACTIVO","NO SE CARGA: CECO en estado "&amp;J7,"OK"))))))))))</f>
        <v/>
      </c>
    </row>
    <row r="8">
      <c r="A8" s="5" t="n"/>
      <c r="B8" s="6" t="n"/>
      <c r="C8" s="5" t="n"/>
      <c r="D8" s="6" t="n"/>
      <c r="E8" s="7" t="n"/>
      <c r="F8" s="6" t="n"/>
      <c r="G8" s="8">
        <f>IF(B8="","",IFERROR(VLOOKUP(--B8,'CATALOGO CECO'!$A$2:$H$550,2,FALSE),"CECO NO EXISTE"))</f>
        <v/>
      </c>
      <c r="H8" s="8">
        <f>IF(B8="","",IFERROR(VLOOKUP(--B8,'CATALOGO CECO'!$A$2:$H$550,3,FALSE),""))</f>
        <v/>
      </c>
      <c r="I8" s="8">
        <f>IF(B8="","",IFERROR(VLOOKUP(--B8,'CATALOGO CECO'!$A$2:$H$550,5,FALSE),""))</f>
        <v/>
      </c>
      <c r="J8" s="8">
        <f>IF(B8="","",IFERROR(VLOOKUP(--B8,'CATALOGO CECO'!$A$2:$H$550,8,FALSE),""))</f>
        <v/>
      </c>
      <c r="K8" s="8">
        <f>IF(COUNTA(A8:F8)=0,"",IF(OR(LEN(A8)&lt;&gt;7,MID(A8,5,1)&lt;&gt;"-",ISERROR(--LEFT(A8,4)),ISERROR(--RIGHT(A8,2))),"ERROR: PERIODO debe ser AAAA-MM",IF(B8="","ERROR: falta CODIGO CECO",IF(G8="CECO NO EXISTE","ERROR: CECO no existe en el catálogo",IF(C8="","ERROR: falta CUENTA",IF(ISERROR(--C8),"ERROR: CUENTA debe tener solo dígitos",IF(ISERROR(FIND(LEFT(C8,1),"567")),"ERROR: CUENTA fuera de las clases de costo",IF(NOT(ISNUMBER(E8)),"ERROR: VALOR debe ser numérico",IF(E8=0,"AVISO: valor cero (no se carga)",IF(J8&lt;&gt;"ACTIVO","NO SE CARGA: CECO en estado "&amp;J8,"OK"))))))))))</f>
        <v/>
      </c>
    </row>
    <row r="9">
      <c r="A9" s="5" t="n"/>
      <c r="B9" s="6" t="n"/>
      <c r="C9" s="5" t="n"/>
      <c r="D9" s="6" t="n"/>
      <c r="E9" s="7" t="n"/>
      <c r="F9" s="6" t="n"/>
      <c r="G9" s="8">
        <f>IF(B9="","",IFERROR(VLOOKUP(--B9,'CATALOGO CECO'!$A$2:$H$550,2,FALSE),"CECO NO EXISTE"))</f>
        <v/>
      </c>
      <c r="H9" s="8">
        <f>IF(B9="","",IFERROR(VLOOKUP(--B9,'CATALOGO CECO'!$A$2:$H$550,3,FALSE),""))</f>
        <v/>
      </c>
      <c r="I9" s="8">
        <f>IF(B9="","",IFERROR(VLOOKUP(--B9,'CATALOGO CECO'!$A$2:$H$550,5,FALSE),""))</f>
        <v/>
      </c>
      <c r="J9" s="8">
        <f>IF(B9="","",IFERROR(VLOOKUP(--B9,'CATALOGO CECO'!$A$2:$H$550,8,FALSE),""))</f>
        <v/>
      </c>
      <c r="K9" s="8">
        <f>IF(COUNTA(A9:F9)=0,"",IF(OR(LEN(A9)&lt;&gt;7,MID(A9,5,1)&lt;&gt;"-",ISERROR(--LEFT(A9,4)),ISERROR(--RIGHT(A9,2))),"ERROR: PERIODO debe ser AAAA-MM",IF(B9="","ERROR: falta CODIGO CECO",IF(G9="CECO NO EXISTE","ERROR: CECO no existe en el catálogo",IF(C9="","ERROR: falta CUENTA",IF(ISERROR(--C9),"ERROR: CUENTA debe tener solo dígitos",IF(ISERROR(FIND(LEFT(C9,1),"567")),"ERROR: CUENTA fuera de las clases de costo",IF(NOT(ISNUMBER(E9)),"ERROR: VALOR debe ser numérico",IF(E9=0,"AVISO: valor cero (no se carga)",IF(J9&lt;&gt;"ACTIVO","NO SE CARGA: CECO en estado "&amp;J9,"OK"))))))))))</f>
        <v/>
      </c>
    </row>
    <row r="10">
      <c r="A10" s="5" t="n"/>
      <c r="B10" s="6" t="n"/>
      <c r="C10" s="5" t="n"/>
      <c r="D10" s="6" t="n"/>
      <c r="E10" s="7" t="n"/>
      <c r="F10" s="6" t="n"/>
      <c r="G10" s="8">
        <f>IF(B10="","",IFERROR(VLOOKUP(--B10,'CATALOGO CECO'!$A$2:$H$550,2,FALSE),"CECO NO EXISTE"))</f>
        <v/>
      </c>
      <c r="H10" s="8">
        <f>IF(B10="","",IFERROR(VLOOKUP(--B10,'CATALOGO CECO'!$A$2:$H$550,3,FALSE),""))</f>
        <v/>
      </c>
      <c r="I10" s="8">
        <f>IF(B10="","",IFERROR(VLOOKUP(--B10,'CATALOGO CECO'!$A$2:$H$550,5,FALSE),""))</f>
        <v/>
      </c>
      <c r="J10" s="8">
        <f>IF(B10="","",IFERROR(VLOOKUP(--B10,'CATALOGO CECO'!$A$2:$H$550,8,FALSE),""))</f>
        <v/>
      </c>
      <c r="K10" s="8">
        <f>IF(COUNTA(A10:F10)=0,"",IF(OR(LEN(A10)&lt;&gt;7,MID(A10,5,1)&lt;&gt;"-",ISERROR(--LEFT(A10,4)),ISERROR(--RIGHT(A10,2))),"ERROR: PERIODO debe ser AAAA-MM",IF(B10="","ERROR: falta CODIGO CECO",IF(G10="CECO NO EXISTE","ERROR: CECO no existe en el catálogo",IF(C10="","ERROR: falta CUENTA",IF(ISERROR(--C10),"ERROR: CUENTA debe tener solo dígitos",IF(ISERROR(FIND(LEFT(C10,1),"567")),"ERROR: CUENTA fuera de las clases de costo",IF(NOT(ISNUMBER(E10)),"ERROR: VALOR debe ser numérico",IF(E10=0,"AVISO: valor cero (no se carga)",IF(J10&lt;&gt;"ACTIVO","NO SE CARGA: CECO en estado "&amp;J10,"OK"))))))))))</f>
        <v/>
      </c>
    </row>
    <row r="11">
      <c r="A11" s="5" t="n"/>
      <c r="B11" s="6" t="n"/>
      <c r="C11" s="5" t="n"/>
      <c r="D11" s="6" t="n"/>
      <c r="E11" s="7" t="n"/>
      <c r="F11" s="6" t="n"/>
      <c r="G11" s="8">
        <f>IF(B11="","",IFERROR(VLOOKUP(--B11,'CATALOGO CECO'!$A$2:$H$550,2,FALSE),"CECO NO EXISTE"))</f>
        <v/>
      </c>
      <c r="H11" s="8">
        <f>IF(B11="","",IFERROR(VLOOKUP(--B11,'CATALOGO CECO'!$A$2:$H$550,3,FALSE),""))</f>
        <v/>
      </c>
      <c r="I11" s="8">
        <f>IF(B11="","",IFERROR(VLOOKUP(--B11,'CATALOGO CECO'!$A$2:$H$550,5,FALSE),""))</f>
        <v/>
      </c>
      <c r="J11" s="8">
        <f>IF(B11="","",IFERROR(VLOOKUP(--B11,'CATALOGO CECO'!$A$2:$H$550,8,FALSE),""))</f>
        <v/>
      </c>
      <c r="K11" s="8">
        <f>IF(COUNTA(A11:F11)=0,"",IF(OR(LEN(A11)&lt;&gt;7,MID(A11,5,1)&lt;&gt;"-",ISERROR(--LEFT(A11,4)),ISERROR(--RIGHT(A11,2))),"ERROR: PERIODO debe ser AAAA-MM",IF(B11="","ERROR: falta CODIGO CECO",IF(G11="CECO NO EXISTE","ERROR: CECO no existe en el catálogo",IF(C11="","ERROR: falta CUENTA",IF(ISERROR(--C11),"ERROR: CUENTA debe tener solo dígitos",IF(ISERROR(FIND(LEFT(C11,1),"567")),"ERROR: CUENTA fuera de las clases de costo",IF(NOT(ISNUMBER(E11)),"ERROR: VALOR debe ser numérico",IF(E11=0,"AVISO: valor cero (no se carga)",IF(J11&lt;&gt;"ACTIVO","NO SE CARGA: CECO en estado "&amp;J11,"OK"))))))))))</f>
        <v/>
      </c>
    </row>
    <row r="12">
      <c r="A12" s="5" t="n"/>
      <c r="B12" s="6" t="n"/>
      <c r="C12" s="5" t="n"/>
      <c r="D12" s="6" t="n"/>
      <c r="E12" s="7" t="n"/>
      <c r="F12" s="6" t="n"/>
      <c r="G12" s="8">
        <f>IF(B12="","",IFERROR(VLOOKUP(--B12,'CATALOGO CECO'!$A$2:$H$550,2,FALSE),"CECO NO EXISTE"))</f>
        <v/>
      </c>
      <c r="H12" s="8">
        <f>IF(B12="","",IFERROR(VLOOKUP(--B12,'CATALOGO CECO'!$A$2:$H$550,3,FALSE),""))</f>
        <v/>
      </c>
      <c r="I12" s="8">
        <f>IF(B12="","",IFERROR(VLOOKUP(--B12,'CATALOGO CECO'!$A$2:$H$550,5,FALSE),""))</f>
        <v/>
      </c>
      <c r="J12" s="8">
        <f>IF(B12="","",IFERROR(VLOOKUP(--B12,'CATALOGO CECO'!$A$2:$H$550,8,FALSE),""))</f>
        <v/>
      </c>
      <c r="K12" s="8">
        <f>IF(COUNTA(A12:F12)=0,"",IF(OR(LEN(A12)&lt;&gt;7,MID(A12,5,1)&lt;&gt;"-",ISERROR(--LEFT(A12,4)),ISERROR(--RIGHT(A12,2))),"ERROR: PERIODO debe ser AAAA-MM",IF(B12="","ERROR: falta CODIGO CECO",IF(G12="CECO NO EXISTE","ERROR: CECO no existe en el catálogo",IF(C12="","ERROR: falta CUENTA",IF(ISERROR(--C12),"ERROR: CUENTA debe tener solo dígitos",IF(ISERROR(FIND(LEFT(C12,1),"567")),"ERROR: CUENTA fuera de las clases de costo",IF(NOT(ISNUMBER(E12)),"ERROR: VALOR debe ser numérico",IF(E12=0,"AVISO: valor cero (no se carga)",IF(J12&lt;&gt;"ACTIVO","NO SE CARGA: CECO en estado "&amp;J12,"OK"))))))))))</f>
        <v/>
      </c>
    </row>
    <row r="13">
      <c r="A13" s="5" t="n"/>
      <c r="B13" s="6" t="n"/>
      <c r="C13" s="5" t="n"/>
      <c r="D13" s="6" t="n"/>
      <c r="E13" s="7" t="n"/>
      <c r="F13" s="6" t="n"/>
      <c r="G13" s="8">
        <f>IF(B13="","",IFERROR(VLOOKUP(--B13,'CATALOGO CECO'!$A$2:$H$550,2,FALSE),"CECO NO EXISTE"))</f>
        <v/>
      </c>
      <c r="H13" s="8">
        <f>IF(B13="","",IFERROR(VLOOKUP(--B13,'CATALOGO CECO'!$A$2:$H$550,3,FALSE),""))</f>
        <v/>
      </c>
      <c r="I13" s="8">
        <f>IF(B13="","",IFERROR(VLOOKUP(--B13,'CATALOGO CECO'!$A$2:$H$550,5,FALSE),""))</f>
        <v/>
      </c>
      <c r="J13" s="8">
        <f>IF(B13="","",IFERROR(VLOOKUP(--B13,'CATALOGO CECO'!$A$2:$H$550,8,FALSE),""))</f>
        <v/>
      </c>
      <c r="K13" s="8">
        <f>IF(COUNTA(A13:F13)=0,"",IF(OR(LEN(A13)&lt;&gt;7,MID(A13,5,1)&lt;&gt;"-",ISERROR(--LEFT(A13,4)),ISERROR(--RIGHT(A13,2))),"ERROR: PERIODO debe ser AAAA-MM",IF(B13="","ERROR: falta CODIGO CECO",IF(G13="CECO NO EXISTE","ERROR: CECO no existe en el catálogo",IF(C13="","ERROR: falta CUENTA",IF(ISERROR(--C13),"ERROR: CUENTA debe tener solo dígitos",IF(ISERROR(FIND(LEFT(C13,1),"567")),"ERROR: CUENTA fuera de las clases de costo",IF(NOT(ISNUMBER(E13)),"ERROR: VALOR debe ser numérico",IF(E13=0,"AVISO: valor cero (no se carga)",IF(J13&lt;&gt;"ACTIVO","NO SE CARGA: CECO en estado "&amp;J13,"OK"))))))))))</f>
        <v/>
      </c>
    </row>
    <row r="14">
      <c r="A14" s="5" t="n"/>
      <c r="B14" s="6" t="n"/>
      <c r="C14" s="5" t="n"/>
      <c r="D14" s="6" t="n"/>
      <c r="E14" s="7" t="n"/>
      <c r="F14" s="6" t="n"/>
      <c r="G14" s="8">
        <f>IF(B14="","",IFERROR(VLOOKUP(--B14,'CATALOGO CECO'!$A$2:$H$550,2,FALSE),"CECO NO EXISTE"))</f>
        <v/>
      </c>
      <c r="H14" s="8">
        <f>IF(B14="","",IFERROR(VLOOKUP(--B14,'CATALOGO CECO'!$A$2:$H$550,3,FALSE),""))</f>
        <v/>
      </c>
      <c r="I14" s="8">
        <f>IF(B14="","",IFERROR(VLOOKUP(--B14,'CATALOGO CECO'!$A$2:$H$550,5,FALSE),""))</f>
        <v/>
      </c>
      <c r="J14" s="8">
        <f>IF(B14="","",IFERROR(VLOOKUP(--B14,'CATALOGO CECO'!$A$2:$H$550,8,FALSE),""))</f>
        <v/>
      </c>
      <c r="K14" s="8">
        <f>IF(COUNTA(A14:F14)=0,"",IF(OR(LEN(A14)&lt;&gt;7,MID(A14,5,1)&lt;&gt;"-",ISERROR(--LEFT(A14,4)),ISERROR(--RIGHT(A14,2))),"ERROR: PERIODO debe ser AAAA-MM",IF(B14="","ERROR: falta CODIGO CECO",IF(G14="CECO NO EXISTE","ERROR: CECO no existe en el catálogo",IF(C14="","ERROR: falta CUENTA",IF(ISERROR(--C14),"ERROR: CUENTA debe tener solo dígitos",IF(ISERROR(FIND(LEFT(C14,1),"567")),"ERROR: CUENTA fuera de las clases de costo",IF(NOT(ISNUMBER(E14)),"ERROR: VALOR debe ser numérico",IF(E14=0,"AVISO: valor cero (no se carga)",IF(J14&lt;&gt;"ACTIVO","NO SE CARGA: CECO en estado "&amp;J14,"OK"))))))))))</f>
        <v/>
      </c>
    </row>
    <row r="15">
      <c r="A15" s="5" t="n"/>
      <c r="B15" s="6" t="n"/>
      <c r="C15" s="5" t="n"/>
      <c r="D15" s="6" t="n"/>
      <c r="E15" s="7" t="n"/>
      <c r="F15" s="6" t="n"/>
      <c r="G15" s="8">
        <f>IF(B15="","",IFERROR(VLOOKUP(--B15,'CATALOGO CECO'!$A$2:$H$550,2,FALSE),"CECO NO EXISTE"))</f>
        <v/>
      </c>
      <c r="H15" s="8">
        <f>IF(B15="","",IFERROR(VLOOKUP(--B15,'CATALOGO CECO'!$A$2:$H$550,3,FALSE),""))</f>
        <v/>
      </c>
      <c r="I15" s="8">
        <f>IF(B15="","",IFERROR(VLOOKUP(--B15,'CATALOGO CECO'!$A$2:$H$550,5,FALSE),""))</f>
        <v/>
      </c>
      <c r="J15" s="8">
        <f>IF(B15="","",IFERROR(VLOOKUP(--B15,'CATALOGO CECO'!$A$2:$H$550,8,FALSE),""))</f>
        <v/>
      </c>
      <c r="K15" s="8">
        <f>IF(COUNTA(A15:F15)=0,"",IF(OR(LEN(A15)&lt;&gt;7,MID(A15,5,1)&lt;&gt;"-",ISERROR(--LEFT(A15,4)),ISERROR(--RIGHT(A15,2))),"ERROR: PERIODO debe ser AAAA-MM",IF(B15="","ERROR: falta CODIGO CECO",IF(G15="CECO NO EXISTE","ERROR: CECO no existe en el catálogo",IF(C15="","ERROR: falta CUENTA",IF(ISERROR(--C15),"ERROR: CUENTA debe tener solo dígitos",IF(ISERROR(FIND(LEFT(C15,1),"567")),"ERROR: CUENTA fuera de las clases de costo",IF(NOT(ISNUMBER(E15)),"ERROR: VALOR debe ser numérico",IF(E15=0,"AVISO: valor cero (no se carga)",IF(J15&lt;&gt;"ACTIVO","NO SE CARGA: CECO en estado "&amp;J15,"OK"))))))))))</f>
        <v/>
      </c>
    </row>
    <row r="16">
      <c r="A16" s="5" t="n"/>
      <c r="B16" s="6" t="n"/>
      <c r="C16" s="5" t="n"/>
      <c r="D16" s="6" t="n"/>
      <c r="E16" s="7" t="n"/>
      <c r="F16" s="6" t="n"/>
      <c r="G16" s="8">
        <f>IF(B16="","",IFERROR(VLOOKUP(--B16,'CATALOGO CECO'!$A$2:$H$550,2,FALSE),"CECO NO EXISTE"))</f>
        <v/>
      </c>
      <c r="H16" s="8">
        <f>IF(B16="","",IFERROR(VLOOKUP(--B16,'CATALOGO CECO'!$A$2:$H$550,3,FALSE),""))</f>
        <v/>
      </c>
      <c r="I16" s="8">
        <f>IF(B16="","",IFERROR(VLOOKUP(--B16,'CATALOGO CECO'!$A$2:$H$550,5,FALSE),""))</f>
        <v/>
      </c>
      <c r="J16" s="8">
        <f>IF(B16="","",IFERROR(VLOOKUP(--B16,'CATALOGO CECO'!$A$2:$H$550,8,FALSE),""))</f>
        <v/>
      </c>
      <c r="K16" s="8">
        <f>IF(COUNTA(A16:F16)=0,"",IF(OR(LEN(A16)&lt;&gt;7,MID(A16,5,1)&lt;&gt;"-",ISERROR(--LEFT(A16,4)),ISERROR(--RIGHT(A16,2))),"ERROR: PERIODO debe ser AAAA-MM",IF(B16="","ERROR: falta CODIGO CECO",IF(G16="CECO NO EXISTE","ERROR: CECO no existe en el catálogo",IF(C16="","ERROR: falta CUENTA",IF(ISERROR(--C16),"ERROR: CUENTA debe tener solo dígitos",IF(ISERROR(FIND(LEFT(C16,1),"567")),"ERROR: CUENTA fuera de las clases de costo",IF(NOT(ISNUMBER(E16)),"ERROR: VALOR debe ser numérico",IF(E16=0,"AVISO: valor cero (no se carga)",IF(J16&lt;&gt;"ACTIVO","NO SE CARGA: CECO en estado "&amp;J16,"OK"))))))))))</f>
        <v/>
      </c>
    </row>
    <row r="17">
      <c r="A17" s="5" t="n"/>
      <c r="B17" s="6" t="n"/>
      <c r="C17" s="5" t="n"/>
      <c r="D17" s="6" t="n"/>
      <c r="E17" s="7" t="n"/>
      <c r="F17" s="6" t="n"/>
      <c r="G17" s="8">
        <f>IF(B17="","",IFERROR(VLOOKUP(--B17,'CATALOGO CECO'!$A$2:$H$550,2,FALSE),"CECO NO EXISTE"))</f>
        <v/>
      </c>
      <c r="H17" s="8">
        <f>IF(B17="","",IFERROR(VLOOKUP(--B17,'CATALOGO CECO'!$A$2:$H$550,3,FALSE),""))</f>
        <v/>
      </c>
      <c r="I17" s="8">
        <f>IF(B17="","",IFERROR(VLOOKUP(--B17,'CATALOGO CECO'!$A$2:$H$550,5,FALSE),""))</f>
        <v/>
      </c>
      <c r="J17" s="8">
        <f>IF(B17="","",IFERROR(VLOOKUP(--B17,'CATALOGO CECO'!$A$2:$H$550,8,FALSE),""))</f>
        <v/>
      </c>
      <c r="K17" s="8">
        <f>IF(COUNTA(A17:F17)=0,"",IF(OR(LEN(A17)&lt;&gt;7,MID(A17,5,1)&lt;&gt;"-",ISERROR(--LEFT(A17,4)),ISERROR(--RIGHT(A17,2))),"ERROR: PERIODO debe ser AAAA-MM",IF(B17="","ERROR: falta CODIGO CECO",IF(G17="CECO NO EXISTE","ERROR: CECO no existe en el catálogo",IF(C17="","ERROR: falta CUENTA",IF(ISERROR(--C17),"ERROR: CUENTA debe tener solo dígitos",IF(ISERROR(FIND(LEFT(C17,1),"567")),"ERROR: CUENTA fuera de las clases de costo",IF(NOT(ISNUMBER(E17)),"ERROR: VALOR debe ser numérico",IF(E17=0,"AVISO: valor cero (no se carga)",IF(J17&lt;&gt;"ACTIVO","NO SE CARGA: CECO en estado "&amp;J17,"OK"))))))))))</f>
        <v/>
      </c>
    </row>
    <row r="18">
      <c r="A18" s="5" t="n"/>
      <c r="B18" s="6" t="n"/>
      <c r="C18" s="5" t="n"/>
      <c r="D18" s="6" t="n"/>
      <c r="E18" s="7" t="n"/>
      <c r="F18" s="6" t="n"/>
      <c r="G18" s="8">
        <f>IF(B18="","",IFERROR(VLOOKUP(--B18,'CATALOGO CECO'!$A$2:$H$550,2,FALSE),"CECO NO EXISTE"))</f>
        <v/>
      </c>
      <c r="H18" s="8">
        <f>IF(B18="","",IFERROR(VLOOKUP(--B18,'CATALOGO CECO'!$A$2:$H$550,3,FALSE),""))</f>
        <v/>
      </c>
      <c r="I18" s="8">
        <f>IF(B18="","",IFERROR(VLOOKUP(--B18,'CATALOGO CECO'!$A$2:$H$550,5,FALSE),""))</f>
        <v/>
      </c>
      <c r="J18" s="8">
        <f>IF(B18="","",IFERROR(VLOOKUP(--B18,'CATALOGO CECO'!$A$2:$H$550,8,FALSE),""))</f>
        <v/>
      </c>
      <c r="K18" s="8">
        <f>IF(COUNTA(A18:F18)=0,"",IF(OR(LEN(A18)&lt;&gt;7,MID(A18,5,1)&lt;&gt;"-",ISERROR(--LEFT(A18,4)),ISERROR(--RIGHT(A18,2))),"ERROR: PERIODO debe ser AAAA-MM",IF(B18="","ERROR: falta CODIGO CECO",IF(G18="CECO NO EXISTE","ERROR: CECO no existe en el catálogo",IF(C18="","ERROR: falta CUENTA",IF(ISERROR(--C18),"ERROR: CUENTA debe tener solo dígitos",IF(ISERROR(FIND(LEFT(C18,1),"567")),"ERROR: CUENTA fuera de las clases de costo",IF(NOT(ISNUMBER(E18)),"ERROR: VALOR debe ser numérico",IF(E18=0,"AVISO: valor cero (no se carga)",IF(J18&lt;&gt;"ACTIVO","NO SE CARGA: CECO en estado "&amp;J18,"OK"))))))))))</f>
        <v/>
      </c>
    </row>
    <row r="19">
      <c r="A19" s="5" t="n"/>
      <c r="B19" s="6" t="n"/>
      <c r="C19" s="5" t="n"/>
      <c r="D19" s="6" t="n"/>
      <c r="E19" s="7" t="n"/>
      <c r="F19" s="6" t="n"/>
      <c r="G19" s="8">
        <f>IF(B19="","",IFERROR(VLOOKUP(--B19,'CATALOGO CECO'!$A$2:$H$550,2,FALSE),"CECO NO EXISTE"))</f>
        <v/>
      </c>
      <c r="H19" s="8">
        <f>IF(B19="","",IFERROR(VLOOKUP(--B19,'CATALOGO CECO'!$A$2:$H$550,3,FALSE),""))</f>
        <v/>
      </c>
      <c r="I19" s="8">
        <f>IF(B19="","",IFERROR(VLOOKUP(--B19,'CATALOGO CECO'!$A$2:$H$550,5,FALSE),""))</f>
        <v/>
      </c>
      <c r="J19" s="8">
        <f>IF(B19="","",IFERROR(VLOOKUP(--B19,'CATALOGO CECO'!$A$2:$H$550,8,FALSE),""))</f>
        <v/>
      </c>
      <c r="K19" s="8">
        <f>IF(COUNTA(A19:F19)=0,"",IF(OR(LEN(A19)&lt;&gt;7,MID(A19,5,1)&lt;&gt;"-",ISERROR(--LEFT(A19,4)),ISERROR(--RIGHT(A19,2))),"ERROR: PERIODO debe ser AAAA-MM",IF(B19="","ERROR: falta CODIGO CECO",IF(G19="CECO NO EXISTE","ERROR: CECO no existe en el catálogo",IF(C19="","ERROR: falta CUENTA",IF(ISERROR(--C19),"ERROR: CUENTA debe tener solo dígitos",IF(ISERROR(FIND(LEFT(C19,1),"567")),"ERROR: CUENTA fuera de las clases de costo",IF(NOT(ISNUMBER(E19)),"ERROR: VALOR debe ser numérico",IF(E19=0,"AVISO: valor cero (no se carga)",IF(J19&lt;&gt;"ACTIVO","NO SE CARGA: CECO en estado "&amp;J19,"OK"))))))))))</f>
        <v/>
      </c>
    </row>
    <row r="20">
      <c r="A20" s="5" t="n"/>
      <c r="B20" s="6" t="n"/>
      <c r="C20" s="5" t="n"/>
      <c r="D20" s="6" t="n"/>
      <c r="E20" s="7" t="n"/>
      <c r="F20" s="6" t="n"/>
      <c r="G20" s="8">
        <f>IF(B20="","",IFERROR(VLOOKUP(--B20,'CATALOGO CECO'!$A$2:$H$550,2,FALSE),"CECO NO EXISTE"))</f>
        <v/>
      </c>
      <c r="H20" s="8">
        <f>IF(B20="","",IFERROR(VLOOKUP(--B20,'CATALOGO CECO'!$A$2:$H$550,3,FALSE),""))</f>
        <v/>
      </c>
      <c r="I20" s="8">
        <f>IF(B20="","",IFERROR(VLOOKUP(--B20,'CATALOGO CECO'!$A$2:$H$550,5,FALSE),""))</f>
        <v/>
      </c>
      <c r="J20" s="8">
        <f>IF(B20="","",IFERROR(VLOOKUP(--B20,'CATALOGO CECO'!$A$2:$H$550,8,FALSE),""))</f>
        <v/>
      </c>
      <c r="K20" s="8">
        <f>IF(COUNTA(A20:F20)=0,"",IF(OR(LEN(A20)&lt;&gt;7,MID(A20,5,1)&lt;&gt;"-",ISERROR(--LEFT(A20,4)),ISERROR(--RIGHT(A20,2))),"ERROR: PERIODO debe ser AAAA-MM",IF(B20="","ERROR: falta CODIGO CECO",IF(G20="CECO NO EXISTE","ERROR: CECO no existe en el catálogo",IF(C20="","ERROR: falta CUENTA",IF(ISERROR(--C20),"ERROR: CUENTA debe tener solo dígitos",IF(ISERROR(FIND(LEFT(C20,1),"567")),"ERROR: CUENTA fuera de las clases de costo",IF(NOT(ISNUMBER(E20)),"ERROR: VALOR debe ser numérico",IF(E20=0,"AVISO: valor cero (no se carga)",IF(J20&lt;&gt;"ACTIVO","NO SE CARGA: CECO en estado "&amp;J20,"OK"))))))))))</f>
        <v/>
      </c>
    </row>
    <row r="21">
      <c r="A21" s="5" t="n"/>
      <c r="B21" s="6" t="n"/>
      <c r="C21" s="5" t="n"/>
      <c r="D21" s="6" t="n"/>
      <c r="E21" s="7" t="n"/>
      <c r="F21" s="6" t="n"/>
      <c r="G21" s="8">
        <f>IF(B21="","",IFERROR(VLOOKUP(--B21,'CATALOGO CECO'!$A$2:$H$550,2,FALSE),"CECO NO EXISTE"))</f>
        <v/>
      </c>
      <c r="H21" s="8">
        <f>IF(B21="","",IFERROR(VLOOKUP(--B21,'CATALOGO CECO'!$A$2:$H$550,3,FALSE),""))</f>
        <v/>
      </c>
      <c r="I21" s="8">
        <f>IF(B21="","",IFERROR(VLOOKUP(--B21,'CATALOGO CECO'!$A$2:$H$550,5,FALSE),""))</f>
        <v/>
      </c>
      <c r="J21" s="8">
        <f>IF(B21="","",IFERROR(VLOOKUP(--B21,'CATALOGO CECO'!$A$2:$H$550,8,FALSE),""))</f>
        <v/>
      </c>
      <c r="K21" s="8">
        <f>IF(COUNTA(A21:F21)=0,"",IF(OR(LEN(A21)&lt;&gt;7,MID(A21,5,1)&lt;&gt;"-",ISERROR(--LEFT(A21,4)),ISERROR(--RIGHT(A21,2))),"ERROR: PERIODO debe ser AAAA-MM",IF(B21="","ERROR: falta CODIGO CECO",IF(G21="CECO NO EXISTE","ERROR: CECO no existe en el catálogo",IF(C21="","ERROR: falta CUENTA",IF(ISERROR(--C21),"ERROR: CUENTA debe tener solo dígitos",IF(ISERROR(FIND(LEFT(C21,1),"567")),"ERROR: CUENTA fuera de las clases de costo",IF(NOT(ISNUMBER(E21)),"ERROR: VALOR debe ser numérico",IF(E21=0,"AVISO: valor cero (no se carga)",IF(J21&lt;&gt;"ACTIVO","NO SE CARGA: CECO en estado "&amp;J21,"OK"))))))))))</f>
        <v/>
      </c>
    </row>
    <row r="22">
      <c r="A22" s="5" t="n"/>
      <c r="B22" s="6" t="n"/>
      <c r="C22" s="5" t="n"/>
      <c r="D22" s="6" t="n"/>
      <c r="E22" s="7" t="n"/>
      <c r="F22" s="6" t="n"/>
      <c r="G22" s="8">
        <f>IF(B22="","",IFERROR(VLOOKUP(--B22,'CATALOGO CECO'!$A$2:$H$550,2,FALSE),"CECO NO EXISTE"))</f>
        <v/>
      </c>
      <c r="H22" s="8">
        <f>IF(B22="","",IFERROR(VLOOKUP(--B22,'CATALOGO CECO'!$A$2:$H$550,3,FALSE),""))</f>
        <v/>
      </c>
      <c r="I22" s="8">
        <f>IF(B22="","",IFERROR(VLOOKUP(--B22,'CATALOGO CECO'!$A$2:$H$550,5,FALSE),""))</f>
        <v/>
      </c>
      <c r="J22" s="8">
        <f>IF(B22="","",IFERROR(VLOOKUP(--B22,'CATALOGO CECO'!$A$2:$H$550,8,FALSE),""))</f>
        <v/>
      </c>
      <c r="K22" s="8">
        <f>IF(COUNTA(A22:F22)=0,"",IF(OR(LEN(A22)&lt;&gt;7,MID(A22,5,1)&lt;&gt;"-",ISERROR(--LEFT(A22,4)),ISERROR(--RIGHT(A22,2))),"ERROR: PERIODO debe ser AAAA-MM",IF(B22="","ERROR: falta CODIGO CECO",IF(G22="CECO NO EXISTE","ERROR: CECO no existe en el catálogo",IF(C22="","ERROR: falta CUENTA",IF(ISERROR(--C22),"ERROR: CUENTA debe tener solo dígitos",IF(ISERROR(FIND(LEFT(C22,1),"567")),"ERROR: CUENTA fuera de las clases de costo",IF(NOT(ISNUMBER(E22)),"ERROR: VALOR debe ser numérico",IF(E22=0,"AVISO: valor cero (no se carga)",IF(J22&lt;&gt;"ACTIVO","NO SE CARGA: CECO en estado "&amp;J22,"OK"))))))))))</f>
        <v/>
      </c>
    </row>
    <row r="23">
      <c r="A23" s="5" t="n"/>
      <c r="B23" s="6" t="n"/>
      <c r="C23" s="5" t="n"/>
      <c r="D23" s="6" t="n"/>
      <c r="E23" s="7" t="n"/>
      <c r="F23" s="6" t="n"/>
      <c r="G23" s="8">
        <f>IF(B23="","",IFERROR(VLOOKUP(--B23,'CATALOGO CECO'!$A$2:$H$550,2,FALSE),"CECO NO EXISTE"))</f>
        <v/>
      </c>
      <c r="H23" s="8">
        <f>IF(B23="","",IFERROR(VLOOKUP(--B23,'CATALOGO CECO'!$A$2:$H$550,3,FALSE),""))</f>
        <v/>
      </c>
      <c r="I23" s="8">
        <f>IF(B23="","",IFERROR(VLOOKUP(--B23,'CATALOGO CECO'!$A$2:$H$550,5,FALSE),""))</f>
        <v/>
      </c>
      <c r="J23" s="8">
        <f>IF(B23="","",IFERROR(VLOOKUP(--B23,'CATALOGO CECO'!$A$2:$H$550,8,FALSE),""))</f>
        <v/>
      </c>
      <c r="K23" s="8">
        <f>IF(COUNTA(A23:F23)=0,"",IF(OR(LEN(A23)&lt;&gt;7,MID(A23,5,1)&lt;&gt;"-",ISERROR(--LEFT(A23,4)),ISERROR(--RIGHT(A23,2))),"ERROR: PERIODO debe ser AAAA-MM",IF(B23="","ERROR: falta CODIGO CECO",IF(G23="CECO NO EXISTE","ERROR: CECO no existe en el catálogo",IF(C23="","ERROR: falta CUENTA",IF(ISERROR(--C23),"ERROR: CUENTA debe tener solo dígitos",IF(ISERROR(FIND(LEFT(C23,1),"567")),"ERROR: CUENTA fuera de las clases de costo",IF(NOT(ISNUMBER(E23)),"ERROR: VALOR debe ser numérico",IF(E23=0,"AVISO: valor cero (no se carga)",IF(J23&lt;&gt;"ACTIVO","NO SE CARGA: CECO en estado "&amp;J23,"OK"))))))))))</f>
        <v/>
      </c>
    </row>
    <row r="24">
      <c r="A24" s="5" t="n"/>
      <c r="B24" s="6" t="n"/>
      <c r="C24" s="5" t="n"/>
      <c r="D24" s="6" t="n"/>
      <c r="E24" s="7" t="n"/>
      <c r="F24" s="6" t="n"/>
      <c r="G24" s="8">
        <f>IF(B24="","",IFERROR(VLOOKUP(--B24,'CATALOGO CECO'!$A$2:$H$550,2,FALSE),"CECO NO EXISTE"))</f>
        <v/>
      </c>
      <c r="H24" s="8">
        <f>IF(B24="","",IFERROR(VLOOKUP(--B24,'CATALOGO CECO'!$A$2:$H$550,3,FALSE),""))</f>
        <v/>
      </c>
      <c r="I24" s="8">
        <f>IF(B24="","",IFERROR(VLOOKUP(--B24,'CATALOGO CECO'!$A$2:$H$550,5,FALSE),""))</f>
        <v/>
      </c>
      <c r="J24" s="8">
        <f>IF(B24="","",IFERROR(VLOOKUP(--B24,'CATALOGO CECO'!$A$2:$H$550,8,FALSE),""))</f>
        <v/>
      </c>
      <c r="K24" s="8">
        <f>IF(COUNTA(A24:F24)=0,"",IF(OR(LEN(A24)&lt;&gt;7,MID(A24,5,1)&lt;&gt;"-",ISERROR(--LEFT(A24,4)),ISERROR(--RIGHT(A24,2))),"ERROR: PERIODO debe ser AAAA-MM",IF(B24="","ERROR: falta CODIGO CECO",IF(G24="CECO NO EXISTE","ERROR: CECO no existe en el catálogo",IF(C24="","ERROR: falta CUENTA",IF(ISERROR(--C24),"ERROR: CUENTA debe tener solo dígitos",IF(ISERROR(FIND(LEFT(C24,1),"567")),"ERROR: CUENTA fuera de las clases de costo",IF(NOT(ISNUMBER(E24)),"ERROR: VALOR debe ser numérico",IF(E24=0,"AVISO: valor cero (no se carga)",IF(J24&lt;&gt;"ACTIVO","NO SE CARGA: CECO en estado "&amp;J24,"OK"))))))))))</f>
        <v/>
      </c>
    </row>
    <row r="25">
      <c r="A25" s="5" t="n"/>
      <c r="B25" s="6" t="n"/>
      <c r="C25" s="5" t="n"/>
      <c r="D25" s="6" t="n"/>
      <c r="E25" s="7" t="n"/>
      <c r="F25" s="6" t="n"/>
      <c r="G25" s="8">
        <f>IF(B25="","",IFERROR(VLOOKUP(--B25,'CATALOGO CECO'!$A$2:$H$550,2,FALSE),"CECO NO EXISTE"))</f>
        <v/>
      </c>
      <c r="H25" s="8">
        <f>IF(B25="","",IFERROR(VLOOKUP(--B25,'CATALOGO CECO'!$A$2:$H$550,3,FALSE),""))</f>
        <v/>
      </c>
      <c r="I25" s="8">
        <f>IF(B25="","",IFERROR(VLOOKUP(--B25,'CATALOGO CECO'!$A$2:$H$550,5,FALSE),""))</f>
        <v/>
      </c>
      <c r="J25" s="8">
        <f>IF(B25="","",IFERROR(VLOOKUP(--B25,'CATALOGO CECO'!$A$2:$H$550,8,FALSE),""))</f>
        <v/>
      </c>
      <c r="K25" s="8">
        <f>IF(COUNTA(A25:F25)=0,"",IF(OR(LEN(A25)&lt;&gt;7,MID(A25,5,1)&lt;&gt;"-",ISERROR(--LEFT(A25,4)),ISERROR(--RIGHT(A25,2))),"ERROR: PERIODO debe ser AAAA-MM",IF(B25="","ERROR: falta CODIGO CECO",IF(G25="CECO NO EXISTE","ERROR: CECO no existe en el catálogo",IF(C25="","ERROR: falta CUENTA",IF(ISERROR(--C25),"ERROR: CUENTA debe tener solo dígitos",IF(ISERROR(FIND(LEFT(C25,1),"567")),"ERROR: CUENTA fuera de las clases de costo",IF(NOT(ISNUMBER(E25)),"ERROR: VALOR debe ser numérico",IF(E25=0,"AVISO: valor cero (no se carga)",IF(J25&lt;&gt;"ACTIVO","NO SE CARGA: CECO en estado "&amp;J25,"OK"))))))))))</f>
        <v/>
      </c>
    </row>
    <row r="26">
      <c r="A26" s="5" t="n"/>
      <c r="B26" s="6" t="n"/>
      <c r="C26" s="5" t="n"/>
      <c r="D26" s="6" t="n"/>
      <c r="E26" s="7" t="n"/>
      <c r="F26" s="6" t="n"/>
      <c r="G26" s="8">
        <f>IF(B26="","",IFERROR(VLOOKUP(--B26,'CATALOGO CECO'!$A$2:$H$550,2,FALSE),"CECO NO EXISTE"))</f>
        <v/>
      </c>
      <c r="H26" s="8">
        <f>IF(B26="","",IFERROR(VLOOKUP(--B26,'CATALOGO CECO'!$A$2:$H$550,3,FALSE),""))</f>
        <v/>
      </c>
      <c r="I26" s="8">
        <f>IF(B26="","",IFERROR(VLOOKUP(--B26,'CATALOGO CECO'!$A$2:$H$550,5,FALSE),""))</f>
        <v/>
      </c>
      <c r="J26" s="8">
        <f>IF(B26="","",IFERROR(VLOOKUP(--B26,'CATALOGO CECO'!$A$2:$H$550,8,FALSE),""))</f>
        <v/>
      </c>
      <c r="K26" s="8">
        <f>IF(COUNTA(A26:F26)=0,"",IF(OR(LEN(A26)&lt;&gt;7,MID(A26,5,1)&lt;&gt;"-",ISERROR(--LEFT(A26,4)),ISERROR(--RIGHT(A26,2))),"ERROR: PERIODO debe ser AAAA-MM",IF(B26="","ERROR: falta CODIGO CECO",IF(G26="CECO NO EXISTE","ERROR: CECO no existe en el catálogo",IF(C26="","ERROR: falta CUENTA",IF(ISERROR(--C26),"ERROR: CUENTA debe tener solo dígitos",IF(ISERROR(FIND(LEFT(C26,1),"567")),"ERROR: CUENTA fuera de las clases de costo",IF(NOT(ISNUMBER(E26)),"ERROR: VALOR debe ser numérico",IF(E26=0,"AVISO: valor cero (no se carga)",IF(J26&lt;&gt;"ACTIVO","NO SE CARGA: CECO en estado "&amp;J26,"OK"))))))))))</f>
        <v/>
      </c>
    </row>
    <row r="27">
      <c r="A27" s="5" t="n"/>
      <c r="B27" s="6" t="n"/>
      <c r="C27" s="5" t="n"/>
      <c r="D27" s="6" t="n"/>
      <c r="E27" s="7" t="n"/>
      <c r="F27" s="6" t="n"/>
      <c r="G27" s="8">
        <f>IF(B27="","",IFERROR(VLOOKUP(--B27,'CATALOGO CECO'!$A$2:$H$550,2,FALSE),"CECO NO EXISTE"))</f>
        <v/>
      </c>
      <c r="H27" s="8">
        <f>IF(B27="","",IFERROR(VLOOKUP(--B27,'CATALOGO CECO'!$A$2:$H$550,3,FALSE),""))</f>
        <v/>
      </c>
      <c r="I27" s="8">
        <f>IF(B27="","",IFERROR(VLOOKUP(--B27,'CATALOGO CECO'!$A$2:$H$550,5,FALSE),""))</f>
        <v/>
      </c>
      <c r="J27" s="8">
        <f>IF(B27="","",IFERROR(VLOOKUP(--B27,'CATALOGO CECO'!$A$2:$H$550,8,FALSE),""))</f>
        <v/>
      </c>
      <c r="K27" s="8">
        <f>IF(COUNTA(A27:F27)=0,"",IF(OR(LEN(A27)&lt;&gt;7,MID(A27,5,1)&lt;&gt;"-",ISERROR(--LEFT(A27,4)),ISERROR(--RIGHT(A27,2))),"ERROR: PERIODO debe ser AAAA-MM",IF(B27="","ERROR: falta CODIGO CECO",IF(G27="CECO NO EXISTE","ERROR: CECO no existe en el catálogo",IF(C27="","ERROR: falta CUENTA",IF(ISERROR(--C27),"ERROR: CUENTA debe tener solo dígitos",IF(ISERROR(FIND(LEFT(C27,1),"567")),"ERROR: CUENTA fuera de las clases de costo",IF(NOT(ISNUMBER(E27)),"ERROR: VALOR debe ser numérico",IF(E27=0,"AVISO: valor cero (no se carga)",IF(J27&lt;&gt;"ACTIVO","NO SE CARGA: CECO en estado "&amp;J27,"OK"))))))))))</f>
        <v/>
      </c>
    </row>
    <row r="28">
      <c r="A28" s="5" t="n"/>
      <c r="B28" s="6" t="n"/>
      <c r="C28" s="5" t="n"/>
      <c r="D28" s="6" t="n"/>
      <c r="E28" s="7" t="n"/>
      <c r="F28" s="6" t="n"/>
      <c r="G28" s="8">
        <f>IF(B28="","",IFERROR(VLOOKUP(--B28,'CATALOGO CECO'!$A$2:$H$550,2,FALSE),"CECO NO EXISTE"))</f>
        <v/>
      </c>
      <c r="H28" s="8">
        <f>IF(B28="","",IFERROR(VLOOKUP(--B28,'CATALOGO CECO'!$A$2:$H$550,3,FALSE),""))</f>
        <v/>
      </c>
      <c r="I28" s="8">
        <f>IF(B28="","",IFERROR(VLOOKUP(--B28,'CATALOGO CECO'!$A$2:$H$550,5,FALSE),""))</f>
        <v/>
      </c>
      <c r="J28" s="8">
        <f>IF(B28="","",IFERROR(VLOOKUP(--B28,'CATALOGO CECO'!$A$2:$H$550,8,FALSE),""))</f>
        <v/>
      </c>
      <c r="K28" s="8">
        <f>IF(COUNTA(A28:F28)=0,"",IF(OR(LEN(A28)&lt;&gt;7,MID(A28,5,1)&lt;&gt;"-",ISERROR(--LEFT(A28,4)),ISERROR(--RIGHT(A28,2))),"ERROR: PERIODO debe ser AAAA-MM",IF(B28="","ERROR: falta CODIGO CECO",IF(G28="CECO NO EXISTE","ERROR: CECO no existe en el catálogo",IF(C28="","ERROR: falta CUENTA",IF(ISERROR(--C28),"ERROR: CUENTA debe tener solo dígitos",IF(ISERROR(FIND(LEFT(C28,1),"567")),"ERROR: CUENTA fuera de las clases de costo",IF(NOT(ISNUMBER(E28)),"ERROR: VALOR debe ser numérico",IF(E28=0,"AVISO: valor cero (no se carga)",IF(J28&lt;&gt;"ACTIVO","NO SE CARGA: CECO en estado "&amp;J28,"OK"))))))))))</f>
        <v/>
      </c>
    </row>
    <row r="29">
      <c r="A29" s="5" t="n"/>
      <c r="B29" s="6" t="n"/>
      <c r="C29" s="5" t="n"/>
      <c r="D29" s="6" t="n"/>
      <c r="E29" s="7" t="n"/>
      <c r="F29" s="6" t="n"/>
      <c r="G29" s="8">
        <f>IF(B29="","",IFERROR(VLOOKUP(--B29,'CATALOGO CECO'!$A$2:$H$550,2,FALSE),"CECO NO EXISTE"))</f>
        <v/>
      </c>
      <c r="H29" s="8">
        <f>IF(B29="","",IFERROR(VLOOKUP(--B29,'CATALOGO CECO'!$A$2:$H$550,3,FALSE),""))</f>
        <v/>
      </c>
      <c r="I29" s="8">
        <f>IF(B29="","",IFERROR(VLOOKUP(--B29,'CATALOGO CECO'!$A$2:$H$550,5,FALSE),""))</f>
        <v/>
      </c>
      <c r="J29" s="8">
        <f>IF(B29="","",IFERROR(VLOOKUP(--B29,'CATALOGO CECO'!$A$2:$H$550,8,FALSE),""))</f>
        <v/>
      </c>
      <c r="K29" s="8">
        <f>IF(COUNTA(A29:F29)=0,"",IF(OR(LEN(A29)&lt;&gt;7,MID(A29,5,1)&lt;&gt;"-",ISERROR(--LEFT(A29,4)),ISERROR(--RIGHT(A29,2))),"ERROR: PERIODO debe ser AAAA-MM",IF(B29="","ERROR: falta CODIGO CECO",IF(G29="CECO NO EXISTE","ERROR: CECO no existe en el catálogo",IF(C29="","ERROR: falta CUENTA",IF(ISERROR(--C29),"ERROR: CUENTA debe tener solo dígitos",IF(ISERROR(FIND(LEFT(C29,1),"567")),"ERROR: CUENTA fuera de las clases de costo",IF(NOT(ISNUMBER(E29)),"ERROR: VALOR debe ser numérico",IF(E29=0,"AVISO: valor cero (no se carga)",IF(J29&lt;&gt;"ACTIVO","NO SE CARGA: CECO en estado "&amp;J29,"OK"))))))))))</f>
        <v/>
      </c>
    </row>
    <row r="30">
      <c r="A30" s="5" t="n"/>
      <c r="B30" s="6" t="n"/>
      <c r="C30" s="5" t="n"/>
      <c r="D30" s="6" t="n"/>
      <c r="E30" s="7" t="n"/>
      <c r="F30" s="6" t="n"/>
      <c r="G30" s="8">
        <f>IF(B30="","",IFERROR(VLOOKUP(--B30,'CATALOGO CECO'!$A$2:$H$550,2,FALSE),"CECO NO EXISTE"))</f>
        <v/>
      </c>
      <c r="H30" s="8">
        <f>IF(B30="","",IFERROR(VLOOKUP(--B30,'CATALOGO CECO'!$A$2:$H$550,3,FALSE),""))</f>
        <v/>
      </c>
      <c r="I30" s="8">
        <f>IF(B30="","",IFERROR(VLOOKUP(--B30,'CATALOGO CECO'!$A$2:$H$550,5,FALSE),""))</f>
        <v/>
      </c>
      <c r="J30" s="8">
        <f>IF(B30="","",IFERROR(VLOOKUP(--B30,'CATALOGO CECO'!$A$2:$H$550,8,FALSE),""))</f>
        <v/>
      </c>
      <c r="K30" s="8">
        <f>IF(COUNTA(A30:F30)=0,"",IF(OR(LEN(A30)&lt;&gt;7,MID(A30,5,1)&lt;&gt;"-",ISERROR(--LEFT(A30,4)),ISERROR(--RIGHT(A30,2))),"ERROR: PERIODO debe ser AAAA-MM",IF(B30="","ERROR: falta CODIGO CECO",IF(G30="CECO NO EXISTE","ERROR: CECO no existe en el catálogo",IF(C30="","ERROR: falta CUENTA",IF(ISERROR(--C30),"ERROR: CUENTA debe tener solo dígitos",IF(ISERROR(FIND(LEFT(C30,1),"567")),"ERROR: CUENTA fuera de las clases de costo",IF(NOT(ISNUMBER(E30)),"ERROR: VALOR debe ser numérico",IF(E30=0,"AVISO: valor cero (no se carga)",IF(J30&lt;&gt;"ACTIVO","NO SE CARGA: CECO en estado "&amp;J30,"OK"))))))))))</f>
        <v/>
      </c>
    </row>
    <row r="31">
      <c r="A31" s="5" t="n"/>
      <c r="B31" s="6" t="n"/>
      <c r="C31" s="5" t="n"/>
      <c r="D31" s="6" t="n"/>
      <c r="E31" s="7" t="n"/>
      <c r="F31" s="6" t="n"/>
      <c r="G31" s="8">
        <f>IF(B31="","",IFERROR(VLOOKUP(--B31,'CATALOGO CECO'!$A$2:$H$550,2,FALSE),"CECO NO EXISTE"))</f>
        <v/>
      </c>
      <c r="H31" s="8">
        <f>IF(B31="","",IFERROR(VLOOKUP(--B31,'CATALOGO CECO'!$A$2:$H$550,3,FALSE),""))</f>
        <v/>
      </c>
      <c r="I31" s="8">
        <f>IF(B31="","",IFERROR(VLOOKUP(--B31,'CATALOGO CECO'!$A$2:$H$550,5,FALSE),""))</f>
        <v/>
      </c>
      <c r="J31" s="8">
        <f>IF(B31="","",IFERROR(VLOOKUP(--B31,'CATALOGO CECO'!$A$2:$H$550,8,FALSE),""))</f>
        <v/>
      </c>
      <c r="K31" s="8">
        <f>IF(COUNTA(A31:F31)=0,"",IF(OR(LEN(A31)&lt;&gt;7,MID(A31,5,1)&lt;&gt;"-",ISERROR(--LEFT(A31,4)),ISERROR(--RIGHT(A31,2))),"ERROR: PERIODO debe ser AAAA-MM",IF(B31="","ERROR: falta CODIGO CECO",IF(G31="CECO NO EXISTE","ERROR: CECO no existe en el catálogo",IF(C31="","ERROR: falta CUENTA",IF(ISERROR(--C31),"ERROR: CUENTA debe tener solo dígitos",IF(ISERROR(FIND(LEFT(C31,1),"567")),"ERROR: CUENTA fuera de las clases de costo",IF(NOT(ISNUMBER(E31)),"ERROR: VALOR debe ser numérico",IF(E31=0,"AVISO: valor cero (no se carga)",IF(J31&lt;&gt;"ACTIVO","NO SE CARGA: CECO en estado "&amp;J31,"OK"))))))))))</f>
        <v/>
      </c>
    </row>
    <row r="32">
      <c r="A32" s="5" t="n"/>
      <c r="B32" s="6" t="n"/>
      <c r="C32" s="5" t="n"/>
      <c r="D32" s="6" t="n"/>
      <c r="E32" s="7" t="n"/>
      <c r="F32" s="6" t="n"/>
      <c r="G32" s="8">
        <f>IF(B32="","",IFERROR(VLOOKUP(--B32,'CATALOGO CECO'!$A$2:$H$550,2,FALSE),"CECO NO EXISTE"))</f>
        <v/>
      </c>
      <c r="H32" s="8">
        <f>IF(B32="","",IFERROR(VLOOKUP(--B32,'CATALOGO CECO'!$A$2:$H$550,3,FALSE),""))</f>
        <v/>
      </c>
      <c r="I32" s="8">
        <f>IF(B32="","",IFERROR(VLOOKUP(--B32,'CATALOGO CECO'!$A$2:$H$550,5,FALSE),""))</f>
        <v/>
      </c>
      <c r="J32" s="8">
        <f>IF(B32="","",IFERROR(VLOOKUP(--B32,'CATALOGO CECO'!$A$2:$H$550,8,FALSE),""))</f>
        <v/>
      </c>
      <c r="K32" s="8">
        <f>IF(COUNTA(A32:F32)=0,"",IF(OR(LEN(A32)&lt;&gt;7,MID(A32,5,1)&lt;&gt;"-",ISERROR(--LEFT(A32,4)),ISERROR(--RIGHT(A32,2))),"ERROR: PERIODO debe ser AAAA-MM",IF(B32="","ERROR: falta CODIGO CECO",IF(G32="CECO NO EXISTE","ERROR: CECO no existe en el catálogo",IF(C32="","ERROR: falta CUENTA",IF(ISERROR(--C32),"ERROR: CUENTA debe tener solo dígitos",IF(ISERROR(FIND(LEFT(C32,1),"567")),"ERROR: CUENTA fuera de las clases de costo",IF(NOT(ISNUMBER(E32)),"ERROR: VALOR debe ser numérico",IF(E32=0,"AVISO: valor cero (no se carga)",IF(J32&lt;&gt;"ACTIVO","NO SE CARGA: CECO en estado "&amp;J32,"OK"))))))))))</f>
        <v/>
      </c>
    </row>
    <row r="33">
      <c r="A33" s="5" t="n"/>
      <c r="B33" s="6" t="n"/>
      <c r="C33" s="5" t="n"/>
      <c r="D33" s="6" t="n"/>
      <c r="E33" s="7" t="n"/>
      <c r="F33" s="6" t="n"/>
      <c r="G33" s="8">
        <f>IF(B33="","",IFERROR(VLOOKUP(--B33,'CATALOGO CECO'!$A$2:$H$550,2,FALSE),"CECO NO EXISTE"))</f>
        <v/>
      </c>
      <c r="H33" s="8">
        <f>IF(B33="","",IFERROR(VLOOKUP(--B33,'CATALOGO CECO'!$A$2:$H$550,3,FALSE),""))</f>
        <v/>
      </c>
      <c r="I33" s="8">
        <f>IF(B33="","",IFERROR(VLOOKUP(--B33,'CATALOGO CECO'!$A$2:$H$550,5,FALSE),""))</f>
        <v/>
      </c>
      <c r="J33" s="8">
        <f>IF(B33="","",IFERROR(VLOOKUP(--B33,'CATALOGO CECO'!$A$2:$H$550,8,FALSE),""))</f>
        <v/>
      </c>
      <c r="K33" s="8">
        <f>IF(COUNTA(A33:F33)=0,"",IF(OR(LEN(A33)&lt;&gt;7,MID(A33,5,1)&lt;&gt;"-",ISERROR(--LEFT(A33,4)),ISERROR(--RIGHT(A33,2))),"ERROR: PERIODO debe ser AAAA-MM",IF(B33="","ERROR: falta CODIGO CECO",IF(G33="CECO NO EXISTE","ERROR: CECO no existe en el catálogo",IF(C33="","ERROR: falta CUENTA",IF(ISERROR(--C33),"ERROR: CUENTA debe tener solo dígitos",IF(ISERROR(FIND(LEFT(C33,1),"567")),"ERROR: CUENTA fuera de las clases de costo",IF(NOT(ISNUMBER(E33)),"ERROR: VALOR debe ser numérico",IF(E33=0,"AVISO: valor cero (no se carga)",IF(J33&lt;&gt;"ACTIVO","NO SE CARGA: CECO en estado "&amp;J33,"OK"))))))))))</f>
        <v/>
      </c>
    </row>
    <row r="34">
      <c r="A34" s="5" t="n"/>
      <c r="B34" s="6" t="n"/>
      <c r="C34" s="5" t="n"/>
      <c r="D34" s="6" t="n"/>
      <c r="E34" s="7" t="n"/>
      <c r="F34" s="6" t="n"/>
      <c r="G34" s="8">
        <f>IF(B34="","",IFERROR(VLOOKUP(--B34,'CATALOGO CECO'!$A$2:$H$550,2,FALSE),"CECO NO EXISTE"))</f>
        <v/>
      </c>
      <c r="H34" s="8">
        <f>IF(B34="","",IFERROR(VLOOKUP(--B34,'CATALOGO CECO'!$A$2:$H$550,3,FALSE),""))</f>
        <v/>
      </c>
      <c r="I34" s="8">
        <f>IF(B34="","",IFERROR(VLOOKUP(--B34,'CATALOGO CECO'!$A$2:$H$550,5,FALSE),""))</f>
        <v/>
      </c>
      <c r="J34" s="8">
        <f>IF(B34="","",IFERROR(VLOOKUP(--B34,'CATALOGO CECO'!$A$2:$H$550,8,FALSE),""))</f>
        <v/>
      </c>
      <c r="K34" s="8">
        <f>IF(COUNTA(A34:F34)=0,"",IF(OR(LEN(A34)&lt;&gt;7,MID(A34,5,1)&lt;&gt;"-",ISERROR(--LEFT(A34,4)),ISERROR(--RIGHT(A34,2))),"ERROR: PERIODO debe ser AAAA-MM",IF(B34="","ERROR: falta CODIGO CECO",IF(G34="CECO NO EXISTE","ERROR: CECO no existe en el catálogo",IF(C34="","ERROR: falta CUENTA",IF(ISERROR(--C34),"ERROR: CUENTA debe tener solo dígitos",IF(ISERROR(FIND(LEFT(C34,1),"567")),"ERROR: CUENTA fuera de las clases de costo",IF(NOT(ISNUMBER(E34)),"ERROR: VALOR debe ser numérico",IF(E34=0,"AVISO: valor cero (no se carga)",IF(J34&lt;&gt;"ACTIVO","NO SE CARGA: CECO en estado "&amp;J34,"OK"))))))))))</f>
        <v/>
      </c>
    </row>
    <row r="35">
      <c r="A35" s="5" t="n"/>
      <c r="B35" s="6" t="n"/>
      <c r="C35" s="5" t="n"/>
      <c r="D35" s="6" t="n"/>
      <c r="E35" s="7" t="n"/>
      <c r="F35" s="6" t="n"/>
      <c r="G35" s="8">
        <f>IF(B35="","",IFERROR(VLOOKUP(--B35,'CATALOGO CECO'!$A$2:$H$550,2,FALSE),"CECO NO EXISTE"))</f>
        <v/>
      </c>
      <c r="H35" s="8">
        <f>IF(B35="","",IFERROR(VLOOKUP(--B35,'CATALOGO CECO'!$A$2:$H$550,3,FALSE),""))</f>
        <v/>
      </c>
      <c r="I35" s="8">
        <f>IF(B35="","",IFERROR(VLOOKUP(--B35,'CATALOGO CECO'!$A$2:$H$550,5,FALSE),""))</f>
        <v/>
      </c>
      <c r="J35" s="8">
        <f>IF(B35="","",IFERROR(VLOOKUP(--B35,'CATALOGO CECO'!$A$2:$H$550,8,FALSE),""))</f>
        <v/>
      </c>
      <c r="K35" s="8">
        <f>IF(COUNTA(A35:F35)=0,"",IF(OR(LEN(A35)&lt;&gt;7,MID(A35,5,1)&lt;&gt;"-",ISERROR(--LEFT(A35,4)),ISERROR(--RIGHT(A35,2))),"ERROR: PERIODO debe ser AAAA-MM",IF(B35="","ERROR: falta CODIGO CECO",IF(G35="CECO NO EXISTE","ERROR: CECO no existe en el catálogo",IF(C35="","ERROR: falta CUENTA",IF(ISERROR(--C35),"ERROR: CUENTA debe tener solo dígitos",IF(ISERROR(FIND(LEFT(C35,1),"567")),"ERROR: CUENTA fuera de las clases de costo",IF(NOT(ISNUMBER(E35)),"ERROR: VALOR debe ser numérico",IF(E35=0,"AVISO: valor cero (no se carga)",IF(J35&lt;&gt;"ACTIVO","NO SE CARGA: CECO en estado "&amp;J35,"OK"))))))))))</f>
        <v/>
      </c>
    </row>
    <row r="36">
      <c r="A36" s="5" t="n"/>
      <c r="B36" s="6" t="n"/>
      <c r="C36" s="5" t="n"/>
      <c r="D36" s="6" t="n"/>
      <c r="E36" s="7" t="n"/>
      <c r="F36" s="6" t="n"/>
      <c r="G36" s="8">
        <f>IF(B36="","",IFERROR(VLOOKUP(--B36,'CATALOGO CECO'!$A$2:$H$550,2,FALSE),"CECO NO EXISTE"))</f>
        <v/>
      </c>
      <c r="H36" s="8">
        <f>IF(B36="","",IFERROR(VLOOKUP(--B36,'CATALOGO CECO'!$A$2:$H$550,3,FALSE),""))</f>
        <v/>
      </c>
      <c r="I36" s="8">
        <f>IF(B36="","",IFERROR(VLOOKUP(--B36,'CATALOGO CECO'!$A$2:$H$550,5,FALSE),""))</f>
        <v/>
      </c>
      <c r="J36" s="8">
        <f>IF(B36="","",IFERROR(VLOOKUP(--B36,'CATALOGO CECO'!$A$2:$H$550,8,FALSE),""))</f>
        <v/>
      </c>
      <c r="K36" s="8">
        <f>IF(COUNTA(A36:F36)=0,"",IF(OR(LEN(A36)&lt;&gt;7,MID(A36,5,1)&lt;&gt;"-",ISERROR(--LEFT(A36,4)),ISERROR(--RIGHT(A36,2))),"ERROR: PERIODO debe ser AAAA-MM",IF(B36="","ERROR: falta CODIGO CECO",IF(G36="CECO NO EXISTE","ERROR: CECO no existe en el catálogo",IF(C36="","ERROR: falta CUENTA",IF(ISERROR(--C36),"ERROR: CUENTA debe tener solo dígitos",IF(ISERROR(FIND(LEFT(C36,1),"567")),"ERROR: CUENTA fuera de las clases de costo",IF(NOT(ISNUMBER(E36)),"ERROR: VALOR debe ser numérico",IF(E36=0,"AVISO: valor cero (no se carga)",IF(J36&lt;&gt;"ACTIVO","NO SE CARGA: CECO en estado "&amp;J36,"OK"))))))))))</f>
        <v/>
      </c>
    </row>
    <row r="37">
      <c r="A37" s="5" t="n"/>
      <c r="B37" s="6" t="n"/>
      <c r="C37" s="5" t="n"/>
      <c r="D37" s="6" t="n"/>
      <c r="E37" s="7" t="n"/>
      <c r="F37" s="6" t="n"/>
      <c r="G37" s="8">
        <f>IF(B37="","",IFERROR(VLOOKUP(--B37,'CATALOGO CECO'!$A$2:$H$550,2,FALSE),"CECO NO EXISTE"))</f>
        <v/>
      </c>
      <c r="H37" s="8">
        <f>IF(B37="","",IFERROR(VLOOKUP(--B37,'CATALOGO CECO'!$A$2:$H$550,3,FALSE),""))</f>
        <v/>
      </c>
      <c r="I37" s="8">
        <f>IF(B37="","",IFERROR(VLOOKUP(--B37,'CATALOGO CECO'!$A$2:$H$550,5,FALSE),""))</f>
        <v/>
      </c>
      <c r="J37" s="8">
        <f>IF(B37="","",IFERROR(VLOOKUP(--B37,'CATALOGO CECO'!$A$2:$H$550,8,FALSE),""))</f>
        <v/>
      </c>
      <c r="K37" s="8">
        <f>IF(COUNTA(A37:F37)=0,"",IF(OR(LEN(A37)&lt;&gt;7,MID(A37,5,1)&lt;&gt;"-",ISERROR(--LEFT(A37,4)),ISERROR(--RIGHT(A37,2))),"ERROR: PERIODO debe ser AAAA-MM",IF(B37="","ERROR: falta CODIGO CECO",IF(G37="CECO NO EXISTE","ERROR: CECO no existe en el catálogo",IF(C37="","ERROR: falta CUENTA",IF(ISERROR(--C37),"ERROR: CUENTA debe tener solo dígitos",IF(ISERROR(FIND(LEFT(C37,1),"567")),"ERROR: CUENTA fuera de las clases de costo",IF(NOT(ISNUMBER(E37)),"ERROR: VALOR debe ser numérico",IF(E37=0,"AVISO: valor cero (no se carga)",IF(J37&lt;&gt;"ACTIVO","NO SE CARGA: CECO en estado "&amp;J37,"OK"))))))))))</f>
        <v/>
      </c>
    </row>
    <row r="38">
      <c r="A38" s="5" t="n"/>
      <c r="B38" s="6" t="n"/>
      <c r="C38" s="5" t="n"/>
      <c r="D38" s="6" t="n"/>
      <c r="E38" s="7" t="n"/>
      <c r="F38" s="6" t="n"/>
      <c r="G38" s="8">
        <f>IF(B38="","",IFERROR(VLOOKUP(--B38,'CATALOGO CECO'!$A$2:$H$550,2,FALSE),"CECO NO EXISTE"))</f>
        <v/>
      </c>
      <c r="H38" s="8">
        <f>IF(B38="","",IFERROR(VLOOKUP(--B38,'CATALOGO CECO'!$A$2:$H$550,3,FALSE),""))</f>
        <v/>
      </c>
      <c r="I38" s="8">
        <f>IF(B38="","",IFERROR(VLOOKUP(--B38,'CATALOGO CECO'!$A$2:$H$550,5,FALSE),""))</f>
        <v/>
      </c>
      <c r="J38" s="8">
        <f>IF(B38="","",IFERROR(VLOOKUP(--B38,'CATALOGO CECO'!$A$2:$H$550,8,FALSE),""))</f>
        <v/>
      </c>
      <c r="K38" s="8">
        <f>IF(COUNTA(A38:F38)=0,"",IF(OR(LEN(A38)&lt;&gt;7,MID(A38,5,1)&lt;&gt;"-",ISERROR(--LEFT(A38,4)),ISERROR(--RIGHT(A38,2))),"ERROR: PERIODO debe ser AAAA-MM",IF(B38="","ERROR: falta CODIGO CECO",IF(G38="CECO NO EXISTE","ERROR: CECO no existe en el catálogo",IF(C38="","ERROR: falta CUENTA",IF(ISERROR(--C38),"ERROR: CUENTA debe tener solo dígitos",IF(ISERROR(FIND(LEFT(C38,1),"567")),"ERROR: CUENTA fuera de las clases de costo",IF(NOT(ISNUMBER(E38)),"ERROR: VALOR debe ser numérico",IF(E38=0,"AVISO: valor cero (no se carga)",IF(J38&lt;&gt;"ACTIVO","NO SE CARGA: CECO en estado "&amp;J38,"OK"))))))))))</f>
        <v/>
      </c>
    </row>
    <row r="39">
      <c r="A39" s="5" t="n"/>
      <c r="B39" s="6" t="n"/>
      <c r="C39" s="5" t="n"/>
      <c r="D39" s="6" t="n"/>
      <c r="E39" s="7" t="n"/>
      <c r="F39" s="6" t="n"/>
      <c r="G39" s="8">
        <f>IF(B39="","",IFERROR(VLOOKUP(--B39,'CATALOGO CECO'!$A$2:$H$550,2,FALSE),"CECO NO EXISTE"))</f>
        <v/>
      </c>
      <c r="H39" s="8">
        <f>IF(B39="","",IFERROR(VLOOKUP(--B39,'CATALOGO CECO'!$A$2:$H$550,3,FALSE),""))</f>
        <v/>
      </c>
      <c r="I39" s="8">
        <f>IF(B39="","",IFERROR(VLOOKUP(--B39,'CATALOGO CECO'!$A$2:$H$550,5,FALSE),""))</f>
        <v/>
      </c>
      <c r="J39" s="8">
        <f>IF(B39="","",IFERROR(VLOOKUP(--B39,'CATALOGO CECO'!$A$2:$H$550,8,FALSE),""))</f>
        <v/>
      </c>
      <c r="K39" s="8">
        <f>IF(COUNTA(A39:F39)=0,"",IF(OR(LEN(A39)&lt;&gt;7,MID(A39,5,1)&lt;&gt;"-",ISERROR(--LEFT(A39,4)),ISERROR(--RIGHT(A39,2))),"ERROR: PERIODO debe ser AAAA-MM",IF(B39="","ERROR: falta CODIGO CECO",IF(G39="CECO NO EXISTE","ERROR: CECO no existe en el catálogo",IF(C39="","ERROR: falta CUENTA",IF(ISERROR(--C39),"ERROR: CUENTA debe tener solo dígitos",IF(ISERROR(FIND(LEFT(C39,1),"567")),"ERROR: CUENTA fuera de las clases de costo",IF(NOT(ISNUMBER(E39)),"ERROR: VALOR debe ser numérico",IF(E39=0,"AVISO: valor cero (no se carga)",IF(J39&lt;&gt;"ACTIVO","NO SE CARGA: CECO en estado "&amp;J39,"OK"))))))))))</f>
        <v/>
      </c>
    </row>
    <row r="40">
      <c r="A40" s="5" t="n"/>
      <c r="B40" s="6" t="n"/>
      <c r="C40" s="5" t="n"/>
      <c r="D40" s="6" t="n"/>
      <c r="E40" s="7" t="n"/>
      <c r="F40" s="6" t="n"/>
      <c r="G40" s="8">
        <f>IF(B40="","",IFERROR(VLOOKUP(--B40,'CATALOGO CECO'!$A$2:$H$550,2,FALSE),"CECO NO EXISTE"))</f>
        <v/>
      </c>
      <c r="H40" s="8">
        <f>IF(B40="","",IFERROR(VLOOKUP(--B40,'CATALOGO CECO'!$A$2:$H$550,3,FALSE),""))</f>
        <v/>
      </c>
      <c r="I40" s="8">
        <f>IF(B40="","",IFERROR(VLOOKUP(--B40,'CATALOGO CECO'!$A$2:$H$550,5,FALSE),""))</f>
        <v/>
      </c>
      <c r="J40" s="8">
        <f>IF(B40="","",IFERROR(VLOOKUP(--B40,'CATALOGO CECO'!$A$2:$H$550,8,FALSE),""))</f>
        <v/>
      </c>
      <c r="K40" s="8">
        <f>IF(COUNTA(A40:F40)=0,"",IF(OR(LEN(A40)&lt;&gt;7,MID(A40,5,1)&lt;&gt;"-",ISERROR(--LEFT(A40,4)),ISERROR(--RIGHT(A40,2))),"ERROR: PERIODO debe ser AAAA-MM",IF(B40="","ERROR: falta CODIGO CECO",IF(G40="CECO NO EXISTE","ERROR: CECO no existe en el catálogo",IF(C40="","ERROR: falta CUENTA",IF(ISERROR(--C40),"ERROR: CUENTA debe tener solo dígitos",IF(ISERROR(FIND(LEFT(C40,1),"567")),"ERROR: CUENTA fuera de las clases de costo",IF(NOT(ISNUMBER(E40)),"ERROR: VALOR debe ser numérico",IF(E40=0,"AVISO: valor cero (no se carga)",IF(J40&lt;&gt;"ACTIVO","NO SE CARGA: CECO en estado "&amp;J40,"OK"))))))))))</f>
        <v/>
      </c>
    </row>
    <row r="41">
      <c r="A41" s="5" t="n"/>
      <c r="B41" s="6" t="n"/>
      <c r="C41" s="5" t="n"/>
      <c r="D41" s="6" t="n"/>
      <c r="E41" s="7" t="n"/>
      <c r="F41" s="6" t="n"/>
      <c r="G41" s="8">
        <f>IF(B41="","",IFERROR(VLOOKUP(--B41,'CATALOGO CECO'!$A$2:$H$550,2,FALSE),"CECO NO EXISTE"))</f>
        <v/>
      </c>
      <c r="H41" s="8">
        <f>IF(B41="","",IFERROR(VLOOKUP(--B41,'CATALOGO CECO'!$A$2:$H$550,3,FALSE),""))</f>
        <v/>
      </c>
      <c r="I41" s="8">
        <f>IF(B41="","",IFERROR(VLOOKUP(--B41,'CATALOGO CECO'!$A$2:$H$550,5,FALSE),""))</f>
        <v/>
      </c>
      <c r="J41" s="8">
        <f>IF(B41="","",IFERROR(VLOOKUP(--B41,'CATALOGO CECO'!$A$2:$H$550,8,FALSE),""))</f>
        <v/>
      </c>
      <c r="K41" s="8">
        <f>IF(COUNTA(A41:F41)=0,"",IF(OR(LEN(A41)&lt;&gt;7,MID(A41,5,1)&lt;&gt;"-",ISERROR(--LEFT(A41,4)),ISERROR(--RIGHT(A41,2))),"ERROR: PERIODO debe ser AAAA-MM",IF(B41="","ERROR: falta CODIGO CECO",IF(G41="CECO NO EXISTE","ERROR: CECO no existe en el catálogo",IF(C41="","ERROR: falta CUENTA",IF(ISERROR(--C41),"ERROR: CUENTA debe tener solo dígitos",IF(ISERROR(FIND(LEFT(C41,1),"567")),"ERROR: CUENTA fuera de las clases de costo",IF(NOT(ISNUMBER(E41)),"ERROR: VALOR debe ser numérico",IF(E41=0,"AVISO: valor cero (no se carga)",IF(J41&lt;&gt;"ACTIVO","NO SE CARGA: CECO en estado "&amp;J41,"OK"))))))))))</f>
        <v/>
      </c>
    </row>
    <row r="42">
      <c r="A42" s="5" t="n"/>
      <c r="B42" s="6" t="n"/>
      <c r="C42" s="5" t="n"/>
      <c r="D42" s="6" t="n"/>
      <c r="E42" s="7" t="n"/>
      <c r="F42" s="6" t="n"/>
      <c r="G42" s="8">
        <f>IF(B42="","",IFERROR(VLOOKUP(--B42,'CATALOGO CECO'!$A$2:$H$550,2,FALSE),"CECO NO EXISTE"))</f>
        <v/>
      </c>
      <c r="H42" s="8">
        <f>IF(B42="","",IFERROR(VLOOKUP(--B42,'CATALOGO CECO'!$A$2:$H$550,3,FALSE),""))</f>
        <v/>
      </c>
      <c r="I42" s="8">
        <f>IF(B42="","",IFERROR(VLOOKUP(--B42,'CATALOGO CECO'!$A$2:$H$550,5,FALSE),""))</f>
        <v/>
      </c>
      <c r="J42" s="8">
        <f>IF(B42="","",IFERROR(VLOOKUP(--B42,'CATALOGO CECO'!$A$2:$H$550,8,FALSE),""))</f>
        <v/>
      </c>
      <c r="K42" s="8">
        <f>IF(COUNTA(A42:F42)=0,"",IF(OR(LEN(A42)&lt;&gt;7,MID(A42,5,1)&lt;&gt;"-",ISERROR(--LEFT(A42,4)),ISERROR(--RIGHT(A42,2))),"ERROR: PERIODO debe ser AAAA-MM",IF(B42="","ERROR: falta CODIGO CECO",IF(G42="CECO NO EXISTE","ERROR: CECO no existe en el catálogo",IF(C42="","ERROR: falta CUENTA",IF(ISERROR(--C42),"ERROR: CUENTA debe tener solo dígitos",IF(ISERROR(FIND(LEFT(C42,1),"567")),"ERROR: CUENTA fuera de las clases de costo",IF(NOT(ISNUMBER(E42)),"ERROR: VALOR debe ser numérico",IF(E42=0,"AVISO: valor cero (no se carga)",IF(J42&lt;&gt;"ACTIVO","NO SE CARGA: CECO en estado "&amp;J42,"OK"))))))))))</f>
        <v/>
      </c>
    </row>
    <row r="43">
      <c r="A43" s="5" t="n"/>
      <c r="B43" s="6" t="n"/>
      <c r="C43" s="5" t="n"/>
      <c r="D43" s="6" t="n"/>
      <c r="E43" s="7" t="n"/>
      <c r="F43" s="6" t="n"/>
      <c r="G43" s="8">
        <f>IF(B43="","",IFERROR(VLOOKUP(--B43,'CATALOGO CECO'!$A$2:$H$550,2,FALSE),"CECO NO EXISTE"))</f>
        <v/>
      </c>
      <c r="H43" s="8">
        <f>IF(B43="","",IFERROR(VLOOKUP(--B43,'CATALOGO CECO'!$A$2:$H$550,3,FALSE),""))</f>
        <v/>
      </c>
      <c r="I43" s="8">
        <f>IF(B43="","",IFERROR(VLOOKUP(--B43,'CATALOGO CECO'!$A$2:$H$550,5,FALSE),""))</f>
        <v/>
      </c>
      <c r="J43" s="8">
        <f>IF(B43="","",IFERROR(VLOOKUP(--B43,'CATALOGO CECO'!$A$2:$H$550,8,FALSE),""))</f>
        <v/>
      </c>
      <c r="K43" s="8">
        <f>IF(COUNTA(A43:F43)=0,"",IF(OR(LEN(A43)&lt;&gt;7,MID(A43,5,1)&lt;&gt;"-",ISERROR(--LEFT(A43,4)),ISERROR(--RIGHT(A43,2))),"ERROR: PERIODO debe ser AAAA-MM",IF(B43="","ERROR: falta CODIGO CECO",IF(G43="CECO NO EXISTE","ERROR: CECO no existe en el catálogo",IF(C43="","ERROR: falta CUENTA",IF(ISERROR(--C43),"ERROR: CUENTA debe tener solo dígitos",IF(ISERROR(FIND(LEFT(C43,1),"567")),"ERROR: CUENTA fuera de las clases de costo",IF(NOT(ISNUMBER(E43)),"ERROR: VALOR debe ser numérico",IF(E43=0,"AVISO: valor cero (no se carga)",IF(J43&lt;&gt;"ACTIVO","NO SE CARGA: CECO en estado "&amp;J43,"OK"))))))))))</f>
        <v/>
      </c>
    </row>
    <row r="44">
      <c r="A44" s="5" t="n"/>
      <c r="B44" s="6" t="n"/>
      <c r="C44" s="5" t="n"/>
      <c r="D44" s="6" t="n"/>
      <c r="E44" s="7" t="n"/>
      <c r="F44" s="6" t="n"/>
      <c r="G44" s="8">
        <f>IF(B44="","",IFERROR(VLOOKUP(--B44,'CATALOGO CECO'!$A$2:$H$550,2,FALSE),"CECO NO EXISTE"))</f>
        <v/>
      </c>
      <c r="H44" s="8">
        <f>IF(B44="","",IFERROR(VLOOKUP(--B44,'CATALOGO CECO'!$A$2:$H$550,3,FALSE),""))</f>
        <v/>
      </c>
      <c r="I44" s="8">
        <f>IF(B44="","",IFERROR(VLOOKUP(--B44,'CATALOGO CECO'!$A$2:$H$550,5,FALSE),""))</f>
        <v/>
      </c>
      <c r="J44" s="8">
        <f>IF(B44="","",IFERROR(VLOOKUP(--B44,'CATALOGO CECO'!$A$2:$H$550,8,FALSE),""))</f>
        <v/>
      </c>
      <c r="K44" s="8">
        <f>IF(COUNTA(A44:F44)=0,"",IF(OR(LEN(A44)&lt;&gt;7,MID(A44,5,1)&lt;&gt;"-",ISERROR(--LEFT(A44,4)),ISERROR(--RIGHT(A44,2))),"ERROR: PERIODO debe ser AAAA-MM",IF(B44="","ERROR: falta CODIGO CECO",IF(G44="CECO NO EXISTE","ERROR: CECO no existe en el catálogo",IF(C44="","ERROR: falta CUENTA",IF(ISERROR(--C44),"ERROR: CUENTA debe tener solo dígitos",IF(ISERROR(FIND(LEFT(C44,1),"567")),"ERROR: CUENTA fuera de las clases de costo",IF(NOT(ISNUMBER(E44)),"ERROR: VALOR debe ser numérico",IF(E44=0,"AVISO: valor cero (no se carga)",IF(J44&lt;&gt;"ACTIVO","NO SE CARGA: CECO en estado "&amp;J44,"OK"))))))))))</f>
        <v/>
      </c>
    </row>
    <row r="45">
      <c r="A45" s="5" t="n"/>
      <c r="B45" s="6" t="n"/>
      <c r="C45" s="5" t="n"/>
      <c r="D45" s="6" t="n"/>
      <c r="E45" s="7" t="n"/>
      <c r="F45" s="6" t="n"/>
      <c r="G45" s="8">
        <f>IF(B45="","",IFERROR(VLOOKUP(--B45,'CATALOGO CECO'!$A$2:$H$550,2,FALSE),"CECO NO EXISTE"))</f>
        <v/>
      </c>
      <c r="H45" s="8">
        <f>IF(B45="","",IFERROR(VLOOKUP(--B45,'CATALOGO CECO'!$A$2:$H$550,3,FALSE),""))</f>
        <v/>
      </c>
      <c r="I45" s="8">
        <f>IF(B45="","",IFERROR(VLOOKUP(--B45,'CATALOGO CECO'!$A$2:$H$550,5,FALSE),""))</f>
        <v/>
      </c>
      <c r="J45" s="8">
        <f>IF(B45="","",IFERROR(VLOOKUP(--B45,'CATALOGO CECO'!$A$2:$H$550,8,FALSE),""))</f>
        <v/>
      </c>
      <c r="K45" s="8">
        <f>IF(COUNTA(A45:F45)=0,"",IF(OR(LEN(A45)&lt;&gt;7,MID(A45,5,1)&lt;&gt;"-",ISERROR(--LEFT(A45,4)),ISERROR(--RIGHT(A45,2))),"ERROR: PERIODO debe ser AAAA-MM",IF(B45="","ERROR: falta CODIGO CECO",IF(G45="CECO NO EXISTE","ERROR: CECO no existe en el catálogo",IF(C45="","ERROR: falta CUENTA",IF(ISERROR(--C45),"ERROR: CUENTA debe tener solo dígitos",IF(ISERROR(FIND(LEFT(C45,1),"567")),"ERROR: CUENTA fuera de las clases de costo",IF(NOT(ISNUMBER(E45)),"ERROR: VALOR debe ser numérico",IF(E45=0,"AVISO: valor cero (no se carga)",IF(J45&lt;&gt;"ACTIVO","NO SE CARGA: CECO en estado "&amp;J45,"OK"))))))))))</f>
        <v/>
      </c>
    </row>
    <row r="46">
      <c r="A46" s="5" t="n"/>
      <c r="B46" s="6" t="n"/>
      <c r="C46" s="5" t="n"/>
      <c r="D46" s="6" t="n"/>
      <c r="E46" s="7" t="n"/>
      <c r="F46" s="6" t="n"/>
      <c r="G46" s="8">
        <f>IF(B46="","",IFERROR(VLOOKUP(--B46,'CATALOGO CECO'!$A$2:$H$550,2,FALSE),"CECO NO EXISTE"))</f>
        <v/>
      </c>
      <c r="H46" s="8">
        <f>IF(B46="","",IFERROR(VLOOKUP(--B46,'CATALOGO CECO'!$A$2:$H$550,3,FALSE),""))</f>
        <v/>
      </c>
      <c r="I46" s="8">
        <f>IF(B46="","",IFERROR(VLOOKUP(--B46,'CATALOGO CECO'!$A$2:$H$550,5,FALSE),""))</f>
        <v/>
      </c>
      <c r="J46" s="8">
        <f>IF(B46="","",IFERROR(VLOOKUP(--B46,'CATALOGO CECO'!$A$2:$H$550,8,FALSE),""))</f>
        <v/>
      </c>
      <c r="K46" s="8">
        <f>IF(COUNTA(A46:F46)=0,"",IF(OR(LEN(A46)&lt;&gt;7,MID(A46,5,1)&lt;&gt;"-",ISERROR(--LEFT(A46,4)),ISERROR(--RIGHT(A46,2))),"ERROR: PERIODO debe ser AAAA-MM",IF(B46="","ERROR: falta CODIGO CECO",IF(G46="CECO NO EXISTE","ERROR: CECO no existe en el catálogo",IF(C46="","ERROR: falta CUENTA",IF(ISERROR(--C46),"ERROR: CUENTA debe tener solo dígitos",IF(ISERROR(FIND(LEFT(C46,1),"567")),"ERROR: CUENTA fuera de las clases de costo",IF(NOT(ISNUMBER(E46)),"ERROR: VALOR debe ser numérico",IF(E46=0,"AVISO: valor cero (no se carga)",IF(J46&lt;&gt;"ACTIVO","NO SE CARGA: CECO en estado "&amp;J46,"OK"))))))))))</f>
        <v/>
      </c>
    </row>
    <row r="47">
      <c r="A47" s="5" t="n"/>
      <c r="B47" s="6" t="n"/>
      <c r="C47" s="5" t="n"/>
      <c r="D47" s="6" t="n"/>
      <c r="E47" s="7" t="n"/>
      <c r="F47" s="6" t="n"/>
      <c r="G47" s="8">
        <f>IF(B47="","",IFERROR(VLOOKUP(--B47,'CATALOGO CECO'!$A$2:$H$550,2,FALSE),"CECO NO EXISTE"))</f>
        <v/>
      </c>
      <c r="H47" s="8">
        <f>IF(B47="","",IFERROR(VLOOKUP(--B47,'CATALOGO CECO'!$A$2:$H$550,3,FALSE),""))</f>
        <v/>
      </c>
      <c r="I47" s="8">
        <f>IF(B47="","",IFERROR(VLOOKUP(--B47,'CATALOGO CECO'!$A$2:$H$550,5,FALSE),""))</f>
        <v/>
      </c>
      <c r="J47" s="8">
        <f>IF(B47="","",IFERROR(VLOOKUP(--B47,'CATALOGO CECO'!$A$2:$H$550,8,FALSE),""))</f>
        <v/>
      </c>
      <c r="K47" s="8">
        <f>IF(COUNTA(A47:F47)=0,"",IF(OR(LEN(A47)&lt;&gt;7,MID(A47,5,1)&lt;&gt;"-",ISERROR(--LEFT(A47,4)),ISERROR(--RIGHT(A47,2))),"ERROR: PERIODO debe ser AAAA-MM",IF(B47="","ERROR: falta CODIGO CECO",IF(G47="CECO NO EXISTE","ERROR: CECO no existe en el catálogo",IF(C47="","ERROR: falta CUENTA",IF(ISERROR(--C47),"ERROR: CUENTA debe tener solo dígitos",IF(ISERROR(FIND(LEFT(C47,1),"567")),"ERROR: CUENTA fuera de las clases de costo",IF(NOT(ISNUMBER(E47)),"ERROR: VALOR debe ser numérico",IF(E47=0,"AVISO: valor cero (no se carga)",IF(J47&lt;&gt;"ACTIVO","NO SE CARGA: CECO en estado "&amp;J47,"OK"))))))))))</f>
        <v/>
      </c>
    </row>
    <row r="48">
      <c r="A48" s="5" t="n"/>
      <c r="B48" s="6" t="n"/>
      <c r="C48" s="5" t="n"/>
      <c r="D48" s="6" t="n"/>
      <c r="E48" s="7" t="n"/>
      <c r="F48" s="6" t="n"/>
      <c r="G48" s="8">
        <f>IF(B48="","",IFERROR(VLOOKUP(--B48,'CATALOGO CECO'!$A$2:$H$550,2,FALSE),"CECO NO EXISTE"))</f>
        <v/>
      </c>
      <c r="H48" s="8">
        <f>IF(B48="","",IFERROR(VLOOKUP(--B48,'CATALOGO CECO'!$A$2:$H$550,3,FALSE),""))</f>
        <v/>
      </c>
      <c r="I48" s="8">
        <f>IF(B48="","",IFERROR(VLOOKUP(--B48,'CATALOGO CECO'!$A$2:$H$550,5,FALSE),""))</f>
        <v/>
      </c>
      <c r="J48" s="8">
        <f>IF(B48="","",IFERROR(VLOOKUP(--B48,'CATALOGO CECO'!$A$2:$H$550,8,FALSE),""))</f>
        <v/>
      </c>
      <c r="K48" s="8">
        <f>IF(COUNTA(A48:F48)=0,"",IF(OR(LEN(A48)&lt;&gt;7,MID(A48,5,1)&lt;&gt;"-",ISERROR(--LEFT(A48,4)),ISERROR(--RIGHT(A48,2))),"ERROR: PERIODO debe ser AAAA-MM",IF(B48="","ERROR: falta CODIGO CECO",IF(G48="CECO NO EXISTE","ERROR: CECO no existe en el catálogo",IF(C48="","ERROR: falta CUENTA",IF(ISERROR(--C48),"ERROR: CUENTA debe tener solo dígitos",IF(ISERROR(FIND(LEFT(C48,1),"567")),"ERROR: CUENTA fuera de las clases de costo",IF(NOT(ISNUMBER(E48)),"ERROR: VALOR debe ser numérico",IF(E48=0,"AVISO: valor cero (no se carga)",IF(J48&lt;&gt;"ACTIVO","NO SE CARGA: CECO en estado "&amp;J48,"OK"))))))))))</f>
        <v/>
      </c>
    </row>
    <row r="49">
      <c r="A49" s="5" t="n"/>
      <c r="B49" s="6" t="n"/>
      <c r="C49" s="5" t="n"/>
      <c r="D49" s="6" t="n"/>
      <c r="E49" s="7" t="n"/>
      <c r="F49" s="6" t="n"/>
      <c r="G49" s="8">
        <f>IF(B49="","",IFERROR(VLOOKUP(--B49,'CATALOGO CECO'!$A$2:$H$550,2,FALSE),"CECO NO EXISTE"))</f>
        <v/>
      </c>
      <c r="H49" s="8">
        <f>IF(B49="","",IFERROR(VLOOKUP(--B49,'CATALOGO CECO'!$A$2:$H$550,3,FALSE),""))</f>
        <v/>
      </c>
      <c r="I49" s="8">
        <f>IF(B49="","",IFERROR(VLOOKUP(--B49,'CATALOGO CECO'!$A$2:$H$550,5,FALSE),""))</f>
        <v/>
      </c>
      <c r="J49" s="8">
        <f>IF(B49="","",IFERROR(VLOOKUP(--B49,'CATALOGO CECO'!$A$2:$H$550,8,FALSE),""))</f>
        <v/>
      </c>
      <c r="K49" s="8">
        <f>IF(COUNTA(A49:F49)=0,"",IF(OR(LEN(A49)&lt;&gt;7,MID(A49,5,1)&lt;&gt;"-",ISERROR(--LEFT(A49,4)),ISERROR(--RIGHT(A49,2))),"ERROR: PERIODO debe ser AAAA-MM",IF(B49="","ERROR: falta CODIGO CECO",IF(G49="CECO NO EXISTE","ERROR: CECO no existe en el catálogo",IF(C49="","ERROR: falta CUENTA",IF(ISERROR(--C49),"ERROR: CUENTA debe tener solo dígitos",IF(ISERROR(FIND(LEFT(C49,1),"567")),"ERROR: CUENTA fuera de las clases de costo",IF(NOT(ISNUMBER(E49)),"ERROR: VALOR debe ser numérico",IF(E49=0,"AVISO: valor cero (no se carga)",IF(J49&lt;&gt;"ACTIVO","NO SE CARGA: CECO en estado "&amp;J49,"OK"))))))))))</f>
        <v/>
      </c>
    </row>
    <row r="50">
      <c r="A50" s="5" t="n"/>
      <c r="B50" s="6" t="n"/>
      <c r="C50" s="5" t="n"/>
      <c r="D50" s="6" t="n"/>
      <c r="E50" s="7" t="n"/>
      <c r="F50" s="6" t="n"/>
      <c r="G50" s="8">
        <f>IF(B50="","",IFERROR(VLOOKUP(--B50,'CATALOGO CECO'!$A$2:$H$550,2,FALSE),"CECO NO EXISTE"))</f>
        <v/>
      </c>
      <c r="H50" s="8">
        <f>IF(B50="","",IFERROR(VLOOKUP(--B50,'CATALOGO CECO'!$A$2:$H$550,3,FALSE),""))</f>
        <v/>
      </c>
      <c r="I50" s="8">
        <f>IF(B50="","",IFERROR(VLOOKUP(--B50,'CATALOGO CECO'!$A$2:$H$550,5,FALSE),""))</f>
        <v/>
      </c>
      <c r="J50" s="8">
        <f>IF(B50="","",IFERROR(VLOOKUP(--B50,'CATALOGO CECO'!$A$2:$H$550,8,FALSE),""))</f>
        <v/>
      </c>
      <c r="K50" s="8">
        <f>IF(COUNTA(A50:F50)=0,"",IF(OR(LEN(A50)&lt;&gt;7,MID(A50,5,1)&lt;&gt;"-",ISERROR(--LEFT(A50,4)),ISERROR(--RIGHT(A50,2))),"ERROR: PERIODO debe ser AAAA-MM",IF(B50="","ERROR: falta CODIGO CECO",IF(G50="CECO NO EXISTE","ERROR: CECO no existe en el catálogo",IF(C50="","ERROR: falta CUENTA",IF(ISERROR(--C50),"ERROR: CUENTA debe tener solo dígitos",IF(ISERROR(FIND(LEFT(C50,1),"567")),"ERROR: CUENTA fuera de las clases de costo",IF(NOT(ISNUMBER(E50)),"ERROR: VALOR debe ser numérico",IF(E50=0,"AVISO: valor cero (no se carga)",IF(J50&lt;&gt;"ACTIVO","NO SE CARGA: CECO en estado "&amp;J50,"OK"))))))))))</f>
        <v/>
      </c>
    </row>
    <row r="51">
      <c r="A51" s="5" t="n"/>
      <c r="B51" s="6" t="n"/>
      <c r="C51" s="5" t="n"/>
      <c r="D51" s="6" t="n"/>
      <c r="E51" s="7" t="n"/>
      <c r="F51" s="6" t="n"/>
      <c r="G51" s="8">
        <f>IF(B51="","",IFERROR(VLOOKUP(--B51,'CATALOGO CECO'!$A$2:$H$550,2,FALSE),"CECO NO EXISTE"))</f>
        <v/>
      </c>
      <c r="H51" s="8">
        <f>IF(B51="","",IFERROR(VLOOKUP(--B51,'CATALOGO CECO'!$A$2:$H$550,3,FALSE),""))</f>
        <v/>
      </c>
      <c r="I51" s="8">
        <f>IF(B51="","",IFERROR(VLOOKUP(--B51,'CATALOGO CECO'!$A$2:$H$550,5,FALSE),""))</f>
        <v/>
      </c>
      <c r="J51" s="8">
        <f>IF(B51="","",IFERROR(VLOOKUP(--B51,'CATALOGO CECO'!$A$2:$H$550,8,FALSE),""))</f>
        <v/>
      </c>
      <c r="K51" s="8">
        <f>IF(COUNTA(A51:F51)=0,"",IF(OR(LEN(A51)&lt;&gt;7,MID(A51,5,1)&lt;&gt;"-",ISERROR(--LEFT(A51,4)),ISERROR(--RIGHT(A51,2))),"ERROR: PERIODO debe ser AAAA-MM",IF(B51="","ERROR: falta CODIGO CECO",IF(G51="CECO NO EXISTE","ERROR: CECO no existe en el catálogo",IF(C51="","ERROR: falta CUENTA",IF(ISERROR(--C51),"ERROR: CUENTA debe tener solo dígitos",IF(ISERROR(FIND(LEFT(C51,1),"567")),"ERROR: CUENTA fuera de las clases de costo",IF(NOT(ISNUMBER(E51)),"ERROR: VALOR debe ser numérico",IF(E51=0,"AVISO: valor cero (no se carga)",IF(J51&lt;&gt;"ACTIVO","NO SE CARGA: CECO en estado "&amp;J51,"OK"))))))))))</f>
        <v/>
      </c>
    </row>
    <row r="52">
      <c r="A52" s="5" t="n"/>
      <c r="B52" s="6" t="n"/>
      <c r="C52" s="5" t="n"/>
      <c r="D52" s="6" t="n"/>
      <c r="E52" s="7" t="n"/>
      <c r="F52" s="6" t="n"/>
      <c r="G52" s="8">
        <f>IF(B52="","",IFERROR(VLOOKUP(--B52,'CATALOGO CECO'!$A$2:$H$550,2,FALSE),"CECO NO EXISTE"))</f>
        <v/>
      </c>
      <c r="H52" s="8">
        <f>IF(B52="","",IFERROR(VLOOKUP(--B52,'CATALOGO CECO'!$A$2:$H$550,3,FALSE),""))</f>
        <v/>
      </c>
      <c r="I52" s="8">
        <f>IF(B52="","",IFERROR(VLOOKUP(--B52,'CATALOGO CECO'!$A$2:$H$550,5,FALSE),""))</f>
        <v/>
      </c>
      <c r="J52" s="8">
        <f>IF(B52="","",IFERROR(VLOOKUP(--B52,'CATALOGO CECO'!$A$2:$H$550,8,FALSE),""))</f>
        <v/>
      </c>
      <c r="K52" s="8">
        <f>IF(COUNTA(A52:F52)=0,"",IF(OR(LEN(A52)&lt;&gt;7,MID(A52,5,1)&lt;&gt;"-",ISERROR(--LEFT(A52,4)),ISERROR(--RIGHT(A52,2))),"ERROR: PERIODO debe ser AAAA-MM",IF(B52="","ERROR: falta CODIGO CECO",IF(G52="CECO NO EXISTE","ERROR: CECO no existe en el catálogo",IF(C52="","ERROR: falta CUENTA",IF(ISERROR(--C52),"ERROR: CUENTA debe tener solo dígitos",IF(ISERROR(FIND(LEFT(C52,1),"567")),"ERROR: CUENTA fuera de las clases de costo",IF(NOT(ISNUMBER(E52)),"ERROR: VALOR debe ser numérico",IF(E52=0,"AVISO: valor cero (no se carga)",IF(J52&lt;&gt;"ACTIVO","NO SE CARGA: CECO en estado "&amp;J52,"OK"))))))))))</f>
        <v/>
      </c>
    </row>
    <row r="53">
      <c r="A53" s="5" t="n"/>
      <c r="B53" s="6" t="n"/>
      <c r="C53" s="5" t="n"/>
      <c r="D53" s="6" t="n"/>
      <c r="E53" s="7" t="n"/>
      <c r="F53" s="6" t="n"/>
      <c r="G53" s="8">
        <f>IF(B53="","",IFERROR(VLOOKUP(--B53,'CATALOGO CECO'!$A$2:$H$550,2,FALSE),"CECO NO EXISTE"))</f>
        <v/>
      </c>
      <c r="H53" s="8">
        <f>IF(B53="","",IFERROR(VLOOKUP(--B53,'CATALOGO CECO'!$A$2:$H$550,3,FALSE),""))</f>
        <v/>
      </c>
      <c r="I53" s="8">
        <f>IF(B53="","",IFERROR(VLOOKUP(--B53,'CATALOGO CECO'!$A$2:$H$550,5,FALSE),""))</f>
        <v/>
      </c>
      <c r="J53" s="8">
        <f>IF(B53="","",IFERROR(VLOOKUP(--B53,'CATALOGO CECO'!$A$2:$H$550,8,FALSE),""))</f>
        <v/>
      </c>
      <c r="K53" s="8">
        <f>IF(COUNTA(A53:F53)=0,"",IF(OR(LEN(A53)&lt;&gt;7,MID(A53,5,1)&lt;&gt;"-",ISERROR(--LEFT(A53,4)),ISERROR(--RIGHT(A53,2))),"ERROR: PERIODO debe ser AAAA-MM",IF(B53="","ERROR: falta CODIGO CECO",IF(G53="CECO NO EXISTE","ERROR: CECO no existe en el catálogo",IF(C53="","ERROR: falta CUENTA",IF(ISERROR(--C53),"ERROR: CUENTA debe tener solo dígitos",IF(ISERROR(FIND(LEFT(C53,1),"567")),"ERROR: CUENTA fuera de las clases de costo",IF(NOT(ISNUMBER(E53)),"ERROR: VALOR debe ser numérico",IF(E53=0,"AVISO: valor cero (no se carga)",IF(J53&lt;&gt;"ACTIVO","NO SE CARGA: CECO en estado "&amp;J53,"OK"))))))))))</f>
        <v/>
      </c>
    </row>
    <row r="54">
      <c r="A54" s="5" t="n"/>
      <c r="B54" s="6" t="n"/>
      <c r="C54" s="5" t="n"/>
      <c r="D54" s="6" t="n"/>
      <c r="E54" s="7" t="n"/>
      <c r="F54" s="6" t="n"/>
      <c r="G54" s="8">
        <f>IF(B54="","",IFERROR(VLOOKUP(--B54,'CATALOGO CECO'!$A$2:$H$550,2,FALSE),"CECO NO EXISTE"))</f>
        <v/>
      </c>
      <c r="H54" s="8">
        <f>IF(B54="","",IFERROR(VLOOKUP(--B54,'CATALOGO CECO'!$A$2:$H$550,3,FALSE),""))</f>
        <v/>
      </c>
      <c r="I54" s="8">
        <f>IF(B54="","",IFERROR(VLOOKUP(--B54,'CATALOGO CECO'!$A$2:$H$550,5,FALSE),""))</f>
        <v/>
      </c>
      <c r="J54" s="8">
        <f>IF(B54="","",IFERROR(VLOOKUP(--B54,'CATALOGO CECO'!$A$2:$H$550,8,FALSE),""))</f>
        <v/>
      </c>
      <c r="K54" s="8">
        <f>IF(COUNTA(A54:F54)=0,"",IF(OR(LEN(A54)&lt;&gt;7,MID(A54,5,1)&lt;&gt;"-",ISERROR(--LEFT(A54,4)),ISERROR(--RIGHT(A54,2))),"ERROR: PERIODO debe ser AAAA-MM",IF(B54="","ERROR: falta CODIGO CECO",IF(G54="CECO NO EXISTE","ERROR: CECO no existe en el catálogo",IF(C54="","ERROR: falta CUENTA",IF(ISERROR(--C54),"ERROR: CUENTA debe tener solo dígitos",IF(ISERROR(FIND(LEFT(C54,1),"567")),"ERROR: CUENTA fuera de las clases de costo",IF(NOT(ISNUMBER(E54)),"ERROR: VALOR debe ser numérico",IF(E54=0,"AVISO: valor cero (no se carga)",IF(J54&lt;&gt;"ACTIVO","NO SE CARGA: CECO en estado "&amp;J54,"OK"))))))))))</f>
        <v/>
      </c>
    </row>
    <row r="55">
      <c r="A55" s="5" t="n"/>
      <c r="B55" s="6" t="n"/>
      <c r="C55" s="5" t="n"/>
      <c r="D55" s="6" t="n"/>
      <c r="E55" s="7" t="n"/>
      <c r="F55" s="6" t="n"/>
      <c r="G55" s="8">
        <f>IF(B55="","",IFERROR(VLOOKUP(--B55,'CATALOGO CECO'!$A$2:$H$550,2,FALSE),"CECO NO EXISTE"))</f>
        <v/>
      </c>
      <c r="H55" s="8">
        <f>IF(B55="","",IFERROR(VLOOKUP(--B55,'CATALOGO CECO'!$A$2:$H$550,3,FALSE),""))</f>
        <v/>
      </c>
      <c r="I55" s="8">
        <f>IF(B55="","",IFERROR(VLOOKUP(--B55,'CATALOGO CECO'!$A$2:$H$550,5,FALSE),""))</f>
        <v/>
      </c>
      <c r="J55" s="8">
        <f>IF(B55="","",IFERROR(VLOOKUP(--B55,'CATALOGO CECO'!$A$2:$H$550,8,FALSE),""))</f>
        <v/>
      </c>
      <c r="K55" s="8">
        <f>IF(COUNTA(A55:F55)=0,"",IF(OR(LEN(A55)&lt;&gt;7,MID(A55,5,1)&lt;&gt;"-",ISERROR(--LEFT(A55,4)),ISERROR(--RIGHT(A55,2))),"ERROR: PERIODO debe ser AAAA-MM",IF(B55="","ERROR: falta CODIGO CECO",IF(G55="CECO NO EXISTE","ERROR: CECO no existe en el catálogo",IF(C55="","ERROR: falta CUENTA",IF(ISERROR(--C55),"ERROR: CUENTA debe tener solo dígitos",IF(ISERROR(FIND(LEFT(C55,1),"567")),"ERROR: CUENTA fuera de las clases de costo",IF(NOT(ISNUMBER(E55)),"ERROR: VALOR debe ser numérico",IF(E55=0,"AVISO: valor cero (no se carga)",IF(J55&lt;&gt;"ACTIVO","NO SE CARGA: CECO en estado "&amp;J55,"OK"))))))))))</f>
        <v/>
      </c>
    </row>
    <row r="56">
      <c r="A56" s="5" t="n"/>
      <c r="B56" s="6" t="n"/>
      <c r="C56" s="5" t="n"/>
      <c r="D56" s="6" t="n"/>
      <c r="E56" s="7" t="n"/>
      <c r="F56" s="6" t="n"/>
      <c r="G56" s="8">
        <f>IF(B56="","",IFERROR(VLOOKUP(--B56,'CATALOGO CECO'!$A$2:$H$550,2,FALSE),"CECO NO EXISTE"))</f>
        <v/>
      </c>
      <c r="H56" s="8">
        <f>IF(B56="","",IFERROR(VLOOKUP(--B56,'CATALOGO CECO'!$A$2:$H$550,3,FALSE),""))</f>
        <v/>
      </c>
      <c r="I56" s="8">
        <f>IF(B56="","",IFERROR(VLOOKUP(--B56,'CATALOGO CECO'!$A$2:$H$550,5,FALSE),""))</f>
        <v/>
      </c>
      <c r="J56" s="8">
        <f>IF(B56="","",IFERROR(VLOOKUP(--B56,'CATALOGO CECO'!$A$2:$H$550,8,FALSE),""))</f>
        <v/>
      </c>
      <c r="K56" s="8">
        <f>IF(COUNTA(A56:F56)=0,"",IF(OR(LEN(A56)&lt;&gt;7,MID(A56,5,1)&lt;&gt;"-",ISERROR(--LEFT(A56,4)),ISERROR(--RIGHT(A56,2))),"ERROR: PERIODO debe ser AAAA-MM",IF(B56="","ERROR: falta CODIGO CECO",IF(G56="CECO NO EXISTE","ERROR: CECO no existe en el catálogo",IF(C56="","ERROR: falta CUENTA",IF(ISERROR(--C56),"ERROR: CUENTA debe tener solo dígitos",IF(ISERROR(FIND(LEFT(C56,1),"567")),"ERROR: CUENTA fuera de las clases de costo",IF(NOT(ISNUMBER(E56)),"ERROR: VALOR debe ser numérico",IF(E56=0,"AVISO: valor cero (no se carga)",IF(J56&lt;&gt;"ACTIVO","NO SE CARGA: CECO en estado "&amp;J56,"OK"))))))))))</f>
        <v/>
      </c>
    </row>
    <row r="57">
      <c r="A57" s="5" t="n"/>
      <c r="B57" s="6" t="n"/>
      <c r="C57" s="5" t="n"/>
      <c r="D57" s="6" t="n"/>
      <c r="E57" s="7" t="n"/>
      <c r="F57" s="6" t="n"/>
      <c r="G57" s="8">
        <f>IF(B57="","",IFERROR(VLOOKUP(--B57,'CATALOGO CECO'!$A$2:$H$550,2,FALSE),"CECO NO EXISTE"))</f>
        <v/>
      </c>
      <c r="H57" s="8">
        <f>IF(B57="","",IFERROR(VLOOKUP(--B57,'CATALOGO CECO'!$A$2:$H$550,3,FALSE),""))</f>
        <v/>
      </c>
      <c r="I57" s="8">
        <f>IF(B57="","",IFERROR(VLOOKUP(--B57,'CATALOGO CECO'!$A$2:$H$550,5,FALSE),""))</f>
        <v/>
      </c>
      <c r="J57" s="8">
        <f>IF(B57="","",IFERROR(VLOOKUP(--B57,'CATALOGO CECO'!$A$2:$H$550,8,FALSE),""))</f>
        <v/>
      </c>
      <c r="K57" s="8">
        <f>IF(COUNTA(A57:F57)=0,"",IF(OR(LEN(A57)&lt;&gt;7,MID(A57,5,1)&lt;&gt;"-",ISERROR(--LEFT(A57,4)),ISERROR(--RIGHT(A57,2))),"ERROR: PERIODO debe ser AAAA-MM",IF(B57="","ERROR: falta CODIGO CECO",IF(G57="CECO NO EXISTE","ERROR: CECO no existe en el catálogo",IF(C57="","ERROR: falta CUENTA",IF(ISERROR(--C57),"ERROR: CUENTA debe tener solo dígitos",IF(ISERROR(FIND(LEFT(C57,1),"567")),"ERROR: CUENTA fuera de las clases de costo",IF(NOT(ISNUMBER(E57)),"ERROR: VALOR debe ser numérico",IF(E57=0,"AVISO: valor cero (no se carga)",IF(J57&lt;&gt;"ACTIVO","NO SE CARGA: CECO en estado "&amp;J57,"OK"))))))))))</f>
        <v/>
      </c>
    </row>
    <row r="58">
      <c r="A58" s="5" t="n"/>
      <c r="B58" s="6" t="n"/>
      <c r="C58" s="5" t="n"/>
      <c r="D58" s="6" t="n"/>
      <c r="E58" s="7" t="n"/>
      <c r="F58" s="6" t="n"/>
      <c r="G58" s="8">
        <f>IF(B58="","",IFERROR(VLOOKUP(--B58,'CATALOGO CECO'!$A$2:$H$550,2,FALSE),"CECO NO EXISTE"))</f>
        <v/>
      </c>
      <c r="H58" s="8">
        <f>IF(B58="","",IFERROR(VLOOKUP(--B58,'CATALOGO CECO'!$A$2:$H$550,3,FALSE),""))</f>
        <v/>
      </c>
      <c r="I58" s="8">
        <f>IF(B58="","",IFERROR(VLOOKUP(--B58,'CATALOGO CECO'!$A$2:$H$550,5,FALSE),""))</f>
        <v/>
      </c>
      <c r="J58" s="8">
        <f>IF(B58="","",IFERROR(VLOOKUP(--B58,'CATALOGO CECO'!$A$2:$H$550,8,FALSE),""))</f>
        <v/>
      </c>
      <c r="K58" s="8">
        <f>IF(COUNTA(A58:F58)=0,"",IF(OR(LEN(A58)&lt;&gt;7,MID(A58,5,1)&lt;&gt;"-",ISERROR(--LEFT(A58,4)),ISERROR(--RIGHT(A58,2))),"ERROR: PERIODO debe ser AAAA-MM",IF(B58="","ERROR: falta CODIGO CECO",IF(G58="CECO NO EXISTE","ERROR: CECO no existe en el catálogo",IF(C58="","ERROR: falta CUENTA",IF(ISERROR(--C58),"ERROR: CUENTA debe tener solo dígitos",IF(ISERROR(FIND(LEFT(C58,1),"567")),"ERROR: CUENTA fuera de las clases de costo",IF(NOT(ISNUMBER(E58)),"ERROR: VALOR debe ser numérico",IF(E58=0,"AVISO: valor cero (no se carga)",IF(J58&lt;&gt;"ACTIVO","NO SE CARGA: CECO en estado "&amp;J58,"OK"))))))))))</f>
        <v/>
      </c>
    </row>
    <row r="59">
      <c r="A59" s="5" t="n"/>
      <c r="B59" s="6" t="n"/>
      <c r="C59" s="5" t="n"/>
      <c r="D59" s="6" t="n"/>
      <c r="E59" s="7" t="n"/>
      <c r="F59" s="6" t="n"/>
      <c r="G59" s="8">
        <f>IF(B59="","",IFERROR(VLOOKUP(--B59,'CATALOGO CECO'!$A$2:$H$550,2,FALSE),"CECO NO EXISTE"))</f>
        <v/>
      </c>
      <c r="H59" s="8">
        <f>IF(B59="","",IFERROR(VLOOKUP(--B59,'CATALOGO CECO'!$A$2:$H$550,3,FALSE),""))</f>
        <v/>
      </c>
      <c r="I59" s="8">
        <f>IF(B59="","",IFERROR(VLOOKUP(--B59,'CATALOGO CECO'!$A$2:$H$550,5,FALSE),""))</f>
        <v/>
      </c>
      <c r="J59" s="8">
        <f>IF(B59="","",IFERROR(VLOOKUP(--B59,'CATALOGO CECO'!$A$2:$H$550,8,FALSE),""))</f>
        <v/>
      </c>
      <c r="K59" s="8">
        <f>IF(COUNTA(A59:F59)=0,"",IF(OR(LEN(A59)&lt;&gt;7,MID(A59,5,1)&lt;&gt;"-",ISERROR(--LEFT(A59,4)),ISERROR(--RIGHT(A59,2))),"ERROR: PERIODO debe ser AAAA-MM",IF(B59="","ERROR: falta CODIGO CECO",IF(G59="CECO NO EXISTE","ERROR: CECO no existe en el catálogo",IF(C59="","ERROR: falta CUENTA",IF(ISERROR(--C59),"ERROR: CUENTA debe tener solo dígitos",IF(ISERROR(FIND(LEFT(C59,1),"567")),"ERROR: CUENTA fuera de las clases de costo",IF(NOT(ISNUMBER(E59)),"ERROR: VALOR debe ser numérico",IF(E59=0,"AVISO: valor cero (no se carga)",IF(J59&lt;&gt;"ACTIVO","NO SE CARGA: CECO en estado "&amp;J59,"OK"))))))))))</f>
        <v/>
      </c>
    </row>
    <row r="60">
      <c r="A60" s="5" t="n"/>
      <c r="B60" s="6" t="n"/>
      <c r="C60" s="5" t="n"/>
      <c r="D60" s="6" t="n"/>
      <c r="E60" s="7" t="n"/>
      <c r="F60" s="6" t="n"/>
      <c r="G60" s="8">
        <f>IF(B60="","",IFERROR(VLOOKUP(--B60,'CATALOGO CECO'!$A$2:$H$550,2,FALSE),"CECO NO EXISTE"))</f>
        <v/>
      </c>
      <c r="H60" s="8">
        <f>IF(B60="","",IFERROR(VLOOKUP(--B60,'CATALOGO CECO'!$A$2:$H$550,3,FALSE),""))</f>
        <v/>
      </c>
      <c r="I60" s="8">
        <f>IF(B60="","",IFERROR(VLOOKUP(--B60,'CATALOGO CECO'!$A$2:$H$550,5,FALSE),""))</f>
        <v/>
      </c>
      <c r="J60" s="8">
        <f>IF(B60="","",IFERROR(VLOOKUP(--B60,'CATALOGO CECO'!$A$2:$H$550,8,FALSE),""))</f>
        <v/>
      </c>
      <c r="K60" s="8">
        <f>IF(COUNTA(A60:F60)=0,"",IF(OR(LEN(A60)&lt;&gt;7,MID(A60,5,1)&lt;&gt;"-",ISERROR(--LEFT(A60,4)),ISERROR(--RIGHT(A60,2))),"ERROR: PERIODO debe ser AAAA-MM",IF(B60="","ERROR: falta CODIGO CECO",IF(G60="CECO NO EXISTE","ERROR: CECO no existe en el catálogo",IF(C60="","ERROR: falta CUENTA",IF(ISERROR(--C60),"ERROR: CUENTA debe tener solo dígitos",IF(ISERROR(FIND(LEFT(C60,1),"567")),"ERROR: CUENTA fuera de las clases de costo",IF(NOT(ISNUMBER(E60)),"ERROR: VALOR debe ser numérico",IF(E60=0,"AVISO: valor cero (no se carga)",IF(J60&lt;&gt;"ACTIVO","NO SE CARGA: CECO en estado "&amp;J60,"OK"))))))))))</f>
        <v/>
      </c>
    </row>
    <row r="61">
      <c r="A61" s="5" t="n"/>
      <c r="B61" s="6" t="n"/>
      <c r="C61" s="5" t="n"/>
      <c r="D61" s="6" t="n"/>
      <c r="E61" s="7" t="n"/>
      <c r="F61" s="6" t="n"/>
      <c r="G61" s="8">
        <f>IF(B61="","",IFERROR(VLOOKUP(--B61,'CATALOGO CECO'!$A$2:$H$550,2,FALSE),"CECO NO EXISTE"))</f>
        <v/>
      </c>
      <c r="H61" s="8">
        <f>IF(B61="","",IFERROR(VLOOKUP(--B61,'CATALOGO CECO'!$A$2:$H$550,3,FALSE),""))</f>
        <v/>
      </c>
      <c r="I61" s="8">
        <f>IF(B61="","",IFERROR(VLOOKUP(--B61,'CATALOGO CECO'!$A$2:$H$550,5,FALSE),""))</f>
        <v/>
      </c>
      <c r="J61" s="8">
        <f>IF(B61="","",IFERROR(VLOOKUP(--B61,'CATALOGO CECO'!$A$2:$H$550,8,FALSE),""))</f>
        <v/>
      </c>
      <c r="K61" s="8">
        <f>IF(COUNTA(A61:F61)=0,"",IF(OR(LEN(A61)&lt;&gt;7,MID(A61,5,1)&lt;&gt;"-",ISERROR(--LEFT(A61,4)),ISERROR(--RIGHT(A61,2))),"ERROR: PERIODO debe ser AAAA-MM",IF(B61="","ERROR: falta CODIGO CECO",IF(G61="CECO NO EXISTE","ERROR: CECO no existe en el catálogo",IF(C61="","ERROR: falta CUENTA",IF(ISERROR(--C61),"ERROR: CUENTA debe tener solo dígitos",IF(ISERROR(FIND(LEFT(C61,1),"567")),"ERROR: CUENTA fuera de las clases de costo",IF(NOT(ISNUMBER(E61)),"ERROR: VALOR debe ser numérico",IF(E61=0,"AVISO: valor cero (no se carga)",IF(J61&lt;&gt;"ACTIVO","NO SE CARGA: CECO en estado "&amp;J61,"OK"))))))))))</f>
        <v/>
      </c>
    </row>
    <row r="62">
      <c r="A62" s="5" t="n"/>
      <c r="B62" s="6" t="n"/>
      <c r="C62" s="5" t="n"/>
      <c r="D62" s="6" t="n"/>
      <c r="E62" s="7" t="n"/>
      <c r="F62" s="6" t="n"/>
      <c r="G62" s="8">
        <f>IF(B62="","",IFERROR(VLOOKUP(--B62,'CATALOGO CECO'!$A$2:$H$550,2,FALSE),"CECO NO EXISTE"))</f>
        <v/>
      </c>
      <c r="H62" s="8">
        <f>IF(B62="","",IFERROR(VLOOKUP(--B62,'CATALOGO CECO'!$A$2:$H$550,3,FALSE),""))</f>
        <v/>
      </c>
      <c r="I62" s="8">
        <f>IF(B62="","",IFERROR(VLOOKUP(--B62,'CATALOGO CECO'!$A$2:$H$550,5,FALSE),""))</f>
        <v/>
      </c>
      <c r="J62" s="8">
        <f>IF(B62="","",IFERROR(VLOOKUP(--B62,'CATALOGO CECO'!$A$2:$H$550,8,FALSE),""))</f>
        <v/>
      </c>
      <c r="K62" s="8">
        <f>IF(COUNTA(A62:F62)=0,"",IF(OR(LEN(A62)&lt;&gt;7,MID(A62,5,1)&lt;&gt;"-",ISERROR(--LEFT(A62,4)),ISERROR(--RIGHT(A62,2))),"ERROR: PERIODO debe ser AAAA-MM",IF(B62="","ERROR: falta CODIGO CECO",IF(G62="CECO NO EXISTE","ERROR: CECO no existe en el catálogo",IF(C62="","ERROR: falta CUENTA",IF(ISERROR(--C62),"ERROR: CUENTA debe tener solo dígitos",IF(ISERROR(FIND(LEFT(C62,1),"567")),"ERROR: CUENTA fuera de las clases de costo",IF(NOT(ISNUMBER(E62)),"ERROR: VALOR debe ser numérico",IF(E62=0,"AVISO: valor cero (no se carga)",IF(J62&lt;&gt;"ACTIVO","NO SE CARGA: CECO en estado "&amp;J62,"OK"))))))))))</f>
        <v/>
      </c>
    </row>
    <row r="63">
      <c r="A63" s="5" t="n"/>
      <c r="B63" s="6" t="n"/>
      <c r="C63" s="5" t="n"/>
      <c r="D63" s="6" t="n"/>
      <c r="E63" s="7" t="n"/>
      <c r="F63" s="6" t="n"/>
      <c r="G63" s="8">
        <f>IF(B63="","",IFERROR(VLOOKUP(--B63,'CATALOGO CECO'!$A$2:$H$550,2,FALSE),"CECO NO EXISTE"))</f>
        <v/>
      </c>
      <c r="H63" s="8">
        <f>IF(B63="","",IFERROR(VLOOKUP(--B63,'CATALOGO CECO'!$A$2:$H$550,3,FALSE),""))</f>
        <v/>
      </c>
      <c r="I63" s="8">
        <f>IF(B63="","",IFERROR(VLOOKUP(--B63,'CATALOGO CECO'!$A$2:$H$550,5,FALSE),""))</f>
        <v/>
      </c>
      <c r="J63" s="8">
        <f>IF(B63="","",IFERROR(VLOOKUP(--B63,'CATALOGO CECO'!$A$2:$H$550,8,FALSE),""))</f>
        <v/>
      </c>
      <c r="K63" s="8">
        <f>IF(COUNTA(A63:F63)=0,"",IF(OR(LEN(A63)&lt;&gt;7,MID(A63,5,1)&lt;&gt;"-",ISERROR(--LEFT(A63,4)),ISERROR(--RIGHT(A63,2))),"ERROR: PERIODO debe ser AAAA-MM",IF(B63="","ERROR: falta CODIGO CECO",IF(G63="CECO NO EXISTE","ERROR: CECO no existe en el catálogo",IF(C63="","ERROR: falta CUENTA",IF(ISERROR(--C63),"ERROR: CUENTA debe tener solo dígitos",IF(ISERROR(FIND(LEFT(C63,1),"567")),"ERROR: CUENTA fuera de las clases de costo",IF(NOT(ISNUMBER(E63)),"ERROR: VALOR debe ser numérico",IF(E63=0,"AVISO: valor cero (no se carga)",IF(J63&lt;&gt;"ACTIVO","NO SE CARGA: CECO en estado "&amp;J63,"OK"))))))))))</f>
        <v/>
      </c>
    </row>
    <row r="64">
      <c r="A64" s="5" t="n"/>
      <c r="B64" s="6" t="n"/>
      <c r="C64" s="5" t="n"/>
      <c r="D64" s="6" t="n"/>
      <c r="E64" s="7" t="n"/>
      <c r="F64" s="6" t="n"/>
      <c r="G64" s="8">
        <f>IF(B64="","",IFERROR(VLOOKUP(--B64,'CATALOGO CECO'!$A$2:$H$550,2,FALSE),"CECO NO EXISTE"))</f>
        <v/>
      </c>
      <c r="H64" s="8">
        <f>IF(B64="","",IFERROR(VLOOKUP(--B64,'CATALOGO CECO'!$A$2:$H$550,3,FALSE),""))</f>
        <v/>
      </c>
      <c r="I64" s="8">
        <f>IF(B64="","",IFERROR(VLOOKUP(--B64,'CATALOGO CECO'!$A$2:$H$550,5,FALSE),""))</f>
        <v/>
      </c>
      <c r="J64" s="8">
        <f>IF(B64="","",IFERROR(VLOOKUP(--B64,'CATALOGO CECO'!$A$2:$H$550,8,FALSE),""))</f>
        <v/>
      </c>
      <c r="K64" s="8">
        <f>IF(COUNTA(A64:F64)=0,"",IF(OR(LEN(A64)&lt;&gt;7,MID(A64,5,1)&lt;&gt;"-",ISERROR(--LEFT(A64,4)),ISERROR(--RIGHT(A64,2))),"ERROR: PERIODO debe ser AAAA-MM",IF(B64="","ERROR: falta CODIGO CECO",IF(G64="CECO NO EXISTE","ERROR: CECO no existe en el catálogo",IF(C64="","ERROR: falta CUENTA",IF(ISERROR(--C64),"ERROR: CUENTA debe tener solo dígitos",IF(ISERROR(FIND(LEFT(C64,1),"567")),"ERROR: CUENTA fuera de las clases de costo",IF(NOT(ISNUMBER(E64)),"ERROR: VALOR debe ser numérico",IF(E64=0,"AVISO: valor cero (no se carga)",IF(J64&lt;&gt;"ACTIVO","NO SE CARGA: CECO en estado "&amp;J64,"OK"))))))))))</f>
        <v/>
      </c>
    </row>
    <row r="65">
      <c r="A65" s="5" t="n"/>
      <c r="B65" s="6" t="n"/>
      <c r="C65" s="5" t="n"/>
      <c r="D65" s="6" t="n"/>
      <c r="E65" s="7" t="n"/>
      <c r="F65" s="6" t="n"/>
      <c r="G65" s="8">
        <f>IF(B65="","",IFERROR(VLOOKUP(--B65,'CATALOGO CECO'!$A$2:$H$550,2,FALSE),"CECO NO EXISTE"))</f>
        <v/>
      </c>
      <c r="H65" s="8">
        <f>IF(B65="","",IFERROR(VLOOKUP(--B65,'CATALOGO CECO'!$A$2:$H$550,3,FALSE),""))</f>
        <v/>
      </c>
      <c r="I65" s="8">
        <f>IF(B65="","",IFERROR(VLOOKUP(--B65,'CATALOGO CECO'!$A$2:$H$550,5,FALSE),""))</f>
        <v/>
      </c>
      <c r="J65" s="8">
        <f>IF(B65="","",IFERROR(VLOOKUP(--B65,'CATALOGO CECO'!$A$2:$H$550,8,FALSE),""))</f>
        <v/>
      </c>
      <c r="K65" s="8">
        <f>IF(COUNTA(A65:F65)=0,"",IF(OR(LEN(A65)&lt;&gt;7,MID(A65,5,1)&lt;&gt;"-",ISERROR(--LEFT(A65,4)),ISERROR(--RIGHT(A65,2))),"ERROR: PERIODO debe ser AAAA-MM",IF(B65="","ERROR: falta CODIGO CECO",IF(G65="CECO NO EXISTE","ERROR: CECO no existe en el catálogo",IF(C65="","ERROR: falta CUENTA",IF(ISERROR(--C65),"ERROR: CUENTA debe tener solo dígitos",IF(ISERROR(FIND(LEFT(C65,1),"567")),"ERROR: CUENTA fuera de las clases de costo",IF(NOT(ISNUMBER(E65)),"ERROR: VALOR debe ser numérico",IF(E65=0,"AVISO: valor cero (no se carga)",IF(J65&lt;&gt;"ACTIVO","NO SE CARGA: CECO en estado "&amp;J65,"OK"))))))))))</f>
        <v/>
      </c>
    </row>
    <row r="66">
      <c r="A66" s="5" t="n"/>
      <c r="B66" s="6" t="n"/>
      <c r="C66" s="5" t="n"/>
      <c r="D66" s="6" t="n"/>
      <c r="E66" s="7" t="n"/>
      <c r="F66" s="6" t="n"/>
      <c r="G66" s="8">
        <f>IF(B66="","",IFERROR(VLOOKUP(--B66,'CATALOGO CECO'!$A$2:$H$550,2,FALSE),"CECO NO EXISTE"))</f>
        <v/>
      </c>
      <c r="H66" s="8">
        <f>IF(B66="","",IFERROR(VLOOKUP(--B66,'CATALOGO CECO'!$A$2:$H$550,3,FALSE),""))</f>
        <v/>
      </c>
      <c r="I66" s="8">
        <f>IF(B66="","",IFERROR(VLOOKUP(--B66,'CATALOGO CECO'!$A$2:$H$550,5,FALSE),""))</f>
        <v/>
      </c>
      <c r="J66" s="8">
        <f>IF(B66="","",IFERROR(VLOOKUP(--B66,'CATALOGO CECO'!$A$2:$H$550,8,FALSE),""))</f>
        <v/>
      </c>
      <c r="K66" s="8">
        <f>IF(COUNTA(A66:F66)=0,"",IF(OR(LEN(A66)&lt;&gt;7,MID(A66,5,1)&lt;&gt;"-",ISERROR(--LEFT(A66,4)),ISERROR(--RIGHT(A66,2))),"ERROR: PERIODO debe ser AAAA-MM",IF(B66="","ERROR: falta CODIGO CECO",IF(G66="CECO NO EXISTE","ERROR: CECO no existe en el catálogo",IF(C66="","ERROR: falta CUENTA",IF(ISERROR(--C66),"ERROR: CUENTA debe tener solo dígitos",IF(ISERROR(FIND(LEFT(C66,1),"567")),"ERROR: CUENTA fuera de las clases de costo",IF(NOT(ISNUMBER(E66)),"ERROR: VALOR debe ser numérico",IF(E66=0,"AVISO: valor cero (no se carga)",IF(J66&lt;&gt;"ACTIVO","NO SE CARGA: CECO en estado "&amp;J66,"OK"))))))))))</f>
        <v/>
      </c>
    </row>
    <row r="67">
      <c r="A67" s="5" t="n"/>
      <c r="B67" s="6" t="n"/>
      <c r="C67" s="5" t="n"/>
      <c r="D67" s="6" t="n"/>
      <c r="E67" s="7" t="n"/>
      <c r="F67" s="6" t="n"/>
      <c r="G67" s="8">
        <f>IF(B67="","",IFERROR(VLOOKUP(--B67,'CATALOGO CECO'!$A$2:$H$550,2,FALSE),"CECO NO EXISTE"))</f>
        <v/>
      </c>
      <c r="H67" s="8">
        <f>IF(B67="","",IFERROR(VLOOKUP(--B67,'CATALOGO CECO'!$A$2:$H$550,3,FALSE),""))</f>
        <v/>
      </c>
      <c r="I67" s="8">
        <f>IF(B67="","",IFERROR(VLOOKUP(--B67,'CATALOGO CECO'!$A$2:$H$550,5,FALSE),""))</f>
        <v/>
      </c>
      <c r="J67" s="8">
        <f>IF(B67="","",IFERROR(VLOOKUP(--B67,'CATALOGO CECO'!$A$2:$H$550,8,FALSE),""))</f>
        <v/>
      </c>
      <c r="K67" s="8">
        <f>IF(COUNTA(A67:F67)=0,"",IF(OR(LEN(A67)&lt;&gt;7,MID(A67,5,1)&lt;&gt;"-",ISERROR(--LEFT(A67,4)),ISERROR(--RIGHT(A67,2))),"ERROR: PERIODO debe ser AAAA-MM",IF(B67="","ERROR: falta CODIGO CECO",IF(G67="CECO NO EXISTE","ERROR: CECO no existe en el catálogo",IF(C67="","ERROR: falta CUENTA",IF(ISERROR(--C67),"ERROR: CUENTA debe tener solo dígitos",IF(ISERROR(FIND(LEFT(C67,1),"567")),"ERROR: CUENTA fuera de las clases de costo",IF(NOT(ISNUMBER(E67)),"ERROR: VALOR debe ser numérico",IF(E67=0,"AVISO: valor cero (no se carga)",IF(J67&lt;&gt;"ACTIVO","NO SE CARGA: CECO en estado "&amp;J67,"OK"))))))))))</f>
        <v/>
      </c>
    </row>
    <row r="68">
      <c r="A68" s="5" t="n"/>
      <c r="B68" s="6" t="n"/>
      <c r="C68" s="5" t="n"/>
      <c r="D68" s="6" t="n"/>
      <c r="E68" s="7" t="n"/>
      <c r="F68" s="6" t="n"/>
      <c r="G68" s="8">
        <f>IF(B68="","",IFERROR(VLOOKUP(--B68,'CATALOGO CECO'!$A$2:$H$550,2,FALSE),"CECO NO EXISTE"))</f>
        <v/>
      </c>
      <c r="H68" s="8">
        <f>IF(B68="","",IFERROR(VLOOKUP(--B68,'CATALOGO CECO'!$A$2:$H$550,3,FALSE),""))</f>
        <v/>
      </c>
      <c r="I68" s="8">
        <f>IF(B68="","",IFERROR(VLOOKUP(--B68,'CATALOGO CECO'!$A$2:$H$550,5,FALSE),""))</f>
        <v/>
      </c>
      <c r="J68" s="8">
        <f>IF(B68="","",IFERROR(VLOOKUP(--B68,'CATALOGO CECO'!$A$2:$H$550,8,FALSE),""))</f>
        <v/>
      </c>
      <c r="K68" s="8">
        <f>IF(COUNTA(A68:F68)=0,"",IF(OR(LEN(A68)&lt;&gt;7,MID(A68,5,1)&lt;&gt;"-",ISERROR(--LEFT(A68,4)),ISERROR(--RIGHT(A68,2))),"ERROR: PERIODO debe ser AAAA-MM",IF(B68="","ERROR: falta CODIGO CECO",IF(G68="CECO NO EXISTE","ERROR: CECO no existe en el catálogo",IF(C68="","ERROR: falta CUENTA",IF(ISERROR(--C68),"ERROR: CUENTA debe tener solo dígitos",IF(ISERROR(FIND(LEFT(C68,1),"567")),"ERROR: CUENTA fuera de las clases de costo",IF(NOT(ISNUMBER(E68)),"ERROR: VALOR debe ser numérico",IF(E68=0,"AVISO: valor cero (no se carga)",IF(J68&lt;&gt;"ACTIVO","NO SE CARGA: CECO en estado "&amp;J68,"OK"))))))))))</f>
        <v/>
      </c>
    </row>
    <row r="69">
      <c r="A69" s="5" t="n"/>
      <c r="B69" s="6" t="n"/>
      <c r="C69" s="5" t="n"/>
      <c r="D69" s="6" t="n"/>
      <c r="E69" s="7" t="n"/>
      <c r="F69" s="6" t="n"/>
      <c r="G69" s="8">
        <f>IF(B69="","",IFERROR(VLOOKUP(--B69,'CATALOGO CECO'!$A$2:$H$550,2,FALSE),"CECO NO EXISTE"))</f>
        <v/>
      </c>
      <c r="H69" s="8">
        <f>IF(B69="","",IFERROR(VLOOKUP(--B69,'CATALOGO CECO'!$A$2:$H$550,3,FALSE),""))</f>
        <v/>
      </c>
      <c r="I69" s="8">
        <f>IF(B69="","",IFERROR(VLOOKUP(--B69,'CATALOGO CECO'!$A$2:$H$550,5,FALSE),""))</f>
        <v/>
      </c>
      <c r="J69" s="8">
        <f>IF(B69="","",IFERROR(VLOOKUP(--B69,'CATALOGO CECO'!$A$2:$H$550,8,FALSE),""))</f>
        <v/>
      </c>
      <c r="K69" s="8">
        <f>IF(COUNTA(A69:F69)=0,"",IF(OR(LEN(A69)&lt;&gt;7,MID(A69,5,1)&lt;&gt;"-",ISERROR(--LEFT(A69,4)),ISERROR(--RIGHT(A69,2))),"ERROR: PERIODO debe ser AAAA-MM",IF(B69="","ERROR: falta CODIGO CECO",IF(G69="CECO NO EXISTE","ERROR: CECO no existe en el catálogo",IF(C69="","ERROR: falta CUENTA",IF(ISERROR(--C69),"ERROR: CUENTA debe tener solo dígitos",IF(ISERROR(FIND(LEFT(C69,1),"567")),"ERROR: CUENTA fuera de las clases de costo",IF(NOT(ISNUMBER(E69)),"ERROR: VALOR debe ser numérico",IF(E69=0,"AVISO: valor cero (no se carga)",IF(J69&lt;&gt;"ACTIVO","NO SE CARGA: CECO en estado "&amp;J69,"OK"))))))))))</f>
        <v/>
      </c>
    </row>
    <row r="70">
      <c r="A70" s="5" t="n"/>
      <c r="B70" s="6" t="n"/>
      <c r="C70" s="5" t="n"/>
      <c r="D70" s="6" t="n"/>
      <c r="E70" s="7" t="n"/>
      <c r="F70" s="6" t="n"/>
      <c r="G70" s="8">
        <f>IF(B70="","",IFERROR(VLOOKUP(--B70,'CATALOGO CECO'!$A$2:$H$550,2,FALSE),"CECO NO EXISTE"))</f>
        <v/>
      </c>
      <c r="H70" s="8">
        <f>IF(B70="","",IFERROR(VLOOKUP(--B70,'CATALOGO CECO'!$A$2:$H$550,3,FALSE),""))</f>
        <v/>
      </c>
      <c r="I70" s="8">
        <f>IF(B70="","",IFERROR(VLOOKUP(--B70,'CATALOGO CECO'!$A$2:$H$550,5,FALSE),""))</f>
        <v/>
      </c>
      <c r="J70" s="8">
        <f>IF(B70="","",IFERROR(VLOOKUP(--B70,'CATALOGO CECO'!$A$2:$H$550,8,FALSE),""))</f>
        <v/>
      </c>
      <c r="K70" s="8">
        <f>IF(COUNTA(A70:F70)=0,"",IF(OR(LEN(A70)&lt;&gt;7,MID(A70,5,1)&lt;&gt;"-",ISERROR(--LEFT(A70,4)),ISERROR(--RIGHT(A70,2))),"ERROR: PERIODO debe ser AAAA-MM",IF(B70="","ERROR: falta CODIGO CECO",IF(G70="CECO NO EXISTE","ERROR: CECO no existe en el catálogo",IF(C70="","ERROR: falta CUENTA",IF(ISERROR(--C70),"ERROR: CUENTA debe tener solo dígitos",IF(ISERROR(FIND(LEFT(C70,1),"567")),"ERROR: CUENTA fuera de las clases de costo",IF(NOT(ISNUMBER(E70)),"ERROR: VALOR debe ser numérico",IF(E70=0,"AVISO: valor cero (no se carga)",IF(J70&lt;&gt;"ACTIVO","NO SE CARGA: CECO en estado "&amp;J70,"OK"))))))))))</f>
        <v/>
      </c>
    </row>
    <row r="71">
      <c r="A71" s="5" t="n"/>
      <c r="B71" s="6" t="n"/>
      <c r="C71" s="5" t="n"/>
      <c r="D71" s="6" t="n"/>
      <c r="E71" s="7" t="n"/>
      <c r="F71" s="6" t="n"/>
      <c r="G71" s="8">
        <f>IF(B71="","",IFERROR(VLOOKUP(--B71,'CATALOGO CECO'!$A$2:$H$550,2,FALSE),"CECO NO EXISTE"))</f>
        <v/>
      </c>
      <c r="H71" s="8">
        <f>IF(B71="","",IFERROR(VLOOKUP(--B71,'CATALOGO CECO'!$A$2:$H$550,3,FALSE),""))</f>
        <v/>
      </c>
      <c r="I71" s="8">
        <f>IF(B71="","",IFERROR(VLOOKUP(--B71,'CATALOGO CECO'!$A$2:$H$550,5,FALSE),""))</f>
        <v/>
      </c>
      <c r="J71" s="8">
        <f>IF(B71="","",IFERROR(VLOOKUP(--B71,'CATALOGO CECO'!$A$2:$H$550,8,FALSE),""))</f>
        <v/>
      </c>
      <c r="K71" s="8">
        <f>IF(COUNTA(A71:F71)=0,"",IF(OR(LEN(A71)&lt;&gt;7,MID(A71,5,1)&lt;&gt;"-",ISERROR(--LEFT(A71,4)),ISERROR(--RIGHT(A71,2))),"ERROR: PERIODO debe ser AAAA-MM",IF(B71="","ERROR: falta CODIGO CECO",IF(G71="CECO NO EXISTE","ERROR: CECO no existe en el catálogo",IF(C71="","ERROR: falta CUENTA",IF(ISERROR(--C71),"ERROR: CUENTA debe tener solo dígitos",IF(ISERROR(FIND(LEFT(C71,1),"567")),"ERROR: CUENTA fuera de las clases de costo",IF(NOT(ISNUMBER(E71)),"ERROR: VALOR debe ser numérico",IF(E71=0,"AVISO: valor cero (no se carga)",IF(J71&lt;&gt;"ACTIVO","NO SE CARGA: CECO en estado "&amp;J71,"OK"))))))))))</f>
        <v/>
      </c>
    </row>
    <row r="72">
      <c r="A72" s="5" t="n"/>
      <c r="B72" s="6" t="n"/>
      <c r="C72" s="5" t="n"/>
      <c r="D72" s="6" t="n"/>
      <c r="E72" s="7" t="n"/>
      <c r="F72" s="6" t="n"/>
      <c r="G72" s="8">
        <f>IF(B72="","",IFERROR(VLOOKUP(--B72,'CATALOGO CECO'!$A$2:$H$550,2,FALSE),"CECO NO EXISTE"))</f>
        <v/>
      </c>
      <c r="H72" s="8">
        <f>IF(B72="","",IFERROR(VLOOKUP(--B72,'CATALOGO CECO'!$A$2:$H$550,3,FALSE),""))</f>
        <v/>
      </c>
      <c r="I72" s="8">
        <f>IF(B72="","",IFERROR(VLOOKUP(--B72,'CATALOGO CECO'!$A$2:$H$550,5,FALSE),""))</f>
        <v/>
      </c>
      <c r="J72" s="8">
        <f>IF(B72="","",IFERROR(VLOOKUP(--B72,'CATALOGO CECO'!$A$2:$H$550,8,FALSE),""))</f>
        <v/>
      </c>
      <c r="K72" s="8">
        <f>IF(COUNTA(A72:F72)=0,"",IF(OR(LEN(A72)&lt;&gt;7,MID(A72,5,1)&lt;&gt;"-",ISERROR(--LEFT(A72,4)),ISERROR(--RIGHT(A72,2))),"ERROR: PERIODO debe ser AAAA-MM",IF(B72="","ERROR: falta CODIGO CECO",IF(G72="CECO NO EXISTE","ERROR: CECO no existe en el catálogo",IF(C72="","ERROR: falta CUENTA",IF(ISERROR(--C72),"ERROR: CUENTA debe tener solo dígitos",IF(ISERROR(FIND(LEFT(C72,1),"567")),"ERROR: CUENTA fuera de las clases de costo",IF(NOT(ISNUMBER(E72)),"ERROR: VALOR debe ser numérico",IF(E72=0,"AVISO: valor cero (no se carga)",IF(J72&lt;&gt;"ACTIVO","NO SE CARGA: CECO en estado "&amp;J72,"OK"))))))))))</f>
        <v/>
      </c>
    </row>
    <row r="73">
      <c r="A73" s="5" t="n"/>
      <c r="B73" s="6" t="n"/>
      <c r="C73" s="5" t="n"/>
      <c r="D73" s="6" t="n"/>
      <c r="E73" s="7" t="n"/>
      <c r="F73" s="6" t="n"/>
      <c r="G73" s="8">
        <f>IF(B73="","",IFERROR(VLOOKUP(--B73,'CATALOGO CECO'!$A$2:$H$550,2,FALSE),"CECO NO EXISTE"))</f>
        <v/>
      </c>
      <c r="H73" s="8">
        <f>IF(B73="","",IFERROR(VLOOKUP(--B73,'CATALOGO CECO'!$A$2:$H$550,3,FALSE),""))</f>
        <v/>
      </c>
      <c r="I73" s="8">
        <f>IF(B73="","",IFERROR(VLOOKUP(--B73,'CATALOGO CECO'!$A$2:$H$550,5,FALSE),""))</f>
        <v/>
      </c>
      <c r="J73" s="8">
        <f>IF(B73="","",IFERROR(VLOOKUP(--B73,'CATALOGO CECO'!$A$2:$H$550,8,FALSE),""))</f>
        <v/>
      </c>
      <c r="K73" s="8">
        <f>IF(COUNTA(A73:F73)=0,"",IF(OR(LEN(A73)&lt;&gt;7,MID(A73,5,1)&lt;&gt;"-",ISERROR(--LEFT(A73,4)),ISERROR(--RIGHT(A73,2))),"ERROR: PERIODO debe ser AAAA-MM",IF(B73="","ERROR: falta CODIGO CECO",IF(G73="CECO NO EXISTE","ERROR: CECO no existe en el catálogo",IF(C73="","ERROR: falta CUENTA",IF(ISERROR(--C73),"ERROR: CUENTA debe tener solo dígitos",IF(ISERROR(FIND(LEFT(C73,1),"567")),"ERROR: CUENTA fuera de las clases de costo",IF(NOT(ISNUMBER(E73)),"ERROR: VALOR debe ser numérico",IF(E73=0,"AVISO: valor cero (no se carga)",IF(J73&lt;&gt;"ACTIVO","NO SE CARGA: CECO en estado "&amp;J73,"OK"))))))))))</f>
        <v/>
      </c>
    </row>
    <row r="74">
      <c r="A74" s="5" t="n"/>
      <c r="B74" s="6" t="n"/>
      <c r="C74" s="5" t="n"/>
      <c r="D74" s="6" t="n"/>
      <c r="E74" s="7" t="n"/>
      <c r="F74" s="6" t="n"/>
      <c r="G74" s="8">
        <f>IF(B74="","",IFERROR(VLOOKUP(--B74,'CATALOGO CECO'!$A$2:$H$550,2,FALSE),"CECO NO EXISTE"))</f>
        <v/>
      </c>
      <c r="H74" s="8">
        <f>IF(B74="","",IFERROR(VLOOKUP(--B74,'CATALOGO CECO'!$A$2:$H$550,3,FALSE),""))</f>
        <v/>
      </c>
      <c r="I74" s="8">
        <f>IF(B74="","",IFERROR(VLOOKUP(--B74,'CATALOGO CECO'!$A$2:$H$550,5,FALSE),""))</f>
        <v/>
      </c>
      <c r="J74" s="8">
        <f>IF(B74="","",IFERROR(VLOOKUP(--B74,'CATALOGO CECO'!$A$2:$H$550,8,FALSE),""))</f>
        <v/>
      </c>
      <c r="K74" s="8">
        <f>IF(COUNTA(A74:F74)=0,"",IF(OR(LEN(A74)&lt;&gt;7,MID(A74,5,1)&lt;&gt;"-",ISERROR(--LEFT(A74,4)),ISERROR(--RIGHT(A74,2))),"ERROR: PERIODO debe ser AAAA-MM",IF(B74="","ERROR: falta CODIGO CECO",IF(G74="CECO NO EXISTE","ERROR: CECO no existe en el catálogo",IF(C74="","ERROR: falta CUENTA",IF(ISERROR(--C74),"ERROR: CUENTA debe tener solo dígitos",IF(ISERROR(FIND(LEFT(C74,1),"567")),"ERROR: CUENTA fuera de las clases de costo",IF(NOT(ISNUMBER(E74)),"ERROR: VALOR debe ser numérico",IF(E74=0,"AVISO: valor cero (no se carga)",IF(J74&lt;&gt;"ACTIVO","NO SE CARGA: CECO en estado "&amp;J74,"OK"))))))))))</f>
        <v/>
      </c>
    </row>
    <row r="75">
      <c r="A75" s="5" t="n"/>
      <c r="B75" s="6" t="n"/>
      <c r="C75" s="5" t="n"/>
      <c r="D75" s="6" t="n"/>
      <c r="E75" s="7" t="n"/>
      <c r="F75" s="6" t="n"/>
      <c r="G75" s="8">
        <f>IF(B75="","",IFERROR(VLOOKUP(--B75,'CATALOGO CECO'!$A$2:$H$550,2,FALSE),"CECO NO EXISTE"))</f>
        <v/>
      </c>
      <c r="H75" s="8">
        <f>IF(B75="","",IFERROR(VLOOKUP(--B75,'CATALOGO CECO'!$A$2:$H$550,3,FALSE),""))</f>
        <v/>
      </c>
      <c r="I75" s="8">
        <f>IF(B75="","",IFERROR(VLOOKUP(--B75,'CATALOGO CECO'!$A$2:$H$550,5,FALSE),""))</f>
        <v/>
      </c>
      <c r="J75" s="8">
        <f>IF(B75="","",IFERROR(VLOOKUP(--B75,'CATALOGO CECO'!$A$2:$H$550,8,FALSE),""))</f>
        <v/>
      </c>
      <c r="K75" s="8">
        <f>IF(COUNTA(A75:F75)=0,"",IF(OR(LEN(A75)&lt;&gt;7,MID(A75,5,1)&lt;&gt;"-",ISERROR(--LEFT(A75,4)),ISERROR(--RIGHT(A75,2))),"ERROR: PERIODO debe ser AAAA-MM",IF(B75="","ERROR: falta CODIGO CECO",IF(G75="CECO NO EXISTE","ERROR: CECO no existe en el catálogo",IF(C75="","ERROR: falta CUENTA",IF(ISERROR(--C75),"ERROR: CUENTA debe tener solo dígitos",IF(ISERROR(FIND(LEFT(C75,1),"567")),"ERROR: CUENTA fuera de las clases de costo",IF(NOT(ISNUMBER(E75)),"ERROR: VALOR debe ser numérico",IF(E75=0,"AVISO: valor cero (no se carga)",IF(J75&lt;&gt;"ACTIVO","NO SE CARGA: CECO en estado "&amp;J75,"OK"))))))))))</f>
        <v/>
      </c>
    </row>
    <row r="76">
      <c r="A76" s="5" t="n"/>
      <c r="B76" s="6" t="n"/>
      <c r="C76" s="5" t="n"/>
      <c r="D76" s="6" t="n"/>
      <c r="E76" s="7" t="n"/>
      <c r="F76" s="6" t="n"/>
      <c r="G76" s="8">
        <f>IF(B76="","",IFERROR(VLOOKUP(--B76,'CATALOGO CECO'!$A$2:$H$550,2,FALSE),"CECO NO EXISTE"))</f>
        <v/>
      </c>
      <c r="H76" s="8">
        <f>IF(B76="","",IFERROR(VLOOKUP(--B76,'CATALOGO CECO'!$A$2:$H$550,3,FALSE),""))</f>
        <v/>
      </c>
      <c r="I76" s="8">
        <f>IF(B76="","",IFERROR(VLOOKUP(--B76,'CATALOGO CECO'!$A$2:$H$550,5,FALSE),""))</f>
        <v/>
      </c>
      <c r="J76" s="8">
        <f>IF(B76="","",IFERROR(VLOOKUP(--B76,'CATALOGO CECO'!$A$2:$H$550,8,FALSE),""))</f>
        <v/>
      </c>
      <c r="K76" s="8">
        <f>IF(COUNTA(A76:F76)=0,"",IF(OR(LEN(A76)&lt;&gt;7,MID(A76,5,1)&lt;&gt;"-",ISERROR(--LEFT(A76,4)),ISERROR(--RIGHT(A76,2))),"ERROR: PERIODO debe ser AAAA-MM",IF(B76="","ERROR: falta CODIGO CECO",IF(G76="CECO NO EXISTE","ERROR: CECO no existe en el catálogo",IF(C76="","ERROR: falta CUENTA",IF(ISERROR(--C76),"ERROR: CUENTA debe tener solo dígitos",IF(ISERROR(FIND(LEFT(C76,1),"567")),"ERROR: CUENTA fuera de las clases de costo",IF(NOT(ISNUMBER(E76)),"ERROR: VALOR debe ser numérico",IF(E76=0,"AVISO: valor cero (no se carga)",IF(J76&lt;&gt;"ACTIVO","NO SE CARGA: CECO en estado "&amp;J76,"OK"))))))))))</f>
        <v/>
      </c>
    </row>
    <row r="77">
      <c r="A77" s="5" t="n"/>
      <c r="B77" s="6" t="n"/>
      <c r="C77" s="5" t="n"/>
      <c r="D77" s="6" t="n"/>
      <c r="E77" s="7" t="n"/>
      <c r="F77" s="6" t="n"/>
      <c r="G77" s="8">
        <f>IF(B77="","",IFERROR(VLOOKUP(--B77,'CATALOGO CECO'!$A$2:$H$550,2,FALSE),"CECO NO EXISTE"))</f>
        <v/>
      </c>
      <c r="H77" s="8">
        <f>IF(B77="","",IFERROR(VLOOKUP(--B77,'CATALOGO CECO'!$A$2:$H$550,3,FALSE),""))</f>
        <v/>
      </c>
      <c r="I77" s="8">
        <f>IF(B77="","",IFERROR(VLOOKUP(--B77,'CATALOGO CECO'!$A$2:$H$550,5,FALSE),""))</f>
        <v/>
      </c>
      <c r="J77" s="8">
        <f>IF(B77="","",IFERROR(VLOOKUP(--B77,'CATALOGO CECO'!$A$2:$H$550,8,FALSE),""))</f>
        <v/>
      </c>
      <c r="K77" s="8">
        <f>IF(COUNTA(A77:F77)=0,"",IF(OR(LEN(A77)&lt;&gt;7,MID(A77,5,1)&lt;&gt;"-",ISERROR(--LEFT(A77,4)),ISERROR(--RIGHT(A77,2))),"ERROR: PERIODO debe ser AAAA-MM",IF(B77="","ERROR: falta CODIGO CECO",IF(G77="CECO NO EXISTE","ERROR: CECO no existe en el catálogo",IF(C77="","ERROR: falta CUENTA",IF(ISERROR(--C77),"ERROR: CUENTA debe tener solo dígitos",IF(ISERROR(FIND(LEFT(C77,1),"567")),"ERROR: CUENTA fuera de las clases de costo",IF(NOT(ISNUMBER(E77)),"ERROR: VALOR debe ser numérico",IF(E77=0,"AVISO: valor cero (no se carga)",IF(J77&lt;&gt;"ACTIVO","NO SE CARGA: CECO en estado "&amp;J77,"OK"))))))))))</f>
        <v/>
      </c>
    </row>
    <row r="78">
      <c r="A78" s="5" t="n"/>
      <c r="B78" s="6" t="n"/>
      <c r="C78" s="5" t="n"/>
      <c r="D78" s="6" t="n"/>
      <c r="E78" s="7" t="n"/>
      <c r="F78" s="6" t="n"/>
      <c r="G78" s="8">
        <f>IF(B78="","",IFERROR(VLOOKUP(--B78,'CATALOGO CECO'!$A$2:$H$550,2,FALSE),"CECO NO EXISTE"))</f>
        <v/>
      </c>
      <c r="H78" s="8">
        <f>IF(B78="","",IFERROR(VLOOKUP(--B78,'CATALOGO CECO'!$A$2:$H$550,3,FALSE),""))</f>
        <v/>
      </c>
      <c r="I78" s="8">
        <f>IF(B78="","",IFERROR(VLOOKUP(--B78,'CATALOGO CECO'!$A$2:$H$550,5,FALSE),""))</f>
        <v/>
      </c>
      <c r="J78" s="8">
        <f>IF(B78="","",IFERROR(VLOOKUP(--B78,'CATALOGO CECO'!$A$2:$H$550,8,FALSE),""))</f>
        <v/>
      </c>
      <c r="K78" s="8">
        <f>IF(COUNTA(A78:F78)=0,"",IF(OR(LEN(A78)&lt;&gt;7,MID(A78,5,1)&lt;&gt;"-",ISERROR(--LEFT(A78,4)),ISERROR(--RIGHT(A78,2))),"ERROR: PERIODO debe ser AAAA-MM",IF(B78="","ERROR: falta CODIGO CECO",IF(G78="CECO NO EXISTE","ERROR: CECO no existe en el catálogo",IF(C78="","ERROR: falta CUENTA",IF(ISERROR(--C78),"ERROR: CUENTA debe tener solo dígitos",IF(ISERROR(FIND(LEFT(C78,1),"567")),"ERROR: CUENTA fuera de las clases de costo",IF(NOT(ISNUMBER(E78)),"ERROR: VALOR debe ser numérico",IF(E78=0,"AVISO: valor cero (no se carga)",IF(J78&lt;&gt;"ACTIVO","NO SE CARGA: CECO en estado "&amp;J78,"OK"))))))))))</f>
        <v/>
      </c>
    </row>
    <row r="79">
      <c r="A79" s="5" t="n"/>
      <c r="B79" s="6" t="n"/>
      <c r="C79" s="5" t="n"/>
      <c r="D79" s="6" t="n"/>
      <c r="E79" s="7" t="n"/>
      <c r="F79" s="6" t="n"/>
      <c r="G79" s="8">
        <f>IF(B79="","",IFERROR(VLOOKUP(--B79,'CATALOGO CECO'!$A$2:$H$550,2,FALSE),"CECO NO EXISTE"))</f>
        <v/>
      </c>
      <c r="H79" s="8">
        <f>IF(B79="","",IFERROR(VLOOKUP(--B79,'CATALOGO CECO'!$A$2:$H$550,3,FALSE),""))</f>
        <v/>
      </c>
      <c r="I79" s="8">
        <f>IF(B79="","",IFERROR(VLOOKUP(--B79,'CATALOGO CECO'!$A$2:$H$550,5,FALSE),""))</f>
        <v/>
      </c>
      <c r="J79" s="8">
        <f>IF(B79="","",IFERROR(VLOOKUP(--B79,'CATALOGO CECO'!$A$2:$H$550,8,FALSE),""))</f>
        <v/>
      </c>
      <c r="K79" s="8">
        <f>IF(COUNTA(A79:F79)=0,"",IF(OR(LEN(A79)&lt;&gt;7,MID(A79,5,1)&lt;&gt;"-",ISERROR(--LEFT(A79,4)),ISERROR(--RIGHT(A79,2))),"ERROR: PERIODO debe ser AAAA-MM",IF(B79="","ERROR: falta CODIGO CECO",IF(G79="CECO NO EXISTE","ERROR: CECO no existe en el catálogo",IF(C79="","ERROR: falta CUENTA",IF(ISERROR(--C79),"ERROR: CUENTA debe tener solo dígitos",IF(ISERROR(FIND(LEFT(C79,1),"567")),"ERROR: CUENTA fuera de las clases de costo",IF(NOT(ISNUMBER(E79)),"ERROR: VALOR debe ser numérico",IF(E79=0,"AVISO: valor cero (no se carga)",IF(J79&lt;&gt;"ACTIVO","NO SE CARGA: CECO en estado "&amp;J79,"OK"))))))))))</f>
        <v/>
      </c>
    </row>
    <row r="80">
      <c r="A80" s="5" t="n"/>
      <c r="B80" s="6" t="n"/>
      <c r="C80" s="5" t="n"/>
      <c r="D80" s="6" t="n"/>
      <c r="E80" s="7" t="n"/>
      <c r="F80" s="6" t="n"/>
      <c r="G80" s="8">
        <f>IF(B80="","",IFERROR(VLOOKUP(--B80,'CATALOGO CECO'!$A$2:$H$550,2,FALSE),"CECO NO EXISTE"))</f>
        <v/>
      </c>
      <c r="H80" s="8">
        <f>IF(B80="","",IFERROR(VLOOKUP(--B80,'CATALOGO CECO'!$A$2:$H$550,3,FALSE),""))</f>
        <v/>
      </c>
      <c r="I80" s="8">
        <f>IF(B80="","",IFERROR(VLOOKUP(--B80,'CATALOGO CECO'!$A$2:$H$550,5,FALSE),""))</f>
        <v/>
      </c>
      <c r="J80" s="8">
        <f>IF(B80="","",IFERROR(VLOOKUP(--B80,'CATALOGO CECO'!$A$2:$H$550,8,FALSE),""))</f>
        <v/>
      </c>
      <c r="K80" s="8">
        <f>IF(COUNTA(A80:F80)=0,"",IF(OR(LEN(A80)&lt;&gt;7,MID(A80,5,1)&lt;&gt;"-",ISERROR(--LEFT(A80,4)),ISERROR(--RIGHT(A80,2))),"ERROR: PERIODO debe ser AAAA-MM",IF(B80="","ERROR: falta CODIGO CECO",IF(G80="CECO NO EXISTE","ERROR: CECO no existe en el catálogo",IF(C80="","ERROR: falta CUENTA",IF(ISERROR(--C80),"ERROR: CUENTA debe tener solo dígitos",IF(ISERROR(FIND(LEFT(C80,1),"567")),"ERROR: CUENTA fuera de las clases de costo",IF(NOT(ISNUMBER(E80)),"ERROR: VALOR debe ser numérico",IF(E80=0,"AVISO: valor cero (no se carga)",IF(J80&lt;&gt;"ACTIVO","NO SE CARGA: CECO en estado "&amp;J80,"OK"))))))))))</f>
        <v/>
      </c>
    </row>
    <row r="81">
      <c r="A81" s="5" t="n"/>
      <c r="B81" s="6" t="n"/>
      <c r="C81" s="5" t="n"/>
      <c r="D81" s="6" t="n"/>
      <c r="E81" s="7" t="n"/>
      <c r="F81" s="6" t="n"/>
      <c r="G81" s="8">
        <f>IF(B81="","",IFERROR(VLOOKUP(--B81,'CATALOGO CECO'!$A$2:$H$550,2,FALSE),"CECO NO EXISTE"))</f>
        <v/>
      </c>
      <c r="H81" s="8">
        <f>IF(B81="","",IFERROR(VLOOKUP(--B81,'CATALOGO CECO'!$A$2:$H$550,3,FALSE),""))</f>
        <v/>
      </c>
      <c r="I81" s="8">
        <f>IF(B81="","",IFERROR(VLOOKUP(--B81,'CATALOGO CECO'!$A$2:$H$550,5,FALSE),""))</f>
        <v/>
      </c>
      <c r="J81" s="8">
        <f>IF(B81="","",IFERROR(VLOOKUP(--B81,'CATALOGO CECO'!$A$2:$H$550,8,FALSE),""))</f>
        <v/>
      </c>
      <c r="K81" s="8">
        <f>IF(COUNTA(A81:F81)=0,"",IF(OR(LEN(A81)&lt;&gt;7,MID(A81,5,1)&lt;&gt;"-",ISERROR(--LEFT(A81,4)),ISERROR(--RIGHT(A81,2))),"ERROR: PERIODO debe ser AAAA-MM",IF(B81="","ERROR: falta CODIGO CECO",IF(G81="CECO NO EXISTE","ERROR: CECO no existe en el catálogo",IF(C81="","ERROR: falta CUENTA",IF(ISERROR(--C81),"ERROR: CUENTA debe tener solo dígitos",IF(ISERROR(FIND(LEFT(C81,1),"567")),"ERROR: CUENTA fuera de las clases de costo",IF(NOT(ISNUMBER(E81)),"ERROR: VALOR debe ser numérico",IF(E81=0,"AVISO: valor cero (no se carga)",IF(J81&lt;&gt;"ACTIVO","NO SE CARGA: CECO en estado "&amp;J81,"OK"))))))))))</f>
        <v/>
      </c>
    </row>
    <row r="82">
      <c r="A82" s="5" t="n"/>
      <c r="B82" s="6" t="n"/>
      <c r="C82" s="5" t="n"/>
      <c r="D82" s="6" t="n"/>
      <c r="E82" s="7" t="n"/>
      <c r="F82" s="6" t="n"/>
      <c r="G82" s="8">
        <f>IF(B82="","",IFERROR(VLOOKUP(--B82,'CATALOGO CECO'!$A$2:$H$550,2,FALSE),"CECO NO EXISTE"))</f>
        <v/>
      </c>
      <c r="H82" s="8">
        <f>IF(B82="","",IFERROR(VLOOKUP(--B82,'CATALOGO CECO'!$A$2:$H$550,3,FALSE),""))</f>
        <v/>
      </c>
      <c r="I82" s="8">
        <f>IF(B82="","",IFERROR(VLOOKUP(--B82,'CATALOGO CECO'!$A$2:$H$550,5,FALSE),""))</f>
        <v/>
      </c>
      <c r="J82" s="8">
        <f>IF(B82="","",IFERROR(VLOOKUP(--B82,'CATALOGO CECO'!$A$2:$H$550,8,FALSE),""))</f>
        <v/>
      </c>
      <c r="K82" s="8">
        <f>IF(COUNTA(A82:F82)=0,"",IF(OR(LEN(A82)&lt;&gt;7,MID(A82,5,1)&lt;&gt;"-",ISERROR(--LEFT(A82,4)),ISERROR(--RIGHT(A82,2))),"ERROR: PERIODO debe ser AAAA-MM",IF(B82="","ERROR: falta CODIGO CECO",IF(G82="CECO NO EXISTE","ERROR: CECO no existe en el catálogo",IF(C82="","ERROR: falta CUENTA",IF(ISERROR(--C82),"ERROR: CUENTA debe tener solo dígitos",IF(ISERROR(FIND(LEFT(C82,1),"567")),"ERROR: CUENTA fuera de las clases de costo",IF(NOT(ISNUMBER(E82)),"ERROR: VALOR debe ser numérico",IF(E82=0,"AVISO: valor cero (no se carga)",IF(J82&lt;&gt;"ACTIVO","NO SE CARGA: CECO en estado "&amp;J82,"OK"))))))))))</f>
        <v/>
      </c>
    </row>
    <row r="83">
      <c r="A83" s="5" t="n"/>
      <c r="B83" s="6" t="n"/>
      <c r="C83" s="5" t="n"/>
      <c r="D83" s="6" t="n"/>
      <c r="E83" s="7" t="n"/>
      <c r="F83" s="6" t="n"/>
      <c r="G83" s="8">
        <f>IF(B83="","",IFERROR(VLOOKUP(--B83,'CATALOGO CECO'!$A$2:$H$550,2,FALSE),"CECO NO EXISTE"))</f>
        <v/>
      </c>
      <c r="H83" s="8">
        <f>IF(B83="","",IFERROR(VLOOKUP(--B83,'CATALOGO CECO'!$A$2:$H$550,3,FALSE),""))</f>
        <v/>
      </c>
      <c r="I83" s="8">
        <f>IF(B83="","",IFERROR(VLOOKUP(--B83,'CATALOGO CECO'!$A$2:$H$550,5,FALSE),""))</f>
        <v/>
      </c>
      <c r="J83" s="8">
        <f>IF(B83="","",IFERROR(VLOOKUP(--B83,'CATALOGO CECO'!$A$2:$H$550,8,FALSE),""))</f>
        <v/>
      </c>
      <c r="K83" s="8">
        <f>IF(COUNTA(A83:F83)=0,"",IF(OR(LEN(A83)&lt;&gt;7,MID(A83,5,1)&lt;&gt;"-",ISERROR(--LEFT(A83,4)),ISERROR(--RIGHT(A83,2))),"ERROR: PERIODO debe ser AAAA-MM",IF(B83="","ERROR: falta CODIGO CECO",IF(G83="CECO NO EXISTE","ERROR: CECO no existe en el catálogo",IF(C83="","ERROR: falta CUENTA",IF(ISERROR(--C83),"ERROR: CUENTA debe tener solo dígitos",IF(ISERROR(FIND(LEFT(C83,1),"567")),"ERROR: CUENTA fuera de las clases de costo",IF(NOT(ISNUMBER(E83)),"ERROR: VALOR debe ser numérico",IF(E83=0,"AVISO: valor cero (no se carga)",IF(J83&lt;&gt;"ACTIVO","NO SE CARGA: CECO en estado "&amp;J83,"OK"))))))))))</f>
        <v/>
      </c>
    </row>
    <row r="84">
      <c r="A84" s="5" t="n"/>
      <c r="B84" s="6" t="n"/>
      <c r="C84" s="5" t="n"/>
      <c r="D84" s="6" t="n"/>
      <c r="E84" s="7" t="n"/>
      <c r="F84" s="6" t="n"/>
      <c r="G84" s="8">
        <f>IF(B84="","",IFERROR(VLOOKUP(--B84,'CATALOGO CECO'!$A$2:$H$550,2,FALSE),"CECO NO EXISTE"))</f>
        <v/>
      </c>
      <c r="H84" s="8">
        <f>IF(B84="","",IFERROR(VLOOKUP(--B84,'CATALOGO CECO'!$A$2:$H$550,3,FALSE),""))</f>
        <v/>
      </c>
      <c r="I84" s="8">
        <f>IF(B84="","",IFERROR(VLOOKUP(--B84,'CATALOGO CECO'!$A$2:$H$550,5,FALSE),""))</f>
        <v/>
      </c>
      <c r="J84" s="8">
        <f>IF(B84="","",IFERROR(VLOOKUP(--B84,'CATALOGO CECO'!$A$2:$H$550,8,FALSE),""))</f>
        <v/>
      </c>
      <c r="K84" s="8">
        <f>IF(COUNTA(A84:F84)=0,"",IF(OR(LEN(A84)&lt;&gt;7,MID(A84,5,1)&lt;&gt;"-",ISERROR(--LEFT(A84,4)),ISERROR(--RIGHT(A84,2))),"ERROR: PERIODO debe ser AAAA-MM",IF(B84="","ERROR: falta CODIGO CECO",IF(G84="CECO NO EXISTE","ERROR: CECO no existe en el catálogo",IF(C84="","ERROR: falta CUENTA",IF(ISERROR(--C84),"ERROR: CUENTA debe tener solo dígitos",IF(ISERROR(FIND(LEFT(C84,1),"567")),"ERROR: CUENTA fuera de las clases de costo",IF(NOT(ISNUMBER(E84)),"ERROR: VALOR debe ser numérico",IF(E84=0,"AVISO: valor cero (no se carga)",IF(J84&lt;&gt;"ACTIVO","NO SE CARGA: CECO en estado "&amp;J84,"OK"))))))))))</f>
        <v/>
      </c>
    </row>
    <row r="85">
      <c r="A85" s="5" t="n"/>
      <c r="B85" s="6" t="n"/>
      <c r="C85" s="5" t="n"/>
      <c r="D85" s="6" t="n"/>
      <c r="E85" s="7" t="n"/>
      <c r="F85" s="6" t="n"/>
      <c r="G85" s="8">
        <f>IF(B85="","",IFERROR(VLOOKUP(--B85,'CATALOGO CECO'!$A$2:$H$550,2,FALSE),"CECO NO EXISTE"))</f>
        <v/>
      </c>
      <c r="H85" s="8">
        <f>IF(B85="","",IFERROR(VLOOKUP(--B85,'CATALOGO CECO'!$A$2:$H$550,3,FALSE),""))</f>
        <v/>
      </c>
      <c r="I85" s="8">
        <f>IF(B85="","",IFERROR(VLOOKUP(--B85,'CATALOGO CECO'!$A$2:$H$550,5,FALSE),""))</f>
        <v/>
      </c>
      <c r="J85" s="8">
        <f>IF(B85="","",IFERROR(VLOOKUP(--B85,'CATALOGO CECO'!$A$2:$H$550,8,FALSE),""))</f>
        <v/>
      </c>
      <c r="K85" s="8">
        <f>IF(COUNTA(A85:F85)=0,"",IF(OR(LEN(A85)&lt;&gt;7,MID(A85,5,1)&lt;&gt;"-",ISERROR(--LEFT(A85,4)),ISERROR(--RIGHT(A85,2))),"ERROR: PERIODO debe ser AAAA-MM",IF(B85="","ERROR: falta CODIGO CECO",IF(G85="CECO NO EXISTE","ERROR: CECO no existe en el catálogo",IF(C85="","ERROR: falta CUENTA",IF(ISERROR(--C85),"ERROR: CUENTA debe tener solo dígitos",IF(ISERROR(FIND(LEFT(C85,1),"567")),"ERROR: CUENTA fuera de las clases de costo",IF(NOT(ISNUMBER(E85)),"ERROR: VALOR debe ser numérico",IF(E85=0,"AVISO: valor cero (no se carga)",IF(J85&lt;&gt;"ACTIVO","NO SE CARGA: CECO en estado "&amp;J85,"OK"))))))))))</f>
        <v/>
      </c>
    </row>
    <row r="86">
      <c r="A86" s="5" t="n"/>
      <c r="B86" s="6" t="n"/>
      <c r="C86" s="5" t="n"/>
      <c r="D86" s="6" t="n"/>
      <c r="E86" s="7" t="n"/>
      <c r="F86" s="6" t="n"/>
      <c r="G86" s="8">
        <f>IF(B86="","",IFERROR(VLOOKUP(--B86,'CATALOGO CECO'!$A$2:$H$550,2,FALSE),"CECO NO EXISTE"))</f>
        <v/>
      </c>
      <c r="H86" s="8">
        <f>IF(B86="","",IFERROR(VLOOKUP(--B86,'CATALOGO CECO'!$A$2:$H$550,3,FALSE),""))</f>
        <v/>
      </c>
      <c r="I86" s="8">
        <f>IF(B86="","",IFERROR(VLOOKUP(--B86,'CATALOGO CECO'!$A$2:$H$550,5,FALSE),""))</f>
        <v/>
      </c>
      <c r="J86" s="8">
        <f>IF(B86="","",IFERROR(VLOOKUP(--B86,'CATALOGO CECO'!$A$2:$H$550,8,FALSE),""))</f>
        <v/>
      </c>
      <c r="K86" s="8">
        <f>IF(COUNTA(A86:F86)=0,"",IF(OR(LEN(A86)&lt;&gt;7,MID(A86,5,1)&lt;&gt;"-",ISERROR(--LEFT(A86,4)),ISERROR(--RIGHT(A86,2))),"ERROR: PERIODO debe ser AAAA-MM",IF(B86="","ERROR: falta CODIGO CECO",IF(G86="CECO NO EXISTE","ERROR: CECO no existe en el catálogo",IF(C86="","ERROR: falta CUENTA",IF(ISERROR(--C86),"ERROR: CUENTA debe tener solo dígitos",IF(ISERROR(FIND(LEFT(C86,1),"567")),"ERROR: CUENTA fuera de las clases de costo",IF(NOT(ISNUMBER(E86)),"ERROR: VALOR debe ser numérico",IF(E86=0,"AVISO: valor cero (no se carga)",IF(J86&lt;&gt;"ACTIVO","NO SE CARGA: CECO en estado "&amp;J86,"OK"))))))))))</f>
        <v/>
      </c>
    </row>
    <row r="87">
      <c r="A87" s="5" t="n"/>
      <c r="B87" s="6" t="n"/>
      <c r="C87" s="5" t="n"/>
      <c r="D87" s="6" t="n"/>
      <c r="E87" s="7" t="n"/>
      <c r="F87" s="6" t="n"/>
      <c r="G87" s="8">
        <f>IF(B87="","",IFERROR(VLOOKUP(--B87,'CATALOGO CECO'!$A$2:$H$550,2,FALSE),"CECO NO EXISTE"))</f>
        <v/>
      </c>
      <c r="H87" s="8">
        <f>IF(B87="","",IFERROR(VLOOKUP(--B87,'CATALOGO CECO'!$A$2:$H$550,3,FALSE),""))</f>
        <v/>
      </c>
      <c r="I87" s="8">
        <f>IF(B87="","",IFERROR(VLOOKUP(--B87,'CATALOGO CECO'!$A$2:$H$550,5,FALSE),""))</f>
        <v/>
      </c>
      <c r="J87" s="8">
        <f>IF(B87="","",IFERROR(VLOOKUP(--B87,'CATALOGO CECO'!$A$2:$H$550,8,FALSE),""))</f>
        <v/>
      </c>
      <c r="K87" s="8">
        <f>IF(COUNTA(A87:F87)=0,"",IF(OR(LEN(A87)&lt;&gt;7,MID(A87,5,1)&lt;&gt;"-",ISERROR(--LEFT(A87,4)),ISERROR(--RIGHT(A87,2))),"ERROR: PERIODO debe ser AAAA-MM",IF(B87="","ERROR: falta CODIGO CECO",IF(G87="CECO NO EXISTE","ERROR: CECO no existe en el catálogo",IF(C87="","ERROR: falta CUENTA",IF(ISERROR(--C87),"ERROR: CUENTA debe tener solo dígitos",IF(ISERROR(FIND(LEFT(C87,1),"567")),"ERROR: CUENTA fuera de las clases de costo",IF(NOT(ISNUMBER(E87)),"ERROR: VALOR debe ser numérico",IF(E87=0,"AVISO: valor cero (no se carga)",IF(J87&lt;&gt;"ACTIVO","NO SE CARGA: CECO en estado "&amp;J87,"OK"))))))))))</f>
        <v/>
      </c>
    </row>
    <row r="88">
      <c r="A88" s="5" t="n"/>
      <c r="B88" s="6" t="n"/>
      <c r="C88" s="5" t="n"/>
      <c r="D88" s="6" t="n"/>
      <c r="E88" s="7" t="n"/>
      <c r="F88" s="6" t="n"/>
      <c r="G88" s="8">
        <f>IF(B88="","",IFERROR(VLOOKUP(--B88,'CATALOGO CECO'!$A$2:$H$550,2,FALSE),"CECO NO EXISTE"))</f>
        <v/>
      </c>
      <c r="H88" s="8">
        <f>IF(B88="","",IFERROR(VLOOKUP(--B88,'CATALOGO CECO'!$A$2:$H$550,3,FALSE),""))</f>
        <v/>
      </c>
      <c r="I88" s="8">
        <f>IF(B88="","",IFERROR(VLOOKUP(--B88,'CATALOGO CECO'!$A$2:$H$550,5,FALSE),""))</f>
        <v/>
      </c>
      <c r="J88" s="8">
        <f>IF(B88="","",IFERROR(VLOOKUP(--B88,'CATALOGO CECO'!$A$2:$H$550,8,FALSE),""))</f>
        <v/>
      </c>
      <c r="K88" s="8">
        <f>IF(COUNTA(A88:F88)=0,"",IF(OR(LEN(A88)&lt;&gt;7,MID(A88,5,1)&lt;&gt;"-",ISERROR(--LEFT(A88,4)),ISERROR(--RIGHT(A88,2))),"ERROR: PERIODO debe ser AAAA-MM",IF(B88="","ERROR: falta CODIGO CECO",IF(G88="CECO NO EXISTE","ERROR: CECO no existe en el catálogo",IF(C88="","ERROR: falta CUENTA",IF(ISERROR(--C88),"ERROR: CUENTA debe tener solo dígitos",IF(ISERROR(FIND(LEFT(C88,1),"567")),"ERROR: CUENTA fuera de las clases de costo",IF(NOT(ISNUMBER(E88)),"ERROR: VALOR debe ser numérico",IF(E88=0,"AVISO: valor cero (no se carga)",IF(J88&lt;&gt;"ACTIVO","NO SE CARGA: CECO en estado "&amp;J88,"OK"))))))))))</f>
        <v/>
      </c>
    </row>
    <row r="89">
      <c r="A89" s="5" t="n"/>
      <c r="B89" s="6" t="n"/>
      <c r="C89" s="5" t="n"/>
      <c r="D89" s="6" t="n"/>
      <c r="E89" s="7" t="n"/>
      <c r="F89" s="6" t="n"/>
      <c r="G89" s="8">
        <f>IF(B89="","",IFERROR(VLOOKUP(--B89,'CATALOGO CECO'!$A$2:$H$550,2,FALSE),"CECO NO EXISTE"))</f>
        <v/>
      </c>
      <c r="H89" s="8">
        <f>IF(B89="","",IFERROR(VLOOKUP(--B89,'CATALOGO CECO'!$A$2:$H$550,3,FALSE),""))</f>
        <v/>
      </c>
      <c r="I89" s="8">
        <f>IF(B89="","",IFERROR(VLOOKUP(--B89,'CATALOGO CECO'!$A$2:$H$550,5,FALSE),""))</f>
        <v/>
      </c>
      <c r="J89" s="8">
        <f>IF(B89="","",IFERROR(VLOOKUP(--B89,'CATALOGO CECO'!$A$2:$H$550,8,FALSE),""))</f>
        <v/>
      </c>
      <c r="K89" s="8">
        <f>IF(COUNTA(A89:F89)=0,"",IF(OR(LEN(A89)&lt;&gt;7,MID(A89,5,1)&lt;&gt;"-",ISERROR(--LEFT(A89,4)),ISERROR(--RIGHT(A89,2))),"ERROR: PERIODO debe ser AAAA-MM",IF(B89="","ERROR: falta CODIGO CECO",IF(G89="CECO NO EXISTE","ERROR: CECO no existe en el catálogo",IF(C89="","ERROR: falta CUENTA",IF(ISERROR(--C89),"ERROR: CUENTA debe tener solo dígitos",IF(ISERROR(FIND(LEFT(C89,1),"567")),"ERROR: CUENTA fuera de las clases de costo",IF(NOT(ISNUMBER(E89)),"ERROR: VALOR debe ser numérico",IF(E89=0,"AVISO: valor cero (no se carga)",IF(J89&lt;&gt;"ACTIVO","NO SE CARGA: CECO en estado "&amp;J89,"OK"))))))))))</f>
        <v/>
      </c>
    </row>
    <row r="90">
      <c r="A90" s="5" t="n"/>
      <c r="B90" s="6" t="n"/>
      <c r="C90" s="5" t="n"/>
      <c r="D90" s="6" t="n"/>
      <c r="E90" s="7" t="n"/>
      <c r="F90" s="6" t="n"/>
      <c r="G90" s="8">
        <f>IF(B90="","",IFERROR(VLOOKUP(--B90,'CATALOGO CECO'!$A$2:$H$550,2,FALSE),"CECO NO EXISTE"))</f>
        <v/>
      </c>
      <c r="H90" s="8">
        <f>IF(B90="","",IFERROR(VLOOKUP(--B90,'CATALOGO CECO'!$A$2:$H$550,3,FALSE),""))</f>
        <v/>
      </c>
      <c r="I90" s="8">
        <f>IF(B90="","",IFERROR(VLOOKUP(--B90,'CATALOGO CECO'!$A$2:$H$550,5,FALSE),""))</f>
        <v/>
      </c>
      <c r="J90" s="8">
        <f>IF(B90="","",IFERROR(VLOOKUP(--B90,'CATALOGO CECO'!$A$2:$H$550,8,FALSE),""))</f>
        <v/>
      </c>
      <c r="K90" s="8">
        <f>IF(COUNTA(A90:F90)=0,"",IF(OR(LEN(A90)&lt;&gt;7,MID(A90,5,1)&lt;&gt;"-",ISERROR(--LEFT(A90,4)),ISERROR(--RIGHT(A90,2))),"ERROR: PERIODO debe ser AAAA-MM",IF(B90="","ERROR: falta CODIGO CECO",IF(G90="CECO NO EXISTE","ERROR: CECO no existe en el catálogo",IF(C90="","ERROR: falta CUENTA",IF(ISERROR(--C90),"ERROR: CUENTA debe tener solo dígitos",IF(ISERROR(FIND(LEFT(C90,1),"567")),"ERROR: CUENTA fuera de las clases de costo",IF(NOT(ISNUMBER(E90)),"ERROR: VALOR debe ser numérico",IF(E90=0,"AVISO: valor cero (no se carga)",IF(J90&lt;&gt;"ACTIVO","NO SE CARGA: CECO en estado "&amp;J90,"OK"))))))))))</f>
        <v/>
      </c>
    </row>
    <row r="91">
      <c r="A91" s="5" t="n"/>
      <c r="B91" s="6" t="n"/>
      <c r="C91" s="5" t="n"/>
      <c r="D91" s="6" t="n"/>
      <c r="E91" s="7" t="n"/>
      <c r="F91" s="6" t="n"/>
      <c r="G91" s="8">
        <f>IF(B91="","",IFERROR(VLOOKUP(--B91,'CATALOGO CECO'!$A$2:$H$550,2,FALSE),"CECO NO EXISTE"))</f>
        <v/>
      </c>
      <c r="H91" s="8">
        <f>IF(B91="","",IFERROR(VLOOKUP(--B91,'CATALOGO CECO'!$A$2:$H$550,3,FALSE),""))</f>
        <v/>
      </c>
      <c r="I91" s="8">
        <f>IF(B91="","",IFERROR(VLOOKUP(--B91,'CATALOGO CECO'!$A$2:$H$550,5,FALSE),""))</f>
        <v/>
      </c>
      <c r="J91" s="8">
        <f>IF(B91="","",IFERROR(VLOOKUP(--B91,'CATALOGO CECO'!$A$2:$H$550,8,FALSE),""))</f>
        <v/>
      </c>
      <c r="K91" s="8">
        <f>IF(COUNTA(A91:F91)=0,"",IF(OR(LEN(A91)&lt;&gt;7,MID(A91,5,1)&lt;&gt;"-",ISERROR(--LEFT(A91,4)),ISERROR(--RIGHT(A91,2))),"ERROR: PERIODO debe ser AAAA-MM",IF(B91="","ERROR: falta CODIGO CECO",IF(G91="CECO NO EXISTE","ERROR: CECO no existe en el catálogo",IF(C91="","ERROR: falta CUENTA",IF(ISERROR(--C91),"ERROR: CUENTA debe tener solo dígitos",IF(ISERROR(FIND(LEFT(C91,1),"567")),"ERROR: CUENTA fuera de las clases de costo",IF(NOT(ISNUMBER(E91)),"ERROR: VALOR debe ser numérico",IF(E91=0,"AVISO: valor cero (no se carga)",IF(J91&lt;&gt;"ACTIVO","NO SE CARGA: CECO en estado "&amp;J91,"OK"))))))))))</f>
        <v/>
      </c>
    </row>
    <row r="92">
      <c r="A92" s="5" t="n"/>
      <c r="B92" s="6" t="n"/>
      <c r="C92" s="5" t="n"/>
      <c r="D92" s="6" t="n"/>
      <c r="E92" s="7" t="n"/>
      <c r="F92" s="6" t="n"/>
      <c r="G92" s="8">
        <f>IF(B92="","",IFERROR(VLOOKUP(--B92,'CATALOGO CECO'!$A$2:$H$550,2,FALSE),"CECO NO EXISTE"))</f>
        <v/>
      </c>
      <c r="H92" s="8">
        <f>IF(B92="","",IFERROR(VLOOKUP(--B92,'CATALOGO CECO'!$A$2:$H$550,3,FALSE),""))</f>
        <v/>
      </c>
      <c r="I92" s="8">
        <f>IF(B92="","",IFERROR(VLOOKUP(--B92,'CATALOGO CECO'!$A$2:$H$550,5,FALSE),""))</f>
        <v/>
      </c>
      <c r="J92" s="8">
        <f>IF(B92="","",IFERROR(VLOOKUP(--B92,'CATALOGO CECO'!$A$2:$H$550,8,FALSE),""))</f>
        <v/>
      </c>
      <c r="K92" s="8">
        <f>IF(COUNTA(A92:F92)=0,"",IF(OR(LEN(A92)&lt;&gt;7,MID(A92,5,1)&lt;&gt;"-",ISERROR(--LEFT(A92,4)),ISERROR(--RIGHT(A92,2))),"ERROR: PERIODO debe ser AAAA-MM",IF(B92="","ERROR: falta CODIGO CECO",IF(G92="CECO NO EXISTE","ERROR: CECO no existe en el catálogo",IF(C92="","ERROR: falta CUENTA",IF(ISERROR(--C92),"ERROR: CUENTA debe tener solo dígitos",IF(ISERROR(FIND(LEFT(C92,1),"567")),"ERROR: CUENTA fuera de las clases de costo",IF(NOT(ISNUMBER(E92)),"ERROR: VALOR debe ser numérico",IF(E92=0,"AVISO: valor cero (no se carga)",IF(J92&lt;&gt;"ACTIVO","NO SE CARGA: CECO en estado "&amp;J92,"OK"))))))))))</f>
        <v/>
      </c>
    </row>
    <row r="93">
      <c r="A93" s="5" t="n"/>
      <c r="B93" s="6" t="n"/>
      <c r="C93" s="5" t="n"/>
      <c r="D93" s="6" t="n"/>
      <c r="E93" s="7" t="n"/>
      <c r="F93" s="6" t="n"/>
      <c r="G93" s="8">
        <f>IF(B93="","",IFERROR(VLOOKUP(--B93,'CATALOGO CECO'!$A$2:$H$550,2,FALSE),"CECO NO EXISTE"))</f>
        <v/>
      </c>
      <c r="H93" s="8">
        <f>IF(B93="","",IFERROR(VLOOKUP(--B93,'CATALOGO CECO'!$A$2:$H$550,3,FALSE),""))</f>
        <v/>
      </c>
      <c r="I93" s="8">
        <f>IF(B93="","",IFERROR(VLOOKUP(--B93,'CATALOGO CECO'!$A$2:$H$550,5,FALSE),""))</f>
        <v/>
      </c>
      <c r="J93" s="8">
        <f>IF(B93="","",IFERROR(VLOOKUP(--B93,'CATALOGO CECO'!$A$2:$H$550,8,FALSE),""))</f>
        <v/>
      </c>
      <c r="K93" s="8">
        <f>IF(COUNTA(A93:F93)=0,"",IF(OR(LEN(A93)&lt;&gt;7,MID(A93,5,1)&lt;&gt;"-",ISERROR(--LEFT(A93,4)),ISERROR(--RIGHT(A93,2))),"ERROR: PERIODO debe ser AAAA-MM",IF(B93="","ERROR: falta CODIGO CECO",IF(G93="CECO NO EXISTE","ERROR: CECO no existe en el catálogo",IF(C93="","ERROR: falta CUENTA",IF(ISERROR(--C93),"ERROR: CUENTA debe tener solo dígitos",IF(ISERROR(FIND(LEFT(C93,1),"567")),"ERROR: CUENTA fuera de las clases de costo",IF(NOT(ISNUMBER(E93)),"ERROR: VALOR debe ser numérico",IF(E93=0,"AVISO: valor cero (no se carga)",IF(J93&lt;&gt;"ACTIVO","NO SE CARGA: CECO en estado "&amp;J93,"OK"))))))))))</f>
        <v/>
      </c>
    </row>
    <row r="94">
      <c r="A94" s="5" t="n"/>
      <c r="B94" s="6" t="n"/>
      <c r="C94" s="5" t="n"/>
      <c r="D94" s="6" t="n"/>
      <c r="E94" s="7" t="n"/>
      <c r="F94" s="6" t="n"/>
      <c r="G94" s="8">
        <f>IF(B94="","",IFERROR(VLOOKUP(--B94,'CATALOGO CECO'!$A$2:$H$550,2,FALSE),"CECO NO EXISTE"))</f>
        <v/>
      </c>
      <c r="H94" s="8">
        <f>IF(B94="","",IFERROR(VLOOKUP(--B94,'CATALOGO CECO'!$A$2:$H$550,3,FALSE),""))</f>
        <v/>
      </c>
      <c r="I94" s="8">
        <f>IF(B94="","",IFERROR(VLOOKUP(--B94,'CATALOGO CECO'!$A$2:$H$550,5,FALSE),""))</f>
        <v/>
      </c>
      <c r="J94" s="8">
        <f>IF(B94="","",IFERROR(VLOOKUP(--B94,'CATALOGO CECO'!$A$2:$H$550,8,FALSE),""))</f>
        <v/>
      </c>
      <c r="K94" s="8">
        <f>IF(COUNTA(A94:F94)=0,"",IF(OR(LEN(A94)&lt;&gt;7,MID(A94,5,1)&lt;&gt;"-",ISERROR(--LEFT(A94,4)),ISERROR(--RIGHT(A94,2))),"ERROR: PERIODO debe ser AAAA-MM",IF(B94="","ERROR: falta CODIGO CECO",IF(G94="CECO NO EXISTE","ERROR: CECO no existe en el catálogo",IF(C94="","ERROR: falta CUENTA",IF(ISERROR(--C94),"ERROR: CUENTA debe tener solo dígitos",IF(ISERROR(FIND(LEFT(C94,1),"567")),"ERROR: CUENTA fuera de las clases de costo",IF(NOT(ISNUMBER(E94)),"ERROR: VALOR debe ser numérico",IF(E94=0,"AVISO: valor cero (no se carga)",IF(J94&lt;&gt;"ACTIVO","NO SE CARGA: CECO en estado "&amp;J94,"OK"))))))))))</f>
        <v/>
      </c>
    </row>
    <row r="95">
      <c r="A95" s="5" t="n"/>
      <c r="B95" s="6" t="n"/>
      <c r="C95" s="5" t="n"/>
      <c r="D95" s="6" t="n"/>
      <c r="E95" s="7" t="n"/>
      <c r="F95" s="6" t="n"/>
      <c r="G95" s="8">
        <f>IF(B95="","",IFERROR(VLOOKUP(--B95,'CATALOGO CECO'!$A$2:$H$550,2,FALSE),"CECO NO EXISTE"))</f>
        <v/>
      </c>
      <c r="H95" s="8">
        <f>IF(B95="","",IFERROR(VLOOKUP(--B95,'CATALOGO CECO'!$A$2:$H$550,3,FALSE),""))</f>
        <v/>
      </c>
      <c r="I95" s="8">
        <f>IF(B95="","",IFERROR(VLOOKUP(--B95,'CATALOGO CECO'!$A$2:$H$550,5,FALSE),""))</f>
        <v/>
      </c>
      <c r="J95" s="8">
        <f>IF(B95="","",IFERROR(VLOOKUP(--B95,'CATALOGO CECO'!$A$2:$H$550,8,FALSE),""))</f>
        <v/>
      </c>
      <c r="K95" s="8">
        <f>IF(COUNTA(A95:F95)=0,"",IF(OR(LEN(A95)&lt;&gt;7,MID(A95,5,1)&lt;&gt;"-",ISERROR(--LEFT(A95,4)),ISERROR(--RIGHT(A95,2))),"ERROR: PERIODO debe ser AAAA-MM",IF(B95="","ERROR: falta CODIGO CECO",IF(G95="CECO NO EXISTE","ERROR: CECO no existe en el catálogo",IF(C95="","ERROR: falta CUENTA",IF(ISERROR(--C95),"ERROR: CUENTA debe tener solo dígitos",IF(ISERROR(FIND(LEFT(C95,1),"567")),"ERROR: CUENTA fuera de las clases de costo",IF(NOT(ISNUMBER(E95)),"ERROR: VALOR debe ser numérico",IF(E95=0,"AVISO: valor cero (no se carga)",IF(J95&lt;&gt;"ACTIVO","NO SE CARGA: CECO en estado "&amp;J95,"OK"))))))))))</f>
        <v/>
      </c>
    </row>
    <row r="96">
      <c r="A96" s="5" t="n"/>
      <c r="B96" s="6" t="n"/>
      <c r="C96" s="5" t="n"/>
      <c r="D96" s="6" t="n"/>
      <c r="E96" s="7" t="n"/>
      <c r="F96" s="6" t="n"/>
      <c r="G96" s="8">
        <f>IF(B96="","",IFERROR(VLOOKUP(--B96,'CATALOGO CECO'!$A$2:$H$550,2,FALSE),"CECO NO EXISTE"))</f>
        <v/>
      </c>
      <c r="H96" s="8">
        <f>IF(B96="","",IFERROR(VLOOKUP(--B96,'CATALOGO CECO'!$A$2:$H$550,3,FALSE),""))</f>
        <v/>
      </c>
      <c r="I96" s="8">
        <f>IF(B96="","",IFERROR(VLOOKUP(--B96,'CATALOGO CECO'!$A$2:$H$550,5,FALSE),""))</f>
        <v/>
      </c>
      <c r="J96" s="8">
        <f>IF(B96="","",IFERROR(VLOOKUP(--B96,'CATALOGO CECO'!$A$2:$H$550,8,FALSE),""))</f>
        <v/>
      </c>
      <c r="K96" s="8">
        <f>IF(COUNTA(A96:F96)=0,"",IF(OR(LEN(A96)&lt;&gt;7,MID(A96,5,1)&lt;&gt;"-",ISERROR(--LEFT(A96,4)),ISERROR(--RIGHT(A96,2))),"ERROR: PERIODO debe ser AAAA-MM",IF(B96="","ERROR: falta CODIGO CECO",IF(G96="CECO NO EXISTE","ERROR: CECO no existe en el catálogo",IF(C96="","ERROR: falta CUENTA",IF(ISERROR(--C96),"ERROR: CUENTA debe tener solo dígitos",IF(ISERROR(FIND(LEFT(C96,1),"567")),"ERROR: CUENTA fuera de las clases de costo",IF(NOT(ISNUMBER(E96)),"ERROR: VALOR debe ser numérico",IF(E96=0,"AVISO: valor cero (no se carga)",IF(J96&lt;&gt;"ACTIVO","NO SE CARGA: CECO en estado "&amp;J96,"OK"))))))))))</f>
        <v/>
      </c>
    </row>
    <row r="97">
      <c r="A97" s="5" t="n"/>
      <c r="B97" s="6" t="n"/>
      <c r="C97" s="5" t="n"/>
      <c r="D97" s="6" t="n"/>
      <c r="E97" s="7" t="n"/>
      <c r="F97" s="6" t="n"/>
      <c r="G97" s="8">
        <f>IF(B97="","",IFERROR(VLOOKUP(--B97,'CATALOGO CECO'!$A$2:$H$550,2,FALSE),"CECO NO EXISTE"))</f>
        <v/>
      </c>
      <c r="H97" s="8">
        <f>IF(B97="","",IFERROR(VLOOKUP(--B97,'CATALOGO CECO'!$A$2:$H$550,3,FALSE),""))</f>
        <v/>
      </c>
      <c r="I97" s="8">
        <f>IF(B97="","",IFERROR(VLOOKUP(--B97,'CATALOGO CECO'!$A$2:$H$550,5,FALSE),""))</f>
        <v/>
      </c>
      <c r="J97" s="8">
        <f>IF(B97="","",IFERROR(VLOOKUP(--B97,'CATALOGO CECO'!$A$2:$H$550,8,FALSE),""))</f>
        <v/>
      </c>
      <c r="K97" s="8">
        <f>IF(COUNTA(A97:F97)=0,"",IF(OR(LEN(A97)&lt;&gt;7,MID(A97,5,1)&lt;&gt;"-",ISERROR(--LEFT(A97,4)),ISERROR(--RIGHT(A97,2))),"ERROR: PERIODO debe ser AAAA-MM",IF(B97="","ERROR: falta CODIGO CECO",IF(G97="CECO NO EXISTE","ERROR: CECO no existe en el catálogo",IF(C97="","ERROR: falta CUENTA",IF(ISERROR(--C97),"ERROR: CUENTA debe tener solo dígitos",IF(ISERROR(FIND(LEFT(C97,1),"567")),"ERROR: CUENTA fuera de las clases de costo",IF(NOT(ISNUMBER(E97)),"ERROR: VALOR debe ser numérico",IF(E97=0,"AVISO: valor cero (no se carga)",IF(J97&lt;&gt;"ACTIVO","NO SE CARGA: CECO en estado "&amp;J97,"OK"))))))))))</f>
        <v/>
      </c>
    </row>
    <row r="98">
      <c r="A98" s="5" t="n"/>
      <c r="B98" s="6" t="n"/>
      <c r="C98" s="5" t="n"/>
      <c r="D98" s="6" t="n"/>
      <c r="E98" s="7" t="n"/>
      <c r="F98" s="6" t="n"/>
      <c r="G98" s="8">
        <f>IF(B98="","",IFERROR(VLOOKUP(--B98,'CATALOGO CECO'!$A$2:$H$550,2,FALSE),"CECO NO EXISTE"))</f>
        <v/>
      </c>
      <c r="H98" s="8">
        <f>IF(B98="","",IFERROR(VLOOKUP(--B98,'CATALOGO CECO'!$A$2:$H$550,3,FALSE),""))</f>
        <v/>
      </c>
      <c r="I98" s="8">
        <f>IF(B98="","",IFERROR(VLOOKUP(--B98,'CATALOGO CECO'!$A$2:$H$550,5,FALSE),""))</f>
        <v/>
      </c>
      <c r="J98" s="8">
        <f>IF(B98="","",IFERROR(VLOOKUP(--B98,'CATALOGO CECO'!$A$2:$H$550,8,FALSE),""))</f>
        <v/>
      </c>
      <c r="K98" s="8">
        <f>IF(COUNTA(A98:F98)=0,"",IF(OR(LEN(A98)&lt;&gt;7,MID(A98,5,1)&lt;&gt;"-",ISERROR(--LEFT(A98,4)),ISERROR(--RIGHT(A98,2))),"ERROR: PERIODO debe ser AAAA-MM",IF(B98="","ERROR: falta CODIGO CECO",IF(G98="CECO NO EXISTE","ERROR: CECO no existe en el catálogo",IF(C98="","ERROR: falta CUENTA",IF(ISERROR(--C98),"ERROR: CUENTA debe tener solo dígitos",IF(ISERROR(FIND(LEFT(C98,1),"567")),"ERROR: CUENTA fuera de las clases de costo",IF(NOT(ISNUMBER(E98)),"ERROR: VALOR debe ser numérico",IF(E98=0,"AVISO: valor cero (no se carga)",IF(J98&lt;&gt;"ACTIVO","NO SE CARGA: CECO en estado "&amp;J98,"OK"))))))))))</f>
        <v/>
      </c>
    </row>
    <row r="99">
      <c r="A99" s="5" t="n"/>
      <c r="B99" s="6" t="n"/>
      <c r="C99" s="5" t="n"/>
      <c r="D99" s="6" t="n"/>
      <c r="E99" s="7" t="n"/>
      <c r="F99" s="6" t="n"/>
      <c r="G99" s="8">
        <f>IF(B99="","",IFERROR(VLOOKUP(--B99,'CATALOGO CECO'!$A$2:$H$550,2,FALSE),"CECO NO EXISTE"))</f>
        <v/>
      </c>
      <c r="H99" s="8">
        <f>IF(B99="","",IFERROR(VLOOKUP(--B99,'CATALOGO CECO'!$A$2:$H$550,3,FALSE),""))</f>
        <v/>
      </c>
      <c r="I99" s="8">
        <f>IF(B99="","",IFERROR(VLOOKUP(--B99,'CATALOGO CECO'!$A$2:$H$550,5,FALSE),""))</f>
        <v/>
      </c>
      <c r="J99" s="8">
        <f>IF(B99="","",IFERROR(VLOOKUP(--B99,'CATALOGO CECO'!$A$2:$H$550,8,FALSE),""))</f>
        <v/>
      </c>
      <c r="K99" s="8">
        <f>IF(COUNTA(A99:F99)=0,"",IF(OR(LEN(A99)&lt;&gt;7,MID(A99,5,1)&lt;&gt;"-",ISERROR(--LEFT(A99,4)),ISERROR(--RIGHT(A99,2))),"ERROR: PERIODO debe ser AAAA-MM",IF(B99="","ERROR: falta CODIGO CECO",IF(G99="CECO NO EXISTE","ERROR: CECO no existe en el catálogo",IF(C99="","ERROR: falta CUENTA",IF(ISERROR(--C99),"ERROR: CUENTA debe tener solo dígitos",IF(ISERROR(FIND(LEFT(C99,1),"567")),"ERROR: CUENTA fuera de las clases de costo",IF(NOT(ISNUMBER(E99)),"ERROR: VALOR debe ser numérico",IF(E99=0,"AVISO: valor cero (no se carga)",IF(J99&lt;&gt;"ACTIVO","NO SE CARGA: CECO en estado "&amp;J99,"OK"))))))))))</f>
        <v/>
      </c>
    </row>
    <row r="100">
      <c r="A100" s="5" t="n"/>
      <c r="B100" s="6" t="n"/>
      <c r="C100" s="5" t="n"/>
      <c r="D100" s="6" t="n"/>
      <c r="E100" s="7" t="n"/>
      <c r="F100" s="6" t="n"/>
      <c r="G100" s="8">
        <f>IF(B100="","",IFERROR(VLOOKUP(--B100,'CATALOGO CECO'!$A$2:$H$550,2,FALSE),"CECO NO EXISTE"))</f>
        <v/>
      </c>
      <c r="H100" s="8">
        <f>IF(B100="","",IFERROR(VLOOKUP(--B100,'CATALOGO CECO'!$A$2:$H$550,3,FALSE),""))</f>
        <v/>
      </c>
      <c r="I100" s="8">
        <f>IF(B100="","",IFERROR(VLOOKUP(--B100,'CATALOGO CECO'!$A$2:$H$550,5,FALSE),""))</f>
        <v/>
      </c>
      <c r="J100" s="8">
        <f>IF(B100="","",IFERROR(VLOOKUP(--B100,'CATALOGO CECO'!$A$2:$H$550,8,FALSE),""))</f>
        <v/>
      </c>
      <c r="K100" s="8">
        <f>IF(COUNTA(A100:F100)=0,"",IF(OR(LEN(A100)&lt;&gt;7,MID(A100,5,1)&lt;&gt;"-",ISERROR(--LEFT(A100,4)),ISERROR(--RIGHT(A100,2))),"ERROR: PERIODO debe ser AAAA-MM",IF(B100="","ERROR: falta CODIGO CECO",IF(G100="CECO NO EXISTE","ERROR: CECO no existe en el catálogo",IF(C100="","ERROR: falta CUENTA",IF(ISERROR(--C100),"ERROR: CUENTA debe tener solo dígitos",IF(ISERROR(FIND(LEFT(C100,1),"567")),"ERROR: CUENTA fuera de las clases de costo",IF(NOT(ISNUMBER(E100)),"ERROR: VALOR debe ser numérico",IF(E100=0,"AVISO: valor cero (no se carga)",IF(J100&lt;&gt;"ACTIVO","NO SE CARGA: CECO en estado "&amp;J100,"OK"))))))))))</f>
        <v/>
      </c>
    </row>
    <row r="101">
      <c r="A101" s="5" t="n"/>
      <c r="B101" s="6" t="n"/>
      <c r="C101" s="5" t="n"/>
      <c r="D101" s="6" t="n"/>
      <c r="E101" s="7" t="n"/>
      <c r="F101" s="6" t="n"/>
      <c r="G101" s="8">
        <f>IF(B101="","",IFERROR(VLOOKUP(--B101,'CATALOGO CECO'!$A$2:$H$550,2,FALSE),"CECO NO EXISTE"))</f>
        <v/>
      </c>
      <c r="H101" s="8">
        <f>IF(B101="","",IFERROR(VLOOKUP(--B101,'CATALOGO CECO'!$A$2:$H$550,3,FALSE),""))</f>
        <v/>
      </c>
      <c r="I101" s="8">
        <f>IF(B101="","",IFERROR(VLOOKUP(--B101,'CATALOGO CECO'!$A$2:$H$550,5,FALSE),""))</f>
        <v/>
      </c>
      <c r="J101" s="8">
        <f>IF(B101="","",IFERROR(VLOOKUP(--B101,'CATALOGO CECO'!$A$2:$H$550,8,FALSE),""))</f>
        <v/>
      </c>
      <c r="K101" s="8">
        <f>IF(COUNTA(A101:F101)=0,"",IF(OR(LEN(A101)&lt;&gt;7,MID(A101,5,1)&lt;&gt;"-",ISERROR(--LEFT(A101,4)),ISERROR(--RIGHT(A101,2))),"ERROR: PERIODO debe ser AAAA-MM",IF(B101="","ERROR: falta CODIGO CECO",IF(G101="CECO NO EXISTE","ERROR: CECO no existe en el catálogo",IF(C101="","ERROR: falta CUENTA",IF(ISERROR(--C101),"ERROR: CUENTA debe tener solo dígitos",IF(ISERROR(FIND(LEFT(C101,1),"567")),"ERROR: CUENTA fuera de las clases de costo",IF(NOT(ISNUMBER(E101)),"ERROR: VALOR debe ser numérico",IF(E101=0,"AVISO: valor cero (no se carga)",IF(J101&lt;&gt;"ACTIVO","NO SE CARGA: CECO en estado "&amp;J101,"OK"))))))))))</f>
        <v/>
      </c>
    </row>
    <row r="102">
      <c r="A102" s="5" t="n"/>
      <c r="B102" s="6" t="n"/>
      <c r="C102" s="5" t="n"/>
      <c r="D102" s="6" t="n"/>
      <c r="E102" s="7" t="n"/>
      <c r="F102" s="6" t="n"/>
      <c r="G102" s="8">
        <f>IF(B102="","",IFERROR(VLOOKUP(--B102,'CATALOGO CECO'!$A$2:$H$550,2,FALSE),"CECO NO EXISTE"))</f>
        <v/>
      </c>
      <c r="H102" s="8">
        <f>IF(B102="","",IFERROR(VLOOKUP(--B102,'CATALOGO CECO'!$A$2:$H$550,3,FALSE),""))</f>
        <v/>
      </c>
      <c r="I102" s="8">
        <f>IF(B102="","",IFERROR(VLOOKUP(--B102,'CATALOGO CECO'!$A$2:$H$550,5,FALSE),""))</f>
        <v/>
      </c>
      <c r="J102" s="8">
        <f>IF(B102="","",IFERROR(VLOOKUP(--B102,'CATALOGO CECO'!$A$2:$H$550,8,FALSE),""))</f>
        <v/>
      </c>
      <c r="K102" s="8">
        <f>IF(COUNTA(A102:F102)=0,"",IF(OR(LEN(A102)&lt;&gt;7,MID(A102,5,1)&lt;&gt;"-",ISERROR(--LEFT(A102,4)),ISERROR(--RIGHT(A102,2))),"ERROR: PERIODO debe ser AAAA-MM",IF(B102="","ERROR: falta CODIGO CECO",IF(G102="CECO NO EXISTE","ERROR: CECO no existe en el catálogo",IF(C102="","ERROR: falta CUENTA",IF(ISERROR(--C102),"ERROR: CUENTA debe tener solo dígitos",IF(ISERROR(FIND(LEFT(C102,1),"567")),"ERROR: CUENTA fuera de las clases de costo",IF(NOT(ISNUMBER(E102)),"ERROR: VALOR debe ser numérico",IF(E102=0,"AVISO: valor cero (no se carga)",IF(J102&lt;&gt;"ACTIVO","NO SE CARGA: CECO en estado "&amp;J102,"OK"))))))))))</f>
        <v/>
      </c>
    </row>
    <row r="103">
      <c r="A103" s="5" t="n"/>
      <c r="B103" s="6" t="n"/>
      <c r="C103" s="5" t="n"/>
      <c r="D103" s="6" t="n"/>
      <c r="E103" s="7" t="n"/>
      <c r="F103" s="6" t="n"/>
      <c r="G103" s="8">
        <f>IF(B103="","",IFERROR(VLOOKUP(--B103,'CATALOGO CECO'!$A$2:$H$550,2,FALSE),"CECO NO EXISTE"))</f>
        <v/>
      </c>
      <c r="H103" s="8">
        <f>IF(B103="","",IFERROR(VLOOKUP(--B103,'CATALOGO CECO'!$A$2:$H$550,3,FALSE),""))</f>
        <v/>
      </c>
      <c r="I103" s="8">
        <f>IF(B103="","",IFERROR(VLOOKUP(--B103,'CATALOGO CECO'!$A$2:$H$550,5,FALSE),""))</f>
        <v/>
      </c>
      <c r="J103" s="8">
        <f>IF(B103="","",IFERROR(VLOOKUP(--B103,'CATALOGO CECO'!$A$2:$H$550,8,FALSE),""))</f>
        <v/>
      </c>
      <c r="K103" s="8">
        <f>IF(COUNTA(A103:F103)=0,"",IF(OR(LEN(A103)&lt;&gt;7,MID(A103,5,1)&lt;&gt;"-",ISERROR(--LEFT(A103,4)),ISERROR(--RIGHT(A103,2))),"ERROR: PERIODO debe ser AAAA-MM",IF(B103="","ERROR: falta CODIGO CECO",IF(G103="CECO NO EXISTE","ERROR: CECO no existe en el catálogo",IF(C103="","ERROR: falta CUENTA",IF(ISERROR(--C103),"ERROR: CUENTA debe tener solo dígitos",IF(ISERROR(FIND(LEFT(C103,1),"567")),"ERROR: CUENTA fuera de las clases de costo",IF(NOT(ISNUMBER(E103)),"ERROR: VALOR debe ser numérico",IF(E103=0,"AVISO: valor cero (no se carga)",IF(J103&lt;&gt;"ACTIVO","NO SE CARGA: CECO en estado "&amp;J103,"OK"))))))))))</f>
        <v/>
      </c>
    </row>
    <row r="104">
      <c r="A104" s="5" t="n"/>
      <c r="B104" s="6" t="n"/>
      <c r="C104" s="5" t="n"/>
      <c r="D104" s="6" t="n"/>
      <c r="E104" s="7" t="n"/>
      <c r="F104" s="6" t="n"/>
      <c r="G104" s="8">
        <f>IF(B104="","",IFERROR(VLOOKUP(--B104,'CATALOGO CECO'!$A$2:$H$550,2,FALSE),"CECO NO EXISTE"))</f>
        <v/>
      </c>
      <c r="H104" s="8">
        <f>IF(B104="","",IFERROR(VLOOKUP(--B104,'CATALOGO CECO'!$A$2:$H$550,3,FALSE),""))</f>
        <v/>
      </c>
      <c r="I104" s="8">
        <f>IF(B104="","",IFERROR(VLOOKUP(--B104,'CATALOGO CECO'!$A$2:$H$550,5,FALSE),""))</f>
        <v/>
      </c>
      <c r="J104" s="8">
        <f>IF(B104="","",IFERROR(VLOOKUP(--B104,'CATALOGO CECO'!$A$2:$H$550,8,FALSE),""))</f>
        <v/>
      </c>
      <c r="K104" s="8">
        <f>IF(COUNTA(A104:F104)=0,"",IF(OR(LEN(A104)&lt;&gt;7,MID(A104,5,1)&lt;&gt;"-",ISERROR(--LEFT(A104,4)),ISERROR(--RIGHT(A104,2))),"ERROR: PERIODO debe ser AAAA-MM",IF(B104="","ERROR: falta CODIGO CECO",IF(G104="CECO NO EXISTE","ERROR: CECO no existe en el catálogo",IF(C104="","ERROR: falta CUENTA",IF(ISERROR(--C104),"ERROR: CUENTA debe tener solo dígitos",IF(ISERROR(FIND(LEFT(C104,1),"567")),"ERROR: CUENTA fuera de las clases de costo",IF(NOT(ISNUMBER(E104)),"ERROR: VALOR debe ser numérico",IF(E104=0,"AVISO: valor cero (no se carga)",IF(J104&lt;&gt;"ACTIVO","NO SE CARGA: CECO en estado "&amp;J104,"OK"))))))))))</f>
        <v/>
      </c>
    </row>
    <row r="105">
      <c r="A105" s="5" t="n"/>
      <c r="B105" s="6" t="n"/>
      <c r="C105" s="5" t="n"/>
      <c r="D105" s="6" t="n"/>
      <c r="E105" s="7" t="n"/>
      <c r="F105" s="6" t="n"/>
      <c r="G105" s="8">
        <f>IF(B105="","",IFERROR(VLOOKUP(--B105,'CATALOGO CECO'!$A$2:$H$550,2,FALSE),"CECO NO EXISTE"))</f>
        <v/>
      </c>
      <c r="H105" s="8">
        <f>IF(B105="","",IFERROR(VLOOKUP(--B105,'CATALOGO CECO'!$A$2:$H$550,3,FALSE),""))</f>
        <v/>
      </c>
      <c r="I105" s="8">
        <f>IF(B105="","",IFERROR(VLOOKUP(--B105,'CATALOGO CECO'!$A$2:$H$550,5,FALSE),""))</f>
        <v/>
      </c>
      <c r="J105" s="8">
        <f>IF(B105="","",IFERROR(VLOOKUP(--B105,'CATALOGO CECO'!$A$2:$H$550,8,FALSE),""))</f>
        <v/>
      </c>
      <c r="K105" s="8">
        <f>IF(COUNTA(A105:F105)=0,"",IF(OR(LEN(A105)&lt;&gt;7,MID(A105,5,1)&lt;&gt;"-",ISERROR(--LEFT(A105,4)),ISERROR(--RIGHT(A105,2))),"ERROR: PERIODO debe ser AAAA-MM",IF(B105="","ERROR: falta CODIGO CECO",IF(G105="CECO NO EXISTE","ERROR: CECO no existe en el catálogo",IF(C105="","ERROR: falta CUENTA",IF(ISERROR(--C105),"ERROR: CUENTA debe tener solo dígitos",IF(ISERROR(FIND(LEFT(C105,1),"567")),"ERROR: CUENTA fuera de las clases de costo",IF(NOT(ISNUMBER(E105)),"ERROR: VALOR debe ser numérico",IF(E105=0,"AVISO: valor cero (no se carga)",IF(J105&lt;&gt;"ACTIVO","NO SE CARGA: CECO en estado "&amp;J105,"OK"))))))))))</f>
        <v/>
      </c>
    </row>
    <row r="106">
      <c r="A106" s="5" t="n"/>
      <c r="B106" s="6" t="n"/>
      <c r="C106" s="5" t="n"/>
      <c r="D106" s="6" t="n"/>
      <c r="E106" s="7" t="n"/>
      <c r="F106" s="6" t="n"/>
      <c r="G106" s="8">
        <f>IF(B106="","",IFERROR(VLOOKUP(--B106,'CATALOGO CECO'!$A$2:$H$550,2,FALSE),"CECO NO EXISTE"))</f>
        <v/>
      </c>
      <c r="H106" s="8">
        <f>IF(B106="","",IFERROR(VLOOKUP(--B106,'CATALOGO CECO'!$A$2:$H$550,3,FALSE),""))</f>
        <v/>
      </c>
      <c r="I106" s="8">
        <f>IF(B106="","",IFERROR(VLOOKUP(--B106,'CATALOGO CECO'!$A$2:$H$550,5,FALSE),""))</f>
        <v/>
      </c>
      <c r="J106" s="8">
        <f>IF(B106="","",IFERROR(VLOOKUP(--B106,'CATALOGO CECO'!$A$2:$H$550,8,FALSE),""))</f>
        <v/>
      </c>
      <c r="K106" s="8">
        <f>IF(COUNTA(A106:F106)=0,"",IF(OR(LEN(A106)&lt;&gt;7,MID(A106,5,1)&lt;&gt;"-",ISERROR(--LEFT(A106,4)),ISERROR(--RIGHT(A106,2))),"ERROR: PERIODO debe ser AAAA-MM",IF(B106="","ERROR: falta CODIGO CECO",IF(G106="CECO NO EXISTE","ERROR: CECO no existe en el catálogo",IF(C106="","ERROR: falta CUENTA",IF(ISERROR(--C106),"ERROR: CUENTA debe tener solo dígitos",IF(ISERROR(FIND(LEFT(C106,1),"567")),"ERROR: CUENTA fuera de las clases de costo",IF(NOT(ISNUMBER(E106)),"ERROR: VALOR debe ser numérico",IF(E106=0,"AVISO: valor cero (no se carga)",IF(J106&lt;&gt;"ACTIVO","NO SE CARGA: CECO en estado "&amp;J106,"OK"))))))))))</f>
        <v/>
      </c>
    </row>
    <row r="107">
      <c r="A107" s="5" t="n"/>
      <c r="B107" s="6" t="n"/>
      <c r="C107" s="5" t="n"/>
      <c r="D107" s="6" t="n"/>
      <c r="E107" s="7" t="n"/>
      <c r="F107" s="6" t="n"/>
      <c r="G107" s="8">
        <f>IF(B107="","",IFERROR(VLOOKUP(--B107,'CATALOGO CECO'!$A$2:$H$550,2,FALSE),"CECO NO EXISTE"))</f>
        <v/>
      </c>
      <c r="H107" s="8">
        <f>IF(B107="","",IFERROR(VLOOKUP(--B107,'CATALOGO CECO'!$A$2:$H$550,3,FALSE),""))</f>
        <v/>
      </c>
      <c r="I107" s="8">
        <f>IF(B107="","",IFERROR(VLOOKUP(--B107,'CATALOGO CECO'!$A$2:$H$550,5,FALSE),""))</f>
        <v/>
      </c>
      <c r="J107" s="8">
        <f>IF(B107="","",IFERROR(VLOOKUP(--B107,'CATALOGO CECO'!$A$2:$H$550,8,FALSE),""))</f>
        <v/>
      </c>
      <c r="K107" s="8">
        <f>IF(COUNTA(A107:F107)=0,"",IF(OR(LEN(A107)&lt;&gt;7,MID(A107,5,1)&lt;&gt;"-",ISERROR(--LEFT(A107,4)),ISERROR(--RIGHT(A107,2))),"ERROR: PERIODO debe ser AAAA-MM",IF(B107="","ERROR: falta CODIGO CECO",IF(G107="CECO NO EXISTE","ERROR: CECO no existe en el catálogo",IF(C107="","ERROR: falta CUENTA",IF(ISERROR(--C107),"ERROR: CUENTA debe tener solo dígitos",IF(ISERROR(FIND(LEFT(C107,1),"567")),"ERROR: CUENTA fuera de las clases de costo",IF(NOT(ISNUMBER(E107)),"ERROR: VALOR debe ser numérico",IF(E107=0,"AVISO: valor cero (no se carga)",IF(J107&lt;&gt;"ACTIVO","NO SE CARGA: CECO en estado "&amp;J107,"OK"))))))))))</f>
        <v/>
      </c>
    </row>
    <row r="108">
      <c r="A108" s="5" t="n"/>
      <c r="B108" s="6" t="n"/>
      <c r="C108" s="5" t="n"/>
      <c r="D108" s="6" t="n"/>
      <c r="E108" s="7" t="n"/>
      <c r="F108" s="6" t="n"/>
      <c r="G108" s="8">
        <f>IF(B108="","",IFERROR(VLOOKUP(--B108,'CATALOGO CECO'!$A$2:$H$550,2,FALSE),"CECO NO EXISTE"))</f>
        <v/>
      </c>
      <c r="H108" s="8">
        <f>IF(B108="","",IFERROR(VLOOKUP(--B108,'CATALOGO CECO'!$A$2:$H$550,3,FALSE),""))</f>
        <v/>
      </c>
      <c r="I108" s="8">
        <f>IF(B108="","",IFERROR(VLOOKUP(--B108,'CATALOGO CECO'!$A$2:$H$550,5,FALSE),""))</f>
        <v/>
      </c>
      <c r="J108" s="8">
        <f>IF(B108="","",IFERROR(VLOOKUP(--B108,'CATALOGO CECO'!$A$2:$H$550,8,FALSE),""))</f>
        <v/>
      </c>
      <c r="K108" s="8">
        <f>IF(COUNTA(A108:F108)=0,"",IF(OR(LEN(A108)&lt;&gt;7,MID(A108,5,1)&lt;&gt;"-",ISERROR(--LEFT(A108,4)),ISERROR(--RIGHT(A108,2))),"ERROR: PERIODO debe ser AAAA-MM",IF(B108="","ERROR: falta CODIGO CECO",IF(G108="CECO NO EXISTE","ERROR: CECO no existe en el catálogo",IF(C108="","ERROR: falta CUENTA",IF(ISERROR(--C108),"ERROR: CUENTA debe tener solo dígitos",IF(ISERROR(FIND(LEFT(C108,1),"567")),"ERROR: CUENTA fuera de las clases de costo",IF(NOT(ISNUMBER(E108)),"ERROR: VALOR debe ser numérico",IF(E108=0,"AVISO: valor cero (no se carga)",IF(J108&lt;&gt;"ACTIVO","NO SE CARGA: CECO en estado "&amp;J108,"OK"))))))))))</f>
        <v/>
      </c>
    </row>
    <row r="109">
      <c r="A109" s="5" t="n"/>
      <c r="B109" s="6" t="n"/>
      <c r="C109" s="5" t="n"/>
      <c r="D109" s="6" t="n"/>
      <c r="E109" s="7" t="n"/>
      <c r="F109" s="6" t="n"/>
      <c r="G109" s="8">
        <f>IF(B109="","",IFERROR(VLOOKUP(--B109,'CATALOGO CECO'!$A$2:$H$550,2,FALSE),"CECO NO EXISTE"))</f>
        <v/>
      </c>
      <c r="H109" s="8">
        <f>IF(B109="","",IFERROR(VLOOKUP(--B109,'CATALOGO CECO'!$A$2:$H$550,3,FALSE),""))</f>
        <v/>
      </c>
      <c r="I109" s="8">
        <f>IF(B109="","",IFERROR(VLOOKUP(--B109,'CATALOGO CECO'!$A$2:$H$550,5,FALSE),""))</f>
        <v/>
      </c>
      <c r="J109" s="8">
        <f>IF(B109="","",IFERROR(VLOOKUP(--B109,'CATALOGO CECO'!$A$2:$H$550,8,FALSE),""))</f>
        <v/>
      </c>
      <c r="K109" s="8">
        <f>IF(COUNTA(A109:F109)=0,"",IF(OR(LEN(A109)&lt;&gt;7,MID(A109,5,1)&lt;&gt;"-",ISERROR(--LEFT(A109,4)),ISERROR(--RIGHT(A109,2))),"ERROR: PERIODO debe ser AAAA-MM",IF(B109="","ERROR: falta CODIGO CECO",IF(G109="CECO NO EXISTE","ERROR: CECO no existe en el catálogo",IF(C109="","ERROR: falta CUENTA",IF(ISERROR(--C109),"ERROR: CUENTA debe tener solo dígitos",IF(ISERROR(FIND(LEFT(C109,1),"567")),"ERROR: CUENTA fuera de las clases de costo",IF(NOT(ISNUMBER(E109)),"ERROR: VALOR debe ser numérico",IF(E109=0,"AVISO: valor cero (no se carga)",IF(J109&lt;&gt;"ACTIVO","NO SE CARGA: CECO en estado "&amp;J109,"OK"))))))))))</f>
        <v/>
      </c>
    </row>
    <row r="110">
      <c r="A110" s="5" t="n"/>
      <c r="B110" s="6" t="n"/>
      <c r="C110" s="5" t="n"/>
      <c r="D110" s="6" t="n"/>
      <c r="E110" s="7" t="n"/>
      <c r="F110" s="6" t="n"/>
      <c r="G110" s="8">
        <f>IF(B110="","",IFERROR(VLOOKUP(--B110,'CATALOGO CECO'!$A$2:$H$550,2,FALSE),"CECO NO EXISTE"))</f>
        <v/>
      </c>
      <c r="H110" s="8">
        <f>IF(B110="","",IFERROR(VLOOKUP(--B110,'CATALOGO CECO'!$A$2:$H$550,3,FALSE),""))</f>
        <v/>
      </c>
      <c r="I110" s="8">
        <f>IF(B110="","",IFERROR(VLOOKUP(--B110,'CATALOGO CECO'!$A$2:$H$550,5,FALSE),""))</f>
        <v/>
      </c>
      <c r="J110" s="8">
        <f>IF(B110="","",IFERROR(VLOOKUP(--B110,'CATALOGO CECO'!$A$2:$H$550,8,FALSE),""))</f>
        <v/>
      </c>
      <c r="K110" s="8">
        <f>IF(COUNTA(A110:F110)=0,"",IF(OR(LEN(A110)&lt;&gt;7,MID(A110,5,1)&lt;&gt;"-",ISERROR(--LEFT(A110,4)),ISERROR(--RIGHT(A110,2))),"ERROR: PERIODO debe ser AAAA-MM",IF(B110="","ERROR: falta CODIGO CECO",IF(G110="CECO NO EXISTE","ERROR: CECO no existe en el catálogo",IF(C110="","ERROR: falta CUENTA",IF(ISERROR(--C110),"ERROR: CUENTA debe tener solo dígitos",IF(ISERROR(FIND(LEFT(C110,1),"567")),"ERROR: CUENTA fuera de las clases de costo",IF(NOT(ISNUMBER(E110)),"ERROR: VALOR debe ser numérico",IF(E110=0,"AVISO: valor cero (no se carga)",IF(J110&lt;&gt;"ACTIVO","NO SE CARGA: CECO en estado "&amp;J110,"OK"))))))))))</f>
        <v/>
      </c>
    </row>
    <row r="111">
      <c r="A111" s="5" t="n"/>
      <c r="B111" s="6" t="n"/>
      <c r="C111" s="5" t="n"/>
      <c r="D111" s="6" t="n"/>
      <c r="E111" s="7" t="n"/>
      <c r="F111" s="6" t="n"/>
      <c r="G111" s="8">
        <f>IF(B111="","",IFERROR(VLOOKUP(--B111,'CATALOGO CECO'!$A$2:$H$550,2,FALSE),"CECO NO EXISTE"))</f>
        <v/>
      </c>
      <c r="H111" s="8">
        <f>IF(B111="","",IFERROR(VLOOKUP(--B111,'CATALOGO CECO'!$A$2:$H$550,3,FALSE),""))</f>
        <v/>
      </c>
      <c r="I111" s="8">
        <f>IF(B111="","",IFERROR(VLOOKUP(--B111,'CATALOGO CECO'!$A$2:$H$550,5,FALSE),""))</f>
        <v/>
      </c>
      <c r="J111" s="8">
        <f>IF(B111="","",IFERROR(VLOOKUP(--B111,'CATALOGO CECO'!$A$2:$H$550,8,FALSE),""))</f>
        <v/>
      </c>
      <c r="K111" s="8">
        <f>IF(COUNTA(A111:F111)=0,"",IF(OR(LEN(A111)&lt;&gt;7,MID(A111,5,1)&lt;&gt;"-",ISERROR(--LEFT(A111,4)),ISERROR(--RIGHT(A111,2))),"ERROR: PERIODO debe ser AAAA-MM",IF(B111="","ERROR: falta CODIGO CECO",IF(G111="CECO NO EXISTE","ERROR: CECO no existe en el catálogo",IF(C111="","ERROR: falta CUENTA",IF(ISERROR(--C111),"ERROR: CUENTA debe tener solo dígitos",IF(ISERROR(FIND(LEFT(C111,1),"567")),"ERROR: CUENTA fuera de las clases de costo",IF(NOT(ISNUMBER(E111)),"ERROR: VALOR debe ser numérico",IF(E111=0,"AVISO: valor cero (no se carga)",IF(J111&lt;&gt;"ACTIVO","NO SE CARGA: CECO en estado "&amp;J111,"OK"))))))))))</f>
        <v/>
      </c>
    </row>
    <row r="112">
      <c r="A112" s="5" t="n"/>
      <c r="B112" s="6" t="n"/>
      <c r="C112" s="5" t="n"/>
      <c r="D112" s="6" t="n"/>
      <c r="E112" s="7" t="n"/>
      <c r="F112" s="6" t="n"/>
      <c r="G112" s="8">
        <f>IF(B112="","",IFERROR(VLOOKUP(--B112,'CATALOGO CECO'!$A$2:$H$550,2,FALSE),"CECO NO EXISTE"))</f>
        <v/>
      </c>
      <c r="H112" s="8">
        <f>IF(B112="","",IFERROR(VLOOKUP(--B112,'CATALOGO CECO'!$A$2:$H$550,3,FALSE),""))</f>
        <v/>
      </c>
      <c r="I112" s="8">
        <f>IF(B112="","",IFERROR(VLOOKUP(--B112,'CATALOGO CECO'!$A$2:$H$550,5,FALSE),""))</f>
        <v/>
      </c>
      <c r="J112" s="8">
        <f>IF(B112="","",IFERROR(VLOOKUP(--B112,'CATALOGO CECO'!$A$2:$H$550,8,FALSE),""))</f>
        <v/>
      </c>
      <c r="K112" s="8">
        <f>IF(COUNTA(A112:F112)=0,"",IF(OR(LEN(A112)&lt;&gt;7,MID(A112,5,1)&lt;&gt;"-",ISERROR(--LEFT(A112,4)),ISERROR(--RIGHT(A112,2))),"ERROR: PERIODO debe ser AAAA-MM",IF(B112="","ERROR: falta CODIGO CECO",IF(G112="CECO NO EXISTE","ERROR: CECO no existe en el catálogo",IF(C112="","ERROR: falta CUENTA",IF(ISERROR(--C112),"ERROR: CUENTA debe tener solo dígitos",IF(ISERROR(FIND(LEFT(C112,1),"567")),"ERROR: CUENTA fuera de las clases de costo",IF(NOT(ISNUMBER(E112)),"ERROR: VALOR debe ser numérico",IF(E112=0,"AVISO: valor cero (no se carga)",IF(J112&lt;&gt;"ACTIVO","NO SE CARGA: CECO en estado "&amp;J112,"OK"))))))))))</f>
        <v/>
      </c>
    </row>
    <row r="113">
      <c r="A113" s="5" t="n"/>
      <c r="B113" s="6" t="n"/>
      <c r="C113" s="5" t="n"/>
      <c r="D113" s="6" t="n"/>
      <c r="E113" s="7" t="n"/>
      <c r="F113" s="6" t="n"/>
      <c r="G113" s="8">
        <f>IF(B113="","",IFERROR(VLOOKUP(--B113,'CATALOGO CECO'!$A$2:$H$550,2,FALSE),"CECO NO EXISTE"))</f>
        <v/>
      </c>
      <c r="H113" s="8">
        <f>IF(B113="","",IFERROR(VLOOKUP(--B113,'CATALOGO CECO'!$A$2:$H$550,3,FALSE),""))</f>
        <v/>
      </c>
      <c r="I113" s="8">
        <f>IF(B113="","",IFERROR(VLOOKUP(--B113,'CATALOGO CECO'!$A$2:$H$550,5,FALSE),""))</f>
        <v/>
      </c>
      <c r="J113" s="8">
        <f>IF(B113="","",IFERROR(VLOOKUP(--B113,'CATALOGO CECO'!$A$2:$H$550,8,FALSE),""))</f>
        <v/>
      </c>
      <c r="K113" s="8">
        <f>IF(COUNTA(A113:F113)=0,"",IF(OR(LEN(A113)&lt;&gt;7,MID(A113,5,1)&lt;&gt;"-",ISERROR(--LEFT(A113,4)),ISERROR(--RIGHT(A113,2))),"ERROR: PERIODO debe ser AAAA-MM",IF(B113="","ERROR: falta CODIGO CECO",IF(G113="CECO NO EXISTE","ERROR: CECO no existe en el catálogo",IF(C113="","ERROR: falta CUENTA",IF(ISERROR(--C113),"ERROR: CUENTA debe tener solo dígitos",IF(ISERROR(FIND(LEFT(C113,1),"567")),"ERROR: CUENTA fuera de las clases de costo",IF(NOT(ISNUMBER(E113)),"ERROR: VALOR debe ser numérico",IF(E113=0,"AVISO: valor cero (no se carga)",IF(J113&lt;&gt;"ACTIVO","NO SE CARGA: CECO en estado "&amp;J113,"OK"))))))))))</f>
        <v/>
      </c>
    </row>
    <row r="114">
      <c r="A114" s="5" t="n"/>
      <c r="B114" s="6" t="n"/>
      <c r="C114" s="5" t="n"/>
      <c r="D114" s="6" t="n"/>
      <c r="E114" s="7" t="n"/>
      <c r="F114" s="6" t="n"/>
      <c r="G114" s="8">
        <f>IF(B114="","",IFERROR(VLOOKUP(--B114,'CATALOGO CECO'!$A$2:$H$550,2,FALSE),"CECO NO EXISTE"))</f>
        <v/>
      </c>
      <c r="H114" s="8">
        <f>IF(B114="","",IFERROR(VLOOKUP(--B114,'CATALOGO CECO'!$A$2:$H$550,3,FALSE),""))</f>
        <v/>
      </c>
      <c r="I114" s="8">
        <f>IF(B114="","",IFERROR(VLOOKUP(--B114,'CATALOGO CECO'!$A$2:$H$550,5,FALSE),""))</f>
        <v/>
      </c>
      <c r="J114" s="8">
        <f>IF(B114="","",IFERROR(VLOOKUP(--B114,'CATALOGO CECO'!$A$2:$H$550,8,FALSE),""))</f>
        <v/>
      </c>
      <c r="K114" s="8">
        <f>IF(COUNTA(A114:F114)=0,"",IF(OR(LEN(A114)&lt;&gt;7,MID(A114,5,1)&lt;&gt;"-",ISERROR(--LEFT(A114,4)),ISERROR(--RIGHT(A114,2))),"ERROR: PERIODO debe ser AAAA-MM",IF(B114="","ERROR: falta CODIGO CECO",IF(G114="CECO NO EXISTE","ERROR: CECO no existe en el catálogo",IF(C114="","ERROR: falta CUENTA",IF(ISERROR(--C114),"ERROR: CUENTA debe tener solo dígitos",IF(ISERROR(FIND(LEFT(C114,1),"567")),"ERROR: CUENTA fuera de las clases de costo",IF(NOT(ISNUMBER(E114)),"ERROR: VALOR debe ser numérico",IF(E114=0,"AVISO: valor cero (no se carga)",IF(J114&lt;&gt;"ACTIVO","NO SE CARGA: CECO en estado "&amp;J114,"OK"))))))))))</f>
        <v/>
      </c>
    </row>
    <row r="115">
      <c r="A115" s="5" t="n"/>
      <c r="B115" s="6" t="n"/>
      <c r="C115" s="5" t="n"/>
      <c r="D115" s="6" t="n"/>
      <c r="E115" s="7" t="n"/>
      <c r="F115" s="6" t="n"/>
      <c r="G115" s="8">
        <f>IF(B115="","",IFERROR(VLOOKUP(--B115,'CATALOGO CECO'!$A$2:$H$550,2,FALSE),"CECO NO EXISTE"))</f>
        <v/>
      </c>
      <c r="H115" s="8">
        <f>IF(B115="","",IFERROR(VLOOKUP(--B115,'CATALOGO CECO'!$A$2:$H$550,3,FALSE),""))</f>
        <v/>
      </c>
      <c r="I115" s="8">
        <f>IF(B115="","",IFERROR(VLOOKUP(--B115,'CATALOGO CECO'!$A$2:$H$550,5,FALSE),""))</f>
        <v/>
      </c>
      <c r="J115" s="8">
        <f>IF(B115="","",IFERROR(VLOOKUP(--B115,'CATALOGO CECO'!$A$2:$H$550,8,FALSE),""))</f>
        <v/>
      </c>
      <c r="K115" s="8">
        <f>IF(COUNTA(A115:F115)=0,"",IF(OR(LEN(A115)&lt;&gt;7,MID(A115,5,1)&lt;&gt;"-",ISERROR(--LEFT(A115,4)),ISERROR(--RIGHT(A115,2))),"ERROR: PERIODO debe ser AAAA-MM",IF(B115="","ERROR: falta CODIGO CECO",IF(G115="CECO NO EXISTE","ERROR: CECO no existe en el catálogo",IF(C115="","ERROR: falta CUENTA",IF(ISERROR(--C115),"ERROR: CUENTA debe tener solo dígitos",IF(ISERROR(FIND(LEFT(C115,1),"567")),"ERROR: CUENTA fuera de las clases de costo",IF(NOT(ISNUMBER(E115)),"ERROR: VALOR debe ser numérico",IF(E115=0,"AVISO: valor cero (no se carga)",IF(J115&lt;&gt;"ACTIVO","NO SE CARGA: CECO en estado "&amp;J115,"OK"))))))))))</f>
        <v/>
      </c>
    </row>
    <row r="116">
      <c r="A116" s="5" t="n"/>
      <c r="B116" s="6" t="n"/>
      <c r="C116" s="5" t="n"/>
      <c r="D116" s="6" t="n"/>
      <c r="E116" s="7" t="n"/>
      <c r="F116" s="6" t="n"/>
      <c r="G116" s="8">
        <f>IF(B116="","",IFERROR(VLOOKUP(--B116,'CATALOGO CECO'!$A$2:$H$550,2,FALSE),"CECO NO EXISTE"))</f>
        <v/>
      </c>
      <c r="H116" s="8">
        <f>IF(B116="","",IFERROR(VLOOKUP(--B116,'CATALOGO CECO'!$A$2:$H$550,3,FALSE),""))</f>
        <v/>
      </c>
      <c r="I116" s="8">
        <f>IF(B116="","",IFERROR(VLOOKUP(--B116,'CATALOGO CECO'!$A$2:$H$550,5,FALSE),""))</f>
        <v/>
      </c>
      <c r="J116" s="8">
        <f>IF(B116="","",IFERROR(VLOOKUP(--B116,'CATALOGO CECO'!$A$2:$H$550,8,FALSE),""))</f>
        <v/>
      </c>
      <c r="K116" s="8">
        <f>IF(COUNTA(A116:F116)=0,"",IF(OR(LEN(A116)&lt;&gt;7,MID(A116,5,1)&lt;&gt;"-",ISERROR(--LEFT(A116,4)),ISERROR(--RIGHT(A116,2))),"ERROR: PERIODO debe ser AAAA-MM",IF(B116="","ERROR: falta CODIGO CECO",IF(G116="CECO NO EXISTE","ERROR: CECO no existe en el catálogo",IF(C116="","ERROR: falta CUENTA",IF(ISERROR(--C116),"ERROR: CUENTA debe tener solo dígitos",IF(ISERROR(FIND(LEFT(C116,1),"567")),"ERROR: CUENTA fuera de las clases de costo",IF(NOT(ISNUMBER(E116)),"ERROR: VALOR debe ser numérico",IF(E116=0,"AVISO: valor cero (no se carga)",IF(J116&lt;&gt;"ACTIVO","NO SE CARGA: CECO en estado "&amp;J116,"OK"))))))))))</f>
        <v/>
      </c>
    </row>
    <row r="117">
      <c r="A117" s="5" t="n"/>
      <c r="B117" s="6" t="n"/>
      <c r="C117" s="5" t="n"/>
      <c r="D117" s="6" t="n"/>
      <c r="E117" s="7" t="n"/>
      <c r="F117" s="6" t="n"/>
      <c r="G117" s="8">
        <f>IF(B117="","",IFERROR(VLOOKUP(--B117,'CATALOGO CECO'!$A$2:$H$550,2,FALSE),"CECO NO EXISTE"))</f>
        <v/>
      </c>
      <c r="H117" s="8">
        <f>IF(B117="","",IFERROR(VLOOKUP(--B117,'CATALOGO CECO'!$A$2:$H$550,3,FALSE),""))</f>
        <v/>
      </c>
      <c r="I117" s="8">
        <f>IF(B117="","",IFERROR(VLOOKUP(--B117,'CATALOGO CECO'!$A$2:$H$550,5,FALSE),""))</f>
        <v/>
      </c>
      <c r="J117" s="8">
        <f>IF(B117="","",IFERROR(VLOOKUP(--B117,'CATALOGO CECO'!$A$2:$H$550,8,FALSE),""))</f>
        <v/>
      </c>
      <c r="K117" s="8">
        <f>IF(COUNTA(A117:F117)=0,"",IF(OR(LEN(A117)&lt;&gt;7,MID(A117,5,1)&lt;&gt;"-",ISERROR(--LEFT(A117,4)),ISERROR(--RIGHT(A117,2))),"ERROR: PERIODO debe ser AAAA-MM",IF(B117="","ERROR: falta CODIGO CECO",IF(G117="CECO NO EXISTE","ERROR: CECO no existe en el catálogo",IF(C117="","ERROR: falta CUENTA",IF(ISERROR(--C117),"ERROR: CUENTA debe tener solo dígitos",IF(ISERROR(FIND(LEFT(C117,1),"567")),"ERROR: CUENTA fuera de las clases de costo",IF(NOT(ISNUMBER(E117)),"ERROR: VALOR debe ser numérico",IF(E117=0,"AVISO: valor cero (no se carga)",IF(J117&lt;&gt;"ACTIVO","NO SE CARGA: CECO en estado "&amp;J117,"OK"))))))))))</f>
        <v/>
      </c>
    </row>
    <row r="118">
      <c r="A118" s="5" t="n"/>
      <c r="B118" s="6" t="n"/>
      <c r="C118" s="5" t="n"/>
      <c r="D118" s="6" t="n"/>
      <c r="E118" s="7" t="n"/>
      <c r="F118" s="6" t="n"/>
      <c r="G118" s="8">
        <f>IF(B118="","",IFERROR(VLOOKUP(--B118,'CATALOGO CECO'!$A$2:$H$550,2,FALSE),"CECO NO EXISTE"))</f>
        <v/>
      </c>
      <c r="H118" s="8">
        <f>IF(B118="","",IFERROR(VLOOKUP(--B118,'CATALOGO CECO'!$A$2:$H$550,3,FALSE),""))</f>
        <v/>
      </c>
      <c r="I118" s="8">
        <f>IF(B118="","",IFERROR(VLOOKUP(--B118,'CATALOGO CECO'!$A$2:$H$550,5,FALSE),""))</f>
        <v/>
      </c>
      <c r="J118" s="8">
        <f>IF(B118="","",IFERROR(VLOOKUP(--B118,'CATALOGO CECO'!$A$2:$H$550,8,FALSE),""))</f>
        <v/>
      </c>
      <c r="K118" s="8">
        <f>IF(COUNTA(A118:F118)=0,"",IF(OR(LEN(A118)&lt;&gt;7,MID(A118,5,1)&lt;&gt;"-",ISERROR(--LEFT(A118,4)),ISERROR(--RIGHT(A118,2))),"ERROR: PERIODO debe ser AAAA-MM",IF(B118="","ERROR: falta CODIGO CECO",IF(G118="CECO NO EXISTE","ERROR: CECO no existe en el catálogo",IF(C118="","ERROR: falta CUENTA",IF(ISERROR(--C118),"ERROR: CUENTA debe tener solo dígitos",IF(ISERROR(FIND(LEFT(C118,1),"567")),"ERROR: CUENTA fuera de las clases de costo",IF(NOT(ISNUMBER(E118)),"ERROR: VALOR debe ser numérico",IF(E118=0,"AVISO: valor cero (no se carga)",IF(J118&lt;&gt;"ACTIVO","NO SE CARGA: CECO en estado "&amp;J118,"OK"))))))))))</f>
        <v/>
      </c>
    </row>
    <row r="119">
      <c r="A119" s="5" t="n"/>
      <c r="B119" s="6" t="n"/>
      <c r="C119" s="5" t="n"/>
      <c r="D119" s="6" t="n"/>
      <c r="E119" s="7" t="n"/>
      <c r="F119" s="6" t="n"/>
      <c r="G119" s="8">
        <f>IF(B119="","",IFERROR(VLOOKUP(--B119,'CATALOGO CECO'!$A$2:$H$550,2,FALSE),"CECO NO EXISTE"))</f>
        <v/>
      </c>
      <c r="H119" s="8">
        <f>IF(B119="","",IFERROR(VLOOKUP(--B119,'CATALOGO CECO'!$A$2:$H$550,3,FALSE),""))</f>
        <v/>
      </c>
      <c r="I119" s="8">
        <f>IF(B119="","",IFERROR(VLOOKUP(--B119,'CATALOGO CECO'!$A$2:$H$550,5,FALSE),""))</f>
        <v/>
      </c>
      <c r="J119" s="8">
        <f>IF(B119="","",IFERROR(VLOOKUP(--B119,'CATALOGO CECO'!$A$2:$H$550,8,FALSE),""))</f>
        <v/>
      </c>
      <c r="K119" s="8">
        <f>IF(COUNTA(A119:F119)=0,"",IF(OR(LEN(A119)&lt;&gt;7,MID(A119,5,1)&lt;&gt;"-",ISERROR(--LEFT(A119,4)),ISERROR(--RIGHT(A119,2))),"ERROR: PERIODO debe ser AAAA-MM",IF(B119="","ERROR: falta CODIGO CECO",IF(G119="CECO NO EXISTE","ERROR: CECO no existe en el catálogo",IF(C119="","ERROR: falta CUENTA",IF(ISERROR(--C119),"ERROR: CUENTA debe tener solo dígitos",IF(ISERROR(FIND(LEFT(C119,1),"567")),"ERROR: CUENTA fuera de las clases de costo",IF(NOT(ISNUMBER(E119)),"ERROR: VALOR debe ser numérico",IF(E119=0,"AVISO: valor cero (no se carga)",IF(J119&lt;&gt;"ACTIVO","NO SE CARGA: CECO en estado "&amp;J119,"OK"))))))))))</f>
        <v/>
      </c>
    </row>
    <row r="120">
      <c r="A120" s="5" t="n"/>
      <c r="B120" s="6" t="n"/>
      <c r="C120" s="5" t="n"/>
      <c r="D120" s="6" t="n"/>
      <c r="E120" s="7" t="n"/>
      <c r="F120" s="6" t="n"/>
      <c r="G120" s="8">
        <f>IF(B120="","",IFERROR(VLOOKUP(--B120,'CATALOGO CECO'!$A$2:$H$550,2,FALSE),"CECO NO EXISTE"))</f>
        <v/>
      </c>
      <c r="H120" s="8">
        <f>IF(B120="","",IFERROR(VLOOKUP(--B120,'CATALOGO CECO'!$A$2:$H$550,3,FALSE),""))</f>
        <v/>
      </c>
      <c r="I120" s="8">
        <f>IF(B120="","",IFERROR(VLOOKUP(--B120,'CATALOGO CECO'!$A$2:$H$550,5,FALSE),""))</f>
        <v/>
      </c>
      <c r="J120" s="8">
        <f>IF(B120="","",IFERROR(VLOOKUP(--B120,'CATALOGO CECO'!$A$2:$H$550,8,FALSE),""))</f>
        <v/>
      </c>
      <c r="K120" s="8">
        <f>IF(COUNTA(A120:F120)=0,"",IF(OR(LEN(A120)&lt;&gt;7,MID(A120,5,1)&lt;&gt;"-",ISERROR(--LEFT(A120,4)),ISERROR(--RIGHT(A120,2))),"ERROR: PERIODO debe ser AAAA-MM",IF(B120="","ERROR: falta CODIGO CECO",IF(G120="CECO NO EXISTE","ERROR: CECO no existe en el catálogo",IF(C120="","ERROR: falta CUENTA",IF(ISERROR(--C120),"ERROR: CUENTA debe tener solo dígitos",IF(ISERROR(FIND(LEFT(C120,1),"567")),"ERROR: CUENTA fuera de las clases de costo",IF(NOT(ISNUMBER(E120)),"ERROR: VALOR debe ser numérico",IF(E120=0,"AVISO: valor cero (no se carga)",IF(J120&lt;&gt;"ACTIVO","NO SE CARGA: CECO en estado "&amp;J120,"OK"))))))))))</f>
        <v/>
      </c>
    </row>
    <row r="121">
      <c r="A121" s="5" t="n"/>
      <c r="B121" s="6" t="n"/>
      <c r="C121" s="5" t="n"/>
      <c r="D121" s="6" t="n"/>
      <c r="E121" s="7" t="n"/>
      <c r="F121" s="6" t="n"/>
      <c r="G121" s="8">
        <f>IF(B121="","",IFERROR(VLOOKUP(--B121,'CATALOGO CECO'!$A$2:$H$550,2,FALSE),"CECO NO EXISTE"))</f>
        <v/>
      </c>
      <c r="H121" s="8">
        <f>IF(B121="","",IFERROR(VLOOKUP(--B121,'CATALOGO CECO'!$A$2:$H$550,3,FALSE),""))</f>
        <v/>
      </c>
      <c r="I121" s="8">
        <f>IF(B121="","",IFERROR(VLOOKUP(--B121,'CATALOGO CECO'!$A$2:$H$550,5,FALSE),""))</f>
        <v/>
      </c>
      <c r="J121" s="8">
        <f>IF(B121="","",IFERROR(VLOOKUP(--B121,'CATALOGO CECO'!$A$2:$H$550,8,FALSE),""))</f>
        <v/>
      </c>
      <c r="K121" s="8">
        <f>IF(COUNTA(A121:F121)=0,"",IF(OR(LEN(A121)&lt;&gt;7,MID(A121,5,1)&lt;&gt;"-",ISERROR(--LEFT(A121,4)),ISERROR(--RIGHT(A121,2))),"ERROR: PERIODO debe ser AAAA-MM",IF(B121="","ERROR: falta CODIGO CECO",IF(G121="CECO NO EXISTE","ERROR: CECO no existe en el catálogo",IF(C121="","ERROR: falta CUENTA",IF(ISERROR(--C121),"ERROR: CUENTA debe tener solo dígitos",IF(ISERROR(FIND(LEFT(C121,1),"567")),"ERROR: CUENTA fuera de las clases de costo",IF(NOT(ISNUMBER(E121)),"ERROR: VALOR debe ser numérico",IF(E121=0,"AVISO: valor cero (no se carga)",IF(J121&lt;&gt;"ACTIVO","NO SE CARGA: CECO en estado "&amp;J121,"OK"))))))))))</f>
        <v/>
      </c>
    </row>
    <row r="122">
      <c r="A122" s="5" t="n"/>
      <c r="B122" s="6" t="n"/>
      <c r="C122" s="5" t="n"/>
      <c r="D122" s="6" t="n"/>
      <c r="E122" s="7" t="n"/>
      <c r="F122" s="6" t="n"/>
      <c r="G122" s="8">
        <f>IF(B122="","",IFERROR(VLOOKUP(--B122,'CATALOGO CECO'!$A$2:$H$550,2,FALSE),"CECO NO EXISTE"))</f>
        <v/>
      </c>
      <c r="H122" s="8">
        <f>IF(B122="","",IFERROR(VLOOKUP(--B122,'CATALOGO CECO'!$A$2:$H$550,3,FALSE),""))</f>
        <v/>
      </c>
      <c r="I122" s="8">
        <f>IF(B122="","",IFERROR(VLOOKUP(--B122,'CATALOGO CECO'!$A$2:$H$550,5,FALSE),""))</f>
        <v/>
      </c>
      <c r="J122" s="8">
        <f>IF(B122="","",IFERROR(VLOOKUP(--B122,'CATALOGO CECO'!$A$2:$H$550,8,FALSE),""))</f>
        <v/>
      </c>
      <c r="K122" s="8">
        <f>IF(COUNTA(A122:F122)=0,"",IF(OR(LEN(A122)&lt;&gt;7,MID(A122,5,1)&lt;&gt;"-",ISERROR(--LEFT(A122,4)),ISERROR(--RIGHT(A122,2))),"ERROR: PERIODO debe ser AAAA-MM",IF(B122="","ERROR: falta CODIGO CECO",IF(G122="CECO NO EXISTE","ERROR: CECO no existe en el catálogo",IF(C122="","ERROR: falta CUENTA",IF(ISERROR(--C122),"ERROR: CUENTA debe tener solo dígitos",IF(ISERROR(FIND(LEFT(C122,1),"567")),"ERROR: CUENTA fuera de las clases de costo",IF(NOT(ISNUMBER(E122)),"ERROR: VALOR debe ser numérico",IF(E122=0,"AVISO: valor cero (no se carga)",IF(J122&lt;&gt;"ACTIVO","NO SE CARGA: CECO en estado "&amp;J122,"OK"))))))))))</f>
        <v/>
      </c>
    </row>
    <row r="123">
      <c r="A123" s="5" t="n"/>
      <c r="B123" s="6" t="n"/>
      <c r="C123" s="5" t="n"/>
      <c r="D123" s="6" t="n"/>
      <c r="E123" s="7" t="n"/>
      <c r="F123" s="6" t="n"/>
      <c r="G123" s="8">
        <f>IF(B123="","",IFERROR(VLOOKUP(--B123,'CATALOGO CECO'!$A$2:$H$550,2,FALSE),"CECO NO EXISTE"))</f>
        <v/>
      </c>
      <c r="H123" s="8">
        <f>IF(B123="","",IFERROR(VLOOKUP(--B123,'CATALOGO CECO'!$A$2:$H$550,3,FALSE),""))</f>
        <v/>
      </c>
      <c r="I123" s="8">
        <f>IF(B123="","",IFERROR(VLOOKUP(--B123,'CATALOGO CECO'!$A$2:$H$550,5,FALSE),""))</f>
        <v/>
      </c>
      <c r="J123" s="8">
        <f>IF(B123="","",IFERROR(VLOOKUP(--B123,'CATALOGO CECO'!$A$2:$H$550,8,FALSE),""))</f>
        <v/>
      </c>
      <c r="K123" s="8">
        <f>IF(COUNTA(A123:F123)=0,"",IF(OR(LEN(A123)&lt;&gt;7,MID(A123,5,1)&lt;&gt;"-",ISERROR(--LEFT(A123,4)),ISERROR(--RIGHT(A123,2))),"ERROR: PERIODO debe ser AAAA-MM",IF(B123="","ERROR: falta CODIGO CECO",IF(G123="CECO NO EXISTE","ERROR: CECO no existe en el catálogo",IF(C123="","ERROR: falta CUENTA",IF(ISERROR(--C123),"ERROR: CUENTA debe tener solo dígitos",IF(ISERROR(FIND(LEFT(C123,1),"567")),"ERROR: CUENTA fuera de las clases de costo",IF(NOT(ISNUMBER(E123)),"ERROR: VALOR debe ser numérico",IF(E123=0,"AVISO: valor cero (no se carga)",IF(J123&lt;&gt;"ACTIVO","NO SE CARGA: CECO en estado "&amp;J123,"OK"))))))))))</f>
        <v/>
      </c>
    </row>
    <row r="124">
      <c r="A124" s="5" t="n"/>
      <c r="B124" s="6" t="n"/>
      <c r="C124" s="5" t="n"/>
      <c r="D124" s="6" t="n"/>
      <c r="E124" s="7" t="n"/>
      <c r="F124" s="6" t="n"/>
      <c r="G124" s="8">
        <f>IF(B124="","",IFERROR(VLOOKUP(--B124,'CATALOGO CECO'!$A$2:$H$550,2,FALSE),"CECO NO EXISTE"))</f>
        <v/>
      </c>
      <c r="H124" s="8">
        <f>IF(B124="","",IFERROR(VLOOKUP(--B124,'CATALOGO CECO'!$A$2:$H$550,3,FALSE),""))</f>
        <v/>
      </c>
      <c r="I124" s="8">
        <f>IF(B124="","",IFERROR(VLOOKUP(--B124,'CATALOGO CECO'!$A$2:$H$550,5,FALSE),""))</f>
        <v/>
      </c>
      <c r="J124" s="8">
        <f>IF(B124="","",IFERROR(VLOOKUP(--B124,'CATALOGO CECO'!$A$2:$H$550,8,FALSE),""))</f>
        <v/>
      </c>
      <c r="K124" s="8">
        <f>IF(COUNTA(A124:F124)=0,"",IF(OR(LEN(A124)&lt;&gt;7,MID(A124,5,1)&lt;&gt;"-",ISERROR(--LEFT(A124,4)),ISERROR(--RIGHT(A124,2))),"ERROR: PERIODO debe ser AAAA-MM",IF(B124="","ERROR: falta CODIGO CECO",IF(G124="CECO NO EXISTE","ERROR: CECO no existe en el catálogo",IF(C124="","ERROR: falta CUENTA",IF(ISERROR(--C124),"ERROR: CUENTA debe tener solo dígitos",IF(ISERROR(FIND(LEFT(C124,1),"567")),"ERROR: CUENTA fuera de las clases de costo",IF(NOT(ISNUMBER(E124)),"ERROR: VALOR debe ser numérico",IF(E124=0,"AVISO: valor cero (no se carga)",IF(J124&lt;&gt;"ACTIVO","NO SE CARGA: CECO en estado "&amp;J124,"OK"))))))))))</f>
        <v/>
      </c>
    </row>
    <row r="125">
      <c r="A125" s="5" t="n"/>
      <c r="B125" s="6" t="n"/>
      <c r="C125" s="5" t="n"/>
      <c r="D125" s="6" t="n"/>
      <c r="E125" s="7" t="n"/>
      <c r="F125" s="6" t="n"/>
      <c r="G125" s="8">
        <f>IF(B125="","",IFERROR(VLOOKUP(--B125,'CATALOGO CECO'!$A$2:$H$550,2,FALSE),"CECO NO EXISTE"))</f>
        <v/>
      </c>
      <c r="H125" s="8">
        <f>IF(B125="","",IFERROR(VLOOKUP(--B125,'CATALOGO CECO'!$A$2:$H$550,3,FALSE),""))</f>
        <v/>
      </c>
      <c r="I125" s="8">
        <f>IF(B125="","",IFERROR(VLOOKUP(--B125,'CATALOGO CECO'!$A$2:$H$550,5,FALSE),""))</f>
        <v/>
      </c>
      <c r="J125" s="8">
        <f>IF(B125="","",IFERROR(VLOOKUP(--B125,'CATALOGO CECO'!$A$2:$H$550,8,FALSE),""))</f>
        <v/>
      </c>
      <c r="K125" s="8">
        <f>IF(COUNTA(A125:F125)=0,"",IF(OR(LEN(A125)&lt;&gt;7,MID(A125,5,1)&lt;&gt;"-",ISERROR(--LEFT(A125,4)),ISERROR(--RIGHT(A125,2))),"ERROR: PERIODO debe ser AAAA-MM",IF(B125="","ERROR: falta CODIGO CECO",IF(G125="CECO NO EXISTE","ERROR: CECO no existe en el catálogo",IF(C125="","ERROR: falta CUENTA",IF(ISERROR(--C125),"ERROR: CUENTA debe tener solo dígitos",IF(ISERROR(FIND(LEFT(C125,1),"567")),"ERROR: CUENTA fuera de las clases de costo",IF(NOT(ISNUMBER(E125)),"ERROR: VALOR debe ser numérico",IF(E125=0,"AVISO: valor cero (no se carga)",IF(J125&lt;&gt;"ACTIVO","NO SE CARGA: CECO en estado "&amp;J125,"OK"))))))))))</f>
        <v/>
      </c>
    </row>
    <row r="126">
      <c r="A126" s="5" t="n"/>
      <c r="B126" s="6" t="n"/>
      <c r="C126" s="5" t="n"/>
      <c r="D126" s="6" t="n"/>
      <c r="E126" s="7" t="n"/>
      <c r="F126" s="6" t="n"/>
      <c r="G126" s="8">
        <f>IF(B126="","",IFERROR(VLOOKUP(--B126,'CATALOGO CECO'!$A$2:$H$550,2,FALSE),"CECO NO EXISTE"))</f>
        <v/>
      </c>
      <c r="H126" s="8">
        <f>IF(B126="","",IFERROR(VLOOKUP(--B126,'CATALOGO CECO'!$A$2:$H$550,3,FALSE),""))</f>
        <v/>
      </c>
      <c r="I126" s="8">
        <f>IF(B126="","",IFERROR(VLOOKUP(--B126,'CATALOGO CECO'!$A$2:$H$550,5,FALSE),""))</f>
        <v/>
      </c>
      <c r="J126" s="8">
        <f>IF(B126="","",IFERROR(VLOOKUP(--B126,'CATALOGO CECO'!$A$2:$H$550,8,FALSE),""))</f>
        <v/>
      </c>
      <c r="K126" s="8">
        <f>IF(COUNTA(A126:F126)=0,"",IF(OR(LEN(A126)&lt;&gt;7,MID(A126,5,1)&lt;&gt;"-",ISERROR(--LEFT(A126,4)),ISERROR(--RIGHT(A126,2))),"ERROR: PERIODO debe ser AAAA-MM",IF(B126="","ERROR: falta CODIGO CECO",IF(G126="CECO NO EXISTE","ERROR: CECO no existe en el catálogo",IF(C126="","ERROR: falta CUENTA",IF(ISERROR(--C126),"ERROR: CUENTA debe tener solo dígitos",IF(ISERROR(FIND(LEFT(C126,1),"567")),"ERROR: CUENTA fuera de las clases de costo",IF(NOT(ISNUMBER(E126)),"ERROR: VALOR debe ser numérico",IF(E126=0,"AVISO: valor cero (no se carga)",IF(J126&lt;&gt;"ACTIVO","NO SE CARGA: CECO en estado "&amp;J126,"OK"))))))))))</f>
        <v/>
      </c>
    </row>
    <row r="127">
      <c r="A127" s="5" t="n"/>
      <c r="B127" s="6" t="n"/>
      <c r="C127" s="5" t="n"/>
      <c r="D127" s="6" t="n"/>
      <c r="E127" s="7" t="n"/>
      <c r="F127" s="6" t="n"/>
      <c r="G127" s="8">
        <f>IF(B127="","",IFERROR(VLOOKUP(--B127,'CATALOGO CECO'!$A$2:$H$550,2,FALSE),"CECO NO EXISTE"))</f>
        <v/>
      </c>
      <c r="H127" s="8">
        <f>IF(B127="","",IFERROR(VLOOKUP(--B127,'CATALOGO CECO'!$A$2:$H$550,3,FALSE),""))</f>
        <v/>
      </c>
      <c r="I127" s="8">
        <f>IF(B127="","",IFERROR(VLOOKUP(--B127,'CATALOGO CECO'!$A$2:$H$550,5,FALSE),""))</f>
        <v/>
      </c>
      <c r="J127" s="8">
        <f>IF(B127="","",IFERROR(VLOOKUP(--B127,'CATALOGO CECO'!$A$2:$H$550,8,FALSE),""))</f>
        <v/>
      </c>
      <c r="K127" s="8">
        <f>IF(COUNTA(A127:F127)=0,"",IF(OR(LEN(A127)&lt;&gt;7,MID(A127,5,1)&lt;&gt;"-",ISERROR(--LEFT(A127,4)),ISERROR(--RIGHT(A127,2))),"ERROR: PERIODO debe ser AAAA-MM",IF(B127="","ERROR: falta CODIGO CECO",IF(G127="CECO NO EXISTE","ERROR: CECO no existe en el catálogo",IF(C127="","ERROR: falta CUENTA",IF(ISERROR(--C127),"ERROR: CUENTA debe tener solo dígitos",IF(ISERROR(FIND(LEFT(C127,1),"567")),"ERROR: CUENTA fuera de las clases de costo",IF(NOT(ISNUMBER(E127)),"ERROR: VALOR debe ser numérico",IF(E127=0,"AVISO: valor cero (no se carga)",IF(J127&lt;&gt;"ACTIVO","NO SE CARGA: CECO en estado "&amp;J127,"OK"))))))))))</f>
        <v/>
      </c>
    </row>
    <row r="128">
      <c r="A128" s="5" t="n"/>
      <c r="B128" s="6" t="n"/>
      <c r="C128" s="5" t="n"/>
      <c r="D128" s="6" t="n"/>
      <c r="E128" s="7" t="n"/>
      <c r="F128" s="6" t="n"/>
      <c r="G128" s="8">
        <f>IF(B128="","",IFERROR(VLOOKUP(--B128,'CATALOGO CECO'!$A$2:$H$550,2,FALSE),"CECO NO EXISTE"))</f>
        <v/>
      </c>
      <c r="H128" s="8">
        <f>IF(B128="","",IFERROR(VLOOKUP(--B128,'CATALOGO CECO'!$A$2:$H$550,3,FALSE),""))</f>
        <v/>
      </c>
      <c r="I128" s="8">
        <f>IF(B128="","",IFERROR(VLOOKUP(--B128,'CATALOGO CECO'!$A$2:$H$550,5,FALSE),""))</f>
        <v/>
      </c>
      <c r="J128" s="8">
        <f>IF(B128="","",IFERROR(VLOOKUP(--B128,'CATALOGO CECO'!$A$2:$H$550,8,FALSE),""))</f>
        <v/>
      </c>
      <c r="K128" s="8">
        <f>IF(COUNTA(A128:F128)=0,"",IF(OR(LEN(A128)&lt;&gt;7,MID(A128,5,1)&lt;&gt;"-",ISERROR(--LEFT(A128,4)),ISERROR(--RIGHT(A128,2))),"ERROR: PERIODO debe ser AAAA-MM",IF(B128="","ERROR: falta CODIGO CECO",IF(G128="CECO NO EXISTE","ERROR: CECO no existe en el catálogo",IF(C128="","ERROR: falta CUENTA",IF(ISERROR(--C128),"ERROR: CUENTA debe tener solo dígitos",IF(ISERROR(FIND(LEFT(C128,1),"567")),"ERROR: CUENTA fuera de las clases de costo",IF(NOT(ISNUMBER(E128)),"ERROR: VALOR debe ser numérico",IF(E128=0,"AVISO: valor cero (no se carga)",IF(J128&lt;&gt;"ACTIVO","NO SE CARGA: CECO en estado "&amp;J128,"OK"))))))))))</f>
        <v/>
      </c>
    </row>
    <row r="129">
      <c r="A129" s="5" t="n"/>
      <c r="B129" s="6" t="n"/>
      <c r="C129" s="5" t="n"/>
      <c r="D129" s="6" t="n"/>
      <c r="E129" s="7" t="n"/>
      <c r="F129" s="6" t="n"/>
      <c r="G129" s="8">
        <f>IF(B129="","",IFERROR(VLOOKUP(--B129,'CATALOGO CECO'!$A$2:$H$550,2,FALSE),"CECO NO EXISTE"))</f>
        <v/>
      </c>
      <c r="H129" s="8">
        <f>IF(B129="","",IFERROR(VLOOKUP(--B129,'CATALOGO CECO'!$A$2:$H$550,3,FALSE),""))</f>
        <v/>
      </c>
      <c r="I129" s="8">
        <f>IF(B129="","",IFERROR(VLOOKUP(--B129,'CATALOGO CECO'!$A$2:$H$550,5,FALSE),""))</f>
        <v/>
      </c>
      <c r="J129" s="8">
        <f>IF(B129="","",IFERROR(VLOOKUP(--B129,'CATALOGO CECO'!$A$2:$H$550,8,FALSE),""))</f>
        <v/>
      </c>
      <c r="K129" s="8">
        <f>IF(COUNTA(A129:F129)=0,"",IF(OR(LEN(A129)&lt;&gt;7,MID(A129,5,1)&lt;&gt;"-",ISERROR(--LEFT(A129,4)),ISERROR(--RIGHT(A129,2))),"ERROR: PERIODO debe ser AAAA-MM",IF(B129="","ERROR: falta CODIGO CECO",IF(G129="CECO NO EXISTE","ERROR: CECO no existe en el catálogo",IF(C129="","ERROR: falta CUENTA",IF(ISERROR(--C129),"ERROR: CUENTA debe tener solo dígitos",IF(ISERROR(FIND(LEFT(C129,1),"567")),"ERROR: CUENTA fuera de las clases de costo",IF(NOT(ISNUMBER(E129)),"ERROR: VALOR debe ser numérico",IF(E129=0,"AVISO: valor cero (no se carga)",IF(J129&lt;&gt;"ACTIVO","NO SE CARGA: CECO en estado "&amp;J129,"OK"))))))))))</f>
        <v/>
      </c>
    </row>
    <row r="130">
      <c r="A130" s="5" t="n"/>
      <c r="B130" s="6" t="n"/>
      <c r="C130" s="5" t="n"/>
      <c r="D130" s="6" t="n"/>
      <c r="E130" s="7" t="n"/>
      <c r="F130" s="6" t="n"/>
      <c r="G130" s="8">
        <f>IF(B130="","",IFERROR(VLOOKUP(--B130,'CATALOGO CECO'!$A$2:$H$550,2,FALSE),"CECO NO EXISTE"))</f>
        <v/>
      </c>
      <c r="H130" s="8">
        <f>IF(B130="","",IFERROR(VLOOKUP(--B130,'CATALOGO CECO'!$A$2:$H$550,3,FALSE),""))</f>
        <v/>
      </c>
      <c r="I130" s="8">
        <f>IF(B130="","",IFERROR(VLOOKUP(--B130,'CATALOGO CECO'!$A$2:$H$550,5,FALSE),""))</f>
        <v/>
      </c>
      <c r="J130" s="8">
        <f>IF(B130="","",IFERROR(VLOOKUP(--B130,'CATALOGO CECO'!$A$2:$H$550,8,FALSE),""))</f>
        <v/>
      </c>
      <c r="K130" s="8">
        <f>IF(COUNTA(A130:F130)=0,"",IF(OR(LEN(A130)&lt;&gt;7,MID(A130,5,1)&lt;&gt;"-",ISERROR(--LEFT(A130,4)),ISERROR(--RIGHT(A130,2))),"ERROR: PERIODO debe ser AAAA-MM",IF(B130="","ERROR: falta CODIGO CECO",IF(G130="CECO NO EXISTE","ERROR: CECO no existe en el catálogo",IF(C130="","ERROR: falta CUENTA",IF(ISERROR(--C130),"ERROR: CUENTA debe tener solo dígitos",IF(ISERROR(FIND(LEFT(C130,1),"567")),"ERROR: CUENTA fuera de las clases de costo",IF(NOT(ISNUMBER(E130)),"ERROR: VALOR debe ser numérico",IF(E130=0,"AVISO: valor cero (no se carga)",IF(J130&lt;&gt;"ACTIVO","NO SE CARGA: CECO en estado "&amp;J130,"OK"))))))))))</f>
        <v/>
      </c>
    </row>
    <row r="131">
      <c r="A131" s="5" t="n"/>
      <c r="B131" s="6" t="n"/>
      <c r="C131" s="5" t="n"/>
      <c r="D131" s="6" t="n"/>
      <c r="E131" s="7" t="n"/>
      <c r="F131" s="6" t="n"/>
      <c r="G131" s="8">
        <f>IF(B131="","",IFERROR(VLOOKUP(--B131,'CATALOGO CECO'!$A$2:$H$550,2,FALSE),"CECO NO EXISTE"))</f>
        <v/>
      </c>
      <c r="H131" s="8">
        <f>IF(B131="","",IFERROR(VLOOKUP(--B131,'CATALOGO CECO'!$A$2:$H$550,3,FALSE),""))</f>
        <v/>
      </c>
      <c r="I131" s="8">
        <f>IF(B131="","",IFERROR(VLOOKUP(--B131,'CATALOGO CECO'!$A$2:$H$550,5,FALSE),""))</f>
        <v/>
      </c>
      <c r="J131" s="8">
        <f>IF(B131="","",IFERROR(VLOOKUP(--B131,'CATALOGO CECO'!$A$2:$H$550,8,FALSE),""))</f>
        <v/>
      </c>
      <c r="K131" s="8">
        <f>IF(COUNTA(A131:F131)=0,"",IF(OR(LEN(A131)&lt;&gt;7,MID(A131,5,1)&lt;&gt;"-",ISERROR(--LEFT(A131,4)),ISERROR(--RIGHT(A131,2))),"ERROR: PERIODO debe ser AAAA-MM",IF(B131="","ERROR: falta CODIGO CECO",IF(G131="CECO NO EXISTE","ERROR: CECO no existe en el catálogo",IF(C131="","ERROR: falta CUENTA",IF(ISERROR(--C131),"ERROR: CUENTA debe tener solo dígitos",IF(ISERROR(FIND(LEFT(C131,1),"567")),"ERROR: CUENTA fuera de las clases de costo",IF(NOT(ISNUMBER(E131)),"ERROR: VALOR debe ser numérico",IF(E131=0,"AVISO: valor cero (no se carga)",IF(J131&lt;&gt;"ACTIVO","NO SE CARGA: CECO en estado "&amp;J131,"OK"))))))))))</f>
        <v/>
      </c>
    </row>
    <row r="132">
      <c r="A132" s="5" t="n"/>
      <c r="B132" s="6" t="n"/>
      <c r="C132" s="5" t="n"/>
      <c r="D132" s="6" t="n"/>
      <c r="E132" s="7" t="n"/>
      <c r="F132" s="6" t="n"/>
      <c r="G132" s="8">
        <f>IF(B132="","",IFERROR(VLOOKUP(--B132,'CATALOGO CECO'!$A$2:$H$550,2,FALSE),"CECO NO EXISTE"))</f>
        <v/>
      </c>
      <c r="H132" s="8">
        <f>IF(B132="","",IFERROR(VLOOKUP(--B132,'CATALOGO CECO'!$A$2:$H$550,3,FALSE),""))</f>
        <v/>
      </c>
      <c r="I132" s="8">
        <f>IF(B132="","",IFERROR(VLOOKUP(--B132,'CATALOGO CECO'!$A$2:$H$550,5,FALSE),""))</f>
        <v/>
      </c>
      <c r="J132" s="8">
        <f>IF(B132="","",IFERROR(VLOOKUP(--B132,'CATALOGO CECO'!$A$2:$H$550,8,FALSE),""))</f>
        <v/>
      </c>
      <c r="K132" s="8">
        <f>IF(COUNTA(A132:F132)=0,"",IF(OR(LEN(A132)&lt;&gt;7,MID(A132,5,1)&lt;&gt;"-",ISERROR(--LEFT(A132,4)),ISERROR(--RIGHT(A132,2))),"ERROR: PERIODO debe ser AAAA-MM",IF(B132="","ERROR: falta CODIGO CECO",IF(G132="CECO NO EXISTE","ERROR: CECO no existe en el catálogo",IF(C132="","ERROR: falta CUENTA",IF(ISERROR(--C132),"ERROR: CUENTA debe tener solo dígitos",IF(ISERROR(FIND(LEFT(C132,1),"567")),"ERROR: CUENTA fuera de las clases de costo",IF(NOT(ISNUMBER(E132)),"ERROR: VALOR debe ser numérico",IF(E132=0,"AVISO: valor cero (no se carga)",IF(J132&lt;&gt;"ACTIVO","NO SE CARGA: CECO en estado "&amp;J132,"OK"))))))))))</f>
        <v/>
      </c>
    </row>
    <row r="133">
      <c r="A133" s="5" t="n"/>
      <c r="B133" s="6" t="n"/>
      <c r="C133" s="5" t="n"/>
      <c r="D133" s="6" t="n"/>
      <c r="E133" s="7" t="n"/>
      <c r="F133" s="6" t="n"/>
      <c r="G133" s="8">
        <f>IF(B133="","",IFERROR(VLOOKUP(--B133,'CATALOGO CECO'!$A$2:$H$550,2,FALSE),"CECO NO EXISTE"))</f>
        <v/>
      </c>
      <c r="H133" s="8">
        <f>IF(B133="","",IFERROR(VLOOKUP(--B133,'CATALOGO CECO'!$A$2:$H$550,3,FALSE),""))</f>
        <v/>
      </c>
      <c r="I133" s="8">
        <f>IF(B133="","",IFERROR(VLOOKUP(--B133,'CATALOGO CECO'!$A$2:$H$550,5,FALSE),""))</f>
        <v/>
      </c>
      <c r="J133" s="8">
        <f>IF(B133="","",IFERROR(VLOOKUP(--B133,'CATALOGO CECO'!$A$2:$H$550,8,FALSE),""))</f>
        <v/>
      </c>
      <c r="K133" s="8">
        <f>IF(COUNTA(A133:F133)=0,"",IF(OR(LEN(A133)&lt;&gt;7,MID(A133,5,1)&lt;&gt;"-",ISERROR(--LEFT(A133,4)),ISERROR(--RIGHT(A133,2))),"ERROR: PERIODO debe ser AAAA-MM",IF(B133="","ERROR: falta CODIGO CECO",IF(G133="CECO NO EXISTE","ERROR: CECO no existe en el catálogo",IF(C133="","ERROR: falta CUENTA",IF(ISERROR(--C133),"ERROR: CUENTA debe tener solo dígitos",IF(ISERROR(FIND(LEFT(C133,1),"567")),"ERROR: CUENTA fuera de las clases de costo",IF(NOT(ISNUMBER(E133)),"ERROR: VALOR debe ser numérico",IF(E133=0,"AVISO: valor cero (no se carga)",IF(J133&lt;&gt;"ACTIVO","NO SE CARGA: CECO en estado "&amp;J133,"OK"))))))))))</f>
        <v/>
      </c>
    </row>
    <row r="134">
      <c r="A134" s="5" t="n"/>
      <c r="B134" s="6" t="n"/>
      <c r="C134" s="5" t="n"/>
      <c r="D134" s="6" t="n"/>
      <c r="E134" s="7" t="n"/>
      <c r="F134" s="6" t="n"/>
      <c r="G134" s="8">
        <f>IF(B134="","",IFERROR(VLOOKUP(--B134,'CATALOGO CECO'!$A$2:$H$550,2,FALSE),"CECO NO EXISTE"))</f>
        <v/>
      </c>
      <c r="H134" s="8">
        <f>IF(B134="","",IFERROR(VLOOKUP(--B134,'CATALOGO CECO'!$A$2:$H$550,3,FALSE),""))</f>
        <v/>
      </c>
      <c r="I134" s="8">
        <f>IF(B134="","",IFERROR(VLOOKUP(--B134,'CATALOGO CECO'!$A$2:$H$550,5,FALSE),""))</f>
        <v/>
      </c>
      <c r="J134" s="8">
        <f>IF(B134="","",IFERROR(VLOOKUP(--B134,'CATALOGO CECO'!$A$2:$H$550,8,FALSE),""))</f>
        <v/>
      </c>
      <c r="K134" s="8">
        <f>IF(COUNTA(A134:F134)=0,"",IF(OR(LEN(A134)&lt;&gt;7,MID(A134,5,1)&lt;&gt;"-",ISERROR(--LEFT(A134,4)),ISERROR(--RIGHT(A134,2))),"ERROR: PERIODO debe ser AAAA-MM",IF(B134="","ERROR: falta CODIGO CECO",IF(G134="CECO NO EXISTE","ERROR: CECO no existe en el catálogo",IF(C134="","ERROR: falta CUENTA",IF(ISERROR(--C134),"ERROR: CUENTA debe tener solo dígitos",IF(ISERROR(FIND(LEFT(C134,1),"567")),"ERROR: CUENTA fuera de las clases de costo",IF(NOT(ISNUMBER(E134)),"ERROR: VALOR debe ser numérico",IF(E134=0,"AVISO: valor cero (no se carga)",IF(J134&lt;&gt;"ACTIVO","NO SE CARGA: CECO en estado "&amp;J134,"OK"))))))))))</f>
        <v/>
      </c>
    </row>
    <row r="135">
      <c r="A135" s="5" t="n"/>
      <c r="B135" s="6" t="n"/>
      <c r="C135" s="5" t="n"/>
      <c r="D135" s="6" t="n"/>
      <c r="E135" s="7" t="n"/>
      <c r="F135" s="6" t="n"/>
      <c r="G135" s="8">
        <f>IF(B135="","",IFERROR(VLOOKUP(--B135,'CATALOGO CECO'!$A$2:$H$550,2,FALSE),"CECO NO EXISTE"))</f>
        <v/>
      </c>
      <c r="H135" s="8">
        <f>IF(B135="","",IFERROR(VLOOKUP(--B135,'CATALOGO CECO'!$A$2:$H$550,3,FALSE),""))</f>
        <v/>
      </c>
      <c r="I135" s="8">
        <f>IF(B135="","",IFERROR(VLOOKUP(--B135,'CATALOGO CECO'!$A$2:$H$550,5,FALSE),""))</f>
        <v/>
      </c>
      <c r="J135" s="8">
        <f>IF(B135="","",IFERROR(VLOOKUP(--B135,'CATALOGO CECO'!$A$2:$H$550,8,FALSE),""))</f>
        <v/>
      </c>
      <c r="K135" s="8">
        <f>IF(COUNTA(A135:F135)=0,"",IF(OR(LEN(A135)&lt;&gt;7,MID(A135,5,1)&lt;&gt;"-",ISERROR(--LEFT(A135,4)),ISERROR(--RIGHT(A135,2))),"ERROR: PERIODO debe ser AAAA-MM",IF(B135="","ERROR: falta CODIGO CECO",IF(G135="CECO NO EXISTE","ERROR: CECO no existe en el catálogo",IF(C135="","ERROR: falta CUENTA",IF(ISERROR(--C135),"ERROR: CUENTA debe tener solo dígitos",IF(ISERROR(FIND(LEFT(C135,1),"567")),"ERROR: CUENTA fuera de las clases de costo",IF(NOT(ISNUMBER(E135)),"ERROR: VALOR debe ser numérico",IF(E135=0,"AVISO: valor cero (no se carga)",IF(J135&lt;&gt;"ACTIVO","NO SE CARGA: CECO en estado "&amp;J135,"OK"))))))))))</f>
        <v/>
      </c>
    </row>
    <row r="136">
      <c r="A136" s="5" t="n"/>
      <c r="B136" s="6" t="n"/>
      <c r="C136" s="5" t="n"/>
      <c r="D136" s="6" t="n"/>
      <c r="E136" s="7" t="n"/>
      <c r="F136" s="6" t="n"/>
      <c r="G136" s="8">
        <f>IF(B136="","",IFERROR(VLOOKUP(--B136,'CATALOGO CECO'!$A$2:$H$550,2,FALSE),"CECO NO EXISTE"))</f>
        <v/>
      </c>
      <c r="H136" s="8">
        <f>IF(B136="","",IFERROR(VLOOKUP(--B136,'CATALOGO CECO'!$A$2:$H$550,3,FALSE),""))</f>
        <v/>
      </c>
      <c r="I136" s="8">
        <f>IF(B136="","",IFERROR(VLOOKUP(--B136,'CATALOGO CECO'!$A$2:$H$550,5,FALSE),""))</f>
        <v/>
      </c>
      <c r="J136" s="8">
        <f>IF(B136="","",IFERROR(VLOOKUP(--B136,'CATALOGO CECO'!$A$2:$H$550,8,FALSE),""))</f>
        <v/>
      </c>
      <c r="K136" s="8">
        <f>IF(COUNTA(A136:F136)=0,"",IF(OR(LEN(A136)&lt;&gt;7,MID(A136,5,1)&lt;&gt;"-",ISERROR(--LEFT(A136,4)),ISERROR(--RIGHT(A136,2))),"ERROR: PERIODO debe ser AAAA-MM",IF(B136="","ERROR: falta CODIGO CECO",IF(G136="CECO NO EXISTE","ERROR: CECO no existe en el catálogo",IF(C136="","ERROR: falta CUENTA",IF(ISERROR(--C136),"ERROR: CUENTA debe tener solo dígitos",IF(ISERROR(FIND(LEFT(C136,1),"567")),"ERROR: CUENTA fuera de las clases de costo",IF(NOT(ISNUMBER(E136)),"ERROR: VALOR debe ser numérico",IF(E136=0,"AVISO: valor cero (no se carga)",IF(J136&lt;&gt;"ACTIVO","NO SE CARGA: CECO en estado "&amp;J136,"OK"))))))))))</f>
        <v/>
      </c>
    </row>
    <row r="137">
      <c r="A137" s="5" t="n"/>
      <c r="B137" s="6" t="n"/>
      <c r="C137" s="5" t="n"/>
      <c r="D137" s="6" t="n"/>
      <c r="E137" s="7" t="n"/>
      <c r="F137" s="6" t="n"/>
      <c r="G137" s="8">
        <f>IF(B137="","",IFERROR(VLOOKUP(--B137,'CATALOGO CECO'!$A$2:$H$550,2,FALSE),"CECO NO EXISTE"))</f>
        <v/>
      </c>
      <c r="H137" s="8">
        <f>IF(B137="","",IFERROR(VLOOKUP(--B137,'CATALOGO CECO'!$A$2:$H$550,3,FALSE),""))</f>
        <v/>
      </c>
      <c r="I137" s="8">
        <f>IF(B137="","",IFERROR(VLOOKUP(--B137,'CATALOGO CECO'!$A$2:$H$550,5,FALSE),""))</f>
        <v/>
      </c>
      <c r="J137" s="8">
        <f>IF(B137="","",IFERROR(VLOOKUP(--B137,'CATALOGO CECO'!$A$2:$H$550,8,FALSE),""))</f>
        <v/>
      </c>
      <c r="K137" s="8">
        <f>IF(COUNTA(A137:F137)=0,"",IF(OR(LEN(A137)&lt;&gt;7,MID(A137,5,1)&lt;&gt;"-",ISERROR(--LEFT(A137,4)),ISERROR(--RIGHT(A137,2))),"ERROR: PERIODO debe ser AAAA-MM",IF(B137="","ERROR: falta CODIGO CECO",IF(G137="CECO NO EXISTE","ERROR: CECO no existe en el catálogo",IF(C137="","ERROR: falta CUENTA",IF(ISERROR(--C137),"ERROR: CUENTA debe tener solo dígitos",IF(ISERROR(FIND(LEFT(C137,1),"567")),"ERROR: CUENTA fuera de las clases de costo",IF(NOT(ISNUMBER(E137)),"ERROR: VALOR debe ser numérico",IF(E137=0,"AVISO: valor cero (no se carga)",IF(J137&lt;&gt;"ACTIVO","NO SE CARGA: CECO en estado "&amp;J137,"OK"))))))))))</f>
        <v/>
      </c>
    </row>
    <row r="138">
      <c r="A138" s="5" t="n"/>
      <c r="B138" s="6" t="n"/>
      <c r="C138" s="5" t="n"/>
      <c r="D138" s="6" t="n"/>
      <c r="E138" s="7" t="n"/>
      <c r="F138" s="6" t="n"/>
      <c r="G138" s="8">
        <f>IF(B138="","",IFERROR(VLOOKUP(--B138,'CATALOGO CECO'!$A$2:$H$550,2,FALSE),"CECO NO EXISTE"))</f>
        <v/>
      </c>
      <c r="H138" s="8">
        <f>IF(B138="","",IFERROR(VLOOKUP(--B138,'CATALOGO CECO'!$A$2:$H$550,3,FALSE),""))</f>
        <v/>
      </c>
      <c r="I138" s="8">
        <f>IF(B138="","",IFERROR(VLOOKUP(--B138,'CATALOGO CECO'!$A$2:$H$550,5,FALSE),""))</f>
        <v/>
      </c>
      <c r="J138" s="8">
        <f>IF(B138="","",IFERROR(VLOOKUP(--B138,'CATALOGO CECO'!$A$2:$H$550,8,FALSE),""))</f>
        <v/>
      </c>
      <c r="K138" s="8">
        <f>IF(COUNTA(A138:F138)=0,"",IF(OR(LEN(A138)&lt;&gt;7,MID(A138,5,1)&lt;&gt;"-",ISERROR(--LEFT(A138,4)),ISERROR(--RIGHT(A138,2))),"ERROR: PERIODO debe ser AAAA-MM",IF(B138="","ERROR: falta CODIGO CECO",IF(G138="CECO NO EXISTE","ERROR: CECO no existe en el catálogo",IF(C138="","ERROR: falta CUENTA",IF(ISERROR(--C138),"ERROR: CUENTA debe tener solo dígitos",IF(ISERROR(FIND(LEFT(C138,1),"567")),"ERROR: CUENTA fuera de las clases de costo",IF(NOT(ISNUMBER(E138)),"ERROR: VALOR debe ser numérico",IF(E138=0,"AVISO: valor cero (no se carga)",IF(J138&lt;&gt;"ACTIVO","NO SE CARGA: CECO en estado "&amp;J138,"OK"))))))))))</f>
        <v/>
      </c>
    </row>
    <row r="139">
      <c r="A139" s="5" t="n"/>
      <c r="B139" s="6" t="n"/>
      <c r="C139" s="5" t="n"/>
      <c r="D139" s="6" t="n"/>
      <c r="E139" s="7" t="n"/>
      <c r="F139" s="6" t="n"/>
      <c r="G139" s="8">
        <f>IF(B139="","",IFERROR(VLOOKUP(--B139,'CATALOGO CECO'!$A$2:$H$550,2,FALSE),"CECO NO EXISTE"))</f>
        <v/>
      </c>
      <c r="H139" s="8">
        <f>IF(B139="","",IFERROR(VLOOKUP(--B139,'CATALOGO CECO'!$A$2:$H$550,3,FALSE),""))</f>
        <v/>
      </c>
      <c r="I139" s="8">
        <f>IF(B139="","",IFERROR(VLOOKUP(--B139,'CATALOGO CECO'!$A$2:$H$550,5,FALSE),""))</f>
        <v/>
      </c>
      <c r="J139" s="8">
        <f>IF(B139="","",IFERROR(VLOOKUP(--B139,'CATALOGO CECO'!$A$2:$H$550,8,FALSE),""))</f>
        <v/>
      </c>
      <c r="K139" s="8">
        <f>IF(COUNTA(A139:F139)=0,"",IF(OR(LEN(A139)&lt;&gt;7,MID(A139,5,1)&lt;&gt;"-",ISERROR(--LEFT(A139,4)),ISERROR(--RIGHT(A139,2))),"ERROR: PERIODO debe ser AAAA-MM",IF(B139="","ERROR: falta CODIGO CECO",IF(G139="CECO NO EXISTE","ERROR: CECO no existe en el catálogo",IF(C139="","ERROR: falta CUENTA",IF(ISERROR(--C139),"ERROR: CUENTA debe tener solo dígitos",IF(ISERROR(FIND(LEFT(C139,1),"567")),"ERROR: CUENTA fuera de las clases de costo",IF(NOT(ISNUMBER(E139)),"ERROR: VALOR debe ser numérico",IF(E139=0,"AVISO: valor cero (no se carga)",IF(J139&lt;&gt;"ACTIVO","NO SE CARGA: CECO en estado "&amp;J139,"OK"))))))))))</f>
        <v/>
      </c>
    </row>
    <row r="140">
      <c r="A140" s="5" t="n"/>
      <c r="B140" s="6" t="n"/>
      <c r="C140" s="5" t="n"/>
      <c r="D140" s="6" t="n"/>
      <c r="E140" s="7" t="n"/>
      <c r="F140" s="6" t="n"/>
      <c r="G140" s="8">
        <f>IF(B140="","",IFERROR(VLOOKUP(--B140,'CATALOGO CECO'!$A$2:$H$550,2,FALSE),"CECO NO EXISTE"))</f>
        <v/>
      </c>
      <c r="H140" s="8">
        <f>IF(B140="","",IFERROR(VLOOKUP(--B140,'CATALOGO CECO'!$A$2:$H$550,3,FALSE),""))</f>
        <v/>
      </c>
      <c r="I140" s="8">
        <f>IF(B140="","",IFERROR(VLOOKUP(--B140,'CATALOGO CECO'!$A$2:$H$550,5,FALSE),""))</f>
        <v/>
      </c>
      <c r="J140" s="8">
        <f>IF(B140="","",IFERROR(VLOOKUP(--B140,'CATALOGO CECO'!$A$2:$H$550,8,FALSE),""))</f>
        <v/>
      </c>
      <c r="K140" s="8">
        <f>IF(COUNTA(A140:F140)=0,"",IF(OR(LEN(A140)&lt;&gt;7,MID(A140,5,1)&lt;&gt;"-",ISERROR(--LEFT(A140,4)),ISERROR(--RIGHT(A140,2))),"ERROR: PERIODO debe ser AAAA-MM",IF(B140="","ERROR: falta CODIGO CECO",IF(G140="CECO NO EXISTE","ERROR: CECO no existe en el catálogo",IF(C140="","ERROR: falta CUENTA",IF(ISERROR(--C140),"ERROR: CUENTA debe tener solo dígitos",IF(ISERROR(FIND(LEFT(C140,1),"567")),"ERROR: CUENTA fuera de las clases de costo",IF(NOT(ISNUMBER(E140)),"ERROR: VALOR debe ser numérico",IF(E140=0,"AVISO: valor cero (no se carga)",IF(J140&lt;&gt;"ACTIVO","NO SE CARGA: CECO en estado "&amp;J140,"OK"))))))))))</f>
        <v/>
      </c>
    </row>
    <row r="141">
      <c r="A141" s="5" t="n"/>
      <c r="B141" s="6" t="n"/>
      <c r="C141" s="5" t="n"/>
      <c r="D141" s="6" t="n"/>
      <c r="E141" s="7" t="n"/>
      <c r="F141" s="6" t="n"/>
      <c r="G141" s="8">
        <f>IF(B141="","",IFERROR(VLOOKUP(--B141,'CATALOGO CECO'!$A$2:$H$550,2,FALSE),"CECO NO EXISTE"))</f>
        <v/>
      </c>
      <c r="H141" s="8">
        <f>IF(B141="","",IFERROR(VLOOKUP(--B141,'CATALOGO CECO'!$A$2:$H$550,3,FALSE),""))</f>
        <v/>
      </c>
      <c r="I141" s="8">
        <f>IF(B141="","",IFERROR(VLOOKUP(--B141,'CATALOGO CECO'!$A$2:$H$550,5,FALSE),""))</f>
        <v/>
      </c>
      <c r="J141" s="8">
        <f>IF(B141="","",IFERROR(VLOOKUP(--B141,'CATALOGO CECO'!$A$2:$H$550,8,FALSE),""))</f>
        <v/>
      </c>
      <c r="K141" s="8">
        <f>IF(COUNTA(A141:F141)=0,"",IF(OR(LEN(A141)&lt;&gt;7,MID(A141,5,1)&lt;&gt;"-",ISERROR(--LEFT(A141,4)),ISERROR(--RIGHT(A141,2))),"ERROR: PERIODO debe ser AAAA-MM",IF(B141="","ERROR: falta CODIGO CECO",IF(G141="CECO NO EXISTE","ERROR: CECO no existe en el catálogo",IF(C141="","ERROR: falta CUENTA",IF(ISERROR(--C141),"ERROR: CUENTA debe tener solo dígitos",IF(ISERROR(FIND(LEFT(C141,1),"567")),"ERROR: CUENTA fuera de las clases de costo",IF(NOT(ISNUMBER(E141)),"ERROR: VALOR debe ser numérico",IF(E141=0,"AVISO: valor cero (no se carga)",IF(J141&lt;&gt;"ACTIVO","NO SE CARGA: CECO en estado "&amp;J141,"OK"))))))))))</f>
        <v/>
      </c>
    </row>
    <row r="142">
      <c r="A142" s="5" t="n"/>
      <c r="B142" s="6" t="n"/>
      <c r="C142" s="5" t="n"/>
      <c r="D142" s="6" t="n"/>
      <c r="E142" s="7" t="n"/>
      <c r="F142" s="6" t="n"/>
      <c r="G142" s="8">
        <f>IF(B142="","",IFERROR(VLOOKUP(--B142,'CATALOGO CECO'!$A$2:$H$550,2,FALSE),"CECO NO EXISTE"))</f>
        <v/>
      </c>
      <c r="H142" s="8">
        <f>IF(B142="","",IFERROR(VLOOKUP(--B142,'CATALOGO CECO'!$A$2:$H$550,3,FALSE),""))</f>
        <v/>
      </c>
      <c r="I142" s="8">
        <f>IF(B142="","",IFERROR(VLOOKUP(--B142,'CATALOGO CECO'!$A$2:$H$550,5,FALSE),""))</f>
        <v/>
      </c>
      <c r="J142" s="8">
        <f>IF(B142="","",IFERROR(VLOOKUP(--B142,'CATALOGO CECO'!$A$2:$H$550,8,FALSE),""))</f>
        <v/>
      </c>
      <c r="K142" s="8">
        <f>IF(COUNTA(A142:F142)=0,"",IF(OR(LEN(A142)&lt;&gt;7,MID(A142,5,1)&lt;&gt;"-",ISERROR(--LEFT(A142,4)),ISERROR(--RIGHT(A142,2))),"ERROR: PERIODO debe ser AAAA-MM",IF(B142="","ERROR: falta CODIGO CECO",IF(G142="CECO NO EXISTE","ERROR: CECO no existe en el catálogo",IF(C142="","ERROR: falta CUENTA",IF(ISERROR(--C142),"ERROR: CUENTA debe tener solo dígitos",IF(ISERROR(FIND(LEFT(C142,1),"567")),"ERROR: CUENTA fuera de las clases de costo",IF(NOT(ISNUMBER(E142)),"ERROR: VALOR debe ser numérico",IF(E142=0,"AVISO: valor cero (no se carga)",IF(J142&lt;&gt;"ACTIVO","NO SE CARGA: CECO en estado "&amp;J142,"OK"))))))))))</f>
        <v/>
      </c>
    </row>
    <row r="143">
      <c r="A143" s="5" t="n"/>
      <c r="B143" s="6" t="n"/>
      <c r="C143" s="5" t="n"/>
      <c r="D143" s="6" t="n"/>
      <c r="E143" s="7" t="n"/>
      <c r="F143" s="6" t="n"/>
      <c r="G143" s="8">
        <f>IF(B143="","",IFERROR(VLOOKUP(--B143,'CATALOGO CECO'!$A$2:$H$550,2,FALSE),"CECO NO EXISTE"))</f>
        <v/>
      </c>
      <c r="H143" s="8">
        <f>IF(B143="","",IFERROR(VLOOKUP(--B143,'CATALOGO CECO'!$A$2:$H$550,3,FALSE),""))</f>
        <v/>
      </c>
      <c r="I143" s="8">
        <f>IF(B143="","",IFERROR(VLOOKUP(--B143,'CATALOGO CECO'!$A$2:$H$550,5,FALSE),""))</f>
        <v/>
      </c>
      <c r="J143" s="8">
        <f>IF(B143="","",IFERROR(VLOOKUP(--B143,'CATALOGO CECO'!$A$2:$H$550,8,FALSE),""))</f>
        <v/>
      </c>
      <c r="K143" s="8">
        <f>IF(COUNTA(A143:F143)=0,"",IF(OR(LEN(A143)&lt;&gt;7,MID(A143,5,1)&lt;&gt;"-",ISERROR(--LEFT(A143,4)),ISERROR(--RIGHT(A143,2))),"ERROR: PERIODO debe ser AAAA-MM",IF(B143="","ERROR: falta CODIGO CECO",IF(G143="CECO NO EXISTE","ERROR: CECO no existe en el catálogo",IF(C143="","ERROR: falta CUENTA",IF(ISERROR(--C143),"ERROR: CUENTA debe tener solo dígitos",IF(ISERROR(FIND(LEFT(C143,1),"567")),"ERROR: CUENTA fuera de las clases de costo",IF(NOT(ISNUMBER(E143)),"ERROR: VALOR debe ser numérico",IF(E143=0,"AVISO: valor cero (no se carga)",IF(J143&lt;&gt;"ACTIVO","NO SE CARGA: CECO en estado "&amp;J143,"OK"))))))))))</f>
        <v/>
      </c>
    </row>
    <row r="144">
      <c r="A144" s="5" t="n"/>
      <c r="B144" s="6" t="n"/>
      <c r="C144" s="5" t="n"/>
      <c r="D144" s="6" t="n"/>
      <c r="E144" s="7" t="n"/>
      <c r="F144" s="6" t="n"/>
      <c r="G144" s="8">
        <f>IF(B144="","",IFERROR(VLOOKUP(--B144,'CATALOGO CECO'!$A$2:$H$550,2,FALSE),"CECO NO EXISTE"))</f>
        <v/>
      </c>
      <c r="H144" s="8">
        <f>IF(B144="","",IFERROR(VLOOKUP(--B144,'CATALOGO CECO'!$A$2:$H$550,3,FALSE),""))</f>
        <v/>
      </c>
      <c r="I144" s="8">
        <f>IF(B144="","",IFERROR(VLOOKUP(--B144,'CATALOGO CECO'!$A$2:$H$550,5,FALSE),""))</f>
        <v/>
      </c>
      <c r="J144" s="8">
        <f>IF(B144="","",IFERROR(VLOOKUP(--B144,'CATALOGO CECO'!$A$2:$H$550,8,FALSE),""))</f>
        <v/>
      </c>
      <c r="K144" s="8">
        <f>IF(COUNTA(A144:F144)=0,"",IF(OR(LEN(A144)&lt;&gt;7,MID(A144,5,1)&lt;&gt;"-",ISERROR(--LEFT(A144,4)),ISERROR(--RIGHT(A144,2))),"ERROR: PERIODO debe ser AAAA-MM",IF(B144="","ERROR: falta CODIGO CECO",IF(G144="CECO NO EXISTE","ERROR: CECO no existe en el catálogo",IF(C144="","ERROR: falta CUENTA",IF(ISERROR(--C144),"ERROR: CUENTA debe tener solo dígitos",IF(ISERROR(FIND(LEFT(C144,1),"567")),"ERROR: CUENTA fuera de las clases de costo",IF(NOT(ISNUMBER(E144)),"ERROR: VALOR debe ser numérico",IF(E144=0,"AVISO: valor cero (no se carga)",IF(J144&lt;&gt;"ACTIVO","NO SE CARGA: CECO en estado "&amp;J144,"OK"))))))))))</f>
        <v/>
      </c>
    </row>
    <row r="145">
      <c r="A145" s="5" t="n"/>
      <c r="B145" s="6" t="n"/>
      <c r="C145" s="5" t="n"/>
      <c r="D145" s="6" t="n"/>
      <c r="E145" s="7" t="n"/>
      <c r="F145" s="6" t="n"/>
      <c r="G145" s="8">
        <f>IF(B145="","",IFERROR(VLOOKUP(--B145,'CATALOGO CECO'!$A$2:$H$550,2,FALSE),"CECO NO EXISTE"))</f>
        <v/>
      </c>
      <c r="H145" s="8">
        <f>IF(B145="","",IFERROR(VLOOKUP(--B145,'CATALOGO CECO'!$A$2:$H$550,3,FALSE),""))</f>
        <v/>
      </c>
      <c r="I145" s="8">
        <f>IF(B145="","",IFERROR(VLOOKUP(--B145,'CATALOGO CECO'!$A$2:$H$550,5,FALSE),""))</f>
        <v/>
      </c>
      <c r="J145" s="8">
        <f>IF(B145="","",IFERROR(VLOOKUP(--B145,'CATALOGO CECO'!$A$2:$H$550,8,FALSE),""))</f>
        <v/>
      </c>
      <c r="K145" s="8">
        <f>IF(COUNTA(A145:F145)=0,"",IF(OR(LEN(A145)&lt;&gt;7,MID(A145,5,1)&lt;&gt;"-",ISERROR(--LEFT(A145,4)),ISERROR(--RIGHT(A145,2))),"ERROR: PERIODO debe ser AAAA-MM",IF(B145="","ERROR: falta CODIGO CECO",IF(G145="CECO NO EXISTE","ERROR: CECO no existe en el catálogo",IF(C145="","ERROR: falta CUENTA",IF(ISERROR(--C145),"ERROR: CUENTA debe tener solo dígitos",IF(ISERROR(FIND(LEFT(C145,1),"567")),"ERROR: CUENTA fuera de las clases de costo",IF(NOT(ISNUMBER(E145)),"ERROR: VALOR debe ser numérico",IF(E145=0,"AVISO: valor cero (no se carga)",IF(J145&lt;&gt;"ACTIVO","NO SE CARGA: CECO en estado "&amp;J145,"OK"))))))))))</f>
        <v/>
      </c>
    </row>
    <row r="146">
      <c r="A146" s="5" t="n"/>
      <c r="B146" s="6" t="n"/>
      <c r="C146" s="5" t="n"/>
      <c r="D146" s="6" t="n"/>
      <c r="E146" s="7" t="n"/>
      <c r="F146" s="6" t="n"/>
      <c r="G146" s="8">
        <f>IF(B146="","",IFERROR(VLOOKUP(--B146,'CATALOGO CECO'!$A$2:$H$550,2,FALSE),"CECO NO EXISTE"))</f>
        <v/>
      </c>
      <c r="H146" s="8">
        <f>IF(B146="","",IFERROR(VLOOKUP(--B146,'CATALOGO CECO'!$A$2:$H$550,3,FALSE),""))</f>
        <v/>
      </c>
      <c r="I146" s="8">
        <f>IF(B146="","",IFERROR(VLOOKUP(--B146,'CATALOGO CECO'!$A$2:$H$550,5,FALSE),""))</f>
        <v/>
      </c>
      <c r="J146" s="8">
        <f>IF(B146="","",IFERROR(VLOOKUP(--B146,'CATALOGO CECO'!$A$2:$H$550,8,FALSE),""))</f>
        <v/>
      </c>
      <c r="K146" s="8">
        <f>IF(COUNTA(A146:F146)=0,"",IF(OR(LEN(A146)&lt;&gt;7,MID(A146,5,1)&lt;&gt;"-",ISERROR(--LEFT(A146,4)),ISERROR(--RIGHT(A146,2))),"ERROR: PERIODO debe ser AAAA-MM",IF(B146="","ERROR: falta CODIGO CECO",IF(G146="CECO NO EXISTE","ERROR: CECO no existe en el catálogo",IF(C146="","ERROR: falta CUENTA",IF(ISERROR(--C146),"ERROR: CUENTA debe tener solo dígitos",IF(ISERROR(FIND(LEFT(C146,1),"567")),"ERROR: CUENTA fuera de las clases de costo",IF(NOT(ISNUMBER(E146)),"ERROR: VALOR debe ser numérico",IF(E146=0,"AVISO: valor cero (no se carga)",IF(J146&lt;&gt;"ACTIVO","NO SE CARGA: CECO en estado "&amp;J146,"OK"))))))))))</f>
        <v/>
      </c>
    </row>
    <row r="147">
      <c r="A147" s="5" t="n"/>
      <c r="B147" s="6" t="n"/>
      <c r="C147" s="5" t="n"/>
      <c r="D147" s="6" t="n"/>
      <c r="E147" s="7" t="n"/>
      <c r="F147" s="6" t="n"/>
      <c r="G147" s="8">
        <f>IF(B147="","",IFERROR(VLOOKUP(--B147,'CATALOGO CECO'!$A$2:$H$550,2,FALSE),"CECO NO EXISTE"))</f>
        <v/>
      </c>
      <c r="H147" s="8">
        <f>IF(B147="","",IFERROR(VLOOKUP(--B147,'CATALOGO CECO'!$A$2:$H$550,3,FALSE),""))</f>
        <v/>
      </c>
      <c r="I147" s="8">
        <f>IF(B147="","",IFERROR(VLOOKUP(--B147,'CATALOGO CECO'!$A$2:$H$550,5,FALSE),""))</f>
        <v/>
      </c>
      <c r="J147" s="8">
        <f>IF(B147="","",IFERROR(VLOOKUP(--B147,'CATALOGO CECO'!$A$2:$H$550,8,FALSE),""))</f>
        <v/>
      </c>
      <c r="K147" s="8">
        <f>IF(COUNTA(A147:F147)=0,"",IF(OR(LEN(A147)&lt;&gt;7,MID(A147,5,1)&lt;&gt;"-",ISERROR(--LEFT(A147,4)),ISERROR(--RIGHT(A147,2))),"ERROR: PERIODO debe ser AAAA-MM",IF(B147="","ERROR: falta CODIGO CECO",IF(G147="CECO NO EXISTE","ERROR: CECO no existe en el catálogo",IF(C147="","ERROR: falta CUENTA",IF(ISERROR(--C147),"ERROR: CUENTA debe tener solo dígitos",IF(ISERROR(FIND(LEFT(C147,1),"567")),"ERROR: CUENTA fuera de las clases de costo",IF(NOT(ISNUMBER(E147)),"ERROR: VALOR debe ser numérico",IF(E147=0,"AVISO: valor cero (no se carga)",IF(J147&lt;&gt;"ACTIVO","NO SE CARGA: CECO en estado "&amp;J147,"OK"))))))))))</f>
        <v/>
      </c>
    </row>
    <row r="148">
      <c r="A148" s="5" t="n"/>
      <c r="B148" s="6" t="n"/>
      <c r="C148" s="5" t="n"/>
      <c r="D148" s="6" t="n"/>
      <c r="E148" s="7" t="n"/>
      <c r="F148" s="6" t="n"/>
      <c r="G148" s="8">
        <f>IF(B148="","",IFERROR(VLOOKUP(--B148,'CATALOGO CECO'!$A$2:$H$550,2,FALSE),"CECO NO EXISTE"))</f>
        <v/>
      </c>
      <c r="H148" s="8">
        <f>IF(B148="","",IFERROR(VLOOKUP(--B148,'CATALOGO CECO'!$A$2:$H$550,3,FALSE),""))</f>
        <v/>
      </c>
      <c r="I148" s="8">
        <f>IF(B148="","",IFERROR(VLOOKUP(--B148,'CATALOGO CECO'!$A$2:$H$550,5,FALSE),""))</f>
        <v/>
      </c>
      <c r="J148" s="8">
        <f>IF(B148="","",IFERROR(VLOOKUP(--B148,'CATALOGO CECO'!$A$2:$H$550,8,FALSE),""))</f>
        <v/>
      </c>
      <c r="K148" s="8">
        <f>IF(COUNTA(A148:F148)=0,"",IF(OR(LEN(A148)&lt;&gt;7,MID(A148,5,1)&lt;&gt;"-",ISERROR(--LEFT(A148,4)),ISERROR(--RIGHT(A148,2))),"ERROR: PERIODO debe ser AAAA-MM",IF(B148="","ERROR: falta CODIGO CECO",IF(G148="CECO NO EXISTE","ERROR: CECO no existe en el catálogo",IF(C148="","ERROR: falta CUENTA",IF(ISERROR(--C148),"ERROR: CUENTA debe tener solo dígitos",IF(ISERROR(FIND(LEFT(C148,1),"567")),"ERROR: CUENTA fuera de las clases de costo",IF(NOT(ISNUMBER(E148)),"ERROR: VALOR debe ser numérico",IF(E148=0,"AVISO: valor cero (no se carga)",IF(J148&lt;&gt;"ACTIVO","NO SE CARGA: CECO en estado "&amp;J148,"OK"))))))))))</f>
        <v/>
      </c>
    </row>
    <row r="149">
      <c r="A149" s="5" t="n"/>
      <c r="B149" s="6" t="n"/>
      <c r="C149" s="5" t="n"/>
      <c r="D149" s="6" t="n"/>
      <c r="E149" s="7" t="n"/>
      <c r="F149" s="6" t="n"/>
      <c r="G149" s="8">
        <f>IF(B149="","",IFERROR(VLOOKUP(--B149,'CATALOGO CECO'!$A$2:$H$550,2,FALSE),"CECO NO EXISTE"))</f>
        <v/>
      </c>
      <c r="H149" s="8">
        <f>IF(B149="","",IFERROR(VLOOKUP(--B149,'CATALOGO CECO'!$A$2:$H$550,3,FALSE),""))</f>
        <v/>
      </c>
      <c r="I149" s="8">
        <f>IF(B149="","",IFERROR(VLOOKUP(--B149,'CATALOGO CECO'!$A$2:$H$550,5,FALSE),""))</f>
        <v/>
      </c>
      <c r="J149" s="8">
        <f>IF(B149="","",IFERROR(VLOOKUP(--B149,'CATALOGO CECO'!$A$2:$H$550,8,FALSE),""))</f>
        <v/>
      </c>
      <c r="K149" s="8">
        <f>IF(COUNTA(A149:F149)=0,"",IF(OR(LEN(A149)&lt;&gt;7,MID(A149,5,1)&lt;&gt;"-",ISERROR(--LEFT(A149,4)),ISERROR(--RIGHT(A149,2))),"ERROR: PERIODO debe ser AAAA-MM",IF(B149="","ERROR: falta CODIGO CECO",IF(G149="CECO NO EXISTE","ERROR: CECO no existe en el catálogo",IF(C149="","ERROR: falta CUENTA",IF(ISERROR(--C149),"ERROR: CUENTA debe tener solo dígitos",IF(ISERROR(FIND(LEFT(C149,1),"567")),"ERROR: CUENTA fuera de las clases de costo",IF(NOT(ISNUMBER(E149)),"ERROR: VALOR debe ser numérico",IF(E149=0,"AVISO: valor cero (no se carga)",IF(J149&lt;&gt;"ACTIVO","NO SE CARGA: CECO en estado "&amp;J149,"OK"))))))))))</f>
        <v/>
      </c>
    </row>
    <row r="150">
      <c r="A150" s="5" t="n"/>
      <c r="B150" s="6" t="n"/>
      <c r="C150" s="5" t="n"/>
      <c r="D150" s="6" t="n"/>
      <c r="E150" s="7" t="n"/>
      <c r="F150" s="6" t="n"/>
      <c r="G150" s="8">
        <f>IF(B150="","",IFERROR(VLOOKUP(--B150,'CATALOGO CECO'!$A$2:$H$550,2,FALSE),"CECO NO EXISTE"))</f>
        <v/>
      </c>
      <c r="H150" s="8">
        <f>IF(B150="","",IFERROR(VLOOKUP(--B150,'CATALOGO CECO'!$A$2:$H$550,3,FALSE),""))</f>
        <v/>
      </c>
      <c r="I150" s="8">
        <f>IF(B150="","",IFERROR(VLOOKUP(--B150,'CATALOGO CECO'!$A$2:$H$550,5,FALSE),""))</f>
        <v/>
      </c>
      <c r="J150" s="8">
        <f>IF(B150="","",IFERROR(VLOOKUP(--B150,'CATALOGO CECO'!$A$2:$H$550,8,FALSE),""))</f>
        <v/>
      </c>
      <c r="K150" s="8">
        <f>IF(COUNTA(A150:F150)=0,"",IF(OR(LEN(A150)&lt;&gt;7,MID(A150,5,1)&lt;&gt;"-",ISERROR(--LEFT(A150,4)),ISERROR(--RIGHT(A150,2))),"ERROR: PERIODO debe ser AAAA-MM",IF(B150="","ERROR: falta CODIGO CECO",IF(G150="CECO NO EXISTE","ERROR: CECO no existe en el catálogo",IF(C150="","ERROR: falta CUENTA",IF(ISERROR(--C150),"ERROR: CUENTA debe tener solo dígitos",IF(ISERROR(FIND(LEFT(C150,1),"567")),"ERROR: CUENTA fuera de las clases de costo",IF(NOT(ISNUMBER(E150)),"ERROR: VALOR debe ser numérico",IF(E150=0,"AVISO: valor cero (no se carga)",IF(J150&lt;&gt;"ACTIVO","NO SE CARGA: CECO en estado "&amp;J150,"OK"))))))))))</f>
        <v/>
      </c>
    </row>
    <row r="151">
      <c r="A151" s="5" t="n"/>
      <c r="B151" s="6" t="n"/>
      <c r="C151" s="5" t="n"/>
      <c r="D151" s="6" t="n"/>
      <c r="E151" s="7" t="n"/>
      <c r="F151" s="6" t="n"/>
      <c r="G151" s="8">
        <f>IF(B151="","",IFERROR(VLOOKUP(--B151,'CATALOGO CECO'!$A$2:$H$550,2,FALSE),"CECO NO EXISTE"))</f>
        <v/>
      </c>
      <c r="H151" s="8">
        <f>IF(B151="","",IFERROR(VLOOKUP(--B151,'CATALOGO CECO'!$A$2:$H$550,3,FALSE),""))</f>
        <v/>
      </c>
      <c r="I151" s="8">
        <f>IF(B151="","",IFERROR(VLOOKUP(--B151,'CATALOGO CECO'!$A$2:$H$550,5,FALSE),""))</f>
        <v/>
      </c>
      <c r="J151" s="8">
        <f>IF(B151="","",IFERROR(VLOOKUP(--B151,'CATALOGO CECO'!$A$2:$H$550,8,FALSE),""))</f>
        <v/>
      </c>
      <c r="K151" s="8">
        <f>IF(COUNTA(A151:F151)=0,"",IF(OR(LEN(A151)&lt;&gt;7,MID(A151,5,1)&lt;&gt;"-",ISERROR(--LEFT(A151,4)),ISERROR(--RIGHT(A151,2))),"ERROR: PERIODO debe ser AAAA-MM",IF(B151="","ERROR: falta CODIGO CECO",IF(G151="CECO NO EXISTE","ERROR: CECO no existe en el catálogo",IF(C151="","ERROR: falta CUENTA",IF(ISERROR(--C151),"ERROR: CUENTA debe tener solo dígitos",IF(ISERROR(FIND(LEFT(C151,1),"567")),"ERROR: CUENTA fuera de las clases de costo",IF(NOT(ISNUMBER(E151)),"ERROR: VALOR debe ser numérico",IF(E151=0,"AVISO: valor cero (no se carga)",IF(J151&lt;&gt;"ACTIVO","NO SE CARGA: CECO en estado "&amp;J151,"OK"))))))))))</f>
        <v/>
      </c>
    </row>
    <row r="152">
      <c r="A152" s="5" t="n"/>
      <c r="B152" s="6" t="n"/>
      <c r="C152" s="5" t="n"/>
      <c r="D152" s="6" t="n"/>
      <c r="E152" s="7" t="n"/>
      <c r="F152" s="6" t="n"/>
      <c r="G152" s="8">
        <f>IF(B152="","",IFERROR(VLOOKUP(--B152,'CATALOGO CECO'!$A$2:$H$550,2,FALSE),"CECO NO EXISTE"))</f>
        <v/>
      </c>
      <c r="H152" s="8">
        <f>IF(B152="","",IFERROR(VLOOKUP(--B152,'CATALOGO CECO'!$A$2:$H$550,3,FALSE),""))</f>
        <v/>
      </c>
      <c r="I152" s="8">
        <f>IF(B152="","",IFERROR(VLOOKUP(--B152,'CATALOGO CECO'!$A$2:$H$550,5,FALSE),""))</f>
        <v/>
      </c>
      <c r="J152" s="8">
        <f>IF(B152="","",IFERROR(VLOOKUP(--B152,'CATALOGO CECO'!$A$2:$H$550,8,FALSE),""))</f>
        <v/>
      </c>
      <c r="K152" s="8">
        <f>IF(COUNTA(A152:F152)=0,"",IF(OR(LEN(A152)&lt;&gt;7,MID(A152,5,1)&lt;&gt;"-",ISERROR(--LEFT(A152,4)),ISERROR(--RIGHT(A152,2))),"ERROR: PERIODO debe ser AAAA-MM",IF(B152="","ERROR: falta CODIGO CECO",IF(G152="CECO NO EXISTE","ERROR: CECO no existe en el catálogo",IF(C152="","ERROR: falta CUENTA",IF(ISERROR(--C152),"ERROR: CUENTA debe tener solo dígitos",IF(ISERROR(FIND(LEFT(C152,1),"567")),"ERROR: CUENTA fuera de las clases de costo",IF(NOT(ISNUMBER(E152)),"ERROR: VALOR debe ser numérico",IF(E152=0,"AVISO: valor cero (no se carga)",IF(J152&lt;&gt;"ACTIVO","NO SE CARGA: CECO en estado "&amp;J152,"OK"))))))))))</f>
        <v/>
      </c>
    </row>
    <row r="153">
      <c r="A153" s="5" t="n"/>
      <c r="B153" s="6" t="n"/>
      <c r="C153" s="5" t="n"/>
      <c r="D153" s="6" t="n"/>
      <c r="E153" s="7" t="n"/>
      <c r="F153" s="6" t="n"/>
      <c r="G153" s="8">
        <f>IF(B153="","",IFERROR(VLOOKUP(--B153,'CATALOGO CECO'!$A$2:$H$550,2,FALSE),"CECO NO EXISTE"))</f>
        <v/>
      </c>
      <c r="H153" s="8">
        <f>IF(B153="","",IFERROR(VLOOKUP(--B153,'CATALOGO CECO'!$A$2:$H$550,3,FALSE),""))</f>
        <v/>
      </c>
      <c r="I153" s="8">
        <f>IF(B153="","",IFERROR(VLOOKUP(--B153,'CATALOGO CECO'!$A$2:$H$550,5,FALSE),""))</f>
        <v/>
      </c>
      <c r="J153" s="8">
        <f>IF(B153="","",IFERROR(VLOOKUP(--B153,'CATALOGO CECO'!$A$2:$H$550,8,FALSE),""))</f>
        <v/>
      </c>
      <c r="K153" s="8">
        <f>IF(COUNTA(A153:F153)=0,"",IF(OR(LEN(A153)&lt;&gt;7,MID(A153,5,1)&lt;&gt;"-",ISERROR(--LEFT(A153,4)),ISERROR(--RIGHT(A153,2))),"ERROR: PERIODO debe ser AAAA-MM",IF(B153="","ERROR: falta CODIGO CECO",IF(G153="CECO NO EXISTE","ERROR: CECO no existe en el catálogo",IF(C153="","ERROR: falta CUENTA",IF(ISERROR(--C153),"ERROR: CUENTA debe tener solo dígitos",IF(ISERROR(FIND(LEFT(C153,1),"567")),"ERROR: CUENTA fuera de las clases de costo",IF(NOT(ISNUMBER(E153)),"ERROR: VALOR debe ser numérico",IF(E153=0,"AVISO: valor cero (no se carga)",IF(J153&lt;&gt;"ACTIVO","NO SE CARGA: CECO en estado "&amp;J153,"OK"))))))))))</f>
        <v/>
      </c>
    </row>
    <row r="154">
      <c r="A154" s="5" t="n"/>
      <c r="B154" s="6" t="n"/>
      <c r="C154" s="5" t="n"/>
      <c r="D154" s="6" t="n"/>
      <c r="E154" s="7" t="n"/>
      <c r="F154" s="6" t="n"/>
      <c r="G154" s="8">
        <f>IF(B154="","",IFERROR(VLOOKUP(--B154,'CATALOGO CECO'!$A$2:$H$550,2,FALSE),"CECO NO EXISTE"))</f>
        <v/>
      </c>
      <c r="H154" s="8">
        <f>IF(B154="","",IFERROR(VLOOKUP(--B154,'CATALOGO CECO'!$A$2:$H$550,3,FALSE),""))</f>
        <v/>
      </c>
      <c r="I154" s="8">
        <f>IF(B154="","",IFERROR(VLOOKUP(--B154,'CATALOGO CECO'!$A$2:$H$550,5,FALSE),""))</f>
        <v/>
      </c>
      <c r="J154" s="8">
        <f>IF(B154="","",IFERROR(VLOOKUP(--B154,'CATALOGO CECO'!$A$2:$H$550,8,FALSE),""))</f>
        <v/>
      </c>
      <c r="K154" s="8">
        <f>IF(COUNTA(A154:F154)=0,"",IF(OR(LEN(A154)&lt;&gt;7,MID(A154,5,1)&lt;&gt;"-",ISERROR(--LEFT(A154,4)),ISERROR(--RIGHT(A154,2))),"ERROR: PERIODO debe ser AAAA-MM",IF(B154="","ERROR: falta CODIGO CECO",IF(G154="CECO NO EXISTE","ERROR: CECO no existe en el catálogo",IF(C154="","ERROR: falta CUENTA",IF(ISERROR(--C154),"ERROR: CUENTA debe tener solo dígitos",IF(ISERROR(FIND(LEFT(C154,1),"567")),"ERROR: CUENTA fuera de las clases de costo",IF(NOT(ISNUMBER(E154)),"ERROR: VALOR debe ser numérico",IF(E154=0,"AVISO: valor cero (no se carga)",IF(J154&lt;&gt;"ACTIVO","NO SE CARGA: CECO en estado "&amp;J154,"OK"))))))))))</f>
        <v/>
      </c>
    </row>
    <row r="155">
      <c r="A155" s="5" t="n"/>
      <c r="B155" s="6" t="n"/>
      <c r="C155" s="5" t="n"/>
      <c r="D155" s="6" t="n"/>
      <c r="E155" s="7" t="n"/>
      <c r="F155" s="6" t="n"/>
      <c r="G155" s="8">
        <f>IF(B155="","",IFERROR(VLOOKUP(--B155,'CATALOGO CECO'!$A$2:$H$550,2,FALSE),"CECO NO EXISTE"))</f>
        <v/>
      </c>
      <c r="H155" s="8">
        <f>IF(B155="","",IFERROR(VLOOKUP(--B155,'CATALOGO CECO'!$A$2:$H$550,3,FALSE),""))</f>
        <v/>
      </c>
      <c r="I155" s="8">
        <f>IF(B155="","",IFERROR(VLOOKUP(--B155,'CATALOGO CECO'!$A$2:$H$550,5,FALSE),""))</f>
        <v/>
      </c>
      <c r="J155" s="8">
        <f>IF(B155="","",IFERROR(VLOOKUP(--B155,'CATALOGO CECO'!$A$2:$H$550,8,FALSE),""))</f>
        <v/>
      </c>
      <c r="K155" s="8">
        <f>IF(COUNTA(A155:F155)=0,"",IF(OR(LEN(A155)&lt;&gt;7,MID(A155,5,1)&lt;&gt;"-",ISERROR(--LEFT(A155,4)),ISERROR(--RIGHT(A155,2))),"ERROR: PERIODO debe ser AAAA-MM",IF(B155="","ERROR: falta CODIGO CECO",IF(G155="CECO NO EXISTE","ERROR: CECO no existe en el catálogo",IF(C155="","ERROR: falta CUENTA",IF(ISERROR(--C155),"ERROR: CUENTA debe tener solo dígitos",IF(ISERROR(FIND(LEFT(C155,1),"567")),"ERROR: CUENTA fuera de las clases de costo",IF(NOT(ISNUMBER(E155)),"ERROR: VALOR debe ser numérico",IF(E155=0,"AVISO: valor cero (no se carga)",IF(J155&lt;&gt;"ACTIVO","NO SE CARGA: CECO en estado "&amp;J155,"OK"))))))))))</f>
        <v/>
      </c>
    </row>
    <row r="156">
      <c r="A156" s="5" t="n"/>
      <c r="B156" s="6" t="n"/>
      <c r="C156" s="5" t="n"/>
      <c r="D156" s="6" t="n"/>
      <c r="E156" s="7" t="n"/>
      <c r="F156" s="6" t="n"/>
      <c r="G156" s="8">
        <f>IF(B156="","",IFERROR(VLOOKUP(--B156,'CATALOGO CECO'!$A$2:$H$550,2,FALSE),"CECO NO EXISTE"))</f>
        <v/>
      </c>
      <c r="H156" s="8">
        <f>IF(B156="","",IFERROR(VLOOKUP(--B156,'CATALOGO CECO'!$A$2:$H$550,3,FALSE),""))</f>
        <v/>
      </c>
      <c r="I156" s="8">
        <f>IF(B156="","",IFERROR(VLOOKUP(--B156,'CATALOGO CECO'!$A$2:$H$550,5,FALSE),""))</f>
        <v/>
      </c>
      <c r="J156" s="8">
        <f>IF(B156="","",IFERROR(VLOOKUP(--B156,'CATALOGO CECO'!$A$2:$H$550,8,FALSE),""))</f>
        <v/>
      </c>
      <c r="K156" s="8">
        <f>IF(COUNTA(A156:F156)=0,"",IF(OR(LEN(A156)&lt;&gt;7,MID(A156,5,1)&lt;&gt;"-",ISERROR(--LEFT(A156,4)),ISERROR(--RIGHT(A156,2))),"ERROR: PERIODO debe ser AAAA-MM",IF(B156="","ERROR: falta CODIGO CECO",IF(G156="CECO NO EXISTE","ERROR: CECO no existe en el catálogo",IF(C156="","ERROR: falta CUENTA",IF(ISERROR(--C156),"ERROR: CUENTA debe tener solo dígitos",IF(ISERROR(FIND(LEFT(C156,1),"567")),"ERROR: CUENTA fuera de las clases de costo",IF(NOT(ISNUMBER(E156)),"ERROR: VALOR debe ser numérico",IF(E156=0,"AVISO: valor cero (no se carga)",IF(J156&lt;&gt;"ACTIVO","NO SE CARGA: CECO en estado "&amp;J156,"OK"))))))))))</f>
        <v/>
      </c>
    </row>
    <row r="157">
      <c r="A157" s="5" t="n"/>
      <c r="B157" s="6" t="n"/>
      <c r="C157" s="5" t="n"/>
      <c r="D157" s="6" t="n"/>
      <c r="E157" s="7" t="n"/>
      <c r="F157" s="6" t="n"/>
      <c r="G157" s="8">
        <f>IF(B157="","",IFERROR(VLOOKUP(--B157,'CATALOGO CECO'!$A$2:$H$550,2,FALSE),"CECO NO EXISTE"))</f>
        <v/>
      </c>
      <c r="H157" s="8">
        <f>IF(B157="","",IFERROR(VLOOKUP(--B157,'CATALOGO CECO'!$A$2:$H$550,3,FALSE),""))</f>
        <v/>
      </c>
      <c r="I157" s="8">
        <f>IF(B157="","",IFERROR(VLOOKUP(--B157,'CATALOGO CECO'!$A$2:$H$550,5,FALSE),""))</f>
        <v/>
      </c>
      <c r="J157" s="8">
        <f>IF(B157="","",IFERROR(VLOOKUP(--B157,'CATALOGO CECO'!$A$2:$H$550,8,FALSE),""))</f>
        <v/>
      </c>
      <c r="K157" s="8">
        <f>IF(COUNTA(A157:F157)=0,"",IF(OR(LEN(A157)&lt;&gt;7,MID(A157,5,1)&lt;&gt;"-",ISERROR(--LEFT(A157,4)),ISERROR(--RIGHT(A157,2))),"ERROR: PERIODO debe ser AAAA-MM",IF(B157="","ERROR: falta CODIGO CECO",IF(G157="CECO NO EXISTE","ERROR: CECO no existe en el catálogo",IF(C157="","ERROR: falta CUENTA",IF(ISERROR(--C157),"ERROR: CUENTA debe tener solo dígitos",IF(ISERROR(FIND(LEFT(C157,1),"567")),"ERROR: CUENTA fuera de las clases de costo",IF(NOT(ISNUMBER(E157)),"ERROR: VALOR debe ser numérico",IF(E157=0,"AVISO: valor cero (no se carga)",IF(J157&lt;&gt;"ACTIVO","NO SE CARGA: CECO en estado "&amp;J157,"OK"))))))))))</f>
        <v/>
      </c>
    </row>
    <row r="158">
      <c r="A158" s="5" t="n"/>
      <c r="B158" s="6" t="n"/>
      <c r="C158" s="5" t="n"/>
      <c r="D158" s="6" t="n"/>
      <c r="E158" s="7" t="n"/>
      <c r="F158" s="6" t="n"/>
      <c r="G158" s="8">
        <f>IF(B158="","",IFERROR(VLOOKUP(--B158,'CATALOGO CECO'!$A$2:$H$550,2,FALSE),"CECO NO EXISTE"))</f>
        <v/>
      </c>
      <c r="H158" s="8">
        <f>IF(B158="","",IFERROR(VLOOKUP(--B158,'CATALOGO CECO'!$A$2:$H$550,3,FALSE),""))</f>
        <v/>
      </c>
      <c r="I158" s="8">
        <f>IF(B158="","",IFERROR(VLOOKUP(--B158,'CATALOGO CECO'!$A$2:$H$550,5,FALSE),""))</f>
        <v/>
      </c>
      <c r="J158" s="8">
        <f>IF(B158="","",IFERROR(VLOOKUP(--B158,'CATALOGO CECO'!$A$2:$H$550,8,FALSE),""))</f>
        <v/>
      </c>
      <c r="K158" s="8">
        <f>IF(COUNTA(A158:F158)=0,"",IF(OR(LEN(A158)&lt;&gt;7,MID(A158,5,1)&lt;&gt;"-",ISERROR(--LEFT(A158,4)),ISERROR(--RIGHT(A158,2))),"ERROR: PERIODO debe ser AAAA-MM",IF(B158="","ERROR: falta CODIGO CECO",IF(G158="CECO NO EXISTE","ERROR: CECO no existe en el catálogo",IF(C158="","ERROR: falta CUENTA",IF(ISERROR(--C158),"ERROR: CUENTA debe tener solo dígitos",IF(ISERROR(FIND(LEFT(C158,1),"567")),"ERROR: CUENTA fuera de las clases de costo",IF(NOT(ISNUMBER(E158)),"ERROR: VALOR debe ser numérico",IF(E158=0,"AVISO: valor cero (no se carga)",IF(J158&lt;&gt;"ACTIVO","NO SE CARGA: CECO en estado "&amp;J158,"OK"))))))))))</f>
        <v/>
      </c>
    </row>
    <row r="159">
      <c r="A159" s="5" t="n"/>
      <c r="B159" s="6" t="n"/>
      <c r="C159" s="5" t="n"/>
      <c r="D159" s="6" t="n"/>
      <c r="E159" s="7" t="n"/>
      <c r="F159" s="6" t="n"/>
      <c r="G159" s="8">
        <f>IF(B159="","",IFERROR(VLOOKUP(--B159,'CATALOGO CECO'!$A$2:$H$550,2,FALSE),"CECO NO EXISTE"))</f>
        <v/>
      </c>
      <c r="H159" s="8">
        <f>IF(B159="","",IFERROR(VLOOKUP(--B159,'CATALOGO CECO'!$A$2:$H$550,3,FALSE),""))</f>
        <v/>
      </c>
      <c r="I159" s="8">
        <f>IF(B159="","",IFERROR(VLOOKUP(--B159,'CATALOGO CECO'!$A$2:$H$550,5,FALSE),""))</f>
        <v/>
      </c>
      <c r="J159" s="8">
        <f>IF(B159="","",IFERROR(VLOOKUP(--B159,'CATALOGO CECO'!$A$2:$H$550,8,FALSE),""))</f>
        <v/>
      </c>
      <c r="K159" s="8">
        <f>IF(COUNTA(A159:F159)=0,"",IF(OR(LEN(A159)&lt;&gt;7,MID(A159,5,1)&lt;&gt;"-",ISERROR(--LEFT(A159,4)),ISERROR(--RIGHT(A159,2))),"ERROR: PERIODO debe ser AAAA-MM",IF(B159="","ERROR: falta CODIGO CECO",IF(G159="CECO NO EXISTE","ERROR: CECO no existe en el catálogo",IF(C159="","ERROR: falta CUENTA",IF(ISERROR(--C159),"ERROR: CUENTA debe tener solo dígitos",IF(ISERROR(FIND(LEFT(C159,1),"567")),"ERROR: CUENTA fuera de las clases de costo",IF(NOT(ISNUMBER(E159)),"ERROR: VALOR debe ser numérico",IF(E159=0,"AVISO: valor cero (no se carga)",IF(J159&lt;&gt;"ACTIVO","NO SE CARGA: CECO en estado "&amp;J159,"OK"))))))))))</f>
        <v/>
      </c>
    </row>
    <row r="160">
      <c r="A160" s="5" t="n"/>
      <c r="B160" s="6" t="n"/>
      <c r="C160" s="5" t="n"/>
      <c r="D160" s="6" t="n"/>
      <c r="E160" s="7" t="n"/>
      <c r="F160" s="6" t="n"/>
      <c r="G160" s="8">
        <f>IF(B160="","",IFERROR(VLOOKUP(--B160,'CATALOGO CECO'!$A$2:$H$550,2,FALSE),"CECO NO EXISTE"))</f>
        <v/>
      </c>
      <c r="H160" s="8">
        <f>IF(B160="","",IFERROR(VLOOKUP(--B160,'CATALOGO CECO'!$A$2:$H$550,3,FALSE),""))</f>
        <v/>
      </c>
      <c r="I160" s="8">
        <f>IF(B160="","",IFERROR(VLOOKUP(--B160,'CATALOGO CECO'!$A$2:$H$550,5,FALSE),""))</f>
        <v/>
      </c>
      <c r="J160" s="8">
        <f>IF(B160="","",IFERROR(VLOOKUP(--B160,'CATALOGO CECO'!$A$2:$H$550,8,FALSE),""))</f>
        <v/>
      </c>
      <c r="K160" s="8">
        <f>IF(COUNTA(A160:F160)=0,"",IF(OR(LEN(A160)&lt;&gt;7,MID(A160,5,1)&lt;&gt;"-",ISERROR(--LEFT(A160,4)),ISERROR(--RIGHT(A160,2))),"ERROR: PERIODO debe ser AAAA-MM",IF(B160="","ERROR: falta CODIGO CECO",IF(G160="CECO NO EXISTE","ERROR: CECO no existe en el catálogo",IF(C160="","ERROR: falta CUENTA",IF(ISERROR(--C160),"ERROR: CUENTA debe tener solo dígitos",IF(ISERROR(FIND(LEFT(C160,1),"567")),"ERROR: CUENTA fuera de las clases de costo",IF(NOT(ISNUMBER(E160)),"ERROR: VALOR debe ser numérico",IF(E160=0,"AVISO: valor cero (no se carga)",IF(J160&lt;&gt;"ACTIVO","NO SE CARGA: CECO en estado "&amp;J160,"OK"))))))))))</f>
        <v/>
      </c>
    </row>
    <row r="161">
      <c r="A161" s="5" t="n"/>
      <c r="B161" s="6" t="n"/>
      <c r="C161" s="5" t="n"/>
      <c r="D161" s="6" t="n"/>
      <c r="E161" s="7" t="n"/>
      <c r="F161" s="6" t="n"/>
      <c r="G161" s="8">
        <f>IF(B161="","",IFERROR(VLOOKUP(--B161,'CATALOGO CECO'!$A$2:$H$550,2,FALSE),"CECO NO EXISTE"))</f>
        <v/>
      </c>
      <c r="H161" s="8">
        <f>IF(B161="","",IFERROR(VLOOKUP(--B161,'CATALOGO CECO'!$A$2:$H$550,3,FALSE),""))</f>
        <v/>
      </c>
      <c r="I161" s="8">
        <f>IF(B161="","",IFERROR(VLOOKUP(--B161,'CATALOGO CECO'!$A$2:$H$550,5,FALSE),""))</f>
        <v/>
      </c>
      <c r="J161" s="8">
        <f>IF(B161="","",IFERROR(VLOOKUP(--B161,'CATALOGO CECO'!$A$2:$H$550,8,FALSE),""))</f>
        <v/>
      </c>
      <c r="K161" s="8">
        <f>IF(COUNTA(A161:F161)=0,"",IF(OR(LEN(A161)&lt;&gt;7,MID(A161,5,1)&lt;&gt;"-",ISERROR(--LEFT(A161,4)),ISERROR(--RIGHT(A161,2))),"ERROR: PERIODO debe ser AAAA-MM",IF(B161="","ERROR: falta CODIGO CECO",IF(G161="CECO NO EXISTE","ERROR: CECO no existe en el catálogo",IF(C161="","ERROR: falta CUENTA",IF(ISERROR(--C161),"ERROR: CUENTA debe tener solo dígitos",IF(ISERROR(FIND(LEFT(C161,1),"567")),"ERROR: CUENTA fuera de las clases de costo",IF(NOT(ISNUMBER(E161)),"ERROR: VALOR debe ser numérico",IF(E161=0,"AVISO: valor cero (no se carga)",IF(J161&lt;&gt;"ACTIVO","NO SE CARGA: CECO en estado "&amp;J161,"OK"))))))))))</f>
        <v/>
      </c>
    </row>
    <row r="162">
      <c r="A162" s="5" t="n"/>
      <c r="B162" s="6" t="n"/>
      <c r="C162" s="5" t="n"/>
      <c r="D162" s="6" t="n"/>
      <c r="E162" s="7" t="n"/>
      <c r="F162" s="6" t="n"/>
      <c r="G162" s="8">
        <f>IF(B162="","",IFERROR(VLOOKUP(--B162,'CATALOGO CECO'!$A$2:$H$550,2,FALSE),"CECO NO EXISTE"))</f>
        <v/>
      </c>
      <c r="H162" s="8">
        <f>IF(B162="","",IFERROR(VLOOKUP(--B162,'CATALOGO CECO'!$A$2:$H$550,3,FALSE),""))</f>
        <v/>
      </c>
      <c r="I162" s="8">
        <f>IF(B162="","",IFERROR(VLOOKUP(--B162,'CATALOGO CECO'!$A$2:$H$550,5,FALSE),""))</f>
        <v/>
      </c>
      <c r="J162" s="8">
        <f>IF(B162="","",IFERROR(VLOOKUP(--B162,'CATALOGO CECO'!$A$2:$H$550,8,FALSE),""))</f>
        <v/>
      </c>
      <c r="K162" s="8">
        <f>IF(COUNTA(A162:F162)=0,"",IF(OR(LEN(A162)&lt;&gt;7,MID(A162,5,1)&lt;&gt;"-",ISERROR(--LEFT(A162,4)),ISERROR(--RIGHT(A162,2))),"ERROR: PERIODO debe ser AAAA-MM",IF(B162="","ERROR: falta CODIGO CECO",IF(G162="CECO NO EXISTE","ERROR: CECO no existe en el catálogo",IF(C162="","ERROR: falta CUENTA",IF(ISERROR(--C162),"ERROR: CUENTA debe tener solo dígitos",IF(ISERROR(FIND(LEFT(C162,1),"567")),"ERROR: CUENTA fuera de las clases de costo",IF(NOT(ISNUMBER(E162)),"ERROR: VALOR debe ser numérico",IF(E162=0,"AVISO: valor cero (no se carga)",IF(J162&lt;&gt;"ACTIVO","NO SE CARGA: CECO en estado "&amp;J162,"OK"))))))))))</f>
        <v/>
      </c>
    </row>
    <row r="163">
      <c r="A163" s="5" t="n"/>
      <c r="B163" s="6" t="n"/>
      <c r="C163" s="5" t="n"/>
      <c r="D163" s="6" t="n"/>
      <c r="E163" s="7" t="n"/>
      <c r="F163" s="6" t="n"/>
      <c r="G163" s="8">
        <f>IF(B163="","",IFERROR(VLOOKUP(--B163,'CATALOGO CECO'!$A$2:$H$550,2,FALSE),"CECO NO EXISTE"))</f>
        <v/>
      </c>
      <c r="H163" s="8">
        <f>IF(B163="","",IFERROR(VLOOKUP(--B163,'CATALOGO CECO'!$A$2:$H$550,3,FALSE),""))</f>
        <v/>
      </c>
      <c r="I163" s="8">
        <f>IF(B163="","",IFERROR(VLOOKUP(--B163,'CATALOGO CECO'!$A$2:$H$550,5,FALSE),""))</f>
        <v/>
      </c>
      <c r="J163" s="8">
        <f>IF(B163="","",IFERROR(VLOOKUP(--B163,'CATALOGO CECO'!$A$2:$H$550,8,FALSE),""))</f>
        <v/>
      </c>
      <c r="K163" s="8">
        <f>IF(COUNTA(A163:F163)=0,"",IF(OR(LEN(A163)&lt;&gt;7,MID(A163,5,1)&lt;&gt;"-",ISERROR(--LEFT(A163,4)),ISERROR(--RIGHT(A163,2))),"ERROR: PERIODO debe ser AAAA-MM",IF(B163="","ERROR: falta CODIGO CECO",IF(G163="CECO NO EXISTE","ERROR: CECO no existe en el catálogo",IF(C163="","ERROR: falta CUENTA",IF(ISERROR(--C163),"ERROR: CUENTA debe tener solo dígitos",IF(ISERROR(FIND(LEFT(C163,1),"567")),"ERROR: CUENTA fuera de las clases de costo",IF(NOT(ISNUMBER(E163)),"ERROR: VALOR debe ser numérico",IF(E163=0,"AVISO: valor cero (no se carga)",IF(J163&lt;&gt;"ACTIVO","NO SE CARGA: CECO en estado "&amp;J163,"OK"))))))))))</f>
        <v/>
      </c>
    </row>
    <row r="164">
      <c r="A164" s="5" t="n"/>
      <c r="B164" s="6" t="n"/>
      <c r="C164" s="5" t="n"/>
      <c r="D164" s="6" t="n"/>
      <c r="E164" s="7" t="n"/>
      <c r="F164" s="6" t="n"/>
      <c r="G164" s="8">
        <f>IF(B164="","",IFERROR(VLOOKUP(--B164,'CATALOGO CECO'!$A$2:$H$550,2,FALSE),"CECO NO EXISTE"))</f>
        <v/>
      </c>
      <c r="H164" s="8">
        <f>IF(B164="","",IFERROR(VLOOKUP(--B164,'CATALOGO CECO'!$A$2:$H$550,3,FALSE),""))</f>
        <v/>
      </c>
      <c r="I164" s="8">
        <f>IF(B164="","",IFERROR(VLOOKUP(--B164,'CATALOGO CECO'!$A$2:$H$550,5,FALSE),""))</f>
        <v/>
      </c>
      <c r="J164" s="8">
        <f>IF(B164="","",IFERROR(VLOOKUP(--B164,'CATALOGO CECO'!$A$2:$H$550,8,FALSE),""))</f>
        <v/>
      </c>
      <c r="K164" s="8">
        <f>IF(COUNTA(A164:F164)=0,"",IF(OR(LEN(A164)&lt;&gt;7,MID(A164,5,1)&lt;&gt;"-",ISERROR(--LEFT(A164,4)),ISERROR(--RIGHT(A164,2))),"ERROR: PERIODO debe ser AAAA-MM",IF(B164="","ERROR: falta CODIGO CECO",IF(G164="CECO NO EXISTE","ERROR: CECO no existe en el catálogo",IF(C164="","ERROR: falta CUENTA",IF(ISERROR(--C164),"ERROR: CUENTA debe tener solo dígitos",IF(ISERROR(FIND(LEFT(C164,1),"567")),"ERROR: CUENTA fuera de las clases de costo",IF(NOT(ISNUMBER(E164)),"ERROR: VALOR debe ser numérico",IF(E164=0,"AVISO: valor cero (no se carga)",IF(J164&lt;&gt;"ACTIVO","NO SE CARGA: CECO en estado "&amp;J164,"OK"))))))))))</f>
        <v/>
      </c>
    </row>
    <row r="165">
      <c r="A165" s="5" t="n"/>
      <c r="B165" s="6" t="n"/>
      <c r="C165" s="5" t="n"/>
      <c r="D165" s="6" t="n"/>
      <c r="E165" s="7" t="n"/>
      <c r="F165" s="6" t="n"/>
      <c r="G165" s="8">
        <f>IF(B165="","",IFERROR(VLOOKUP(--B165,'CATALOGO CECO'!$A$2:$H$550,2,FALSE),"CECO NO EXISTE"))</f>
        <v/>
      </c>
      <c r="H165" s="8">
        <f>IF(B165="","",IFERROR(VLOOKUP(--B165,'CATALOGO CECO'!$A$2:$H$550,3,FALSE),""))</f>
        <v/>
      </c>
      <c r="I165" s="8">
        <f>IF(B165="","",IFERROR(VLOOKUP(--B165,'CATALOGO CECO'!$A$2:$H$550,5,FALSE),""))</f>
        <v/>
      </c>
      <c r="J165" s="8">
        <f>IF(B165="","",IFERROR(VLOOKUP(--B165,'CATALOGO CECO'!$A$2:$H$550,8,FALSE),""))</f>
        <v/>
      </c>
      <c r="K165" s="8">
        <f>IF(COUNTA(A165:F165)=0,"",IF(OR(LEN(A165)&lt;&gt;7,MID(A165,5,1)&lt;&gt;"-",ISERROR(--LEFT(A165,4)),ISERROR(--RIGHT(A165,2))),"ERROR: PERIODO debe ser AAAA-MM",IF(B165="","ERROR: falta CODIGO CECO",IF(G165="CECO NO EXISTE","ERROR: CECO no existe en el catálogo",IF(C165="","ERROR: falta CUENTA",IF(ISERROR(--C165),"ERROR: CUENTA debe tener solo dígitos",IF(ISERROR(FIND(LEFT(C165,1),"567")),"ERROR: CUENTA fuera de las clases de costo",IF(NOT(ISNUMBER(E165)),"ERROR: VALOR debe ser numérico",IF(E165=0,"AVISO: valor cero (no se carga)",IF(J165&lt;&gt;"ACTIVO","NO SE CARGA: CECO en estado "&amp;J165,"OK"))))))))))</f>
        <v/>
      </c>
    </row>
    <row r="166">
      <c r="A166" s="5" t="n"/>
      <c r="B166" s="6" t="n"/>
      <c r="C166" s="5" t="n"/>
      <c r="D166" s="6" t="n"/>
      <c r="E166" s="7" t="n"/>
      <c r="F166" s="6" t="n"/>
      <c r="G166" s="8">
        <f>IF(B166="","",IFERROR(VLOOKUP(--B166,'CATALOGO CECO'!$A$2:$H$550,2,FALSE),"CECO NO EXISTE"))</f>
        <v/>
      </c>
      <c r="H166" s="8">
        <f>IF(B166="","",IFERROR(VLOOKUP(--B166,'CATALOGO CECO'!$A$2:$H$550,3,FALSE),""))</f>
        <v/>
      </c>
      <c r="I166" s="8">
        <f>IF(B166="","",IFERROR(VLOOKUP(--B166,'CATALOGO CECO'!$A$2:$H$550,5,FALSE),""))</f>
        <v/>
      </c>
      <c r="J166" s="8">
        <f>IF(B166="","",IFERROR(VLOOKUP(--B166,'CATALOGO CECO'!$A$2:$H$550,8,FALSE),""))</f>
        <v/>
      </c>
      <c r="K166" s="8">
        <f>IF(COUNTA(A166:F166)=0,"",IF(OR(LEN(A166)&lt;&gt;7,MID(A166,5,1)&lt;&gt;"-",ISERROR(--LEFT(A166,4)),ISERROR(--RIGHT(A166,2))),"ERROR: PERIODO debe ser AAAA-MM",IF(B166="","ERROR: falta CODIGO CECO",IF(G166="CECO NO EXISTE","ERROR: CECO no existe en el catálogo",IF(C166="","ERROR: falta CUENTA",IF(ISERROR(--C166),"ERROR: CUENTA debe tener solo dígitos",IF(ISERROR(FIND(LEFT(C166,1),"567")),"ERROR: CUENTA fuera de las clases de costo",IF(NOT(ISNUMBER(E166)),"ERROR: VALOR debe ser numérico",IF(E166=0,"AVISO: valor cero (no se carga)",IF(J166&lt;&gt;"ACTIVO","NO SE CARGA: CECO en estado "&amp;J166,"OK"))))))))))</f>
        <v/>
      </c>
    </row>
    <row r="167">
      <c r="A167" s="5" t="n"/>
      <c r="B167" s="6" t="n"/>
      <c r="C167" s="5" t="n"/>
      <c r="D167" s="6" t="n"/>
      <c r="E167" s="7" t="n"/>
      <c r="F167" s="6" t="n"/>
      <c r="G167" s="8">
        <f>IF(B167="","",IFERROR(VLOOKUP(--B167,'CATALOGO CECO'!$A$2:$H$550,2,FALSE),"CECO NO EXISTE"))</f>
        <v/>
      </c>
      <c r="H167" s="8">
        <f>IF(B167="","",IFERROR(VLOOKUP(--B167,'CATALOGO CECO'!$A$2:$H$550,3,FALSE),""))</f>
        <v/>
      </c>
      <c r="I167" s="8">
        <f>IF(B167="","",IFERROR(VLOOKUP(--B167,'CATALOGO CECO'!$A$2:$H$550,5,FALSE),""))</f>
        <v/>
      </c>
      <c r="J167" s="8">
        <f>IF(B167="","",IFERROR(VLOOKUP(--B167,'CATALOGO CECO'!$A$2:$H$550,8,FALSE),""))</f>
        <v/>
      </c>
      <c r="K167" s="8">
        <f>IF(COUNTA(A167:F167)=0,"",IF(OR(LEN(A167)&lt;&gt;7,MID(A167,5,1)&lt;&gt;"-",ISERROR(--LEFT(A167,4)),ISERROR(--RIGHT(A167,2))),"ERROR: PERIODO debe ser AAAA-MM",IF(B167="","ERROR: falta CODIGO CECO",IF(G167="CECO NO EXISTE","ERROR: CECO no existe en el catálogo",IF(C167="","ERROR: falta CUENTA",IF(ISERROR(--C167),"ERROR: CUENTA debe tener solo dígitos",IF(ISERROR(FIND(LEFT(C167,1),"567")),"ERROR: CUENTA fuera de las clases de costo",IF(NOT(ISNUMBER(E167)),"ERROR: VALOR debe ser numérico",IF(E167=0,"AVISO: valor cero (no se carga)",IF(J167&lt;&gt;"ACTIVO","NO SE CARGA: CECO en estado "&amp;J167,"OK"))))))))))</f>
        <v/>
      </c>
    </row>
    <row r="168">
      <c r="A168" s="5" t="n"/>
      <c r="B168" s="6" t="n"/>
      <c r="C168" s="5" t="n"/>
      <c r="D168" s="6" t="n"/>
      <c r="E168" s="7" t="n"/>
      <c r="F168" s="6" t="n"/>
      <c r="G168" s="8">
        <f>IF(B168="","",IFERROR(VLOOKUP(--B168,'CATALOGO CECO'!$A$2:$H$550,2,FALSE),"CECO NO EXISTE"))</f>
        <v/>
      </c>
      <c r="H168" s="8">
        <f>IF(B168="","",IFERROR(VLOOKUP(--B168,'CATALOGO CECO'!$A$2:$H$550,3,FALSE),""))</f>
        <v/>
      </c>
      <c r="I168" s="8">
        <f>IF(B168="","",IFERROR(VLOOKUP(--B168,'CATALOGO CECO'!$A$2:$H$550,5,FALSE),""))</f>
        <v/>
      </c>
      <c r="J168" s="8">
        <f>IF(B168="","",IFERROR(VLOOKUP(--B168,'CATALOGO CECO'!$A$2:$H$550,8,FALSE),""))</f>
        <v/>
      </c>
      <c r="K168" s="8">
        <f>IF(COUNTA(A168:F168)=0,"",IF(OR(LEN(A168)&lt;&gt;7,MID(A168,5,1)&lt;&gt;"-",ISERROR(--LEFT(A168,4)),ISERROR(--RIGHT(A168,2))),"ERROR: PERIODO debe ser AAAA-MM",IF(B168="","ERROR: falta CODIGO CECO",IF(G168="CECO NO EXISTE","ERROR: CECO no existe en el catálogo",IF(C168="","ERROR: falta CUENTA",IF(ISERROR(--C168),"ERROR: CUENTA debe tener solo dígitos",IF(ISERROR(FIND(LEFT(C168,1),"567")),"ERROR: CUENTA fuera de las clases de costo",IF(NOT(ISNUMBER(E168)),"ERROR: VALOR debe ser numérico",IF(E168=0,"AVISO: valor cero (no se carga)",IF(J168&lt;&gt;"ACTIVO","NO SE CARGA: CECO en estado "&amp;J168,"OK"))))))))))</f>
        <v/>
      </c>
    </row>
    <row r="169">
      <c r="A169" s="5" t="n"/>
      <c r="B169" s="6" t="n"/>
      <c r="C169" s="5" t="n"/>
      <c r="D169" s="6" t="n"/>
      <c r="E169" s="7" t="n"/>
      <c r="F169" s="6" t="n"/>
      <c r="G169" s="8">
        <f>IF(B169="","",IFERROR(VLOOKUP(--B169,'CATALOGO CECO'!$A$2:$H$550,2,FALSE),"CECO NO EXISTE"))</f>
        <v/>
      </c>
      <c r="H169" s="8">
        <f>IF(B169="","",IFERROR(VLOOKUP(--B169,'CATALOGO CECO'!$A$2:$H$550,3,FALSE),""))</f>
        <v/>
      </c>
      <c r="I169" s="8">
        <f>IF(B169="","",IFERROR(VLOOKUP(--B169,'CATALOGO CECO'!$A$2:$H$550,5,FALSE),""))</f>
        <v/>
      </c>
      <c r="J169" s="8">
        <f>IF(B169="","",IFERROR(VLOOKUP(--B169,'CATALOGO CECO'!$A$2:$H$550,8,FALSE),""))</f>
        <v/>
      </c>
      <c r="K169" s="8">
        <f>IF(COUNTA(A169:F169)=0,"",IF(OR(LEN(A169)&lt;&gt;7,MID(A169,5,1)&lt;&gt;"-",ISERROR(--LEFT(A169,4)),ISERROR(--RIGHT(A169,2))),"ERROR: PERIODO debe ser AAAA-MM",IF(B169="","ERROR: falta CODIGO CECO",IF(G169="CECO NO EXISTE","ERROR: CECO no existe en el catálogo",IF(C169="","ERROR: falta CUENTA",IF(ISERROR(--C169),"ERROR: CUENTA debe tener solo dígitos",IF(ISERROR(FIND(LEFT(C169,1),"567")),"ERROR: CUENTA fuera de las clases de costo",IF(NOT(ISNUMBER(E169)),"ERROR: VALOR debe ser numérico",IF(E169=0,"AVISO: valor cero (no se carga)",IF(J169&lt;&gt;"ACTIVO","NO SE CARGA: CECO en estado "&amp;J169,"OK"))))))))))</f>
        <v/>
      </c>
    </row>
    <row r="170">
      <c r="A170" s="5" t="n"/>
      <c r="B170" s="6" t="n"/>
      <c r="C170" s="5" t="n"/>
      <c r="D170" s="6" t="n"/>
      <c r="E170" s="7" t="n"/>
      <c r="F170" s="6" t="n"/>
      <c r="G170" s="8">
        <f>IF(B170="","",IFERROR(VLOOKUP(--B170,'CATALOGO CECO'!$A$2:$H$550,2,FALSE),"CECO NO EXISTE"))</f>
        <v/>
      </c>
      <c r="H170" s="8">
        <f>IF(B170="","",IFERROR(VLOOKUP(--B170,'CATALOGO CECO'!$A$2:$H$550,3,FALSE),""))</f>
        <v/>
      </c>
      <c r="I170" s="8">
        <f>IF(B170="","",IFERROR(VLOOKUP(--B170,'CATALOGO CECO'!$A$2:$H$550,5,FALSE),""))</f>
        <v/>
      </c>
      <c r="J170" s="8">
        <f>IF(B170="","",IFERROR(VLOOKUP(--B170,'CATALOGO CECO'!$A$2:$H$550,8,FALSE),""))</f>
        <v/>
      </c>
      <c r="K170" s="8">
        <f>IF(COUNTA(A170:F170)=0,"",IF(OR(LEN(A170)&lt;&gt;7,MID(A170,5,1)&lt;&gt;"-",ISERROR(--LEFT(A170,4)),ISERROR(--RIGHT(A170,2))),"ERROR: PERIODO debe ser AAAA-MM",IF(B170="","ERROR: falta CODIGO CECO",IF(G170="CECO NO EXISTE","ERROR: CECO no existe en el catálogo",IF(C170="","ERROR: falta CUENTA",IF(ISERROR(--C170),"ERROR: CUENTA debe tener solo dígitos",IF(ISERROR(FIND(LEFT(C170,1),"567")),"ERROR: CUENTA fuera de las clases de costo",IF(NOT(ISNUMBER(E170)),"ERROR: VALOR debe ser numérico",IF(E170=0,"AVISO: valor cero (no se carga)",IF(J170&lt;&gt;"ACTIVO","NO SE CARGA: CECO en estado "&amp;J170,"OK"))))))))))</f>
        <v/>
      </c>
    </row>
    <row r="171">
      <c r="A171" s="5" t="n"/>
      <c r="B171" s="6" t="n"/>
      <c r="C171" s="5" t="n"/>
      <c r="D171" s="6" t="n"/>
      <c r="E171" s="7" t="n"/>
      <c r="F171" s="6" t="n"/>
      <c r="G171" s="8">
        <f>IF(B171="","",IFERROR(VLOOKUP(--B171,'CATALOGO CECO'!$A$2:$H$550,2,FALSE),"CECO NO EXISTE"))</f>
        <v/>
      </c>
      <c r="H171" s="8">
        <f>IF(B171="","",IFERROR(VLOOKUP(--B171,'CATALOGO CECO'!$A$2:$H$550,3,FALSE),""))</f>
        <v/>
      </c>
      <c r="I171" s="8">
        <f>IF(B171="","",IFERROR(VLOOKUP(--B171,'CATALOGO CECO'!$A$2:$H$550,5,FALSE),""))</f>
        <v/>
      </c>
      <c r="J171" s="8">
        <f>IF(B171="","",IFERROR(VLOOKUP(--B171,'CATALOGO CECO'!$A$2:$H$550,8,FALSE),""))</f>
        <v/>
      </c>
      <c r="K171" s="8">
        <f>IF(COUNTA(A171:F171)=0,"",IF(OR(LEN(A171)&lt;&gt;7,MID(A171,5,1)&lt;&gt;"-",ISERROR(--LEFT(A171,4)),ISERROR(--RIGHT(A171,2))),"ERROR: PERIODO debe ser AAAA-MM",IF(B171="","ERROR: falta CODIGO CECO",IF(G171="CECO NO EXISTE","ERROR: CECO no existe en el catálogo",IF(C171="","ERROR: falta CUENTA",IF(ISERROR(--C171),"ERROR: CUENTA debe tener solo dígitos",IF(ISERROR(FIND(LEFT(C171,1),"567")),"ERROR: CUENTA fuera de las clases de costo",IF(NOT(ISNUMBER(E171)),"ERROR: VALOR debe ser numérico",IF(E171=0,"AVISO: valor cero (no se carga)",IF(J171&lt;&gt;"ACTIVO","NO SE CARGA: CECO en estado "&amp;J171,"OK"))))))))))</f>
        <v/>
      </c>
    </row>
    <row r="172">
      <c r="A172" s="5" t="n"/>
      <c r="B172" s="6" t="n"/>
      <c r="C172" s="5" t="n"/>
      <c r="D172" s="6" t="n"/>
      <c r="E172" s="7" t="n"/>
      <c r="F172" s="6" t="n"/>
      <c r="G172" s="8">
        <f>IF(B172="","",IFERROR(VLOOKUP(--B172,'CATALOGO CECO'!$A$2:$H$550,2,FALSE),"CECO NO EXISTE"))</f>
        <v/>
      </c>
      <c r="H172" s="8">
        <f>IF(B172="","",IFERROR(VLOOKUP(--B172,'CATALOGO CECO'!$A$2:$H$550,3,FALSE),""))</f>
        <v/>
      </c>
      <c r="I172" s="8">
        <f>IF(B172="","",IFERROR(VLOOKUP(--B172,'CATALOGO CECO'!$A$2:$H$550,5,FALSE),""))</f>
        <v/>
      </c>
      <c r="J172" s="8">
        <f>IF(B172="","",IFERROR(VLOOKUP(--B172,'CATALOGO CECO'!$A$2:$H$550,8,FALSE),""))</f>
        <v/>
      </c>
      <c r="K172" s="8">
        <f>IF(COUNTA(A172:F172)=0,"",IF(OR(LEN(A172)&lt;&gt;7,MID(A172,5,1)&lt;&gt;"-",ISERROR(--LEFT(A172,4)),ISERROR(--RIGHT(A172,2))),"ERROR: PERIODO debe ser AAAA-MM",IF(B172="","ERROR: falta CODIGO CECO",IF(G172="CECO NO EXISTE","ERROR: CECO no existe en el catálogo",IF(C172="","ERROR: falta CUENTA",IF(ISERROR(--C172),"ERROR: CUENTA debe tener solo dígitos",IF(ISERROR(FIND(LEFT(C172,1),"567")),"ERROR: CUENTA fuera de las clases de costo",IF(NOT(ISNUMBER(E172)),"ERROR: VALOR debe ser numérico",IF(E172=0,"AVISO: valor cero (no se carga)",IF(J172&lt;&gt;"ACTIVO","NO SE CARGA: CECO en estado "&amp;J172,"OK"))))))))))</f>
        <v/>
      </c>
    </row>
    <row r="173">
      <c r="A173" s="5" t="n"/>
      <c r="B173" s="6" t="n"/>
      <c r="C173" s="5" t="n"/>
      <c r="D173" s="6" t="n"/>
      <c r="E173" s="7" t="n"/>
      <c r="F173" s="6" t="n"/>
      <c r="G173" s="8">
        <f>IF(B173="","",IFERROR(VLOOKUP(--B173,'CATALOGO CECO'!$A$2:$H$550,2,FALSE),"CECO NO EXISTE"))</f>
        <v/>
      </c>
      <c r="H173" s="8">
        <f>IF(B173="","",IFERROR(VLOOKUP(--B173,'CATALOGO CECO'!$A$2:$H$550,3,FALSE),""))</f>
        <v/>
      </c>
      <c r="I173" s="8">
        <f>IF(B173="","",IFERROR(VLOOKUP(--B173,'CATALOGO CECO'!$A$2:$H$550,5,FALSE),""))</f>
        <v/>
      </c>
      <c r="J173" s="8">
        <f>IF(B173="","",IFERROR(VLOOKUP(--B173,'CATALOGO CECO'!$A$2:$H$550,8,FALSE),""))</f>
        <v/>
      </c>
      <c r="K173" s="8">
        <f>IF(COUNTA(A173:F173)=0,"",IF(OR(LEN(A173)&lt;&gt;7,MID(A173,5,1)&lt;&gt;"-",ISERROR(--LEFT(A173,4)),ISERROR(--RIGHT(A173,2))),"ERROR: PERIODO debe ser AAAA-MM",IF(B173="","ERROR: falta CODIGO CECO",IF(G173="CECO NO EXISTE","ERROR: CECO no existe en el catálogo",IF(C173="","ERROR: falta CUENTA",IF(ISERROR(--C173),"ERROR: CUENTA debe tener solo dígitos",IF(ISERROR(FIND(LEFT(C173,1),"567")),"ERROR: CUENTA fuera de las clases de costo",IF(NOT(ISNUMBER(E173)),"ERROR: VALOR debe ser numérico",IF(E173=0,"AVISO: valor cero (no se carga)",IF(J173&lt;&gt;"ACTIVO","NO SE CARGA: CECO en estado "&amp;J173,"OK"))))))))))</f>
        <v/>
      </c>
    </row>
    <row r="174">
      <c r="A174" s="5" t="n"/>
      <c r="B174" s="6" t="n"/>
      <c r="C174" s="5" t="n"/>
      <c r="D174" s="6" t="n"/>
      <c r="E174" s="7" t="n"/>
      <c r="F174" s="6" t="n"/>
      <c r="G174" s="8">
        <f>IF(B174="","",IFERROR(VLOOKUP(--B174,'CATALOGO CECO'!$A$2:$H$550,2,FALSE),"CECO NO EXISTE"))</f>
        <v/>
      </c>
      <c r="H174" s="8">
        <f>IF(B174="","",IFERROR(VLOOKUP(--B174,'CATALOGO CECO'!$A$2:$H$550,3,FALSE),""))</f>
        <v/>
      </c>
      <c r="I174" s="8">
        <f>IF(B174="","",IFERROR(VLOOKUP(--B174,'CATALOGO CECO'!$A$2:$H$550,5,FALSE),""))</f>
        <v/>
      </c>
      <c r="J174" s="8">
        <f>IF(B174="","",IFERROR(VLOOKUP(--B174,'CATALOGO CECO'!$A$2:$H$550,8,FALSE),""))</f>
        <v/>
      </c>
      <c r="K174" s="8">
        <f>IF(COUNTA(A174:F174)=0,"",IF(OR(LEN(A174)&lt;&gt;7,MID(A174,5,1)&lt;&gt;"-",ISERROR(--LEFT(A174,4)),ISERROR(--RIGHT(A174,2))),"ERROR: PERIODO debe ser AAAA-MM",IF(B174="","ERROR: falta CODIGO CECO",IF(G174="CECO NO EXISTE","ERROR: CECO no existe en el catálogo",IF(C174="","ERROR: falta CUENTA",IF(ISERROR(--C174),"ERROR: CUENTA debe tener solo dígitos",IF(ISERROR(FIND(LEFT(C174,1),"567")),"ERROR: CUENTA fuera de las clases de costo",IF(NOT(ISNUMBER(E174)),"ERROR: VALOR debe ser numérico",IF(E174=0,"AVISO: valor cero (no se carga)",IF(J174&lt;&gt;"ACTIVO","NO SE CARGA: CECO en estado "&amp;J174,"OK"))))))))))</f>
        <v/>
      </c>
    </row>
    <row r="175">
      <c r="A175" s="5" t="n"/>
      <c r="B175" s="6" t="n"/>
      <c r="C175" s="5" t="n"/>
      <c r="D175" s="6" t="n"/>
      <c r="E175" s="7" t="n"/>
      <c r="F175" s="6" t="n"/>
      <c r="G175" s="8">
        <f>IF(B175="","",IFERROR(VLOOKUP(--B175,'CATALOGO CECO'!$A$2:$H$550,2,FALSE),"CECO NO EXISTE"))</f>
        <v/>
      </c>
      <c r="H175" s="8">
        <f>IF(B175="","",IFERROR(VLOOKUP(--B175,'CATALOGO CECO'!$A$2:$H$550,3,FALSE),""))</f>
        <v/>
      </c>
      <c r="I175" s="8">
        <f>IF(B175="","",IFERROR(VLOOKUP(--B175,'CATALOGO CECO'!$A$2:$H$550,5,FALSE),""))</f>
        <v/>
      </c>
      <c r="J175" s="8">
        <f>IF(B175="","",IFERROR(VLOOKUP(--B175,'CATALOGO CECO'!$A$2:$H$550,8,FALSE),""))</f>
        <v/>
      </c>
      <c r="K175" s="8">
        <f>IF(COUNTA(A175:F175)=0,"",IF(OR(LEN(A175)&lt;&gt;7,MID(A175,5,1)&lt;&gt;"-",ISERROR(--LEFT(A175,4)),ISERROR(--RIGHT(A175,2))),"ERROR: PERIODO debe ser AAAA-MM",IF(B175="","ERROR: falta CODIGO CECO",IF(G175="CECO NO EXISTE","ERROR: CECO no existe en el catálogo",IF(C175="","ERROR: falta CUENTA",IF(ISERROR(--C175),"ERROR: CUENTA debe tener solo dígitos",IF(ISERROR(FIND(LEFT(C175,1),"567")),"ERROR: CUENTA fuera de las clases de costo",IF(NOT(ISNUMBER(E175)),"ERROR: VALOR debe ser numérico",IF(E175=0,"AVISO: valor cero (no se carga)",IF(J175&lt;&gt;"ACTIVO","NO SE CARGA: CECO en estado "&amp;J175,"OK"))))))))))</f>
        <v/>
      </c>
    </row>
    <row r="176">
      <c r="A176" s="5" t="n"/>
      <c r="B176" s="6" t="n"/>
      <c r="C176" s="5" t="n"/>
      <c r="D176" s="6" t="n"/>
      <c r="E176" s="7" t="n"/>
      <c r="F176" s="6" t="n"/>
      <c r="G176" s="8">
        <f>IF(B176="","",IFERROR(VLOOKUP(--B176,'CATALOGO CECO'!$A$2:$H$550,2,FALSE),"CECO NO EXISTE"))</f>
        <v/>
      </c>
      <c r="H176" s="8">
        <f>IF(B176="","",IFERROR(VLOOKUP(--B176,'CATALOGO CECO'!$A$2:$H$550,3,FALSE),""))</f>
        <v/>
      </c>
      <c r="I176" s="8">
        <f>IF(B176="","",IFERROR(VLOOKUP(--B176,'CATALOGO CECO'!$A$2:$H$550,5,FALSE),""))</f>
        <v/>
      </c>
      <c r="J176" s="8">
        <f>IF(B176="","",IFERROR(VLOOKUP(--B176,'CATALOGO CECO'!$A$2:$H$550,8,FALSE),""))</f>
        <v/>
      </c>
      <c r="K176" s="8">
        <f>IF(COUNTA(A176:F176)=0,"",IF(OR(LEN(A176)&lt;&gt;7,MID(A176,5,1)&lt;&gt;"-",ISERROR(--LEFT(A176,4)),ISERROR(--RIGHT(A176,2))),"ERROR: PERIODO debe ser AAAA-MM",IF(B176="","ERROR: falta CODIGO CECO",IF(G176="CECO NO EXISTE","ERROR: CECO no existe en el catálogo",IF(C176="","ERROR: falta CUENTA",IF(ISERROR(--C176),"ERROR: CUENTA debe tener solo dígitos",IF(ISERROR(FIND(LEFT(C176,1),"567")),"ERROR: CUENTA fuera de las clases de costo",IF(NOT(ISNUMBER(E176)),"ERROR: VALOR debe ser numérico",IF(E176=0,"AVISO: valor cero (no se carga)",IF(J176&lt;&gt;"ACTIVO","NO SE CARGA: CECO en estado "&amp;J176,"OK"))))))))))</f>
        <v/>
      </c>
    </row>
    <row r="177">
      <c r="A177" s="5" t="n"/>
      <c r="B177" s="6" t="n"/>
      <c r="C177" s="5" t="n"/>
      <c r="D177" s="6" t="n"/>
      <c r="E177" s="7" t="n"/>
      <c r="F177" s="6" t="n"/>
      <c r="G177" s="8">
        <f>IF(B177="","",IFERROR(VLOOKUP(--B177,'CATALOGO CECO'!$A$2:$H$550,2,FALSE),"CECO NO EXISTE"))</f>
        <v/>
      </c>
      <c r="H177" s="8">
        <f>IF(B177="","",IFERROR(VLOOKUP(--B177,'CATALOGO CECO'!$A$2:$H$550,3,FALSE),""))</f>
        <v/>
      </c>
      <c r="I177" s="8">
        <f>IF(B177="","",IFERROR(VLOOKUP(--B177,'CATALOGO CECO'!$A$2:$H$550,5,FALSE),""))</f>
        <v/>
      </c>
      <c r="J177" s="8">
        <f>IF(B177="","",IFERROR(VLOOKUP(--B177,'CATALOGO CECO'!$A$2:$H$550,8,FALSE),""))</f>
        <v/>
      </c>
      <c r="K177" s="8">
        <f>IF(COUNTA(A177:F177)=0,"",IF(OR(LEN(A177)&lt;&gt;7,MID(A177,5,1)&lt;&gt;"-",ISERROR(--LEFT(A177,4)),ISERROR(--RIGHT(A177,2))),"ERROR: PERIODO debe ser AAAA-MM",IF(B177="","ERROR: falta CODIGO CECO",IF(G177="CECO NO EXISTE","ERROR: CECO no existe en el catálogo",IF(C177="","ERROR: falta CUENTA",IF(ISERROR(--C177),"ERROR: CUENTA debe tener solo dígitos",IF(ISERROR(FIND(LEFT(C177,1),"567")),"ERROR: CUENTA fuera de las clases de costo",IF(NOT(ISNUMBER(E177)),"ERROR: VALOR debe ser numérico",IF(E177=0,"AVISO: valor cero (no se carga)",IF(J177&lt;&gt;"ACTIVO","NO SE CARGA: CECO en estado "&amp;J177,"OK"))))))))))</f>
        <v/>
      </c>
    </row>
    <row r="178">
      <c r="A178" s="5" t="n"/>
      <c r="B178" s="6" t="n"/>
      <c r="C178" s="5" t="n"/>
      <c r="D178" s="6" t="n"/>
      <c r="E178" s="7" t="n"/>
      <c r="F178" s="6" t="n"/>
      <c r="G178" s="8">
        <f>IF(B178="","",IFERROR(VLOOKUP(--B178,'CATALOGO CECO'!$A$2:$H$550,2,FALSE),"CECO NO EXISTE"))</f>
        <v/>
      </c>
      <c r="H178" s="8">
        <f>IF(B178="","",IFERROR(VLOOKUP(--B178,'CATALOGO CECO'!$A$2:$H$550,3,FALSE),""))</f>
        <v/>
      </c>
      <c r="I178" s="8">
        <f>IF(B178="","",IFERROR(VLOOKUP(--B178,'CATALOGO CECO'!$A$2:$H$550,5,FALSE),""))</f>
        <v/>
      </c>
      <c r="J178" s="8">
        <f>IF(B178="","",IFERROR(VLOOKUP(--B178,'CATALOGO CECO'!$A$2:$H$550,8,FALSE),""))</f>
        <v/>
      </c>
      <c r="K178" s="8">
        <f>IF(COUNTA(A178:F178)=0,"",IF(OR(LEN(A178)&lt;&gt;7,MID(A178,5,1)&lt;&gt;"-",ISERROR(--LEFT(A178,4)),ISERROR(--RIGHT(A178,2))),"ERROR: PERIODO debe ser AAAA-MM",IF(B178="","ERROR: falta CODIGO CECO",IF(G178="CECO NO EXISTE","ERROR: CECO no existe en el catálogo",IF(C178="","ERROR: falta CUENTA",IF(ISERROR(--C178),"ERROR: CUENTA debe tener solo dígitos",IF(ISERROR(FIND(LEFT(C178,1),"567")),"ERROR: CUENTA fuera de las clases de costo",IF(NOT(ISNUMBER(E178)),"ERROR: VALOR debe ser numérico",IF(E178=0,"AVISO: valor cero (no se carga)",IF(J178&lt;&gt;"ACTIVO","NO SE CARGA: CECO en estado "&amp;J178,"OK"))))))))))</f>
        <v/>
      </c>
    </row>
    <row r="179">
      <c r="A179" s="5" t="n"/>
      <c r="B179" s="6" t="n"/>
      <c r="C179" s="5" t="n"/>
      <c r="D179" s="6" t="n"/>
      <c r="E179" s="7" t="n"/>
      <c r="F179" s="6" t="n"/>
      <c r="G179" s="8">
        <f>IF(B179="","",IFERROR(VLOOKUP(--B179,'CATALOGO CECO'!$A$2:$H$550,2,FALSE),"CECO NO EXISTE"))</f>
        <v/>
      </c>
      <c r="H179" s="8">
        <f>IF(B179="","",IFERROR(VLOOKUP(--B179,'CATALOGO CECO'!$A$2:$H$550,3,FALSE),""))</f>
        <v/>
      </c>
      <c r="I179" s="8">
        <f>IF(B179="","",IFERROR(VLOOKUP(--B179,'CATALOGO CECO'!$A$2:$H$550,5,FALSE),""))</f>
        <v/>
      </c>
      <c r="J179" s="8">
        <f>IF(B179="","",IFERROR(VLOOKUP(--B179,'CATALOGO CECO'!$A$2:$H$550,8,FALSE),""))</f>
        <v/>
      </c>
      <c r="K179" s="8">
        <f>IF(COUNTA(A179:F179)=0,"",IF(OR(LEN(A179)&lt;&gt;7,MID(A179,5,1)&lt;&gt;"-",ISERROR(--LEFT(A179,4)),ISERROR(--RIGHT(A179,2))),"ERROR: PERIODO debe ser AAAA-MM",IF(B179="","ERROR: falta CODIGO CECO",IF(G179="CECO NO EXISTE","ERROR: CECO no existe en el catálogo",IF(C179="","ERROR: falta CUENTA",IF(ISERROR(--C179),"ERROR: CUENTA debe tener solo dígitos",IF(ISERROR(FIND(LEFT(C179,1),"567")),"ERROR: CUENTA fuera de las clases de costo",IF(NOT(ISNUMBER(E179)),"ERROR: VALOR debe ser numérico",IF(E179=0,"AVISO: valor cero (no se carga)",IF(J179&lt;&gt;"ACTIVO","NO SE CARGA: CECO en estado "&amp;J179,"OK"))))))))))</f>
        <v/>
      </c>
    </row>
    <row r="180">
      <c r="A180" s="5" t="n"/>
      <c r="B180" s="6" t="n"/>
      <c r="C180" s="5" t="n"/>
      <c r="D180" s="6" t="n"/>
      <c r="E180" s="7" t="n"/>
      <c r="F180" s="6" t="n"/>
      <c r="G180" s="8">
        <f>IF(B180="","",IFERROR(VLOOKUP(--B180,'CATALOGO CECO'!$A$2:$H$550,2,FALSE),"CECO NO EXISTE"))</f>
        <v/>
      </c>
      <c r="H180" s="8">
        <f>IF(B180="","",IFERROR(VLOOKUP(--B180,'CATALOGO CECO'!$A$2:$H$550,3,FALSE),""))</f>
        <v/>
      </c>
      <c r="I180" s="8">
        <f>IF(B180="","",IFERROR(VLOOKUP(--B180,'CATALOGO CECO'!$A$2:$H$550,5,FALSE),""))</f>
        <v/>
      </c>
      <c r="J180" s="8">
        <f>IF(B180="","",IFERROR(VLOOKUP(--B180,'CATALOGO CECO'!$A$2:$H$550,8,FALSE),""))</f>
        <v/>
      </c>
      <c r="K180" s="8">
        <f>IF(COUNTA(A180:F180)=0,"",IF(OR(LEN(A180)&lt;&gt;7,MID(A180,5,1)&lt;&gt;"-",ISERROR(--LEFT(A180,4)),ISERROR(--RIGHT(A180,2))),"ERROR: PERIODO debe ser AAAA-MM",IF(B180="","ERROR: falta CODIGO CECO",IF(G180="CECO NO EXISTE","ERROR: CECO no existe en el catálogo",IF(C180="","ERROR: falta CUENTA",IF(ISERROR(--C180),"ERROR: CUENTA debe tener solo dígitos",IF(ISERROR(FIND(LEFT(C180,1),"567")),"ERROR: CUENTA fuera de las clases de costo",IF(NOT(ISNUMBER(E180)),"ERROR: VALOR debe ser numérico",IF(E180=0,"AVISO: valor cero (no se carga)",IF(J180&lt;&gt;"ACTIVO","NO SE CARGA: CECO en estado "&amp;J180,"OK"))))))))))</f>
        <v/>
      </c>
    </row>
    <row r="181">
      <c r="A181" s="5" t="n"/>
      <c r="B181" s="6" t="n"/>
      <c r="C181" s="5" t="n"/>
      <c r="D181" s="6" t="n"/>
      <c r="E181" s="7" t="n"/>
      <c r="F181" s="6" t="n"/>
      <c r="G181" s="8">
        <f>IF(B181="","",IFERROR(VLOOKUP(--B181,'CATALOGO CECO'!$A$2:$H$550,2,FALSE),"CECO NO EXISTE"))</f>
        <v/>
      </c>
      <c r="H181" s="8">
        <f>IF(B181="","",IFERROR(VLOOKUP(--B181,'CATALOGO CECO'!$A$2:$H$550,3,FALSE),""))</f>
        <v/>
      </c>
      <c r="I181" s="8">
        <f>IF(B181="","",IFERROR(VLOOKUP(--B181,'CATALOGO CECO'!$A$2:$H$550,5,FALSE),""))</f>
        <v/>
      </c>
      <c r="J181" s="8">
        <f>IF(B181="","",IFERROR(VLOOKUP(--B181,'CATALOGO CECO'!$A$2:$H$550,8,FALSE),""))</f>
        <v/>
      </c>
      <c r="K181" s="8">
        <f>IF(COUNTA(A181:F181)=0,"",IF(OR(LEN(A181)&lt;&gt;7,MID(A181,5,1)&lt;&gt;"-",ISERROR(--LEFT(A181,4)),ISERROR(--RIGHT(A181,2))),"ERROR: PERIODO debe ser AAAA-MM",IF(B181="","ERROR: falta CODIGO CECO",IF(G181="CECO NO EXISTE","ERROR: CECO no existe en el catálogo",IF(C181="","ERROR: falta CUENTA",IF(ISERROR(--C181),"ERROR: CUENTA debe tener solo dígitos",IF(ISERROR(FIND(LEFT(C181,1),"567")),"ERROR: CUENTA fuera de las clases de costo",IF(NOT(ISNUMBER(E181)),"ERROR: VALOR debe ser numérico",IF(E181=0,"AVISO: valor cero (no se carga)",IF(J181&lt;&gt;"ACTIVO","NO SE CARGA: CECO en estado "&amp;J181,"OK"))))))))))</f>
        <v/>
      </c>
    </row>
    <row r="182">
      <c r="A182" s="5" t="n"/>
      <c r="B182" s="6" t="n"/>
      <c r="C182" s="5" t="n"/>
      <c r="D182" s="6" t="n"/>
      <c r="E182" s="7" t="n"/>
      <c r="F182" s="6" t="n"/>
      <c r="G182" s="8">
        <f>IF(B182="","",IFERROR(VLOOKUP(--B182,'CATALOGO CECO'!$A$2:$H$550,2,FALSE),"CECO NO EXISTE"))</f>
        <v/>
      </c>
      <c r="H182" s="8">
        <f>IF(B182="","",IFERROR(VLOOKUP(--B182,'CATALOGO CECO'!$A$2:$H$550,3,FALSE),""))</f>
        <v/>
      </c>
      <c r="I182" s="8">
        <f>IF(B182="","",IFERROR(VLOOKUP(--B182,'CATALOGO CECO'!$A$2:$H$550,5,FALSE),""))</f>
        <v/>
      </c>
      <c r="J182" s="8">
        <f>IF(B182="","",IFERROR(VLOOKUP(--B182,'CATALOGO CECO'!$A$2:$H$550,8,FALSE),""))</f>
        <v/>
      </c>
      <c r="K182" s="8">
        <f>IF(COUNTA(A182:F182)=0,"",IF(OR(LEN(A182)&lt;&gt;7,MID(A182,5,1)&lt;&gt;"-",ISERROR(--LEFT(A182,4)),ISERROR(--RIGHT(A182,2))),"ERROR: PERIODO debe ser AAAA-MM",IF(B182="","ERROR: falta CODIGO CECO",IF(G182="CECO NO EXISTE","ERROR: CECO no existe en el catálogo",IF(C182="","ERROR: falta CUENTA",IF(ISERROR(--C182),"ERROR: CUENTA debe tener solo dígitos",IF(ISERROR(FIND(LEFT(C182,1),"567")),"ERROR: CUENTA fuera de las clases de costo",IF(NOT(ISNUMBER(E182)),"ERROR: VALOR debe ser numérico",IF(E182=0,"AVISO: valor cero (no se carga)",IF(J182&lt;&gt;"ACTIVO","NO SE CARGA: CECO en estado "&amp;J182,"OK"))))))))))</f>
        <v/>
      </c>
    </row>
    <row r="183">
      <c r="A183" s="5" t="n"/>
      <c r="B183" s="6" t="n"/>
      <c r="C183" s="5" t="n"/>
      <c r="D183" s="6" t="n"/>
      <c r="E183" s="7" t="n"/>
      <c r="F183" s="6" t="n"/>
      <c r="G183" s="8">
        <f>IF(B183="","",IFERROR(VLOOKUP(--B183,'CATALOGO CECO'!$A$2:$H$550,2,FALSE),"CECO NO EXISTE"))</f>
        <v/>
      </c>
      <c r="H183" s="8">
        <f>IF(B183="","",IFERROR(VLOOKUP(--B183,'CATALOGO CECO'!$A$2:$H$550,3,FALSE),""))</f>
        <v/>
      </c>
      <c r="I183" s="8">
        <f>IF(B183="","",IFERROR(VLOOKUP(--B183,'CATALOGO CECO'!$A$2:$H$550,5,FALSE),""))</f>
        <v/>
      </c>
      <c r="J183" s="8">
        <f>IF(B183="","",IFERROR(VLOOKUP(--B183,'CATALOGO CECO'!$A$2:$H$550,8,FALSE),""))</f>
        <v/>
      </c>
      <c r="K183" s="8">
        <f>IF(COUNTA(A183:F183)=0,"",IF(OR(LEN(A183)&lt;&gt;7,MID(A183,5,1)&lt;&gt;"-",ISERROR(--LEFT(A183,4)),ISERROR(--RIGHT(A183,2))),"ERROR: PERIODO debe ser AAAA-MM",IF(B183="","ERROR: falta CODIGO CECO",IF(G183="CECO NO EXISTE","ERROR: CECO no existe en el catálogo",IF(C183="","ERROR: falta CUENTA",IF(ISERROR(--C183),"ERROR: CUENTA debe tener solo dígitos",IF(ISERROR(FIND(LEFT(C183,1),"567")),"ERROR: CUENTA fuera de las clases de costo",IF(NOT(ISNUMBER(E183)),"ERROR: VALOR debe ser numérico",IF(E183=0,"AVISO: valor cero (no se carga)",IF(J183&lt;&gt;"ACTIVO","NO SE CARGA: CECO en estado "&amp;J183,"OK"))))))))))</f>
        <v/>
      </c>
    </row>
    <row r="184">
      <c r="A184" s="5" t="n"/>
      <c r="B184" s="6" t="n"/>
      <c r="C184" s="5" t="n"/>
      <c r="D184" s="6" t="n"/>
      <c r="E184" s="7" t="n"/>
      <c r="F184" s="6" t="n"/>
      <c r="G184" s="8">
        <f>IF(B184="","",IFERROR(VLOOKUP(--B184,'CATALOGO CECO'!$A$2:$H$550,2,FALSE),"CECO NO EXISTE"))</f>
        <v/>
      </c>
      <c r="H184" s="8">
        <f>IF(B184="","",IFERROR(VLOOKUP(--B184,'CATALOGO CECO'!$A$2:$H$550,3,FALSE),""))</f>
        <v/>
      </c>
      <c r="I184" s="8">
        <f>IF(B184="","",IFERROR(VLOOKUP(--B184,'CATALOGO CECO'!$A$2:$H$550,5,FALSE),""))</f>
        <v/>
      </c>
      <c r="J184" s="8">
        <f>IF(B184="","",IFERROR(VLOOKUP(--B184,'CATALOGO CECO'!$A$2:$H$550,8,FALSE),""))</f>
        <v/>
      </c>
      <c r="K184" s="8">
        <f>IF(COUNTA(A184:F184)=0,"",IF(OR(LEN(A184)&lt;&gt;7,MID(A184,5,1)&lt;&gt;"-",ISERROR(--LEFT(A184,4)),ISERROR(--RIGHT(A184,2))),"ERROR: PERIODO debe ser AAAA-MM",IF(B184="","ERROR: falta CODIGO CECO",IF(G184="CECO NO EXISTE","ERROR: CECO no existe en el catálogo",IF(C184="","ERROR: falta CUENTA",IF(ISERROR(--C184),"ERROR: CUENTA debe tener solo dígitos",IF(ISERROR(FIND(LEFT(C184,1),"567")),"ERROR: CUENTA fuera de las clases de costo",IF(NOT(ISNUMBER(E184)),"ERROR: VALOR debe ser numérico",IF(E184=0,"AVISO: valor cero (no se carga)",IF(J184&lt;&gt;"ACTIVO","NO SE CARGA: CECO en estado "&amp;J184,"OK"))))))))))</f>
        <v/>
      </c>
    </row>
    <row r="185">
      <c r="A185" s="5" t="n"/>
      <c r="B185" s="6" t="n"/>
      <c r="C185" s="5" t="n"/>
      <c r="D185" s="6" t="n"/>
      <c r="E185" s="7" t="n"/>
      <c r="F185" s="6" t="n"/>
      <c r="G185" s="8">
        <f>IF(B185="","",IFERROR(VLOOKUP(--B185,'CATALOGO CECO'!$A$2:$H$550,2,FALSE),"CECO NO EXISTE"))</f>
        <v/>
      </c>
      <c r="H185" s="8">
        <f>IF(B185="","",IFERROR(VLOOKUP(--B185,'CATALOGO CECO'!$A$2:$H$550,3,FALSE),""))</f>
        <v/>
      </c>
      <c r="I185" s="8">
        <f>IF(B185="","",IFERROR(VLOOKUP(--B185,'CATALOGO CECO'!$A$2:$H$550,5,FALSE),""))</f>
        <v/>
      </c>
      <c r="J185" s="8">
        <f>IF(B185="","",IFERROR(VLOOKUP(--B185,'CATALOGO CECO'!$A$2:$H$550,8,FALSE),""))</f>
        <v/>
      </c>
      <c r="K185" s="8">
        <f>IF(COUNTA(A185:F185)=0,"",IF(OR(LEN(A185)&lt;&gt;7,MID(A185,5,1)&lt;&gt;"-",ISERROR(--LEFT(A185,4)),ISERROR(--RIGHT(A185,2))),"ERROR: PERIODO debe ser AAAA-MM",IF(B185="","ERROR: falta CODIGO CECO",IF(G185="CECO NO EXISTE","ERROR: CECO no existe en el catálogo",IF(C185="","ERROR: falta CUENTA",IF(ISERROR(--C185),"ERROR: CUENTA debe tener solo dígitos",IF(ISERROR(FIND(LEFT(C185,1),"567")),"ERROR: CUENTA fuera de las clases de costo",IF(NOT(ISNUMBER(E185)),"ERROR: VALOR debe ser numérico",IF(E185=0,"AVISO: valor cero (no se carga)",IF(J185&lt;&gt;"ACTIVO","NO SE CARGA: CECO en estado "&amp;J185,"OK"))))))))))</f>
        <v/>
      </c>
    </row>
    <row r="186">
      <c r="A186" s="5" t="n"/>
      <c r="B186" s="6" t="n"/>
      <c r="C186" s="5" t="n"/>
      <c r="D186" s="6" t="n"/>
      <c r="E186" s="7" t="n"/>
      <c r="F186" s="6" t="n"/>
      <c r="G186" s="8">
        <f>IF(B186="","",IFERROR(VLOOKUP(--B186,'CATALOGO CECO'!$A$2:$H$550,2,FALSE),"CECO NO EXISTE"))</f>
        <v/>
      </c>
      <c r="H186" s="8">
        <f>IF(B186="","",IFERROR(VLOOKUP(--B186,'CATALOGO CECO'!$A$2:$H$550,3,FALSE),""))</f>
        <v/>
      </c>
      <c r="I186" s="8">
        <f>IF(B186="","",IFERROR(VLOOKUP(--B186,'CATALOGO CECO'!$A$2:$H$550,5,FALSE),""))</f>
        <v/>
      </c>
      <c r="J186" s="8">
        <f>IF(B186="","",IFERROR(VLOOKUP(--B186,'CATALOGO CECO'!$A$2:$H$550,8,FALSE),""))</f>
        <v/>
      </c>
      <c r="K186" s="8">
        <f>IF(COUNTA(A186:F186)=0,"",IF(OR(LEN(A186)&lt;&gt;7,MID(A186,5,1)&lt;&gt;"-",ISERROR(--LEFT(A186,4)),ISERROR(--RIGHT(A186,2))),"ERROR: PERIODO debe ser AAAA-MM",IF(B186="","ERROR: falta CODIGO CECO",IF(G186="CECO NO EXISTE","ERROR: CECO no existe en el catálogo",IF(C186="","ERROR: falta CUENTA",IF(ISERROR(--C186),"ERROR: CUENTA debe tener solo dígitos",IF(ISERROR(FIND(LEFT(C186,1),"567")),"ERROR: CUENTA fuera de las clases de costo",IF(NOT(ISNUMBER(E186)),"ERROR: VALOR debe ser numérico",IF(E186=0,"AVISO: valor cero (no se carga)",IF(J186&lt;&gt;"ACTIVO","NO SE CARGA: CECO en estado "&amp;J186,"OK"))))))))))</f>
        <v/>
      </c>
    </row>
    <row r="187">
      <c r="A187" s="5" t="n"/>
      <c r="B187" s="6" t="n"/>
      <c r="C187" s="5" t="n"/>
      <c r="D187" s="6" t="n"/>
      <c r="E187" s="7" t="n"/>
      <c r="F187" s="6" t="n"/>
      <c r="G187" s="8">
        <f>IF(B187="","",IFERROR(VLOOKUP(--B187,'CATALOGO CECO'!$A$2:$H$550,2,FALSE),"CECO NO EXISTE"))</f>
        <v/>
      </c>
      <c r="H187" s="8">
        <f>IF(B187="","",IFERROR(VLOOKUP(--B187,'CATALOGO CECO'!$A$2:$H$550,3,FALSE),""))</f>
        <v/>
      </c>
      <c r="I187" s="8">
        <f>IF(B187="","",IFERROR(VLOOKUP(--B187,'CATALOGO CECO'!$A$2:$H$550,5,FALSE),""))</f>
        <v/>
      </c>
      <c r="J187" s="8">
        <f>IF(B187="","",IFERROR(VLOOKUP(--B187,'CATALOGO CECO'!$A$2:$H$550,8,FALSE),""))</f>
        <v/>
      </c>
      <c r="K187" s="8">
        <f>IF(COUNTA(A187:F187)=0,"",IF(OR(LEN(A187)&lt;&gt;7,MID(A187,5,1)&lt;&gt;"-",ISERROR(--LEFT(A187,4)),ISERROR(--RIGHT(A187,2))),"ERROR: PERIODO debe ser AAAA-MM",IF(B187="","ERROR: falta CODIGO CECO",IF(G187="CECO NO EXISTE","ERROR: CECO no existe en el catálogo",IF(C187="","ERROR: falta CUENTA",IF(ISERROR(--C187),"ERROR: CUENTA debe tener solo dígitos",IF(ISERROR(FIND(LEFT(C187,1),"567")),"ERROR: CUENTA fuera de las clases de costo",IF(NOT(ISNUMBER(E187)),"ERROR: VALOR debe ser numérico",IF(E187=0,"AVISO: valor cero (no se carga)",IF(J187&lt;&gt;"ACTIVO","NO SE CARGA: CECO en estado "&amp;J187,"OK"))))))))))</f>
        <v/>
      </c>
    </row>
    <row r="188">
      <c r="A188" s="5" t="n"/>
      <c r="B188" s="6" t="n"/>
      <c r="C188" s="5" t="n"/>
      <c r="D188" s="6" t="n"/>
      <c r="E188" s="7" t="n"/>
      <c r="F188" s="6" t="n"/>
      <c r="G188" s="8">
        <f>IF(B188="","",IFERROR(VLOOKUP(--B188,'CATALOGO CECO'!$A$2:$H$550,2,FALSE),"CECO NO EXISTE"))</f>
        <v/>
      </c>
      <c r="H188" s="8">
        <f>IF(B188="","",IFERROR(VLOOKUP(--B188,'CATALOGO CECO'!$A$2:$H$550,3,FALSE),""))</f>
        <v/>
      </c>
      <c r="I188" s="8">
        <f>IF(B188="","",IFERROR(VLOOKUP(--B188,'CATALOGO CECO'!$A$2:$H$550,5,FALSE),""))</f>
        <v/>
      </c>
      <c r="J188" s="8">
        <f>IF(B188="","",IFERROR(VLOOKUP(--B188,'CATALOGO CECO'!$A$2:$H$550,8,FALSE),""))</f>
        <v/>
      </c>
      <c r="K188" s="8">
        <f>IF(COUNTA(A188:F188)=0,"",IF(OR(LEN(A188)&lt;&gt;7,MID(A188,5,1)&lt;&gt;"-",ISERROR(--LEFT(A188,4)),ISERROR(--RIGHT(A188,2))),"ERROR: PERIODO debe ser AAAA-MM",IF(B188="","ERROR: falta CODIGO CECO",IF(G188="CECO NO EXISTE","ERROR: CECO no existe en el catálogo",IF(C188="","ERROR: falta CUENTA",IF(ISERROR(--C188),"ERROR: CUENTA debe tener solo dígitos",IF(ISERROR(FIND(LEFT(C188,1),"567")),"ERROR: CUENTA fuera de las clases de costo",IF(NOT(ISNUMBER(E188)),"ERROR: VALOR debe ser numérico",IF(E188=0,"AVISO: valor cero (no se carga)",IF(J188&lt;&gt;"ACTIVO","NO SE CARGA: CECO en estado "&amp;J188,"OK"))))))))))</f>
        <v/>
      </c>
    </row>
    <row r="189">
      <c r="A189" s="5" t="n"/>
      <c r="B189" s="6" t="n"/>
      <c r="C189" s="5" t="n"/>
      <c r="D189" s="6" t="n"/>
      <c r="E189" s="7" t="n"/>
      <c r="F189" s="6" t="n"/>
      <c r="G189" s="8">
        <f>IF(B189="","",IFERROR(VLOOKUP(--B189,'CATALOGO CECO'!$A$2:$H$550,2,FALSE),"CECO NO EXISTE"))</f>
        <v/>
      </c>
      <c r="H189" s="8">
        <f>IF(B189="","",IFERROR(VLOOKUP(--B189,'CATALOGO CECO'!$A$2:$H$550,3,FALSE),""))</f>
        <v/>
      </c>
      <c r="I189" s="8">
        <f>IF(B189="","",IFERROR(VLOOKUP(--B189,'CATALOGO CECO'!$A$2:$H$550,5,FALSE),""))</f>
        <v/>
      </c>
      <c r="J189" s="8">
        <f>IF(B189="","",IFERROR(VLOOKUP(--B189,'CATALOGO CECO'!$A$2:$H$550,8,FALSE),""))</f>
        <v/>
      </c>
      <c r="K189" s="8">
        <f>IF(COUNTA(A189:F189)=0,"",IF(OR(LEN(A189)&lt;&gt;7,MID(A189,5,1)&lt;&gt;"-",ISERROR(--LEFT(A189,4)),ISERROR(--RIGHT(A189,2))),"ERROR: PERIODO debe ser AAAA-MM",IF(B189="","ERROR: falta CODIGO CECO",IF(G189="CECO NO EXISTE","ERROR: CECO no existe en el catálogo",IF(C189="","ERROR: falta CUENTA",IF(ISERROR(--C189),"ERROR: CUENTA debe tener solo dígitos",IF(ISERROR(FIND(LEFT(C189,1),"567")),"ERROR: CUENTA fuera de las clases de costo",IF(NOT(ISNUMBER(E189)),"ERROR: VALOR debe ser numérico",IF(E189=0,"AVISO: valor cero (no se carga)",IF(J189&lt;&gt;"ACTIVO","NO SE CARGA: CECO en estado "&amp;J189,"OK"))))))))))</f>
        <v/>
      </c>
    </row>
    <row r="190">
      <c r="A190" s="5" t="n"/>
      <c r="B190" s="6" t="n"/>
      <c r="C190" s="5" t="n"/>
      <c r="D190" s="6" t="n"/>
      <c r="E190" s="7" t="n"/>
      <c r="F190" s="6" t="n"/>
      <c r="G190" s="8">
        <f>IF(B190="","",IFERROR(VLOOKUP(--B190,'CATALOGO CECO'!$A$2:$H$550,2,FALSE),"CECO NO EXISTE"))</f>
        <v/>
      </c>
      <c r="H190" s="8">
        <f>IF(B190="","",IFERROR(VLOOKUP(--B190,'CATALOGO CECO'!$A$2:$H$550,3,FALSE),""))</f>
        <v/>
      </c>
      <c r="I190" s="8">
        <f>IF(B190="","",IFERROR(VLOOKUP(--B190,'CATALOGO CECO'!$A$2:$H$550,5,FALSE),""))</f>
        <v/>
      </c>
      <c r="J190" s="8">
        <f>IF(B190="","",IFERROR(VLOOKUP(--B190,'CATALOGO CECO'!$A$2:$H$550,8,FALSE),""))</f>
        <v/>
      </c>
      <c r="K190" s="8">
        <f>IF(COUNTA(A190:F190)=0,"",IF(OR(LEN(A190)&lt;&gt;7,MID(A190,5,1)&lt;&gt;"-",ISERROR(--LEFT(A190,4)),ISERROR(--RIGHT(A190,2))),"ERROR: PERIODO debe ser AAAA-MM",IF(B190="","ERROR: falta CODIGO CECO",IF(G190="CECO NO EXISTE","ERROR: CECO no existe en el catálogo",IF(C190="","ERROR: falta CUENTA",IF(ISERROR(--C190),"ERROR: CUENTA debe tener solo dígitos",IF(ISERROR(FIND(LEFT(C190,1),"567")),"ERROR: CUENTA fuera de las clases de costo",IF(NOT(ISNUMBER(E190)),"ERROR: VALOR debe ser numérico",IF(E190=0,"AVISO: valor cero (no se carga)",IF(J190&lt;&gt;"ACTIVO","NO SE CARGA: CECO en estado "&amp;J190,"OK"))))))))))</f>
        <v/>
      </c>
    </row>
    <row r="191">
      <c r="A191" s="5" t="n"/>
      <c r="B191" s="6" t="n"/>
      <c r="C191" s="5" t="n"/>
      <c r="D191" s="6" t="n"/>
      <c r="E191" s="7" t="n"/>
      <c r="F191" s="6" t="n"/>
      <c r="G191" s="8">
        <f>IF(B191="","",IFERROR(VLOOKUP(--B191,'CATALOGO CECO'!$A$2:$H$550,2,FALSE),"CECO NO EXISTE"))</f>
        <v/>
      </c>
      <c r="H191" s="8">
        <f>IF(B191="","",IFERROR(VLOOKUP(--B191,'CATALOGO CECO'!$A$2:$H$550,3,FALSE),""))</f>
        <v/>
      </c>
      <c r="I191" s="8">
        <f>IF(B191="","",IFERROR(VLOOKUP(--B191,'CATALOGO CECO'!$A$2:$H$550,5,FALSE),""))</f>
        <v/>
      </c>
      <c r="J191" s="8">
        <f>IF(B191="","",IFERROR(VLOOKUP(--B191,'CATALOGO CECO'!$A$2:$H$550,8,FALSE),""))</f>
        <v/>
      </c>
      <c r="K191" s="8">
        <f>IF(COUNTA(A191:F191)=0,"",IF(OR(LEN(A191)&lt;&gt;7,MID(A191,5,1)&lt;&gt;"-",ISERROR(--LEFT(A191,4)),ISERROR(--RIGHT(A191,2))),"ERROR: PERIODO debe ser AAAA-MM",IF(B191="","ERROR: falta CODIGO CECO",IF(G191="CECO NO EXISTE","ERROR: CECO no existe en el catálogo",IF(C191="","ERROR: falta CUENTA",IF(ISERROR(--C191),"ERROR: CUENTA debe tener solo dígitos",IF(ISERROR(FIND(LEFT(C191,1),"567")),"ERROR: CUENTA fuera de las clases de costo",IF(NOT(ISNUMBER(E191)),"ERROR: VALOR debe ser numérico",IF(E191=0,"AVISO: valor cero (no se carga)",IF(J191&lt;&gt;"ACTIVO","NO SE CARGA: CECO en estado "&amp;J191,"OK"))))))))))</f>
        <v/>
      </c>
    </row>
    <row r="192">
      <c r="A192" s="5" t="n"/>
      <c r="B192" s="6" t="n"/>
      <c r="C192" s="5" t="n"/>
      <c r="D192" s="6" t="n"/>
      <c r="E192" s="7" t="n"/>
      <c r="F192" s="6" t="n"/>
      <c r="G192" s="8">
        <f>IF(B192="","",IFERROR(VLOOKUP(--B192,'CATALOGO CECO'!$A$2:$H$550,2,FALSE),"CECO NO EXISTE"))</f>
        <v/>
      </c>
      <c r="H192" s="8">
        <f>IF(B192="","",IFERROR(VLOOKUP(--B192,'CATALOGO CECO'!$A$2:$H$550,3,FALSE),""))</f>
        <v/>
      </c>
      <c r="I192" s="8">
        <f>IF(B192="","",IFERROR(VLOOKUP(--B192,'CATALOGO CECO'!$A$2:$H$550,5,FALSE),""))</f>
        <v/>
      </c>
      <c r="J192" s="8">
        <f>IF(B192="","",IFERROR(VLOOKUP(--B192,'CATALOGO CECO'!$A$2:$H$550,8,FALSE),""))</f>
        <v/>
      </c>
      <c r="K192" s="8">
        <f>IF(COUNTA(A192:F192)=0,"",IF(OR(LEN(A192)&lt;&gt;7,MID(A192,5,1)&lt;&gt;"-",ISERROR(--LEFT(A192,4)),ISERROR(--RIGHT(A192,2))),"ERROR: PERIODO debe ser AAAA-MM",IF(B192="","ERROR: falta CODIGO CECO",IF(G192="CECO NO EXISTE","ERROR: CECO no existe en el catálogo",IF(C192="","ERROR: falta CUENTA",IF(ISERROR(--C192),"ERROR: CUENTA debe tener solo dígitos",IF(ISERROR(FIND(LEFT(C192,1),"567")),"ERROR: CUENTA fuera de las clases de costo",IF(NOT(ISNUMBER(E192)),"ERROR: VALOR debe ser numérico",IF(E192=0,"AVISO: valor cero (no se carga)",IF(J192&lt;&gt;"ACTIVO","NO SE CARGA: CECO en estado "&amp;J192,"OK"))))))))))</f>
        <v/>
      </c>
    </row>
    <row r="193">
      <c r="A193" s="5" t="n"/>
      <c r="B193" s="6" t="n"/>
      <c r="C193" s="5" t="n"/>
      <c r="D193" s="6" t="n"/>
      <c r="E193" s="7" t="n"/>
      <c r="F193" s="6" t="n"/>
      <c r="G193" s="8">
        <f>IF(B193="","",IFERROR(VLOOKUP(--B193,'CATALOGO CECO'!$A$2:$H$550,2,FALSE),"CECO NO EXISTE"))</f>
        <v/>
      </c>
      <c r="H193" s="8">
        <f>IF(B193="","",IFERROR(VLOOKUP(--B193,'CATALOGO CECO'!$A$2:$H$550,3,FALSE),""))</f>
        <v/>
      </c>
      <c r="I193" s="8">
        <f>IF(B193="","",IFERROR(VLOOKUP(--B193,'CATALOGO CECO'!$A$2:$H$550,5,FALSE),""))</f>
        <v/>
      </c>
      <c r="J193" s="8">
        <f>IF(B193="","",IFERROR(VLOOKUP(--B193,'CATALOGO CECO'!$A$2:$H$550,8,FALSE),""))</f>
        <v/>
      </c>
      <c r="K193" s="8">
        <f>IF(COUNTA(A193:F193)=0,"",IF(OR(LEN(A193)&lt;&gt;7,MID(A193,5,1)&lt;&gt;"-",ISERROR(--LEFT(A193,4)),ISERROR(--RIGHT(A193,2))),"ERROR: PERIODO debe ser AAAA-MM",IF(B193="","ERROR: falta CODIGO CECO",IF(G193="CECO NO EXISTE","ERROR: CECO no existe en el catálogo",IF(C193="","ERROR: falta CUENTA",IF(ISERROR(--C193),"ERROR: CUENTA debe tener solo dígitos",IF(ISERROR(FIND(LEFT(C193,1),"567")),"ERROR: CUENTA fuera de las clases de costo",IF(NOT(ISNUMBER(E193)),"ERROR: VALOR debe ser numérico",IF(E193=0,"AVISO: valor cero (no se carga)",IF(J193&lt;&gt;"ACTIVO","NO SE CARGA: CECO en estado "&amp;J193,"OK"))))))))))</f>
        <v/>
      </c>
    </row>
    <row r="194">
      <c r="A194" s="5" t="n"/>
      <c r="B194" s="6" t="n"/>
      <c r="C194" s="5" t="n"/>
      <c r="D194" s="6" t="n"/>
      <c r="E194" s="7" t="n"/>
      <c r="F194" s="6" t="n"/>
      <c r="G194" s="8">
        <f>IF(B194="","",IFERROR(VLOOKUP(--B194,'CATALOGO CECO'!$A$2:$H$550,2,FALSE),"CECO NO EXISTE"))</f>
        <v/>
      </c>
      <c r="H194" s="8">
        <f>IF(B194="","",IFERROR(VLOOKUP(--B194,'CATALOGO CECO'!$A$2:$H$550,3,FALSE),""))</f>
        <v/>
      </c>
      <c r="I194" s="8">
        <f>IF(B194="","",IFERROR(VLOOKUP(--B194,'CATALOGO CECO'!$A$2:$H$550,5,FALSE),""))</f>
        <v/>
      </c>
      <c r="J194" s="8">
        <f>IF(B194="","",IFERROR(VLOOKUP(--B194,'CATALOGO CECO'!$A$2:$H$550,8,FALSE),""))</f>
        <v/>
      </c>
      <c r="K194" s="8">
        <f>IF(COUNTA(A194:F194)=0,"",IF(OR(LEN(A194)&lt;&gt;7,MID(A194,5,1)&lt;&gt;"-",ISERROR(--LEFT(A194,4)),ISERROR(--RIGHT(A194,2))),"ERROR: PERIODO debe ser AAAA-MM",IF(B194="","ERROR: falta CODIGO CECO",IF(G194="CECO NO EXISTE","ERROR: CECO no existe en el catálogo",IF(C194="","ERROR: falta CUENTA",IF(ISERROR(--C194),"ERROR: CUENTA debe tener solo dígitos",IF(ISERROR(FIND(LEFT(C194,1),"567")),"ERROR: CUENTA fuera de las clases de costo",IF(NOT(ISNUMBER(E194)),"ERROR: VALOR debe ser numérico",IF(E194=0,"AVISO: valor cero (no se carga)",IF(J194&lt;&gt;"ACTIVO","NO SE CARGA: CECO en estado "&amp;J194,"OK"))))))))))</f>
        <v/>
      </c>
    </row>
    <row r="195">
      <c r="A195" s="5" t="n"/>
      <c r="B195" s="6" t="n"/>
      <c r="C195" s="5" t="n"/>
      <c r="D195" s="6" t="n"/>
      <c r="E195" s="7" t="n"/>
      <c r="F195" s="6" t="n"/>
      <c r="G195" s="8">
        <f>IF(B195="","",IFERROR(VLOOKUP(--B195,'CATALOGO CECO'!$A$2:$H$550,2,FALSE),"CECO NO EXISTE"))</f>
        <v/>
      </c>
      <c r="H195" s="8">
        <f>IF(B195="","",IFERROR(VLOOKUP(--B195,'CATALOGO CECO'!$A$2:$H$550,3,FALSE),""))</f>
        <v/>
      </c>
      <c r="I195" s="8">
        <f>IF(B195="","",IFERROR(VLOOKUP(--B195,'CATALOGO CECO'!$A$2:$H$550,5,FALSE),""))</f>
        <v/>
      </c>
      <c r="J195" s="8">
        <f>IF(B195="","",IFERROR(VLOOKUP(--B195,'CATALOGO CECO'!$A$2:$H$550,8,FALSE),""))</f>
        <v/>
      </c>
      <c r="K195" s="8">
        <f>IF(COUNTA(A195:F195)=0,"",IF(OR(LEN(A195)&lt;&gt;7,MID(A195,5,1)&lt;&gt;"-",ISERROR(--LEFT(A195,4)),ISERROR(--RIGHT(A195,2))),"ERROR: PERIODO debe ser AAAA-MM",IF(B195="","ERROR: falta CODIGO CECO",IF(G195="CECO NO EXISTE","ERROR: CECO no existe en el catálogo",IF(C195="","ERROR: falta CUENTA",IF(ISERROR(--C195),"ERROR: CUENTA debe tener solo dígitos",IF(ISERROR(FIND(LEFT(C195,1),"567")),"ERROR: CUENTA fuera de las clases de costo",IF(NOT(ISNUMBER(E195)),"ERROR: VALOR debe ser numérico",IF(E195=0,"AVISO: valor cero (no se carga)",IF(J195&lt;&gt;"ACTIVO","NO SE CARGA: CECO en estado "&amp;J195,"OK"))))))))))</f>
        <v/>
      </c>
    </row>
    <row r="196">
      <c r="A196" s="5" t="n"/>
      <c r="B196" s="6" t="n"/>
      <c r="C196" s="5" t="n"/>
      <c r="D196" s="6" t="n"/>
      <c r="E196" s="7" t="n"/>
      <c r="F196" s="6" t="n"/>
      <c r="G196" s="8">
        <f>IF(B196="","",IFERROR(VLOOKUP(--B196,'CATALOGO CECO'!$A$2:$H$550,2,FALSE),"CECO NO EXISTE"))</f>
        <v/>
      </c>
      <c r="H196" s="8">
        <f>IF(B196="","",IFERROR(VLOOKUP(--B196,'CATALOGO CECO'!$A$2:$H$550,3,FALSE),""))</f>
        <v/>
      </c>
      <c r="I196" s="8">
        <f>IF(B196="","",IFERROR(VLOOKUP(--B196,'CATALOGO CECO'!$A$2:$H$550,5,FALSE),""))</f>
        <v/>
      </c>
      <c r="J196" s="8">
        <f>IF(B196="","",IFERROR(VLOOKUP(--B196,'CATALOGO CECO'!$A$2:$H$550,8,FALSE),""))</f>
        <v/>
      </c>
      <c r="K196" s="8">
        <f>IF(COUNTA(A196:F196)=0,"",IF(OR(LEN(A196)&lt;&gt;7,MID(A196,5,1)&lt;&gt;"-",ISERROR(--LEFT(A196,4)),ISERROR(--RIGHT(A196,2))),"ERROR: PERIODO debe ser AAAA-MM",IF(B196="","ERROR: falta CODIGO CECO",IF(G196="CECO NO EXISTE","ERROR: CECO no existe en el catálogo",IF(C196="","ERROR: falta CUENTA",IF(ISERROR(--C196),"ERROR: CUENTA debe tener solo dígitos",IF(ISERROR(FIND(LEFT(C196,1),"567")),"ERROR: CUENTA fuera de las clases de costo",IF(NOT(ISNUMBER(E196)),"ERROR: VALOR debe ser numérico",IF(E196=0,"AVISO: valor cero (no se carga)",IF(J196&lt;&gt;"ACTIVO","NO SE CARGA: CECO en estado "&amp;J196,"OK"))))))))))</f>
        <v/>
      </c>
    </row>
    <row r="197">
      <c r="A197" s="5" t="n"/>
      <c r="B197" s="6" t="n"/>
      <c r="C197" s="5" t="n"/>
      <c r="D197" s="6" t="n"/>
      <c r="E197" s="7" t="n"/>
      <c r="F197" s="6" t="n"/>
      <c r="G197" s="8">
        <f>IF(B197="","",IFERROR(VLOOKUP(--B197,'CATALOGO CECO'!$A$2:$H$550,2,FALSE),"CECO NO EXISTE"))</f>
        <v/>
      </c>
      <c r="H197" s="8">
        <f>IF(B197="","",IFERROR(VLOOKUP(--B197,'CATALOGO CECO'!$A$2:$H$550,3,FALSE),""))</f>
        <v/>
      </c>
      <c r="I197" s="8">
        <f>IF(B197="","",IFERROR(VLOOKUP(--B197,'CATALOGO CECO'!$A$2:$H$550,5,FALSE),""))</f>
        <v/>
      </c>
      <c r="J197" s="8">
        <f>IF(B197="","",IFERROR(VLOOKUP(--B197,'CATALOGO CECO'!$A$2:$H$550,8,FALSE),""))</f>
        <v/>
      </c>
      <c r="K197" s="8">
        <f>IF(COUNTA(A197:F197)=0,"",IF(OR(LEN(A197)&lt;&gt;7,MID(A197,5,1)&lt;&gt;"-",ISERROR(--LEFT(A197,4)),ISERROR(--RIGHT(A197,2))),"ERROR: PERIODO debe ser AAAA-MM",IF(B197="","ERROR: falta CODIGO CECO",IF(G197="CECO NO EXISTE","ERROR: CECO no existe en el catálogo",IF(C197="","ERROR: falta CUENTA",IF(ISERROR(--C197),"ERROR: CUENTA debe tener solo dígitos",IF(ISERROR(FIND(LEFT(C197,1),"567")),"ERROR: CUENTA fuera de las clases de costo",IF(NOT(ISNUMBER(E197)),"ERROR: VALOR debe ser numérico",IF(E197=0,"AVISO: valor cero (no se carga)",IF(J197&lt;&gt;"ACTIVO","NO SE CARGA: CECO en estado "&amp;J197,"OK"))))))))))</f>
        <v/>
      </c>
    </row>
    <row r="198">
      <c r="A198" s="5" t="n"/>
      <c r="B198" s="6" t="n"/>
      <c r="C198" s="5" t="n"/>
      <c r="D198" s="6" t="n"/>
      <c r="E198" s="7" t="n"/>
      <c r="F198" s="6" t="n"/>
      <c r="G198" s="8">
        <f>IF(B198="","",IFERROR(VLOOKUP(--B198,'CATALOGO CECO'!$A$2:$H$550,2,FALSE),"CECO NO EXISTE"))</f>
        <v/>
      </c>
      <c r="H198" s="8">
        <f>IF(B198="","",IFERROR(VLOOKUP(--B198,'CATALOGO CECO'!$A$2:$H$550,3,FALSE),""))</f>
        <v/>
      </c>
      <c r="I198" s="8">
        <f>IF(B198="","",IFERROR(VLOOKUP(--B198,'CATALOGO CECO'!$A$2:$H$550,5,FALSE),""))</f>
        <v/>
      </c>
      <c r="J198" s="8">
        <f>IF(B198="","",IFERROR(VLOOKUP(--B198,'CATALOGO CECO'!$A$2:$H$550,8,FALSE),""))</f>
        <v/>
      </c>
      <c r="K198" s="8">
        <f>IF(COUNTA(A198:F198)=0,"",IF(OR(LEN(A198)&lt;&gt;7,MID(A198,5,1)&lt;&gt;"-",ISERROR(--LEFT(A198,4)),ISERROR(--RIGHT(A198,2))),"ERROR: PERIODO debe ser AAAA-MM",IF(B198="","ERROR: falta CODIGO CECO",IF(G198="CECO NO EXISTE","ERROR: CECO no existe en el catálogo",IF(C198="","ERROR: falta CUENTA",IF(ISERROR(--C198),"ERROR: CUENTA debe tener solo dígitos",IF(ISERROR(FIND(LEFT(C198,1),"567")),"ERROR: CUENTA fuera de las clases de costo",IF(NOT(ISNUMBER(E198)),"ERROR: VALOR debe ser numérico",IF(E198=0,"AVISO: valor cero (no se carga)",IF(J198&lt;&gt;"ACTIVO","NO SE CARGA: CECO en estado "&amp;J198,"OK"))))))))))</f>
        <v/>
      </c>
    </row>
    <row r="199">
      <c r="A199" s="5" t="n"/>
      <c r="B199" s="6" t="n"/>
      <c r="C199" s="5" t="n"/>
      <c r="D199" s="6" t="n"/>
      <c r="E199" s="7" t="n"/>
      <c r="F199" s="6" t="n"/>
      <c r="G199" s="8">
        <f>IF(B199="","",IFERROR(VLOOKUP(--B199,'CATALOGO CECO'!$A$2:$H$550,2,FALSE),"CECO NO EXISTE"))</f>
        <v/>
      </c>
      <c r="H199" s="8">
        <f>IF(B199="","",IFERROR(VLOOKUP(--B199,'CATALOGO CECO'!$A$2:$H$550,3,FALSE),""))</f>
        <v/>
      </c>
      <c r="I199" s="8">
        <f>IF(B199="","",IFERROR(VLOOKUP(--B199,'CATALOGO CECO'!$A$2:$H$550,5,FALSE),""))</f>
        <v/>
      </c>
      <c r="J199" s="8">
        <f>IF(B199="","",IFERROR(VLOOKUP(--B199,'CATALOGO CECO'!$A$2:$H$550,8,FALSE),""))</f>
        <v/>
      </c>
      <c r="K199" s="8">
        <f>IF(COUNTA(A199:F199)=0,"",IF(OR(LEN(A199)&lt;&gt;7,MID(A199,5,1)&lt;&gt;"-",ISERROR(--LEFT(A199,4)),ISERROR(--RIGHT(A199,2))),"ERROR: PERIODO debe ser AAAA-MM",IF(B199="","ERROR: falta CODIGO CECO",IF(G199="CECO NO EXISTE","ERROR: CECO no existe en el catálogo",IF(C199="","ERROR: falta CUENTA",IF(ISERROR(--C199),"ERROR: CUENTA debe tener solo dígitos",IF(ISERROR(FIND(LEFT(C199,1),"567")),"ERROR: CUENTA fuera de las clases de costo",IF(NOT(ISNUMBER(E199)),"ERROR: VALOR debe ser numérico",IF(E199=0,"AVISO: valor cero (no se carga)",IF(J199&lt;&gt;"ACTIVO","NO SE CARGA: CECO en estado "&amp;J199,"OK"))))))))))</f>
        <v/>
      </c>
    </row>
    <row r="200">
      <c r="A200" s="5" t="n"/>
      <c r="B200" s="6" t="n"/>
      <c r="C200" s="5" t="n"/>
      <c r="D200" s="6" t="n"/>
      <c r="E200" s="7" t="n"/>
      <c r="F200" s="6" t="n"/>
      <c r="G200" s="8">
        <f>IF(B200="","",IFERROR(VLOOKUP(--B200,'CATALOGO CECO'!$A$2:$H$550,2,FALSE),"CECO NO EXISTE"))</f>
        <v/>
      </c>
      <c r="H200" s="8">
        <f>IF(B200="","",IFERROR(VLOOKUP(--B200,'CATALOGO CECO'!$A$2:$H$550,3,FALSE),""))</f>
        <v/>
      </c>
      <c r="I200" s="8">
        <f>IF(B200="","",IFERROR(VLOOKUP(--B200,'CATALOGO CECO'!$A$2:$H$550,5,FALSE),""))</f>
        <v/>
      </c>
      <c r="J200" s="8">
        <f>IF(B200="","",IFERROR(VLOOKUP(--B200,'CATALOGO CECO'!$A$2:$H$550,8,FALSE),""))</f>
        <v/>
      </c>
      <c r="K200" s="8">
        <f>IF(COUNTA(A200:F200)=0,"",IF(OR(LEN(A200)&lt;&gt;7,MID(A200,5,1)&lt;&gt;"-",ISERROR(--LEFT(A200,4)),ISERROR(--RIGHT(A200,2))),"ERROR: PERIODO debe ser AAAA-MM",IF(B200="","ERROR: falta CODIGO CECO",IF(G200="CECO NO EXISTE","ERROR: CECO no existe en el catálogo",IF(C200="","ERROR: falta CUENTA",IF(ISERROR(--C200),"ERROR: CUENTA debe tener solo dígitos",IF(ISERROR(FIND(LEFT(C200,1),"567")),"ERROR: CUENTA fuera de las clases de costo",IF(NOT(ISNUMBER(E200)),"ERROR: VALOR debe ser numérico",IF(E200=0,"AVISO: valor cero (no se carga)",IF(J200&lt;&gt;"ACTIVO","NO SE CARGA: CECO en estado "&amp;J200,"OK"))))))))))</f>
        <v/>
      </c>
    </row>
    <row r="201">
      <c r="A201" s="5" t="n"/>
      <c r="B201" s="6" t="n"/>
      <c r="C201" s="5" t="n"/>
      <c r="D201" s="6" t="n"/>
      <c r="E201" s="7" t="n"/>
      <c r="F201" s="6" t="n"/>
      <c r="G201" s="8">
        <f>IF(B201="","",IFERROR(VLOOKUP(--B201,'CATALOGO CECO'!$A$2:$H$550,2,FALSE),"CECO NO EXISTE"))</f>
        <v/>
      </c>
      <c r="H201" s="8">
        <f>IF(B201="","",IFERROR(VLOOKUP(--B201,'CATALOGO CECO'!$A$2:$H$550,3,FALSE),""))</f>
        <v/>
      </c>
      <c r="I201" s="8">
        <f>IF(B201="","",IFERROR(VLOOKUP(--B201,'CATALOGO CECO'!$A$2:$H$550,5,FALSE),""))</f>
        <v/>
      </c>
      <c r="J201" s="8">
        <f>IF(B201="","",IFERROR(VLOOKUP(--B201,'CATALOGO CECO'!$A$2:$H$550,8,FALSE),""))</f>
        <v/>
      </c>
      <c r="K201" s="8">
        <f>IF(COUNTA(A201:F201)=0,"",IF(OR(LEN(A201)&lt;&gt;7,MID(A201,5,1)&lt;&gt;"-",ISERROR(--LEFT(A201,4)),ISERROR(--RIGHT(A201,2))),"ERROR: PERIODO debe ser AAAA-MM",IF(B201="","ERROR: falta CODIGO CECO",IF(G201="CECO NO EXISTE","ERROR: CECO no existe en el catálogo",IF(C201="","ERROR: falta CUENTA",IF(ISERROR(--C201),"ERROR: CUENTA debe tener solo dígitos",IF(ISERROR(FIND(LEFT(C201,1),"567")),"ERROR: CUENTA fuera de las clases de costo",IF(NOT(ISNUMBER(E201)),"ERROR: VALOR debe ser numérico",IF(E201=0,"AVISO: valor cero (no se carga)",IF(J201&lt;&gt;"ACTIVO","NO SE CARGA: CECO en estado "&amp;J201,"OK"))))))))))</f>
        <v/>
      </c>
    </row>
    <row r="202">
      <c r="A202" s="5" t="n"/>
      <c r="B202" s="6" t="n"/>
      <c r="C202" s="5" t="n"/>
      <c r="D202" s="6" t="n"/>
      <c r="E202" s="7" t="n"/>
      <c r="F202" s="6" t="n"/>
      <c r="G202" s="8">
        <f>IF(B202="","",IFERROR(VLOOKUP(--B202,'CATALOGO CECO'!$A$2:$H$550,2,FALSE),"CECO NO EXISTE"))</f>
        <v/>
      </c>
      <c r="H202" s="8">
        <f>IF(B202="","",IFERROR(VLOOKUP(--B202,'CATALOGO CECO'!$A$2:$H$550,3,FALSE),""))</f>
        <v/>
      </c>
      <c r="I202" s="8">
        <f>IF(B202="","",IFERROR(VLOOKUP(--B202,'CATALOGO CECO'!$A$2:$H$550,5,FALSE),""))</f>
        <v/>
      </c>
      <c r="J202" s="8">
        <f>IF(B202="","",IFERROR(VLOOKUP(--B202,'CATALOGO CECO'!$A$2:$H$550,8,FALSE),""))</f>
        <v/>
      </c>
      <c r="K202" s="8">
        <f>IF(COUNTA(A202:F202)=0,"",IF(OR(LEN(A202)&lt;&gt;7,MID(A202,5,1)&lt;&gt;"-",ISERROR(--LEFT(A202,4)),ISERROR(--RIGHT(A202,2))),"ERROR: PERIODO debe ser AAAA-MM",IF(B202="","ERROR: falta CODIGO CECO",IF(G202="CECO NO EXISTE","ERROR: CECO no existe en el catálogo",IF(C202="","ERROR: falta CUENTA",IF(ISERROR(--C202),"ERROR: CUENTA debe tener solo dígitos",IF(ISERROR(FIND(LEFT(C202,1),"567")),"ERROR: CUENTA fuera de las clases de costo",IF(NOT(ISNUMBER(E202)),"ERROR: VALOR debe ser numérico",IF(E202=0,"AVISO: valor cero (no se carga)",IF(J202&lt;&gt;"ACTIVO","NO SE CARGA: CECO en estado "&amp;J202,"OK"))))))))))</f>
        <v/>
      </c>
    </row>
    <row r="203">
      <c r="A203" s="5" t="n"/>
      <c r="B203" s="6" t="n"/>
      <c r="C203" s="5" t="n"/>
      <c r="D203" s="6" t="n"/>
      <c r="E203" s="7" t="n"/>
      <c r="F203" s="6" t="n"/>
      <c r="G203" s="8">
        <f>IF(B203="","",IFERROR(VLOOKUP(--B203,'CATALOGO CECO'!$A$2:$H$550,2,FALSE),"CECO NO EXISTE"))</f>
        <v/>
      </c>
      <c r="H203" s="8">
        <f>IF(B203="","",IFERROR(VLOOKUP(--B203,'CATALOGO CECO'!$A$2:$H$550,3,FALSE),""))</f>
        <v/>
      </c>
      <c r="I203" s="8">
        <f>IF(B203="","",IFERROR(VLOOKUP(--B203,'CATALOGO CECO'!$A$2:$H$550,5,FALSE),""))</f>
        <v/>
      </c>
      <c r="J203" s="8">
        <f>IF(B203="","",IFERROR(VLOOKUP(--B203,'CATALOGO CECO'!$A$2:$H$550,8,FALSE),""))</f>
        <v/>
      </c>
      <c r="K203" s="8">
        <f>IF(COUNTA(A203:F203)=0,"",IF(OR(LEN(A203)&lt;&gt;7,MID(A203,5,1)&lt;&gt;"-",ISERROR(--LEFT(A203,4)),ISERROR(--RIGHT(A203,2))),"ERROR: PERIODO debe ser AAAA-MM",IF(B203="","ERROR: falta CODIGO CECO",IF(G203="CECO NO EXISTE","ERROR: CECO no existe en el catálogo",IF(C203="","ERROR: falta CUENTA",IF(ISERROR(--C203),"ERROR: CUENTA debe tener solo dígitos",IF(ISERROR(FIND(LEFT(C203,1),"567")),"ERROR: CUENTA fuera de las clases de costo",IF(NOT(ISNUMBER(E203)),"ERROR: VALOR debe ser numérico",IF(E203=0,"AVISO: valor cero (no se carga)",IF(J203&lt;&gt;"ACTIVO","NO SE CARGA: CECO en estado "&amp;J203,"OK"))))))))))</f>
        <v/>
      </c>
    </row>
    <row r="204">
      <c r="A204" s="5" t="n"/>
      <c r="B204" s="6" t="n"/>
      <c r="C204" s="5" t="n"/>
      <c r="D204" s="6" t="n"/>
      <c r="E204" s="7" t="n"/>
      <c r="F204" s="6" t="n"/>
      <c r="G204" s="8">
        <f>IF(B204="","",IFERROR(VLOOKUP(--B204,'CATALOGO CECO'!$A$2:$H$550,2,FALSE),"CECO NO EXISTE"))</f>
        <v/>
      </c>
      <c r="H204" s="8">
        <f>IF(B204="","",IFERROR(VLOOKUP(--B204,'CATALOGO CECO'!$A$2:$H$550,3,FALSE),""))</f>
        <v/>
      </c>
      <c r="I204" s="8">
        <f>IF(B204="","",IFERROR(VLOOKUP(--B204,'CATALOGO CECO'!$A$2:$H$550,5,FALSE),""))</f>
        <v/>
      </c>
      <c r="J204" s="8">
        <f>IF(B204="","",IFERROR(VLOOKUP(--B204,'CATALOGO CECO'!$A$2:$H$550,8,FALSE),""))</f>
        <v/>
      </c>
      <c r="K204" s="8">
        <f>IF(COUNTA(A204:F204)=0,"",IF(OR(LEN(A204)&lt;&gt;7,MID(A204,5,1)&lt;&gt;"-",ISERROR(--LEFT(A204,4)),ISERROR(--RIGHT(A204,2))),"ERROR: PERIODO debe ser AAAA-MM",IF(B204="","ERROR: falta CODIGO CECO",IF(G204="CECO NO EXISTE","ERROR: CECO no existe en el catálogo",IF(C204="","ERROR: falta CUENTA",IF(ISERROR(--C204),"ERROR: CUENTA debe tener solo dígitos",IF(ISERROR(FIND(LEFT(C204,1),"567")),"ERROR: CUENTA fuera de las clases de costo",IF(NOT(ISNUMBER(E204)),"ERROR: VALOR debe ser numérico",IF(E204=0,"AVISO: valor cero (no se carga)",IF(J204&lt;&gt;"ACTIVO","NO SE CARGA: CECO en estado "&amp;J204,"OK"))))))))))</f>
        <v/>
      </c>
    </row>
    <row r="205">
      <c r="A205" s="5" t="n"/>
      <c r="B205" s="6" t="n"/>
      <c r="C205" s="5" t="n"/>
      <c r="D205" s="6" t="n"/>
      <c r="E205" s="7" t="n"/>
      <c r="F205" s="6" t="n"/>
      <c r="G205" s="8">
        <f>IF(B205="","",IFERROR(VLOOKUP(--B205,'CATALOGO CECO'!$A$2:$H$550,2,FALSE),"CECO NO EXISTE"))</f>
        <v/>
      </c>
      <c r="H205" s="8">
        <f>IF(B205="","",IFERROR(VLOOKUP(--B205,'CATALOGO CECO'!$A$2:$H$550,3,FALSE),""))</f>
        <v/>
      </c>
      <c r="I205" s="8">
        <f>IF(B205="","",IFERROR(VLOOKUP(--B205,'CATALOGO CECO'!$A$2:$H$550,5,FALSE),""))</f>
        <v/>
      </c>
      <c r="J205" s="8">
        <f>IF(B205="","",IFERROR(VLOOKUP(--B205,'CATALOGO CECO'!$A$2:$H$550,8,FALSE),""))</f>
        <v/>
      </c>
      <c r="K205" s="8">
        <f>IF(COUNTA(A205:F205)=0,"",IF(OR(LEN(A205)&lt;&gt;7,MID(A205,5,1)&lt;&gt;"-",ISERROR(--LEFT(A205,4)),ISERROR(--RIGHT(A205,2))),"ERROR: PERIODO debe ser AAAA-MM",IF(B205="","ERROR: falta CODIGO CECO",IF(G205="CECO NO EXISTE","ERROR: CECO no existe en el catálogo",IF(C205="","ERROR: falta CUENTA",IF(ISERROR(--C205),"ERROR: CUENTA debe tener solo dígitos",IF(ISERROR(FIND(LEFT(C205,1),"567")),"ERROR: CUENTA fuera de las clases de costo",IF(NOT(ISNUMBER(E205)),"ERROR: VALOR debe ser numérico",IF(E205=0,"AVISO: valor cero (no se carga)",IF(J205&lt;&gt;"ACTIVO","NO SE CARGA: CECO en estado "&amp;J205,"OK"))))))))))</f>
        <v/>
      </c>
    </row>
    <row r="206">
      <c r="A206" s="5" t="n"/>
      <c r="B206" s="6" t="n"/>
      <c r="C206" s="5" t="n"/>
      <c r="D206" s="6" t="n"/>
      <c r="E206" s="7" t="n"/>
      <c r="F206" s="6" t="n"/>
      <c r="G206" s="8">
        <f>IF(B206="","",IFERROR(VLOOKUP(--B206,'CATALOGO CECO'!$A$2:$H$550,2,FALSE),"CECO NO EXISTE"))</f>
        <v/>
      </c>
      <c r="H206" s="8">
        <f>IF(B206="","",IFERROR(VLOOKUP(--B206,'CATALOGO CECO'!$A$2:$H$550,3,FALSE),""))</f>
        <v/>
      </c>
      <c r="I206" s="8">
        <f>IF(B206="","",IFERROR(VLOOKUP(--B206,'CATALOGO CECO'!$A$2:$H$550,5,FALSE),""))</f>
        <v/>
      </c>
      <c r="J206" s="8">
        <f>IF(B206="","",IFERROR(VLOOKUP(--B206,'CATALOGO CECO'!$A$2:$H$550,8,FALSE),""))</f>
        <v/>
      </c>
      <c r="K206" s="8">
        <f>IF(COUNTA(A206:F206)=0,"",IF(OR(LEN(A206)&lt;&gt;7,MID(A206,5,1)&lt;&gt;"-",ISERROR(--LEFT(A206,4)),ISERROR(--RIGHT(A206,2))),"ERROR: PERIODO debe ser AAAA-MM",IF(B206="","ERROR: falta CODIGO CECO",IF(G206="CECO NO EXISTE","ERROR: CECO no existe en el catálogo",IF(C206="","ERROR: falta CUENTA",IF(ISERROR(--C206),"ERROR: CUENTA debe tener solo dígitos",IF(ISERROR(FIND(LEFT(C206,1),"567")),"ERROR: CUENTA fuera de las clases de costo",IF(NOT(ISNUMBER(E206)),"ERROR: VALOR debe ser numérico",IF(E206=0,"AVISO: valor cero (no se carga)",IF(J206&lt;&gt;"ACTIVO","NO SE CARGA: CECO en estado "&amp;J206,"OK"))))))))))</f>
        <v/>
      </c>
    </row>
    <row r="207">
      <c r="A207" s="5" t="n"/>
      <c r="B207" s="6" t="n"/>
      <c r="C207" s="5" t="n"/>
      <c r="D207" s="6" t="n"/>
      <c r="E207" s="7" t="n"/>
      <c r="F207" s="6" t="n"/>
      <c r="G207" s="8">
        <f>IF(B207="","",IFERROR(VLOOKUP(--B207,'CATALOGO CECO'!$A$2:$H$550,2,FALSE),"CECO NO EXISTE"))</f>
        <v/>
      </c>
      <c r="H207" s="8">
        <f>IF(B207="","",IFERROR(VLOOKUP(--B207,'CATALOGO CECO'!$A$2:$H$550,3,FALSE),""))</f>
        <v/>
      </c>
      <c r="I207" s="8">
        <f>IF(B207="","",IFERROR(VLOOKUP(--B207,'CATALOGO CECO'!$A$2:$H$550,5,FALSE),""))</f>
        <v/>
      </c>
      <c r="J207" s="8">
        <f>IF(B207="","",IFERROR(VLOOKUP(--B207,'CATALOGO CECO'!$A$2:$H$550,8,FALSE),""))</f>
        <v/>
      </c>
      <c r="K207" s="8">
        <f>IF(COUNTA(A207:F207)=0,"",IF(OR(LEN(A207)&lt;&gt;7,MID(A207,5,1)&lt;&gt;"-",ISERROR(--LEFT(A207,4)),ISERROR(--RIGHT(A207,2))),"ERROR: PERIODO debe ser AAAA-MM",IF(B207="","ERROR: falta CODIGO CECO",IF(G207="CECO NO EXISTE","ERROR: CECO no existe en el catálogo",IF(C207="","ERROR: falta CUENTA",IF(ISERROR(--C207),"ERROR: CUENTA debe tener solo dígitos",IF(ISERROR(FIND(LEFT(C207,1),"567")),"ERROR: CUENTA fuera de las clases de costo",IF(NOT(ISNUMBER(E207)),"ERROR: VALOR debe ser numérico",IF(E207=0,"AVISO: valor cero (no se carga)",IF(J207&lt;&gt;"ACTIVO","NO SE CARGA: CECO en estado "&amp;J207,"OK"))))))))))</f>
        <v/>
      </c>
    </row>
    <row r="208">
      <c r="A208" s="5" t="n"/>
      <c r="B208" s="6" t="n"/>
      <c r="C208" s="5" t="n"/>
      <c r="D208" s="6" t="n"/>
      <c r="E208" s="7" t="n"/>
      <c r="F208" s="6" t="n"/>
      <c r="G208" s="8">
        <f>IF(B208="","",IFERROR(VLOOKUP(--B208,'CATALOGO CECO'!$A$2:$H$550,2,FALSE),"CECO NO EXISTE"))</f>
        <v/>
      </c>
      <c r="H208" s="8">
        <f>IF(B208="","",IFERROR(VLOOKUP(--B208,'CATALOGO CECO'!$A$2:$H$550,3,FALSE),""))</f>
        <v/>
      </c>
      <c r="I208" s="8">
        <f>IF(B208="","",IFERROR(VLOOKUP(--B208,'CATALOGO CECO'!$A$2:$H$550,5,FALSE),""))</f>
        <v/>
      </c>
      <c r="J208" s="8">
        <f>IF(B208="","",IFERROR(VLOOKUP(--B208,'CATALOGO CECO'!$A$2:$H$550,8,FALSE),""))</f>
        <v/>
      </c>
      <c r="K208" s="8">
        <f>IF(COUNTA(A208:F208)=0,"",IF(OR(LEN(A208)&lt;&gt;7,MID(A208,5,1)&lt;&gt;"-",ISERROR(--LEFT(A208,4)),ISERROR(--RIGHT(A208,2))),"ERROR: PERIODO debe ser AAAA-MM",IF(B208="","ERROR: falta CODIGO CECO",IF(G208="CECO NO EXISTE","ERROR: CECO no existe en el catálogo",IF(C208="","ERROR: falta CUENTA",IF(ISERROR(--C208),"ERROR: CUENTA debe tener solo dígitos",IF(ISERROR(FIND(LEFT(C208,1),"567")),"ERROR: CUENTA fuera de las clases de costo",IF(NOT(ISNUMBER(E208)),"ERROR: VALOR debe ser numérico",IF(E208=0,"AVISO: valor cero (no se carga)",IF(J208&lt;&gt;"ACTIVO","NO SE CARGA: CECO en estado "&amp;J208,"OK"))))))))))</f>
        <v/>
      </c>
    </row>
    <row r="209">
      <c r="A209" s="5" t="n"/>
      <c r="B209" s="6" t="n"/>
      <c r="C209" s="5" t="n"/>
      <c r="D209" s="6" t="n"/>
      <c r="E209" s="7" t="n"/>
      <c r="F209" s="6" t="n"/>
      <c r="G209" s="8">
        <f>IF(B209="","",IFERROR(VLOOKUP(--B209,'CATALOGO CECO'!$A$2:$H$550,2,FALSE),"CECO NO EXISTE"))</f>
        <v/>
      </c>
      <c r="H209" s="8">
        <f>IF(B209="","",IFERROR(VLOOKUP(--B209,'CATALOGO CECO'!$A$2:$H$550,3,FALSE),""))</f>
        <v/>
      </c>
      <c r="I209" s="8">
        <f>IF(B209="","",IFERROR(VLOOKUP(--B209,'CATALOGO CECO'!$A$2:$H$550,5,FALSE),""))</f>
        <v/>
      </c>
      <c r="J209" s="8">
        <f>IF(B209="","",IFERROR(VLOOKUP(--B209,'CATALOGO CECO'!$A$2:$H$550,8,FALSE),""))</f>
        <v/>
      </c>
      <c r="K209" s="8">
        <f>IF(COUNTA(A209:F209)=0,"",IF(OR(LEN(A209)&lt;&gt;7,MID(A209,5,1)&lt;&gt;"-",ISERROR(--LEFT(A209,4)),ISERROR(--RIGHT(A209,2))),"ERROR: PERIODO debe ser AAAA-MM",IF(B209="","ERROR: falta CODIGO CECO",IF(G209="CECO NO EXISTE","ERROR: CECO no existe en el catálogo",IF(C209="","ERROR: falta CUENTA",IF(ISERROR(--C209),"ERROR: CUENTA debe tener solo dígitos",IF(ISERROR(FIND(LEFT(C209,1),"567")),"ERROR: CUENTA fuera de las clases de costo",IF(NOT(ISNUMBER(E209)),"ERROR: VALOR debe ser numérico",IF(E209=0,"AVISO: valor cero (no se carga)",IF(J209&lt;&gt;"ACTIVO","NO SE CARGA: CECO en estado "&amp;J209,"OK"))))))))))</f>
        <v/>
      </c>
    </row>
    <row r="210">
      <c r="A210" s="5" t="n"/>
      <c r="B210" s="6" t="n"/>
      <c r="C210" s="5" t="n"/>
      <c r="D210" s="6" t="n"/>
      <c r="E210" s="7" t="n"/>
      <c r="F210" s="6" t="n"/>
      <c r="G210" s="8">
        <f>IF(B210="","",IFERROR(VLOOKUP(--B210,'CATALOGO CECO'!$A$2:$H$550,2,FALSE),"CECO NO EXISTE"))</f>
        <v/>
      </c>
      <c r="H210" s="8">
        <f>IF(B210="","",IFERROR(VLOOKUP(--B210,'CATALOGO CECO'!$A$2:$H$550,3,FALSE),""))</f>
        <v/>
      </c>
      <c r="I210" s="8">
        <f>IF(B210="","",IFERROR(VLOOKUP(--B210,'CATALOGO CECO'!$A$2:$H$550,5,FALSE),""))</f>
        <v/>
      </c>
      <c r="J210" s="8">
        <f>IF(B210="","",IFERROR(VLOOKUP(--B210,'CATALOGO CECO'!$A$2:$H$550,8,FALSE),""))</f>
        <v/>
      </c>
      <c r="K210" s="8">
        <f>IF(COUNTA(A210:F210)=0,"",IF(OR(LEN(A210)&lt;&gt;7,MID(A210,5,1)&lt;&gt;"-",ISERROR(--LEFT(A210,4)),ISERROR(--RIGHT(A210,2))),"ERROR: PERIODO debe ser AAAA-MM",IF(B210="","ERROR: falta CODIGO CECO",IF(G210="CECO NO EXISTE","ERROR: CECO no existe en el catálogo",IF(C210="","ERROR: falta CUENTA",IF(ISERROR(--C210),"ERROR: CUENTA debe tener solo dígitos",IF(ISERROR(FIND(LEFT(C210,1),"567")),"ERROR: CUENTA fuera de las clases de costo",IF(NOT(ISNUMBER(E210)),"ERROR: VALOR debe ser numérico",IF(E210=0,"AVISO: valor cero (no se carga)",IF(J210&lt;&gt;"ACTIVO","NO SE CARGA: CECO en estado "&amp;J210,"OK"))))))))))</f>
        <v/>
      </c>
    </row>
    <row r="211">
      <c r="A211" s="5" t="n"/>
      <c r="B211" s="6" t="n"/>
      <c r="C211" s="5" t="n"/>
      <c r="D211" s="6" t="n"/>
      <c r="E211" s="7" t="n"/>
      <c r="F211" s="6" t="n"/>
      <c r="G211" s="8">
        <f>IF(B211="","",IFERROR(VLOOKUP(--B211,'CATALOGO CECO'!$A$2:$H$550,2,FALSE),"CECO NO EXISTE"))</f>
        <v/>
      </c>
      <c r="H211" s="8">
        <f>IF(B211="","",IFERROR(VLOOKUP(--B211,'CATALOGO CECO'!$A$2:$H$550,3,FALSE),""))</f>
        <v/>
      </c>
      <c r="I211" s="8">
        <f>IF(B211="","",IFERROR(VLOOKUP(--B211,'CATALOGO CECO'!$A$2:$H$550,5,FALSE),""))</f>
        <v/>
      </c>
      <c r="J211" s="8">
        <f>IF(B211="","",IFERROR(VLOOKUP(--B211,'CATALOGO CECO'!$A$2:$H$550,8,FALSE),""))</f>
        <v/>
      </c>
      <c r="K211" s="8">
        <f>IF(COUNTA(A211:F211)=0,"",IF(OR(LEN(A211)&lt;&gt;7,MID(A211,5,1)&lt;&gt;"-",ISERROR(--LEFT(A211,4)),ISERROR(--RIGHT(A211,2))),"ERROR: PERIODO debe ser AAAA-MM",IF(B211="","ERROR: falta CODIGO CECO",IF(G211="CECO NO EXISTE","ERROR: CECO no existe en el catálogo",IF(C211="","ERROR: falta CUENTA",IF(ISERROR(--C211),"ERROR: CUENTA debe tener solo dígitos",IF(ISERROR(FIND(LEFT(C211,1),"567")),"ERROR: CUENTA fuera de las clases de costo",IF(NOT(ISNUMBER(E211)),"ERROR: VALOR debe ser numérico",IF(E211=0,"AVISO: valor cero (no se carga)",IF(J211&lt;&gt;"ACTIVO","NO SE CARGA: CECO en estado "&amp;J211,"OK"))))))))))</f>
        <v/>
      </c>
    </row>
    <row r="212">
      <c r="A212" s="5" t="n"/>
      <c r="B212" s="6" t="n"/>
      <c r="C212" s="5" t="n"/>
      <c r="D212" s="6" t="n"/>
      <c r="E212" s="7" t="n"/>
      <c r="F212" s="6" t="n"/>
      <c r="G212" s="8">
        <f>IF(B212="","",IFERROR(VLOOKUP(--B212,'CATALOGO CECO'!$A$2:$H$550,2,FALSE),"CECO NO EXISTE"))</f>
        <v/>
      </c>
      <c r="H212" s="8">
        <f>IF(B212="","",IFERROR(VLOOKUP(--B212,'CATALOGO CECO'!$A$2:$H$550,3,FALSE),""))</f>
        <v/>
      </c>
      <c r="I212" s="8">
        <f>IF(B212="","",IFERROR(VLOOKUP(--B212,'CATALOGO CECO'!$A$2:$H$550,5,FALSE),""))</f>
        <v/>
      </c>
      <c r="J212" s="8">
        <f>IF(B212="","",IFERROR(VLOOKUP(--B212,'CATALOGO CECO'!$A$2:$H$550,8,FALSE),""))</f>
        <v/>
      </c>
      <c r="K212" s="8">
        <f>IF(COUNTA(A212:F212)=0,"",IF(OR(LEN(A212)&lt;&gt;7,MID(A212,5,1)&lt;&gt;"-",ISERROR(--LEFT(A212,4)),ISERROR(--RIGHT(A212,2))),"ERROR: PERIODO debe ser AAAA-MM",IF(B212="","ERROR: falta CODIGO CECO",IF(G212="CECO NO EXISTE","ERROR: CECO no existe en el catálogo",IF(C212="","ERROR: falta CUENTA",IF(ISERROR(--C212),"ERROR: CUENTA debe tener solo dígitos",IF(ISERROR(FIND(LEFT(C212,1),"567")),"ERROR: CUENTA fuera de las clases de costo",IF(NOT(ISNUMBER(E212)),"ERROR: VALOR debe ser numérico",IF(E212=0,"AVISO: valor cero (no se carga)",IF(J212&lt;&gt;"ACTIVO","NO SE CARGA: CECO en estado "&amp;J212,"OK"))))))))))</f>
        <v/>
      </c>
    </row>
    <row r="213">
      <c r="A213" s="5" t="n"/>
      <c r="B213" s="6" t="n"/>
      <c r="C213" s="5" t="n"/>
      <c r="D213" s="6" t="n"/>
      <c r="E213" s="7" t="n"/>
      <c r="F213" s="6" t="n"/>
      <c r="G213" s="8">
        <f>IF(B213="","",IFERROR(VLOOKUP(--B213,'CATALOGO CECO'!$A$2:$H$550,2,FALSE),"CECO NO EXISTE"))</f>
        <v/>
      </c>
      <c r="H213" s="8">
        <f>IF(B213="","",IFERROR(VLOOKUP(--B213,'CATALOGO CECO'!$A$2:$H$550,3,FALSE),""))</f>
        <v/>
      </c>
      <c r="I213" s="8">
        <f>IF(B213="","",IFERROR(VLOOKUP(--B213,'CATALOGO CECO'!$A$2:$H$550,5,FALSE),""))</f>
        <v/>
      </c>
      <c r="J213" s="8">
        <f>IF(B213="","",IFERROR(VLOOKUP(--B213,'CATALOGO CECO'!$A$2:$H$550,8,FALSE),""))</f>
        <v/>
      </c>
      <c r="K213" s="8">
        <f>IF(COUNTA(A213:F213)=0,"",IF(OR(LEN(A213)&lt;&gt;7,MID(A213,5,1)&lt;&gt;"-",ISERROR(--LEFT(A213,4)),ISERROR(--RIGHT(A213,2))),"ERROR: PERIODO debe ser AAAA-MM",IF(B213="","ERROR: falta CODIGO CECO",IF(G213="CECO NO EXISTE","ERROR: CECO no existe en el catálogo",IF(C213="","ERROR: falta CUENTA",IF(ISERROR(--C213),"ERROR: CUENTA debe tener solo dígitos",IF(ISERROR(FIND(LEFT(C213,1),"567")),"ERROR: CUENTA fuera de las clases de costo",IF(NOT(ISNUMBER(E213)),"ERROR: VALOR debe ser numérico",IF(E213=0,"AVISO: valor cero (no se carga)",IF(J213&lt;&gt;"ACTIVO","NO SE CARGA: CECO en estado "&amp;J213,"OK"))))))))))</f>
        <v/>
      </c>
    </row>
    <row r="214">
      <c r="A214" s="5" t="n"/>
      <c r="B214" s="6" t="n"/>
      <c r="C214" s="5" t="n"/>
      <c r="D214" s="6" t="n"/>
      <c r="E214" s="7" t="n"/>
      <c r="F214" s="6" t="n"/>
      <c r="G214" s="8">
        <f>IF(B214="","",IFERROR(VLOOKUP(--B214,'CATALOGO CECO'!$A$2:$H$550,2,FALSE),"CECO NO EXISTE"))</f>
        <v/>
      </c>
      <c r="H214" s="8">
        <f>IF(B214="","",IFERROR(VLOOKUP(--B214,'CATALOGO CECO'!$A$2:$H$550,3,FALSE),""))</f>
        <v/>
      </c>
      <c r="I214" s="8">
        <f>IF(B214="","",IFERROR(VLOOKUP(--B214,'CATALOGO CECO'!$A$2:$H$550,5,FALSE),""))</f>
        <v/>
      </c>
      <c r="J214" s="8">
        <f>IF(B214="","",IFERROR(VLOOKUP(--B214,'CATALOGO CECO'!$A$2:$H$550,8,FALSE),""))</f>
        <v/>
      </c>
      <c r="K214" s="8">
        <f>IF(COUNTA(A214:F214)=0,"",IF(OR(LEN(A214)&lt;&gt;7,MID(A214,5,1)&lt;&gt;"-",ISERROR(--LEFT(A214,4)),ISERROR(--RIGHT(A214,2))),"ERROR: PERIODO debe ser AAAA-MM",IF(B214="","ERROR: falta CODIGO CECO",IF(G214="CECO NO EXISTE","ERROR: CECO no existe en el catálogo",IF(C214="","ERROR: falta CUENTA",IF(ISERROR(--C214),"ERROR: CUENTA debe tener solo dígitos",IF(ISERROR(FIND(LEFT(C214,1),"567")),"ERROR: CUENTA fuera de las clases de costo",IF(NOT(ISNUMBER(E214)),"ERROR: VALOR debe ser numérico",IF(E214=0,"AVISO: valor cero (no se carga)",IF(J214&lt;&gt;"ACTIVO","NO SE CARGA: CECO en estado "&amp;J214,"OK"))))))))))</f>
        <v/>
      </c>
    </row>
    <row r="215">
      <c r="A215" s="5" t="n"/>
      <c r="B215" s="6" t="n"/>
      <c r="C215" s="5" t="n"/>
      <c r="D215" s="6" t="n"/>
      <c r="E215" s="7" t="n"/>
      <c r="F215" s="6" t="n"/>
      <c r="G215" s="8">
        <f>IF(B215="","",IFERROR(VLOOKUP(--B215,'CATALOGO CECO'!$A$2:$H$550,2,FALSE),"CECO NO EXISTE"))</f>
        <v/>
      </c>
      <c r="H215" s="8">
        <f>IF(B215="","",IFERROR(VLOOKUP(--B215,'CATALOGO CECO'!$A$2:$H$550,3,FALSE),""))</f>
        <v/>
      </c>
      <c r="I215" s="8">
        <f>IF(B215="","",IFERROR(VLOOKUP(--B215,'CATALOGO CECO'!$A$2:$H$550,5,FALSE),""))</f>
        <v/>
      </c>
      <c r="J215" s="8">
        <f>IF(B215="","",IFERROR(VLOOKUP(--B215,'CATALOGO CECO'!$A$2:$H$550,8,FALSE),""))</f>
        <v/>
      </c>
      <c r="K215" s="8">
        <f>IF(COUNTA(A215:F215)=0,"",IF(OR(LEN(A215)&lt;&gt;7,MID(A215,5,1)&lt;&gt;"-",ISERROR(--LEFT(A215,4)),ISERROR(--RIGHT(A215,2))),"ERROR: PERIODO debe ser AAAA-MM",IF(B215="","ERROR: falta CODIGO CECO",IF(G215="CECO NO EXISTE","ERROR: CECO no existe en el catálogo",IF(C215="","ERROR: falta CUENTA",IF(ISERROR(--C215),"ERROR: CUENTA debe tener solo dígitos",IF(ISERROR(FIND(LEFT(C215,1),"567")),"ERROR: CUENTA fuera de las clases de costo",IF(NOT(ISNUMBER(E215)),"ERROR: VALOR debe ser numérico",IF(E215=0,"AVISO: valor cero (no se carga)",IF(J215&lt;&gt;"ACTIVO","NO SE CARGA: CECO en estado "&amp;J215,"OK"))))))))))</f>
        <v/>
      </c>
    </row>
    <row r="216">
      <c r="A216" s="5" t="n"/>
      <c r="B216" s="6" t="n"/>
      <c r="C216" s="5" t="n"/>
      <c r="D216" s="6" t="n"/>
      <c r="E216" s="7" t="n"/>
      <c r="F216" s="6" t="n"/>
      <c r="G216" s="8">
        <f>IF(B216="","",IFERROR(VLOOKUP(--B216,'CATALOGO CECO'!$A$2:$H$550,2,FALSE),"CECO NO EXISTE"))</f>
        <v/>
      </c>
      <c r="H216" s="8">
        <f>IF(B216="","",IFERROR(VLOOKUP(--B216,'CATALOGO CECO'!$A$2:$H$550,3,FALSE),""))</f>
        <v/>
      </c>
      <c r="I216" s="8">
        <f>IF(B216="","",IFERROR(VLOOKUP(--B216,'CATALOGO CECO'!$A$2:$H$550,5,FALSE),""))</f>
        <v/>
      </c>
      <c r="J216" s="8">
        <f>IF(B216="","",IFERROR(VLOOKUP(--B216,'CATALOGO CECO'!$A$2:$H$550,8,FALSE),""))</f>
        <v/>
      </c>
      <c r="K216" s="8">
        <f>IF(COUNTA(A216:F216)=0,"",IF(OR(LEN(A216)&lt;&gt;7,MID(A216,5,1)&lt;&gt;"-",ISERROR(--LEFT(A216,4)),ISERROR(--RIGHT(A216,2))),"ERROR: PERIODO debe ser AAAA-MM",IF(B216="","ERROR: falta CODIGO CECO",IF(G216="CECO NO EXISTE","ERROR: CECO no existe en el catálogo",IF(C216="","ERROR: falta CUENTA",IF(ISERROR(--C216),"ERROR: CUENTA debe tener solo dígitos",IF(ISERROR(FIND(LEFT(C216,1),"567")),"ERROR: CUENTA fuera de las clases de costo",IF(NOT(ISNUMBER(E216)),"ERROR: VALOR debe ser numérico",IF(E216=0,"AVISO: valor cero (no se carga)",IF(J216&lt;&gt;"ACTIVO","NO SE CARGA: CECO en estado "&amp;J216,"OK"))))))))))</f>
        <v/>
      </c>
    </row>
    <row r="217">
      <c r="A217" s="5" t="n"/>
      <c r="B217" s="6" t="n"/>
      <c r="C217" s="5" t="n"/>
      <c r="D217" s="6" t="n"/>
      <c r="E217" s="7" t="n"/>
      <c r="F217" s="6" t="n"/>
      <c r="G217" s="8">
        <f>IF(B217="","",IFERROR(VLOOKUP(--B217,'CATALOGO CECO'!$A$2:$H$550,2,FALSE),"CECO NO EXISTE"))</f>
        <v/>
      </c>
      <c r="H217" s="8">
        <f>IF(B217="","",IFERROR(VLOOKUP(--B217,'CATALOGO CECO'!$A$2:$H$550,3,FALSE),""))</f>
        <v/>
      </c>
      <c r="I217" s="8">
        <f>IF(B217="","",IFERROR(VLOOKUP(--B217,'CATALOGO CECO'!$A$2:$H$550,5,FALSE),""))</f>
        <v/>
      </c>
      <c r="J217" s="8">
        <f>IF(B217="","",IFERROR(VLOOKUP(--B217,'CATALOGO CECO'!$A$2:$H$550,8,FALSE),""))</f>
        <v/>
      </c>
      <c r="K217" s="8">
        <f>IF(COUNTA(A217:F217)=0,"",IF(OR(LEN(A217)&lt;&gt;7,MID(A217,5,1)&lt;&gt;"-",ISERROR(--LEFT(A217,4)),ISERROR(--RIGHT(A217,2))),"ERROR: PERIODO debe ser AAAA-MM",IF(B217="","ERROR: falta CODIGO CECO",IF(G217="CECO NO EXISTE","ERROR: CECO no existe en el catálogo",IF(C217="","ERROR: falta CUENTA",IF(ISERROR(--C217),"ERROR: CUENTA debe tener solo dígitos",IF(ISERROR(FIND(LEFT(C217,1),"567")),"ERROR: CUENTA fuera de las clases de costo",IF(NOT(ISNUMBER(E217)),"ERROR: VALOR debe ser numérico",IF(E217=0,"AVISO: valor cero (no se carga)",IF(J217&lt;&gt;"ACTIVO","NO SE CARGA: CECO en estado "&amp;J217,"OK"))))))))))</f>
        <v/>
      </c>
    </row>
    <row r="218">
      <c r="A218" s="5" t="n"/>
      <c r="B218" s="6" t="n"/>
      <c r="C218" s="5" t="n"/>
      <c r="D218" s="6" t="n"/>
      <c r="E218" s="7" t="n"/>
      <c r="F218" s="6" t="n"/>
      <c r="G218" s="8">
        <f>IF(B218="","",IFERROR(VLOOKUP(--B218,'CATALOGO CECO'!$A$2:$H$550,2,FALSE),"CECO NO EXISTE"))</f>
        <v/>
      </c>
      <c r="H218" s="8">
        <f>IF(B218="","",IFERROR(VLOOKUP(--B218,'CATALOGO CECO'!$A$2:$H$550,3,FALSE),""))</f>
        <v/>
      </c>
      <c r="I218" s="8">
        <f>IF(B218="","",IFERROR(VLOOKUP(--B218,'CATALOGO CECO'!$A$2:$H$550,5,FALSE),""))</f>
        <v/>
      </c>
      <c r="J218" s="8">
        <f>IF(B218="","",IFERROR(VLOOKUP(--B218,'CATALOGO CECO'!$A$2:$H$550,8,FALSE),""))</f>
        <v/>
      </c>
      <c r="K218" s="8">
        <f>IF(COUNTA(A218:F218)=0,"",IF(OR(LEN(A218)&lt;&gt;7,MID(A218,5,1)&lt;&gt;"-",ISERROR(--LEFT(A218,4)),ISERROR(--RIGHT(A218,2))),"ERROR: PERIODO debe ser AAAA-MM",IF(B218="","ERROR: falta CODIGO CECO",IF(G218="CECO NO EXISTE","ERROR: CECO no existe en el catálogo",IF(C218="","ERROR: falta CUENTA",IF(ISERROR(--C218),"ERROR: CUENTA debe tener solo dígitos",IF(ISERROR(FIND(LEFT(C218,1),"567")),"ERROR: CUENTA fuera de las clases de costo",IF(NOT(ISNUMBER(E218)),"ERROR: VALOR debe ser numérico",IF(E218=0,"AVISO: valor cero (no se carga)",IF(J218&lt;&gt;"ACTIVO","NO SE CARGA: CECO en estado "&amp;J218,"OK"))))))))))</f>
        <v/>
      </c>
    </row>
    <row r="219">
      <c r="A219" s="5" t="n"/>
      <c r="B219" s="6" t="n"/>
      <c r="C219" s="5" t="n"/>
      <c r="D219" s="6" t="n"/>
      <c r="E219" s="7" t="n"/>
      <c r="F219" s="6" t="n"/>
      <c r="G219" s="8">
        <f>IF(B219="","",IFERROR(VLOOKUP(--B219,'CATALOGO CECO'!$A$2:$H$550,2,FALSE),"CECO NO EXISTE"))</f>
        <v/>
      </c>
      <c r="H219" s="8">
        <f>IF(B219="","",IFERROR(VLOOKUP(--B219,'CATALOGO CECO'!$A$2:$H$550,3,FALSE),""))</f>
        <v/>
      </c>
      <c r="I219" s="8">
        <f>IF(B219="","",IFERROR(VLOOKUP(--B219,'CATALOGO CECO'!$A$2:$H$550,5,FALSE),""))</f>
        <v/>
      </c>
      <c r="J219" s="8">
        <f>IF(B219="","",IFERROR(VLOOKUP(--B219,'CATALOGO CECO'!$A$2:$H$550,8,FALSE),""))</f>
        <v/>
      </c>
      <c r="K219" s="8">
        <f>IF(COUNTA(A219:F219)=0,"",IF(OR(LEN(A219)&lt;&gt;7,MID(A219,5,1)&lt;&gt;"-",ISERROR(--LEFT(A219,4)),ISERROR(--RIGHT(A219,2))),"ERROR: PERIODO debe ser AAAA-MM",IF(B219="","ERROR: falta CODIGO CECO",IF(G219="CECO NO EXISTE","ERROR: CECO no existe en el catálogo",IF(C219="","ERROR: falta CUENTA",IF(ISERROR(--C219),"ERROR: CUENTA debe tener solo dígitos",IF(ISERROR(FIND(LEFT(C219,1),"567")),"ERROR: CUENTA fuera de las clases de costo",IF(NOT(ISNUMBER(E219)),"ERROR: VALOR debe ser numérico",IF(E219=0,"AVISO: valor cero (no se carga)",IF(J219&lt;&gt;"ACTIVO","NO SE CARGA: CECO en estado "&amp;J219,"OK"))))))))))</f>
        <v/>
      </c>
    </row>
    <row r="220">
      <c r="A220" s="5" t="n"/>
      <c r="B220" s="6" t="n"/>
      <c r="C220" s="5" t="n"/>
      <c r="D220" s="6" t="n"/>
      <c r="E220" s="7" t="n"/>
      <c r="F220" s="6" t="n"/>
      <c r="G220" s="8">
        <f>IF(B220="","",IFERROR(VLOOKUP(--B220,'CATALOGO CECO'!$A$2:$H$550,2,FALSE),"CECO NO EXISTE"))</f>
        <v/>
      </c>
      <c r="H220" s="8">
        <f>IF(B220="","",IFERROR(VLOOKUP(--B220,'CATALOGO CECO'!$A$2:$H$550,3,FALSE),""))</f>
        <v/>
      </c>
      <c r="I220" s="8">
        <f>IF(B220="","",IFERROR(VLOOKUP(--B220,'CATALOGO CECO'!$A$2:$H$550,5,FALSE),""))</f>
        <v/>
      </c>
      <c r="J220" s="8">
        <f>IF(B220="","",IFERROR(VLOOKUP(--B220,'CATALOGO CECO'!$A$2:$H$550,8,FALSE),""))</f>
        <v/>
      </c>
      <c r="K220" s="8">
        <f>IF(COUNTA(A220:F220)=0,"",IF(OR(LEN(A220)&lt;&gt;7,MID(A220,5,1)&lt;&gt;"-",ISERROR(--LEFT(A220,4)),ISERROR(--RIGHT(A220,2))),"ERROR: PERIODO debe ser AAAA-MM",IF(B220="","ERROR: falta CODIGO CECO",IF(G220="CECO NO EXISTE","ERROR: CECO no existe en el catálogo",IF(C220="","ERROR: falta CUENTA",IF(ISERROR(--C220),"ERROR: CUENTA debe tener solo dígitos",IF(ISERROR(FIND(LEFT(C220,1),"567")),"ERROR: CUENTA fuera de las clases de costo",IF(NOT(ISNUMBER(E220)),"ERROR: VALOR debe ser numérico",IF(E220=0,"AVISO: valor cero (no se carga)",IF(J220&lt;&gt;"ACTIVO","NO SE CARGA: CECO en estado "&amp;J220,"OK"))))))))))</f>
        <v/>
      </c>
    </row>
    <row r="221">
      <c r="A221" s="5" t="n"/>
      <c r="B221" s="6" t="n"/>
      <c r="C221" s="5" t="n"/>
      <c r="D221" s="6" t="n"/>
      <c r="E221" s="7" t="n"/>
      <c r="F221" s="6" t="n"/>
      <c r="G221" s="8">
        <f>IF(B221="","",IFERROR(VLOOKUP(--B221,'CATALOGO CECO'!$A$2:$H$550,2,FALSE),"CECO NO EXISTE"))</f>
        <v/>
      </c>
      <c r="H221" s="8">
        <f>IF(B221="","",IFERROR(VLOOKUP(--B221,'CATALOGO CECO'!$A$2:$H$550,3,FALSE),""))</f>
        <v/>
      </c>
      <c r="I221" s="8">
        <f>IF(B221="","",IFERROR(VLOOKUP(--B221,'CATALOGO CECO'!$A$2:$H$550,5,FALSE),""))</f>
        <v/>
      </c>
      <c r="J221" s="8">
        <f>IF(B221="","",IFERROR(VLOOKUP(--B221,'CATALOGO CECO'!$A$2:$H$550,8,FALSE),""))</f>
        <v/>
      </c>
      <c r="K221" s="8">
        <f>IF(COUNTA(A221:F221)=0,"",IF(OR(LEN(A221)&lt;&gt;7,MID(A221,5,1)&lt;&gt;"-",ISERROR(--LEFT(A221,4)),ISERROR(--RIGHT(A221,2))),"ERROR: PERIODO debe ser AAAA-MM",IF(B221="","ERROR: falta CODIGO CECO",IF(G221="CECO NO EXISTE","ERROR: CECO no existe en el catálogo",IF(C221="","ERROR: falta CUENTA",IF(ISERROR(--C221),"ERROR: CUENTA debe tener solo dígitos",IF(ISERROR(FIND(LEFT(C221,1),"567")),"ERROR: CUENTA fuera de las clases de costo",IF(NOT(ISNUMBER(E221)),"ERROR: VALOR debe ser numérico",IF(E221=0,"AVISO: valor cero (no se carga)",IF(J221&lt;&gt;"ACTIVO","NO SE CARGA: CECO en estado "&amp;J221,"OK"))))))))))</f>
        <v/>
      </c>
    </row>
    <row r="222">
      <c r="A222" s="5" t="n"/>
      <c r="B222" s="6" t="n"/>
      <c r="C222" s="5" t="n"/>
      <c r="D222" s="6" t="n"/>
      <c r="E222" s="7" t="n"/>
      <c r="F222" s="6" t="n"/>
      <c r="G222" s="8">
        <f>IF(B222="","",IFERROR(VLOOKUP(--B222,'CATALOGO CECO'!$A$2:$H$550,2,FALSE),"CECO NO EXISTE"))</f>
        <v/>
      </c>
      <c r="H222" s="8">
        <f>IF(B222="","",IFERROR(VLOOKUP(--B222,'CATALOGO CECO'!$A$2:$H$550,3,FALSE),""))</f>
        <v/>
      </c>
      <c r="I222" s="8">
        <f>IF(B222="","",IFERROR(VLOOKUP(--B222,'CATALOGO CECO'!$A$2:$H$550,5,FALSE),""))</f>
        <v/>
      </c>
      <c r="J222" s="8">
        <f>IF(B222="","",IFERROR(VLOOKUP(--B222,'CATALOGO CECO'!$A$2:$H$550,8,FALSE),""))</f>
        <v/>
      </c>
      <c r="K222" s="8">
        <f>IF(COUNTA(A222:F222)=0,"",IF(OR(LEN(A222)&lt;&gt;7,MID(A222,5,1)&lt;&gt;"-",ISERROR(--LEFT(A222,4)),ISERROR(--RIGHT(A222,2))),"ERROR: PERIODO debe ser AAAA-MM",IF(B222="","ERROR: falta CODIGO CECO",IF(G222="CECO NO EXISTE","ERROR: CECO no existe en el catálogo",IF(C222="","ERROR: falta CUENTA",IF(ISERROR(--C222),"ERROR: CUENTA debe tener solo dígitos",IF(ISERROR(FIND(LEFT(C222,1),"567")),"ERROR: CUENTA fuera de las clases de costo",IF(NOT(ISNUMBER(E222)),"ERROR: VALOR debe ser numérico",IF(E222=0,"AVISO: valor cero (no se carga)",IF(J222&lt;&gt;"ACTIVO","NO SE CARGA: CECO en estado "&amp;J222,"OK"))))))))))</f>
        <v/>
      </c>
    </row>
    <row r="223">
      <c r="A223" s="5" t="n"/>
      <c r="B223" s="6" t="n"/>
      <c r="C223" s="5" t="n"/>
      <c r="D223" s="6" t="n"/>
      <c r="E223" s="7" t="n"/>
      <c r="F223" s="6" t="n"/>
      <c r="G223" s="8">
        <f>IF(B223="","",IFERROR(VLOOKUP(--B223,'CATALOGO CECO'!$A$2:$H$550,2,FALSE),"CECO NO EXISTE"))</f>
        <v/>
      </c>
      <c r="H223" s="8">
        <f>IF(B223="","",IFERROR(VLOOKUP(--B223,'CATALOGO CECO'!$A$2:$H$550,3,FALSE),""))</f>
        <v/>
      </c>
      <c r="I223" s="8">
        <f>IF(B223="","",IFERROR(VLOOKUP(--B223,'CATALOGO CECO'!$A$2:$H$550,5,FALSE),""))</f>
        <v/>
      </c>
      <c r="J223" s="8">
        <f>IF(B223="","",IFERROR(VLOOKUP(--B223,'CATALOGO CECO'!$A$2:$H$550,8,FALSE),""))</f>
        <v/>
      </c>
      <c r="K223" s="8">
        <f>IF(COUNTA(A223:F223)=0,"",IF(OR(LEN(A223)&lt;&gt;7,MID(A223,5,1)&lt;&gt;"-",ISERROR(--LEFT(A223,4)),ISERROR(--RIGHT(A223,2))),"ERROR: PERIODO debe ser AAAA-MM",IF(B223="","ERROR: falta CODIGO CECO",IF(G223="CECO NO EXISTE","ERROR: CECO no existe en el catálogo",IF(C223="","ERROR: falta CUENTA",IF(ISERROR(--C223),"ERROR: CUENTA debe tener solo dígitos",IF(ISERROR(FIND(LEFT(C223,1),"567")),"ERROR: CUENTA fuera de las clases de costo",IF(NOT(ISNUMBER(E223)),"ERROR: VALOR debe ser numérico",IF(E223=0,"AVISO: valor cero (no se carga)",IF(J223&lt;&gt;"ACTIVO","NO SE CARGA: CECO en estado "&amp;J223,"OK"))))))))))</f>
        <v/>
      </c>
    </row>
    <row r="224">
      <c r="A224" s="5" t="n"/>
      <c r="B224" s="6" t="n"/>
      <c r="C224" s="5" t="n"/>
      <c r="D224" s="6" t="n"/>
      <c r="E224" s="7" t="n"/>
      <c r="F224" s="6" t="n"/>
      <c r="G224" s="8">
        <f>IF(B224="","",IFERROR(VLOOKUP(--B224,'CATALOGO CECO'!$A$2:$H$550,2,FALSE),"CECO NO EXISTE"))</f>
        <v/>
      </c>
      <c r="H224" s="8">
        <f>IF(B224="","",IFERROR(VLOOKUP(--B224,'CATALOGO CECO'!$A$2:$H$550,3,FALSE),""))</f>
        <v/>
      </c>
      <c r="I224" s="8">
        <f>IF(B224="","",IFERROR(VLOOKUP(--B224,'CATALOGO CECO'!$A$2:$H$550,5,FALSE),""))</f>
        <v/>
      </c>
      <c r="J224" s="8">
        <f>IF(B224="","",IFERROR(VLOOKUP(--B224,'CATALOGO CECO'!$A$2:$H$550,8,FALSE),""))</f>
        <v/>
      </c>
      <c r="K224" s="8">
        <f>IF(COUNTA(A224:F224)=0,"",IF(OR(LEN(A224)&lt;&gt;7,MID(A224,5,1)&lt;&gt;"-",ISERROR(--LEFT(A224,4)),ISERROR(--RIGHT(A224,2))),"ERROR: PERIODO debe ser AAAA-MM",IF(B224="","ERROR: falta CODIGO CECO",IF(G224="CECO NO EXISTE","ERROR: CECO no existe en el catálogo",IF(C224="","ERROR: falta CUENTA",IF(ISERROR(--C224),"ERROR: CUENTA debe tener solo dígitos",IF(ISERROR(FIND(LEFT(C224,1),"567")),"ERROR: CUENTA fuera de las clases de costo",IF(NOT(ISNUMBER(E224)),"ERROR: VALOR debe ser numérico",IF(E224=0,"AVISO: valor cero (no se carga)",IF(J224&lt;&gt;"ACTIVO","NO SE CARGA: CECO en estado "&amp;J224,"OK"))))))))))</f>
        <v/>
      </c>
    </row>
    <row r="225">
      <c r="A225" s="5" t="n"/>
      <c r="B225" s="6" t="n"/>
      <c r="C225" s="5" t="n"/>
      <c r="D225" s="6" t="n"/>
      <c r="E225" s="7" t="n"/>
      <c r="F225" s="6" t="n"/>
      <c r="G225" s="8">
        <f>IF(B225="","",IFERROR(VLOOKUP(--B225,'CATALOGO CECO'!$A$2:$H$550,2,FALSE),"CECO NO EXISTE"))</f>
        <v/>
      </c>
      <c r="H225" s="8">
        <f>IF(B225="","",IFERROR(VLOOKUP(--B225,'CATALOGO CECO'!$A$2:$H$550,3,FALSE),""))</f>
        <v/>
      </c>
      <c r="I225" s="8">
        <f>IF(B225="","",IFERROR(VLOOKUP(--B225,'CATALOGO CECO'!$A$2:$H$550,5,FALSE),""))</f>
        <v/>
      </c>
      <c r="J225" s="8">
        <f>IF(B225="","",IFERROR(VLOOKUP(--B225,'CATALOGO CECO'!$A$2:$H$550,8,FALSE),""))</f>
        <v/>
      </c>
      <c r="K225" s="8">
        <f>IF(COUNTA(A225:F225)=0,"",IF(OR(LEN(A225)&lt;&gt;7,MID(A225,5,1)&lt;&gt;"-",ISERROR(--LEFT(A225,4)),ISERROR(--RIGHT(A225,2))),"ERROR: PERIODO debe ser AAAA-MM",IF(B225="","ERROR: falta CODIGO CECO",IF(G225="CECO NO EXISTE","ERROR: CECO no existe en el catálogo",IF(C225="","ERROR: falta CUENTA",IF(ISERROR(--C225),"ERROR: CUENTA debe tener solo dígitos",IF(ISERROR(FIND(LEFT(C225,1),"567")),"ERROR: CUENTA fuera de las clases de costo",IF(NOT(ISNUMBER(E225)),"ERROR: VALOR debe ser numérico",IF(E225=0,"AVISO: valor cero (no se carga)",IF(J225&lt;&gt;"ACTIVO","NO SE CARGA: CECO en estado "&amp;J225,"OK"))))))))))</f>
        <v/>
      </c>
    </row>
    <row r="226">
      <c r="A226" s="5" t="n"/>
      <c r="B226" s="6" t="n"/>
      <c r="C226" s="5" t="n"/>
      <c r="D226" s="6" t="n"/>
      <c r="E226" s="7" t="n"/>
      <c r="F226" s="6" t="n"/>
      <c r="G226" s="8">
        <f>IF(B226="","",IFERROR(VLOOKUP(--B226,'CATALOGO CECO'!$A$2:$H$550,2,FALSE),"CECO NO EXISTE"))</f>
        <v/>
      </c>
      <c r="H226" s="8">
        <f>IF(B226="","",IFERROR(VLOOKUP(--B226,'CATALOGO CECO'!$A$2:$H$550,3,FALSE),""))</f>
        <v/>
      </c>
      <c r="I226" s="8">
        <f>IF(B226="","",IFERROR(VLOOKUP(--B226,'CATALOGO CECO'!$A$2:$H$550,5,FALSE),""))</f>
        <v/>
      </c>
      <c r="J226" s="8">
        <f>IF(B226="","",IFERROR(VLOOKUP(--B226,'CATALOGO CECO'!$A$2:$H$550,8,FALSE),""))</f>
        <v/>
      </c>
      <c r="K226" s="8">
        <f>IF(COUNTA(A226:F226)=0,"",IF(OR(LEN(A226)&lt;&gt;7,MID(A226,5,1)&lt;&gt;"-",ISERROR(--LEFT(A226,4)),ISERROR(--RIGHT(A226,2))),"ERROR: PERIODO debe ser AAAA-MM",IF(B226="","ERROR: falta CODIGO CECO",IF(G226="CECO NO EXISTE","ERROR: CECO no existe en el catálogo",IF(C226="","ERROR: falta CUENTA",IF(ISERROR(--C226),"ERROR: CUENTA debe tener solo dígitos",IF(ISERROR(FIND(LEFT(C226,1),"567")),"ERROR: CUENTA fuera de las clases de costo",IF(NOT(ISNUMBER(E226)),"ERROR: VALOR debe ser numérico",IF(E226=0,"AVISO: valor cero (no se carga)",IF(J226&lt;&gt;"ACTIVO","NO SE CARGA: CECO en estado "&amp;J226,"OK"))))))))))</f>
        <v/>
      </c>
    </row>
    <row r="227">
      <c r="A227" s="5" t="n"/>
      <c r="B227" s="6" t="n"/>
      <c r="C227" s="5" t="n"/>
      <c r="D227" s="6" t="n"/>
      <c r="E227" s="7" t="n"/>
      <c r="F227" s="6" t="n"/>
      <c r="G227" s="8">
        <f>IF(B227="","",IFERROR(VLOOKUP(--B227,'CATALOGO CECO'!$A$2:$H$550,2,FALSE),"CECO NO EXISTE"))</f>
        <v/>
      </c>
      <c r="H227" s="8">
        <f>IF(B227="","",IFERROR(VLOOKUP(--B227,'CATALOGO CECO'!$A$2:$H$550,3,FALSE),""))</f>
        <v/>
      </c>
      <c r="I227" s="8">
        <f>IF(B227="","",IFERROR(VLOOKUP(--B227,'CATALOGO CECO'!$A$2:$H$550,5,FALSE),""))</f>
        <v/>
      </c>
      <c r="J227" s="8">
        <f>IF(B227="","",IFERROR(VLOOKUP(--B227,'CATALOGO CECO'!$A$2:$H$550,8,FALSE),""))</f>
        <v/>
      </c>
      <c r="K227" s="8">
        <f>IF(COUNTA(A227:F227)=0,"",IF(OR(LEN(A227)&lt;&gt;7,MID(A227,5,1)&lt;&gt;"-",ISERROR(--LEFT(A227,4)),ISERROR(--RIGHT(A227,2))),"ERROR: PERIODO debe ser AAAA-MM",IF(B227="","ERROR: falta CODIGO CECO",IF(G227="CECO NO EXISTE","ERROR: CECO no existe en el catálogo",IF(C227="","ERROR: falta CUENTA",IF(ISERROR(--C227),"ERROR: CUENTA debe tener solo dígitos",IF(ISERROR(FIND(LEFT(C227,1),"567")),"ERROR: CUENTA fuera de las clases de costo",IF(NOT(ISNUMBER(E227)),"ERROR: VALOR debe ser numérico",IF(E227=0,"AVISO: valor cero (no se carga)",IF(J227&lt;&gt;"ACTIVO","NO SE CARGA: CECO en estado "&amp;J227,"OK"))))))))))</f>
        <v/>
      </c>
    </row>
    <row r="228">
      <c r="A228" s="5" t="n"/>
      <c r="B228" s="6" t="n"/>
      <c r="C228" s="5" t="n"/>
      <c r="D228" s="6" t="n"/>
      <c r="E228" s="7" t="n"/>
      <c r="F228" s="6" t="n"/>
      <c r="G228" s="8">
        <f>IF(B228="","",IFERROR(VLOOKUP(--B228,'CATALOGO CECO'!$A$2:$H$550,2,FALSE),"CECO NO EXISTE"))</f>
        <v/>
      </c>
      <c r="H228" s="8">
        <f>IF(B228="","",IFERROR(VLOOKUP(--B228,'CATALOGO CECO'!$A$2:$H$550,3,FALSE),""))</f>
        <v/>
      </c>
      <c r="I228" s="8">
        <f>IF(B228="","",IFERROR(VLOOKUP(--B228,'CATALOGO CECO'!$A$2:$H$550,5,FALSE),""))</f>
        <v/>
      </c>
      <c r="J228" s="8">
        <f>IF(B228="","",IFERROR(VLOOKUP(--B228,'CATALOGO CECO'!$A$2:$H$550,8,FALSE),""))</f>
        <v/>
      </c>
      <c r="K228" s="8">
        <f>IF(COUNTA(A228:F228)=0,"",IF(OR(LEN(A228)&lt;&gt;7,MID(A228,5,1)&lt;&gt;"-",ISERROR(--LEFT(A228,4)),ISERROR(--RIGHT(A228,2))),"ERROR: PERIODO debe ser AAAA-MM",IF(B228="","ERROR: falta CODIGO CECO",IF(G228="CECO NO EXISTE","ERROR: CECO no existe en el catálogo",IF(C228="","ERROR: falta CUENTA",IF(ISERROR(--C228),"ERROR: CUENTA debe tener solo dígitos",IF(ISERROR(FIND(LEFT(C228,1),"567")),"ERROR: CUENTA fuera de las clases de costo",IF(NOT(ISNUMBER(E228)),"ERROR: VALOR debe ser numérico",IF(E228=0,"AVISO: valor cero (no se carga)",IF(J228&lt;&gt;"ACTIVO","NO SE CARGA: CECO en estado "&amp;J228,"OK"))))))))))</f>
        <v/>
      </c>
    </row>
    <row r="229">
      <c r="A229" s="5" t="n"/>
      <c r="B229" s="6" t="n"/>
      <c r="C229" s="5" t="n"/>
      <c r="D229" s="6" t="n"/>
      <c r="E229" s="7" t="n"/>
      <c r="F229" s="6" t="n"/>
      <c r="G229" s="8">
        <f>IF(B229="","",IFERROR(VLOOKUP(--B229,'CATALOGO CECO'!$A$2:$H$550,2,FALSE),"CECO NO EXISTE"))</f>
        <v/>
      </c>
      <c r="H229" s="8">
        <f>IF(B229="","",IFERROR(VLOOKUP(--B229,'CATALOGO CECO'!$A$2:$H$550,3,FALSE),""))</f>
        <v/>
      </c>
      <c r="I229" s="8">
        <f>IF(B229="","",IFERROR(VLOOKUP(--B229,'CATALOGO CECO'!$A$2:$H$550,5,FALSE),""))</f>
        <v/>
      </c>
      <c r="J229" s="8">
        <f>IF(B229="","",IFERROR(VLOOKUP(--B229,'CATALOGO CECO'!$A$2:$H$550,8,FALSE),""))</f>
        <v/>
      </c>
      <c r="K229" s="8">
        <f>IF(COUNTA(A229:F229)=0,"",IF(OR(LEN(A229)&lt;&gt;7,MID(A229,5,1)&lt;&gt;"-",ISERROR(--LEFT(A229,4)),ISERROR(--RIGHT(A229,2))),"ERROR: PERIODO debe ser AAAA-MM",IF(B229="","ERROR: falta CODIGO CECO",IF(G229="CECO NO EXISTE","ERROR: CECO no existe en el catálogo",IF(C229="","ERROR: falta CUENTA",IF(ISERROR(--C229),"ERROR: CUENTA debe tener solo dígitos",IF(ISERROR(FIND(LEFT(C229,1),"567")),"ERROR: CUENTA fuera de las clases de costo",IF(NOT(ISNUMBER(E229)),"ERROR: VALOR debe ser numérico",IF(E229=0,"AVISO: valor cero (no se carga)",IF(J229&lt;&gt;"ACTIVO","NO SE CARGA: CECO en estado "&amp;J229,"OK"))))))))))</f>
        <v/>
      </c>
    </row>
    <row r="230">
      <c r="A230" s="5" t="n"/>
      <c r="B230" s="6" t="n"/>
      <c r="C230" s="5" t="n"/>
      <c r="D230" s="6" t="n"/>
      <c r="E230" s="7" t="n"/>
      <c r="F230" s="6" t="n"/>
      <c r="G230" s="8">
        <f>IF(B230="","",IFERROR(VLOOKUP(--B230,'CATALOGO CECO'!$A$2:$H$550,2,FALSE),"CECO NO EXISTE"))</f>
        <v/>
      </c>
      <c r="H230" s="8">
        <f>IF(B230="","",IFERROR(VLOOKUP(--B230,'CATALOGO CECO'!$A$2:$H$550,3,FALSE),""))</f>
        <v/>
      </c>
      <c r="I230" s="8">
        <f>IF(B230="","",IFERROR(VLOOKUP(--B230,'CATALOGO CECO'!$A$2:$H$550,5,FALSE),""))</f>
        <v/>
      </c>
      <c r="J230" s="8">
        <f>IF(B230="","",IFERROR(VLOOKUP(--B230,'CATALOGO CECO'!$A$2:$H$550,8,FALSE),""))</f>
        <v/>
      </c>
      <c r="K230" s="8">
        <f>IF(COUNTA(A230:F230)=0,"",IF(OR(LEN(A230)&lt;&gt;7,MID(A230,5,1)&lt;&gt;"-",ISERROR(--LEFT(A230,4)),ISERROR(--RIGHT(A230,2))),"ERROR: PERIODO debe ser AAAA-MM",IF(B230="","ERROR: falta CODIGO CECO",IF(G230="CECO NO EXISTE","ERROR: CECO no existe en el catálogo",IF(C230="","ERROR: falta CUENTA",IF(ISERROR(--C230),"ERROR: CUENTA debe tener solo dígitos",IF(ISERROR(FIND(LEFT(C230,1),"567")),"ERROR: CUENTA fuera de las clases de costo",IF(NOT(ISNUMBER(E230)),"ERROR: VALOR debe ser numérico",IF(E230=0,"AVISO: valor cero (no se carga)",IF(J230&lt;&gt;"ACTIVO","NO SE CARGA: CECO en estado "&amp;J230,"OK"))))))))))</f>
        <v/>
      </c>
    </row>
    <row r="231">
      <c r="A231" s="5" t="n"/>
      <c r="B231" s="6" t="n"/>
      <c r="C231" s="5" t="n"/>
      <c r="D231" s="6" t="n"/>
      <c r="E231" s="7" t="n"/>
      <c r="F231" s="6" t="n"/>
      <c r="G231" s="8">
        <f>IF(B231="","",IFERROR(VLOOKUP(--B231,'CATALOGO CECO'!$A$2:$H$550,2,FALSE),"CECO NO EXISTE"))</f>
        <v/>
      </c>
      <c r="H231" s="8">
        <f>IF(B231="","",IFERROR(VLOOKUP(--B231,'CATALOGO CECO'!$A$2:$H$550,3,FALSE),""))</f>
        <v/>
      </c>
      <c r="I231" s="8">
        <f>IF(B231="","",IFERROR(VLOOKUP(--B231,'CATALOGO CECO'!$A$2:$H$550,5,FALSE),""))</f>
        <v/>
      </c>
      <c r="J231" s="8">
        <f>IF(B231="","",IFERROR(VLOOKUP(--B231,'CATALOGO CECO'!$A$2:$H$550,8,FALSE),""))</f>
        <v/>
      </c>
      <c r="K231" s="8">
        <f>IF(COUNTA(A231:F231)=0,"",IF(OR(LEN(A231)&lt;&gt;7,MID(A231,5,1)&lt;&gt;"-",ISERROR(--LEFT(A231,4)),ISERROR(--RIGHT(A231,2))),"ERROR: PERIODO debe ser AAAA-MM",IF(B231="","ERROR: falta CODIGO CECO",IF(G231="CECO NO EXISTE","ERROR: CECO no existe en el catálogo",IF(C231="","ERROR: falta CUENTA",IF(ISERROR(--C231),"ERROR: CUENTA debe tener solo dígitos",IF(ISERROR(FIND(LEFT(C231,1),"567")),"ERROR: CUENTA fuera de las clases de costo",IF(NOT(ISNUMBER(E231)),"ERROR: VALOR debe ser numérico",IF(E231=0,"AVISO: valor cero (no se carga)",IF(J231&lt;&gt;"ACTIVO","NO SE CARGA: CECO en estado "&amp;J231,"OK"))))))))))</f>
        <v/>
      </c>
    </row>
    <row r="232">
      <c r="A232" s="5" t="n"/>
      <c r="B232" s="6" t="n"/>
      <c r="C232" s="5" t="n"/>
      <c r="D232" s="6" t="n"/>
      <c r="E232" s="7" t="n"/>
      <c r="F232" s="6" t="n"/>
      <c r="G232" s="8">
        <f>IF(B232="","",IFERROR(VLOOKUP(--B232,'CATALOGO CECO'!$A$2:$H$550,2,FALSE),"CECO NO EXISTE"))</f>
        <v/>
      </c>
      <c r="H232" s="8">
        <f>IF(B232="","",IFERROR(VLOOKUP(--B232,'CATALOGO CECO'!$A$2:$H$550,3,FALSE),""))</f>
        <v/>
      </c>
      <c r="I232" s="8">
        <f>IF(B232="","",IFERROR(VLOOKUP(--B232,'CATALOGO CECO'!$A$2:$H$550,5,FALSE),""))</f>
        <v/>
      </c>
      <c r="J232" s="8">
        <f>IF(B232="","",IFERROR(VLOOKUP(--B232,'CATALOGO CECO'!$A$2:$H$550,8,FALSE),""))</f>
        <v/>
      </c>
      <c r="K232" s="8">
        <f>IF(COUNTA(A232:F232)=0,"",IF(OR(LEN(A232)&lt;&gt;7,MID(A232,5,1)&lt;&gt;"-",ISERROR(--LEFT(A232,4)),ISERROR(--RIGHT(A232,2))),"ERROR: PERIODO debe ser AAAA-MM",IF(B232="","ERROR: falta CODIGO CECO",IF(G232="CECO NO EXISTE","ERROR: CECO no existe en el catálogo",IF(C232="","ERROR: falta CUENTA",IF(ISERROR(--C232),"ERROR: CUENTA debe tener solo dígitos",IF(ISERROR(FIND(LEFT(C232,1),"567")),"ERROR: CUENTA fuera de las clases de costo",IF(NOT(ISNUMBER(E232)),"ERROR: VALOR debe ser numérico",IF(E232=0,"AVISO: valor cero (no se carga)",IF(J232&lt;&gt;"ACTIVO","NO SE CARGA: CECO en estado "&amp;J232,"OK"))))))))))</f>
        <v/>
      </c>
    </row>
    <row r="233">
      <c r="A233" s="5" t="n"/>
      <c r="B233" s="6" t="n"/>
      <c r="C233" s="5" t="n"/>
      <c r="D233" s="6" t="n"/>
      <c r="E233" s="7" t="n"/>
      <c r="F233" s="6" t="n"/>
      <c r="G233" s="8">
        <f>IF(B233="","",IFERROR(VLOOKUP(--B233,'CATALOGO CECO'!$A$2:$H$550,2,FALSE),"CECO NO EXISTE"))</f>
        <v/>
      </c>
      <c r="H233" s="8">
        <f>IF(B233="","",IFERROR(VLOOKUP(--B233,'CATALOGO CECO'!$A$2:$H$550,3,FALSE),""))</f>
        <v/>
      </c>
      <c r="I233" s="8">
        <f>IF(B233="","",IFERROR(VLOOKUP(--B233,'CATALOGO CECO'!$A$2:$H$550,5,FALSE),""))</f>
        <v/>
      </c>
      <c r="J233" s="8">
        <f>IF(B233="","",IFERROR(VLOOKUP(--B233,'CATALOGO CECO'!$A$2:$H$550,8,FALSE),""))</f>
        <v/>
      </c>
      <c r="K233" s="8">
        <f>IF(COUNTA(A233:F233)=0,"",IF(OR(LEN(A233)&lt;&gt;7,MID(A233,5,1)&lt;&gt;"-",ISERROR(--LEFT(A233,4)),ISERROR(--RIGHT(A233,2))),"ERROR: PERIODO debe ser AAAA-MM",IF(B233="","ERROR: falta CODIGO CECO",IF(G233="CECO NO EXISTE","ERROR: CECO no existe en el catálogo",IF(C233="","ERROR: falta CUENTA",IF(ISERROR(--C233),"ERROR: CUENTA debe tener solo dígitos",IF(ISERROR(FIND(LEFT(C233,1),"567")),"ERROR: CUENTA fuera de las clases de costo",IF(NOT(ISNUMBER(E233)),"ERROR: VALOR debe ser numérico",IF(E233=0,"AVISO: valor cero (no se carga)",IF(J233&lt;&gt;"ACTIVO","NO SE CARGA: CECO en estado "&amp;J233,"OK"))))))))))</f>
        <v/>
      </c>
    </row>
    <row r="234">
      <c r="A234" s="5" t="n"/>
      <c r="B234" s="6" t="n"/>
      <c r="C234" s="5" t="n"/>
      <c r="D234" s="6" t="n"/>
      <c r="E234" s="7" t="n"/>
      <c r="F234" s="6" t="n"/>
      <c r="G234" s="8">
        <f>IF(B234="","",IFERROR(VLOOKUP(--B234,'CATALOGO CECO'!$A$2:$H$550,2,FALSE),"CECO NO EXISTE"))</f>
        <v/>
      </c>
      <c r="H234" s="8">
        <f>IF(B234="","",IFERROR(VLOOKUP(--B234,'CATALOGO CECO'!$A$2:$H$550,3,FALSE),""))</f>
        <v/>
      </c>
      <c r="I234" s="8">
        <f>IF(B234="","",IFERROR(VLOOKUP(--B234,'CATALOGO CECO'!$A$2:$H$550,5,FALSE),""))</f>
        <v/>
      </c>
      <c r="J234" s="8">
        <f>IF(B234="","",IFERROR(VLOOKUP(--B234,'CATALOGO CECO'!$A$2:$H$550,8,FALSE),""))</f>
        <v/>
      </c>
      <c r="K234" s="8">
        <f>IF(COUNTA(A234:F234)=0,"",IF(OR(LEN(A234)&lt;&gt;7,MID(A234,5,1)&lt;&gt;"-",ISERROR(--LEFT(A234,4)),ISERROR(--RIGHT(A234,2))),"ERROR: PERIODO debe ser AAAA-MM",IF(B234="","ERROR: falta CODIGO CECO",IF(G234="CECO NO EXISTE","ERROR: CECO no existe en el catálogo",IF(C234="","ERROR: falta CUENTA",IF(ISERROR(--C234),"ERROR: CUENTA debe tener solo dígitos",IF(ISERROR(FIND(LEFT(C234,1),"567")),"ERROR: CUENTA fuera de las clases de costo",IF(NOT(ISNUMBER(E234)),"ERROR: VALOR debe ser numérico",IF(E234=0,"AVISO: valor cero (no se carga)",IF(J234&lt;&gt;"ACTIVO","NO SE CARGA: CECO en estado "&amp;J234,"OK"))))))))))</f>
        <v/>
      </c>
    </row>
    <row r="235">
      <c r="A235" s="5" t="n"/>
      <c r="B235" s="6" t="n"/>
      <c r="C235" s="5" t="n"/>
      <c r="D235" s="6" t="n"/>
      <c r="E235" s="7" t="n"/>
      <c r="F235" s="6" t="n"/>
      <c r="G235" s="8">
        <f>IF(B235="","",IFERROR(VLOOKUP(--B235,'CATALOGO CECO'!$A$2:$H$550,2,FALSE),"CECO NO EXISTE"))</f>
        <v/>
      </c>
      <c r="H235" s="8">
        <f>IF(B235="","",IFERROR(VLOOKUP(--B235,'CATALOGO CECO'!$A$2:$H$550,3,FALSE),""))</f>
        <v/>
      </c>
      <c r="I235" s="8">
        <f>IF(B235="","",IFERROR(VLOOKUP(--B235,'CATALOGO CECO'!$A$2:$H$550,5,FALSE),""))</f>
        <v/>
      </c>
      <c r="J235" s="8">
        <f>IF(B235="","",IFERROR(VLOOKUP(--B235,'CATALOGO CECO'!$A$2:$H$550,8,FALSE),""))</f>
        <v/>
      </c>
      <c r="K235" s="8">
        <f>IF(COUNTA(A235:F235)=0,"",IF(OR(LEN(A235)&lt;&gt;7,MID(A235,5,1)&lt;&gt;"-",ISERROR(--LEFT(A235,4)),ISERROR(--RIGHT(A235,2))),"ERROR: PERIODO debe ser AAAA-MM",IF(B235="","ERROR: falta CODIGO CECO",IF(G235="CECO NO EXISTE","ERROR: CECO no existe en el catálogo",IF(C235="","ERROR: falta CUENTA",IF(ISERROR(--C235),"ERROR: CUENTA debe tener solo dígitos",IF(ISERROR(FIND(LEFT(C235,1),"567")),"ERROR: CUENTA fuera de las clases de costo",IF(NOT(ISNUMBER(E235)),"ERROR: VALOR debe ser numérico",IF(E235=0,"AVISO: valor cero (no se carga)",IF(J235&lt;&gt;"ACTIVO","NO SE CARGA: CECO en estado "&amp;J235,"OK"))))))))))</f>
        <v/>
      </c>
    </row>
    <row r="236">
      <c r="A236" s="5" t="n"/>
      <c r="B236" s="6" t="n"/>
      <c r="C236" s="5" t="n"/>
      <c r="D236" s="6" t="n"/>
      <c r="E236" s="7" t="n"/>
      <c r="F236" s="6" t="n"/>
      <c r="G236" s="8">
        <f>IF(B236="","",IFERROR(VLOOKUP(--B236,'CATALOGO CECO'!$A$2:$H$550,2,FALSE),"CECO NO EXISTE"))</f>
        <v/>
      </c>
      <c r="H236" s="8">
        <f>IF(B236="","",IFERROR(VLOOKUP(--B236,'CATALOGO CECO'!$A$2:$H$550,3,FALSE),""))</f>
        <v/>
      </c>
      <c r="I236" s="8">
        <f>IF(B236="","",IFERROR(VLOOKUP(--B236,'CATALOGO CECO'!$A$2:$H$550,5,FALSE),""))</f>
        <v/>
      </c>
      <c r="J236" s="8">
        <f>IF(B236="","",IFERROR(VLOOKUP(--B236,'CATALOGO CECO'!$A$2:$H$550,8,FALSE),""))</f>
        <v/>
      </c>
      <c r="K236" s="8">
        <f>IF(COUNTA(A236:F236)=0,"",IF(OR(LEN(A236)&lt;&gt;7,MID(A236,5,1)&lt;&gt;"-",ISERROR(--LEFT(A236,4)),ISERROR(--RIGHT(A236,2))),"ERROR: PERIODO debe ser AAAA-MM",IF(B236="","ERROR: falta CODIGO CECO",IF(G236="CECO NO EXISTE","ERROR: CECO no existe en el catálogo",IF(C236="","ERROR: falta CUENTA",IF(ISERROR(--C236),"ERROR: CUENTA debe tener solo dígitos",IF(ISERROR(FIND(LEFT(C236,1),"567")),"ERROR: CUENTA fuera de las clases de costo",IF(NOT(ISNUMBER(E236)),"ERROR: VALOR debe ser numérico",IF(E236=0,"AVISO: valor cero (no se carga)",IF(J236&lt;&gt;"ACTIVO","NO SE CARGA: CECO en estado "&amp;J236,"OK"))))))))))</f>
        <v/>
      </c>
    </row>
    <row r="237">
      <c r="A237" s="5" t="n"/>
      <c r="B237" s="6" t="n"/>
      <c r="C237" s="5" t="n"/>
      <c r="D237" s="6" t="n"/>
      <c r="E237" s="7" t="n"/>
      <c r="F237" s="6" t="n"/>
      <c r="G237" s="8">
        <f>IF(B237="","",IFERROR(VLOOKUP(--B237,'CATALOGO CECO'!$A$2:$H$550,2,FALSE),"CECO NO EXISTE"))</f>
        <v/>
      </c>
      <c r="H237" s="8">
        <f>IF(B237="","",IFERROR(VLOOKUP(--B237,'CATALOGO CECO'!$A$2:$H$550,3,FALSE),""))</f>
        <v/>
      </c>
      <c r="I237" s="8">
        <f>IF(B237="","",IFERROR(VLOOKUP(--B237,'CATALOGO CECO'!$A$2:$H$550,5,FALSE),""))</f>
        <v/>
      </c>
      <c r="J237" s="8">
        <f>IF(B237="","",IFERROR(VLOOKUP(--B237,'CATALOGO CECO'!$A$2:$H$550,8,FALSE),""))</f>
        <v/>
      </c>
      <c r="K237" s="8">
        <f>IF(COUNTA(A237:F237)=0,"",IF(OR(LEN(A237)&lt;&gt;7,MID(A237,5,1)&lt;&gt;"-",ISERROR(--LEFT(A237,4)),ISERROR(--RIGHT(A237,2))),"ERROR: PERIODO debe ser AAAA-MM",IF(B237="","ERROR: falta CODIGO CECO",IF(G237="CECO NO EXISTE","ERROR: CECO no existe en el catálogo",IF(C237="","ERROR: falta CUENTA",IF(ISERROR(--C237),"ERROR: CUENTA debe tener solo dígitos",IF(ISERROR(FIND(LEFT(C237,1),"567")),"ERROR: CUENTA fuera de las clases de costo",IF(NOT(ISNUMBER(E237)),"ERROR: VALOR debe ser numérico",IF(E237=0,"AVISO: valor cero (no se carga)",IF(J237&lt;&gt;"ACTIVO","NO SE CARGA: CECO en estado "&amp;J237,"OK"))))))))))</f>
        <v/>
      </c>
    </row>
    <row r="238">
      <c r="A238" s="5" t="n"/>
      <c r="B238" s="6" t="n"/>
      <c r="C238" s="5" t="n"/>
      <c r="D238" s="6" t="n"/>
      <c r="E238" s="7" t="n"/>
      <c r="F238" s="6" t="n"/>
      <c r="G238" s="8">
        <f>IF(B238="","",IFERROR(VLOOKUP(--B238,'CATALOGO CECO'!$A$2:$H$550,2,FALSE),"CECO NO EXISTE"))</f>
        <v/>
      </c>
      <c r="H238" s="8">
        <f>IF(B238="","",IFERROR(VLOOKUP(--B238,'CATALOGO CECO'!$A$2:$H$550,3,FALSE),""))</f>
        <v/>
      </c>
      <c r="I238" s="8">
        <f>IF(B238="","",IFERROR(VLOOKUP(--B238,'CATALOGO CECO'!$A$2:$H$550,5,FALSE),""))</f>
        <v/>
      </c>
      <c r="J238" s="8">
        <f>IF(B238="","",IFERROR(VLOOKUP(--B238,'CATALOGO CECO'!$A$2:$H$550,8,FALSE),""))</f>
        <v/>
      </c>
      <c r="K238" s="8">
        <f>IF(COUNTA(A238:F238)=0,"",IF(OR(LEN(A238)&lt;&gt;7,MID(A238,5,1)&lt;&gt;"-",ISERROR(--LEFT(A238,4)),ISERROR(--RIGHT(A238,2))),"ERROR: PERIODO debe ser AAAA-MM",IF(B238="","ERROR: falta CODIGO CECO",IF(G238="CECO NO EXISTE","ERROR: CECO no existe en el catálogo",IF(C238="","ERROR: falta CUENTA",IF(ISERROR(--C238),"ERROR: CUENTA debe tener solo dígitos",IF(ISERROR(FIND(LEFT(C238,1),"567")),"ERROR: CUENTA fuera de las clases de costo",IF(NOT(ISNUMBER(E238)),"ERROR: VALOR debe ser numérico",IF(E238=0,"AVISO: valor cero (no se carga)",IF(J238&lt;&gt;"ACTIVO","NO SE CARGA: CECO en estado "&amp;J238,"OK"))))))))))</f>
        <v/>
      </c>
    </row>
    <row r="239">
      <c r="A239" s="5" t="n"/>
      <c r="B239" s="6" t="n"/>
      <c r="C239" s="5" t="n"/>
      <c r="D239" s="6" t="n"/>
      <c r="E239" s="7" t="n"/>
      <c r="F239" s="6" t="n"/>
      <c r="G239" s="8">
        <f>IF(B239="","",IFERROR(VLOOKUP(--B239,'CATALOGO CECO'!$A$2:$H$550,2,FALSE),"CECO NO EXISTE"))</f>
        <v/>
      </c>
      <c r="H239" s="8">
        <f>IF(B239="","",IFERROR(VLOOKUP(--B239,'CATALOGO CECO'!$A$2:$H$550,3,FALSE),""))</f>
        <v/>
      </c>
      <c r="I239" s="8">
        <f>IF(B239="","",IFERROR(VLOOKUP(--B239,'CATALOGO CECO'!$A$2:$H$550,5,FALSE),""))</f>
        <v/>
      </c>
      <c r="J239" s="8">
        <f>IF(B239="","",IFERROR(VLOOKUP(--B239,'CATALOGO CECO'!$A$2:$H$550,8,FALSE),""))</f>
        <v/>
      </c>
      <c r="K239" s="8">
        <f>IF(COUNTA(A239:F239)=0,"",IF(OR(LEN(A239)&lt;&gt;7,MID(A239,5,1)&lt;&gt;"-",ISERROR(--LEFT(A239,4)),ISERROR(--RIGHT(A239,2))),"ERROR: PERIODO debe ser AAAA-MM",IF(B239="","ERROR: falta CODIGO CECO",IF(G239="CECO NO EXISTE","ERROR: CECO no existe en el catálogo",IF(C239="","ERROR: falta CUENTA",IF(ISERROR(--C239),"ERROR: CUENTA debe tener solo dígitos",IF(ISERROR(FIND(LEFT(C239,1),"567")),"ERROR: CUENTA fuera de las clases de costo",IF(NOT(ISNUMBER(E239)),"ERROR: VALOR debe ser numérico",IF(E239=0,"AVISO: valor cero (no se carga)",IF(J239&lt;&gt;"ACTIVO","NO SE CARGA: CECO en estado "&amp;J239,"OK"))))))))))</f>
        <v/>
      </c>
    </row>
    <row r="240">
      <c r="A240" s="5" t="n"/>
      <c r="B240" s="6" t="n"/>
      <c r="C240" s="5" t="n"/>
      <c r="D240" s="6" t="n"/>
      <c r="E240" s="7" t="n"/>
      <c r="F240" s="6" t="n"/>
      <c r="G240" s="8">
        <f>IF(B240="","",IFERROR(VLOOKUP(--B240,'CATALOGO CECO'!$A$2:$H$550,2,FALSE),"CECO NO EXISTE"))</f>
        <v/>
      </c>
      <c r="H240" s="8">
        <f>IF(B240="","",IFERROR(VLOOKUP(--B240,'CATALOGO CECO'!$A$2:$H$550,3,FALSE),""))</f>
        <v/>
      </c>
      <c r="I240" s="8">
        <f>IF(B240="","",IFERROR(VLOOKUP(--B240,'CATALOGO CECO'!$A$2:$H$550,5,FALSE),""))</f>
        <v/>
      </c>
      <c r="J240" s="8">
        <f>IF(B240="","",IFERROR(VLOOKUP(--B240,'CATALOGO CECO'!$A$2:$H$550,8,FALSE),""))</f>
        <v/>
      </c>
      <c r="K240" s="8">
        <f>IF(COUNTA(A240:F240)=0,"",IF(OR(LEN(A240)&lt;&gt;7,MID(A240,5,1)&lt;&gt;"-",ISERROR(--LEFT(A240,4)),ISERROR(--RIGHT(A240,2))),"ERROR: PERIODO debe ser AAAA-MM",IF(B240="","ERROR: falta CODIGO CECO",IF(G240="CECO NO EXISTE","ERROR: CECO no existe en el catálogo",IF(C240="","ERROR: falta CUENTA",IF(ISERROR(--C240),"ERROR: CUENTA debe tener solo dígitos",IF(ISERROR(FIND(LEFT(C240,1),"567")),"ERROR: CUENTA fuera de las clases de costo",IF(NOT(ISNUMBER(E240)),"ERROR: VALOR debe ser numérico",IF(E240=0,"AVISO: valor cero (no se carga)",IF(J240&lt;&gt;"ACTIVO","NO SE CARGA: CECO en estado "&amp;J240,"OK"))))))))))</f>
        <v/>
      </c>
    </row>
    <row r="241">
      <c r="A241" s="5" t="n"/>
      <c r="B241" s="6" t="n"/>
      <c r="C241" s="5" t="n"/>
      <c r="D241" s="6" t="n"/>
      <c r="E241" s="7" t="n"/>
      <c r="F241" s="6" t="n"/>
      <c r="G241" s="8">
        <f>IF(B241="","",IFERROR(VLOOKUP(--B241,'CATALOGO CECO'!$A$2:$H$550,2,FALSE),"CECO NO EXISTE"))</f>
        <v/>
      </c>
      <c r="H241" s="8">
        <f>IF(B241="","",IFERROR(VLOOKUP(--B241,'CATALOGO CECO'!$A$2:$H$550,3,FALSE),""))</f>
        <v/>
      </c>
      <c r="I241" s="8">
        <f>IF(B241="","",IFERROR(VLOOKUP(--B241,'CATALOGO CECO'!$A$2:$H$550,5,FALSE),""))</f>
        <v/>
      </c>
      <c r="J241" s="8">
        <f>IF(B241="","",IFERROR(VLOOKUP(--B241,'CATALOGO CECO'!$A$2:$H$550,8,FALSE),""))</f>
        <v/>
      </c>
      <c r="K241" s="8">
        <f>IF(COUNTA(A241:F241)=0,"",IF(OR(LEN(A241)&lt;&gt;7,MID(A241,5,1)&lt;&gt;"-",ISERROR(--LEFT(A241,4)),ISERROR(--RIGHT(A241,2))),"ERROR: PERIODO debe ser AAAA-MM",IF(B241="","ERROR: falta CODIGO CECO",IF(G241="CECO NO EXISTE","ERROR: CECO no existe en el catálogo",IF(C241="","ERROR: falta CUENTA",IF(ISERROR(--C241),"ERROR: CUENTA debe tener solo dígitos",IF(ISERROR(FIND(LEFT(C241,1),"567")),"ERROR: CUENTA fuera de las clases de costo",IF(NOT(ISNUMBER(E241)),"ERROR: VALOR debe ser numérico",IF(E241=0,"AVISO: valor cero (no se carga)",IF(J241&lt;&gt;"ACTIVO","NO SE CARGA: CECO en estado "&amp;J241,"OK"))))))))))</f>
        <v/>
      </c>
    </row>
    <row r="242">
      <c r="A242" s="5" t="n"/>
      <c r="B242" s="6" t="n"/>
      <c r="C242" s="5" t="n"/>
      <c r="D242" s="6" t="n"/>
      <c r="E242" s="7" t="n"/>
      <c r="F242" s="6" t="n"/>
      <c r="G242" s="8">
        <f>IF(B242="","",IFERROR(VLOOKUP(--B242,'CATALOGO CECO'!$A$2:$H$550,2,FALSE),"CECO NO EXISTE"))</f>
        <v/>
      </c>
      <c r="H242" s="8">
        <f>IF(B242="","",IFERROR(VLOOKUP(--B242,'CATALOGO CECO'!$A$2:$H$550,3,FALSE),""))</f>
        <v/>
      </c>
      <c r="I242" s="8">
        <f>IF(B242="","",IFERROR(VLOOKUP(--B242,'CATALOGO CECO'!$A$2:$H$550,5,FALSE),""))</f>
        <v/>
      </c>
      <c r="J242" s="8">
        <f>IF(B242="","",IFERROR(VLOOKUP(--B242,'CATALOGO CECO'!$A$2:$H$550,8,FALSE),""))</f>
        <v/>
      </c>
      <c r="K242" s="8">
        <f>IF(COUNTA(A242:F242)=0,"",IF(OR(LEN(A242)&lt;&gt;7,MID(A242,5,1)&lt;&gt;"-",ISERROR(--LEFT(A242,4)),ISERROR(--RIGHT(A242,2))),"ERROR: PERIODO debe ser AAAA-MM",IF(B242="","ERROR: falta CODIGO CECO",IF(G242="CECO NO EXISTE","ERROR: CECO no existe en el catálogo",IF(C242="","ERROR: falta CUENTA",IF(ISERROR(--C242),"ERROR: CUENTA debe tener solo dígitos",IF(ISERROR(FIND(LEFT(C242,1),"567")),"ERROR: CUENTA fuera de las clases de costo",IF(NOT(ISNUMBER(E242)),"ERROR: VALOR debe ser numérico",IF(E242=0,"AVISO: valor cero (no se carga)",IF(J242&lt;&gt;"ACTIVO","NO SE CARGA: CECO en estado "&amp;J242,"OK"))))))))))</f>
        <v/>
      </c>
    </row>
    <row r="243">
      <c r="A243" s="5" t="n"/>
      <c r="B243" s="6" t="n"/>
      <c r="C243" s="5" t="n"/>
      <c r="D243" s="6" t="n"/>
      <c r="E243" s="7" t="n"/>
      <c r="F243" s="6" t="n"/>
      <c r="G243" s="8">
        <f>IF(B243="","",IFERROR(VLOOKUP(--B243,'CATALOGO CECO'!$A$2:$H$550,2,FALSE),"CECO NO EXISTE"))</f>
        <v/>
      </c>
      <c r="H243" s="8">
        <f>IF(B243="","",IFERROR(VLOOKUP(--B243,'CATALOGO CECO'!$A$2:$H$550,3,FALSE),""))</f>
        <v/>
      </c>
      <c r="I243" s="8">
        <f>IF(B243="","",IFERROR(VLOOKUP(--B243,'CATALOGO CECO'!$A$2:$H$550,5,FALSE),""))</f>
        <v/>
      </c>
      <c r="J243" s="8">
        <f>IF(B243="","",IFERROR(VLOOKUP(--B243,'CATALOGO CECO'!$A$2:$H$550,8,FALSE),""))</f>
        <v/>
      </c>
      <c r="K243" s="8">
        <f>IF(COUNTA(A243:F243)=0,"",IF(OR(LEN(A243)&lt;&gt;7,MID(A243,5,1)&lt;&gt;"-",ISERROR(--LEFT(A243,4)),ISERROR(--RIGHT(A243,2))),"ERROR: PERIODO debe ser AAAA-MM",IF(B243="","ERROR: falta CODIGO CECO",IF(G243="CECO NO EXISTE","ERROR: CECO no existe en el catálogo",IF(C243="","ERROR: falta CUENTA",IF(ISERROR(--C243),"ERROR: CUENTA debe tener solo dígitos",IF(ISERROR(FIND(LEFT(C243,1),"567")),"ERROR: CUENTA fuera de las clases de costo",IF(NOT(ISNUMBER(E243)),"ERROR: VALOR debe ser numérico",IF(E243=0,"AVISO: valor cero (no se carga)",IF(J243&lt;&gt;"ACTIVO","NO SE CARGA: CECO en estado "&amp;J243,"OK"))))))))))</f>
        <v/>
      </c>
    </row>
    <row r="244">
      <c r="A244" s="5" t="n"/>
      <c r="B244" s="6" t="n"/>
      <c r="C244" s="5" t="n"/>
      <c r="D244" s="6" t="n"/>
      <c r="E244" s="7" t="n"/>
      <c r="F244" s="6" t="n"/>
      <c r="G244" s="8">
        <f>IF(B244="","",IFERROR(VLOOKUP(--B244,'CATALOGO CECO'!$A$2:$H$550,2,FALSE),"CECO NO EXISTE"))</f>
        <v/>
      </c>
      <c r="H244" s="8">
        <f>IF(B244="","",IFERROR(VLOOKUP(--B244,'CATALOGO CECO'!$A$2:$H$550,3,FALSE),""))</f>
        <v/>
      </c>
      <c r="I244" s="8">
        <f>IF(B244="","",IFERROR(VLOOKUP(--B244,'CATALOGO CECO'!$A$2:$H$550,5,FALSE),""))</f>
        <v/>
      </c>
      <c r="J244" s="8">
        <f>IF(B244="","",IFERROR(VLOOKUP(--B244,'CATALOGO CECO'!$A$2:$H$550,8,FALSE),""))</f>
        <v/>
      </c>
      <c r="K244" s="8">
        <f>IF(COUNTA(A244:F244)=0,"",IF(OR(LEN(A244)&lt;&gt;7,MID(A244,5,1)&lt;&gt;"-",ISERROR(--LEFT(A244,4)),ISERROR(--RIGHT(A244,2))),"ERROR: PERIODO debe ser AAAA-MM",IF(B244="","ERROR: falta CODIGO CECO",IF(G244="CECO NO EXISTE","ERROR: CECO no existe en el catálogo",IF(C244="","ERROR: falta CUENTA",IF(ISERROR(--C244),"ERROR: CUENTA debe tener solo dígitos",IF(ISERROR(FIND(LEFT(C244,1),"567")),"ERROR: CUENTA fuera de las clases de costo",IF(NOT(ISNUMBER(E244)),"ERROR: VALOR debe ser numérico",IF(E244=0,"AVISO: valor cero (no se carga)",IF(J244&lt;&gt;"ACTIVO","NO SE CARGA: CECO en estado "&amp;J244,"OK"))))))))))</f>
        <v/>
      </c>
    </row>
    <row r="245">
      <c r="A245" s="5" t="n"/>
      <c r="B245" s="6" t="n"/>
      <c r="C245" s="5" t="n"/>
      <c r="D245" s="6" t="n"/>
      <c r="E245" s="7" t="n"/>
      <c r="F245" s="6" t="n"/>
      <c r="G245" s="8">
        <f>IF(B245="","",IFERROR(VLOOKUP(--B245,'CATALOGO CECO'!$A$2:$H$550,2,FALSE),"CECO NO EXISTE"))</f>
        <v/>
      </c>
      <c r="H245" s="8">
        <f>IF(B245="","",IFERROR(VLOOKUP(--B245,'CATALOGO CECO'!$A$2:$H$550,3,FALSE),""))</f>
        <v/>
      </c>
      <c r="I245" s="8">
        <f>IF(B245="","",IFERROR(VLOOKUP(--B245,'CATALOGO CECO'!$A$2:$H$550,5,FALSE),""))</f>
        <v/>
      </c>
      <c r="J245" s="8">
        <f>IF(B245="","",IFERROR(VLOOKUP(--B245,'CATALOGO CECO'!$A$2:$H$550,8,FALSE),""))</f>
        <v/>
      </c>
      <c r="K245" s="8">
        <f>IF(COUNTA(A245:F245)=0,"",IF(OR(LEN(A245)&lt;&gt;7,MID(A245,5,1)&lt;&gt;"-",ISERROR(--LEFT(A245,4)),ISERROR(--RIGHT(A245,2))),"ERROR: PERIODO debe ser AAAA-MM",IF(B245="","ERROR: falta CODIGO CECO",IF(G245="CECO NO EXISTE","ERROR: CECO no existe en el catálogo",IF(C245="","ERROR: falta CUENTA",IF(ISERROR(--C245),"ERROR: CUENTA debe tener solo dígitos",IF(ISERROR(FIND(LEFT(C245,1),"567")),"ERROR: CUENTA fuera de las clases de costo",IF(NOT(ISNUMBER(E245)),"ERROR: VALOR debe ser numérico",IF(E245=0,"AVISO: valor cero (no se carga)",IF(J245&lt;&gt;"ACTIVO","NO SE CARGA: CECO en estado "&amp;J245,"OK"))))))))))</f>
        <v/>
      </c>
    </row>
    <row r="246">
      <c r="A246" s="5" t="n"/>
      <c r="B246" s="6" t="n"/>
      <c r="C246" s="5" t="n"/>
      <c r="D246" s="6" t="n"/>
      <c r="E246" s="7" t="n"/>
      <c r="F246" s="6" t="n"/>
      <c r="G246" s="8">
        <f>IF(B246="","",IFERROR(VLOOKUP(--B246,'CATALOGO CECO'!$A$2:$H$550,2,FALSE),"CECO NO EXISTE"))</f>
        <v/>
      </c>
      <c r="H246" s="8">
        <f>IF(B246="","",IFERROR(VLOOKUP(--B246,'CATALOGO CECO'!$A$2:$H$550,3,FALSE),""))</f>
        <v/>
      </c>
      <c r="I246" s="8">
        <f>IF(B246="","",IFERROR(VLOOKUP(--B246,'CATALOGO CECO'!$A$2:$H$550,5,FALSE),""))</f>
        <v/>
      </c>
      <c r="J246" s="8">
        <f>IF(B246="","",IFERROR(VLOOKUP(--B246,'CATALOGO CECO'!$A$2:$H$550,8,FALSE),""))</f>
        <v/>
      </c>
      <c r="K246" s="8">
        <f>IF(COUNTA(A246:F246)=0,"",IF(OR(LEN(A246)&lt;&gt;7,MID(A246,5,1)&lt;&gt;"-",ISERROR(--LEFT(A246,4)),ISERROR(--RIGHT(A246,2))),"ERROR: PERIODO debe ser AAAA-MM",IF(B246="","ERROR: falta CODIGO CECO",IF(G246="CECO NO EXISTE","ERROR: CECO no existe en el catálogo",IF(C246="","ERROR: falta CUENTA",IF(ISERROR(--C246),"ERROR: CUENTA debe tener solo dígitos",IF(ISERROR(FIND(LEFT(C246,1),"567")),"ERROR: CUENTA fuera de las clases de costo",IF(NOT(ISNUMBER(E246)),"ERROR: VALOR debe ser numérico",IF(E246=0,"AVISO: valor cero (no se carga)",IF(J246&lt;&gt;"ACTIVO","NO SE CARGA: CECO en estado "&amp;J246,"OK"))))))))))</f>
        <v/>
      </c>
    </row>
    <row r="247">
      <c r="A247" s="5" t="n"/>
      <c r="B247" s="6" t="n"/>
      <c r="C247" s="5" t="n"/>
      <c r="D247" s="6" t="n"/>
      <c r="E247" s="7" t="n"/>
      <c r="F247" s="6" t="n"/>
      <c r="G247" s="8">
        <f>IF(B247="","",IFERROR(VLOOKUP(--B247,'CATALOGO CECO'!$A$2:$H$550,2,FALSE),"CECO NO EXISTE"))</f>
        <v/>
      </c>
      <c r="H247" s="8">
        <f>IF(B247="","",IFERROR(VLOOKUP(--B247,'CATALOGO CECO'!$A$2:$H$550,3,FALSE),""))</f>
        <v/>
      </c>
      <c r="I247" s="8">
        <f>IF(B247="","",IFERROR(VLOOKUP(--B247,'CATALOGO CECO'!$A$2:$H$550,5,FALSE),""))</f>
        <v/>
      </c>
      <c r="J247" s="8">
        <f>IF(B247="","",IFERROR(VLOOKUP(--B247,'CATALOGO CECO'!$A$2:$H$550,8,FALSE),""))</f>
        <v/>
      </c>
      <c r="K247" s="8">
        <f>IF(COUNTA(A247:F247)=0,"",IF(OR(LEN(A247)&lt;&gt;7,MID(A247,5,1)&lt;&gt;"-",ISERROR(--LEFT(A247,4)),ISERROR(--RIGHT(A247,2))),"ERROR: PERIODO debe ser AAAA-MM",IF(B247="","ERROR: falta CODIGO CECO",IF(G247="CECO NO EXISTE","ERROR: CECO no existe en el catálogo",IF(C247="","ERROR: falta CUENTA",IF(ISERROR(--C247),"ERROR: CUENTA debe tener solo dígitos",IF(ISERROR(FIND(LEFT(C247,1),"567")),"ERROR: CUENTA fuera de las clases de costo",IF(NOT(ISNUMBER(E247)),"ERROR: VALOR debe ser numérico",IF(E247=0,"AVISO: valor cero (no se carga)",IF(J247&lt;&gt;"ACTIVO","NO SE CARGA: CECO en estado "&amp;J247,"OK"))))))))))</f>
        <v/>
      </c>
    </row>
    <row r="248">
      <c r="A248" s="5" t="n"/>
      <c r="B248" s="6" t="n"/>
      <c r="C248" s="5" t="n"/>
      <c r="D248" s="6" t="n"/>
      <c r="E248" s="7" t="n"/>
      <c r="F248" s="6" t="n"/>
      <c r="G248" s="8">
        <f>IF(B248="","",IFERROR(VLOOKUP(--B248,'CATALOGO CECO'!$A$2:$H$550,2,FALSE),"CECO NO EXISTE"))</f>
        <v/>
      </c>
      <c r="H248" s="8">
        <f>IF(B248="","",IFERROR(VLOOKUP(--B248,'CATALOGO CECO'!$A$2:$H$550,3,FALSE),""))</f>
        <v/>
      </c>
      <c r="I248" s="8">
        <f>IF(B248="","",IFERROR(VLOOKUP(--B248,'CATALOGO CECO'!$A$2:$H$550,5,FALSE),""))</f>
        <v/>
      </c>
      <c r="J248" s="8">
        <f>IF(B248="","",IFERROR(VLOOKUP(--B248,'CATALOGO CECO'!$A$2:$H$550,8,FALSE),""))</f>
        <v/>
      </c>
      <c r="K248" s="8">
        <f>IF(COUNTA(A248:F248)=0,"",IF(OR(LEN(A248)&lt;&gt;7,MID(A248,5,1)&lt;&gt;"-",ISERROR(--LEFT(A248,4)),ISERROR(--RIGHT(A248,2))),"ERROR: PERIODO debe ser AAAA-MM",IF(B248="","ERROR: falta CODIGO CECO",IF(G248="CECO NO EXISTE","ERROR: CECO no existe en el catálogo",IF(C248="","ERROR: falta CUENTA",IF(ISERROR(--C248),"ERROR: CUENTA debe tener solo dígitos",IF(ISERROR(FIND(LEFT(C248,1),"567")),"ERROR: CUENTA fuera de las clases de costo",IF(NOT(ISNUMBER(E248)),"ERROR: VALOR debe ser numérico",IF(E248=0,"AVISO: valor cero (no se carga)",IF(J248&lt;&gt;"ACTIVO","NO SE CARGA: CECO en estado "&amp;J248,"OK"))))))))))</f>
        <v/>
      </c>
    </row>
    <row r="249">
      <c r="A249" s="5" t="n"/>
      <c r="B249" s="6" t="n"/>
      <c r="C249" s="5" t="n"/>
      <c r="D249" s="6" t="n"/>
      <c r="E249" s="7" t="n"/>
      <c r="F249" s="6" t="n"/>
      <c r="G249" s="8">
        <f>IF(B249="","",IFERROR(VLOOKUP(--B249,'CATALOGO CECO'!$A$2:$H$550,2,FALSE),"CECO NO EXISTE"))</f>
        <v/>
      </c>
      <c r="H249" s="8">
        <f>IF(B249="","",IFERROR(VLOOKUP(--B249,'CATALOGO CECO'!$A$2:$H$550,3,FALSE),""))</f>
        <v/>
      </c>
      <c r="I249" s="8">
        <f>IF(B249="","",IFERROR(VLOOKUP(--B249,'CATALOGO CECO'!$A$2:$H$550,5,FALSE),""))</f>
        <v/>
      </c>
      <c r="J249" s="8">
        <f>IF(B249="","",IFERROR(VLOOKUP(--B249,'CATALOGO CECO'!$A$2:$H$550,8,FALSE),""))</f>
        <v/>
      </c>
      <c r="K249" s="8">
        <f>IF(COUNTA(A249:F249)=0,"",IF(OR(LEN(A249)&lt;&gt;7,MID(A249,5,1)&lt;&gt;"-",ISERROR(--LEFT(A249,4)),ISERROR(--RIGHT(A249,2))),"ERROR: PERIODO debe ser AAAA-MM",IF(B249="","ERROR: falta CODIGO CECO",IF(G249="CECO NO EXISTE","ERROR: CECO no existe en el catálogo",IF(C249="","ERROR: falta CUENTA",IF(ISERROR(--C249),"ERROR: CUENTA debe tener solo dígitos",IF(ISERROR(FIND(LEFT(C249,1),"567")),"ERROR: CUENTA fuera de las clases de costo",IF(NOT(ISNUMBER(E249)),"ERROR: VALOR debe ser numérico",IF(E249=0,"AVISO: valor cero (no se carga)",IF(J249&lt;&gt;"ACTIVO","NO SE CARGA: CECO en estado "&amp;J249,"OK"))))))))))</f>
        <v/>
      </c>
    </row>
    <row r="250">
      <c r="A250" s="5" t="n"/>
      <c r="B250" s="6" t="n"/>
      <c r="C250" s="5" t="n"/>
      <c r="D250" s="6" t="n"/>
      <c r="E250" s="7" t="n"/>
      <c r="F250" s="6" t="n"/>
      <c r="G250" s="8">
        <f>IF(B250="","",IFERROR(VLOOKUP(--B250,'CATALOGO CECO'!$A$2:$H$550,2,FALSE),"CECO NO EXISTE"))</f>
        <v/>
      </c>
      <c r="H250" s="8">
        <f>IF(B250="","",IFERROR(VLOOKUP(--B250,'CATALOGO CECO'!$A$2:$H$550,3,FALSE),""))</f>
        <v/>
      </c>
      <c r="I250" s="8">
        <f>IF(B250="","",IFERROR(VLOOKUP(--B250,'CATALOGO CECO'!$A$2:$H$550,5,FALSE),""))</f>
        <v/>
      </c>
      <c r="J250" s="8">
        <f>IF(B250="","",IFERROR(VLOOKUP(--B250,'CATALOGO CECO'!$A$2:$H$550,8,FALSE),""))</f>
        <v/>
      </c>
      <c r="K250" s="8">
        <f>IF(COUNTA(A250:F250)=0,"",IF(OR(LEN(A250)&lt;&gt;7,MID(A250,5,1)&lt;&gt;"-",ISERROR(--LEFT(A250,4)),ISERROR(--RIGHT(A250,2))),"ERROR: PERIODO debe ser AAAA-MM",IF(B250="","ERROR: falta CODIGO CECO",IF(G250="CECO NO EXISTE","ERROR: CECO no existe en el catálogo",IF(C250="","ERROR: falta CUENTA",IF(ISERROR(--C250),"ERROR: CUENTA debe tener solo dígitos",IF(ISERROR(FIND(LEFT(C250,1),"567")),"ERROR: CUENTA fuera de las clases de costo",IF(NOT(ISNUMBER(E250)),"ERROR: VALOR debe ser numérico",IF(E250=0,"AVISO: valor cero (no se carga)",IF(J250&lt;&gt;"ACTIVO","NO SE CARGA: CECO en estado "&amp;J250,"OK"))))))))))</f>
        <v/>
      </c>
    </row>
    <row r="251">
      <c r="A251" s="5" t="n"/>
      <c r="B251" s="6" t="n"/>
      <c r="C251" s="5" t="n"/>
      <c r="D251" s="6" t="n"/>
      <c r="E251" s="7" t="n"/>
      <c r="F251" s="6" t="n"/>
      <c r="G251" s="8">
        <f>IF(B251="","",IFERROR(VLOOKUP(--B251,'CATALOGO CECO'!$A$2:$H$550,2,FALSE),"CECO NO EXISTE"))</f>
        <v/>
      </c>
      <c r="H251" s="8">
        <f>IF(B251="","",IFERROR(VLOOKUP(--B251,'CATALOGO CECO'!$A$2:$H$550,3,FALSE),""))</f>
        <v/>
      </c>
      <c r="I251" s="8">
        <f>IF(B251="","",IFERROR(VLOOKUP(--B251,'CATALOGO CECO'!$A$2:$H$550,5,FALSE),""))</f>
        <v/>
      </c>
      <c r="J251" s="8">
        <f>IF(B251="","",IFERROR(VLOOKUP(--B251,'CATALOGO CECO'!$A$2:$H$550,8,FALSE),""))</f>
        <v/>
      </c>
      <c r="K251" s="8">
        <f>IF(COUNTA(A251:F251)=0,"",IF(OR(LEN(A251)&lt;&gt;7,MID(A251,5,1)&lt;&gt;"-",ISERROR(--LEFT(A251,4)),ISERROR(--RIGHT(A251,2))),"ERROR: PERIODO debe ser AAAA-MM",IF(B251="","ERROR: falta CODIGO CECO",IF(G251="CECO NO EXISTE","ERROR: CECO no existe en el catálogo",IF(C251="","ERROR: falta CUENTA",IF(ISERROR(--C251),"ERROR: CUENTA debe tener solo dígitos",IF(ISERROR(FIND(LEFT(C251,1),"567")),"ERROR: CUENTA fuera de las clases de costo",IF(NOT(ISNUMBER(E251)),"ERROR: VALOR debe ser numérico",IF(E251=0,"AVISO: valor cero (no se carga)",IF(J251&lt;&gt;"ACTIVO","NO SE CARGA: CECO en estado "&amp;J251,"OK"))))))))))</f>
        <v/>
      </c>
    </row>
    <row r="252">
      <c r="A252" s="5" t="n"/>
      <c r="B252" s="6" t="n"/>
      <c r="C252" s="5" t="n"/>
      <c r="D252" s="6" t="n"/>
      <c r="E252" s="7" t="n"/>
      <c r="F252" s="6" t="n"/>
      <c r="G252" s="8">
        <f>IF(B252="","",IFERROR(VLOOKUP(--B252,'CATALOGO CECO'!$A$2:$H$550,2,FALSE),"CECO NO EXISTE"))</f>
        <v/>
      </c>
      <c r="H252" s="8">
        <f>IF(B252="","",IFERROR(VLOOKUP(--B252,'CATALOGO CECO'!$A$2:$H$550,3,FALSE),""))</f>
        <v/>
      </c>
      <c r="I252" s="8">
        <f>IF(B252="","",IFERROR(VLOOKUP(--B252,'CATALOGO CECO'!$A$2:$H$550,5,FALSE),""))</f>
        <v/>
      </c>
      <c r="J252" s="8">
        <f>IF(B252="","",IFERROR(VLOOKUP(--B252,'CATALOGO CECO'!$A$2:$H$550,8,FALSE),""))</f>
        <v/>
      </c>
      <c r="K252" s="8">
        <f>IF(COUNTA(A252:F252)=0,"",IF(OR(LEN(A252)&lt;&gt;7,MID(A252,5,1)&lt;&gt;"-",ISERROR(--LEFT(A252,4)),ISERROR(--RIGHT(A252,2))),"ERROR: PERIODO debe ser AAAA-MM",IF(B252="","ERROR: falta CODIGO CECO",IF(G252="CECO NO EXISTE","ERROR: CECO no existe en el catálogo",IF(C252="","ERROR: falta CUENTA",IF(ISERROR(--C252),"ERROR: CUENTA debe tener solo dígitos",IF(ISERROR(FIND(LEFT(C252,1),"567")),"ERROR: CUENTA fuera de las clases de costo",IF(NOT(ISNUMBER(E252)),"ERROR: VALOR debe ser numérico",IF(E252=0,"AVISO: valor cero (no se carga)",IF(J252&lt;&gt;"ACTIVO","NO SE CARGA: CECO en estado "&amp;J252,"OK"))))))))))</f>
        <v/>
      </c>
    </row>
    <row r="253">
      <c r="A253" s="5" t="n"/>
      <c r="B253" s="6" t="n"/>
      <c r="C253" s="5" t="n"/>
      <c r="D253" s="6" t="n"/>
      <c r="E253" s="7" t="n"/>
      <c r="F253" s="6" t="n"/>
      <c r="G253" s="8">
        <f>IF(B253="","",IFERROR(VLOOKUP(--B253,'CATALOGO CECO'!$A$2:$H$550,2,FALSE),"CECO NO EXISTE"))</f>
        <v/>
      </c>
      <c r="H253" s="8">
        <f>IF(B253="","",IFERROR(VLOOKUP(--B253,'CATALOGO CECO'!$A$2:$H$550,3,FALSE),""))</f>
        <v/>
      </c>
      <c r="I253" s="8">
        <f>IF(B253="","",IFERROR(VLOOKUP(--B253,'CATALOGO CECO'!$A$2:$H$550,5,FALSE),""))</f>
        <v/>
      </c>
      <c r="J253" s="8">
        <f>IF(B253="","",IFERROR(VLOOKUP(--B253,'CATALOGO CECO'!$A$2:$H$550,8,FALSE),""))</f>
        <v/>
      </c>
      <c r="K253" s="8">
        <f>IF(COUNTA(A253:F253)=0,"",IF(OR(LEN(A253)&lt;&gt;7,MID(A253,5,1)&lt;&gt;"-",ISERROR(--LEFT(A253,4)),ISERROR(--RIGHT(A253,2))),"ERROR: PERIODO debe ser AAAA-MM",IF(B253="","ERROR: falta CODIGO CECO",IF(G253="CECO NO EXISTE","ERROR: CECO no existe en el catálogo",IF(C253="","ERROR: falta CUENTA",IF(ISERROR(--C253),"ERROR: CUENTA debe tener solo dígitos",IF(ISERROR(FIND(LEFT(C253,1),"567")),"ERROR: CUENTA fuera de las clases de costo",IF(NOT(ISNUMBER(E253)),"ERROR: VALOR debe ser numérico",IF(E253=0,"AVISO: valor cero (no se carga)",IF(J253&lt;&gt;"ACTIVO","NO SE CARGA: CECO en estado "&amp;J253,"OK"))))))))))</f>
        <v/>
      </c>
    </row>
    <row r="254">
      <c r="A254" s="5" t="n"/>
      <c r="B254" s="6" t="n"/>
      <c r="C254" s="5" t="n"/>
      <c r="D254" s="6" t="n"/>
      <c r="E254" s="7" t="n"/>
      <c r="F254" s="6" t="n"/>
      <c r="G254" s="8">
        <f>IF(B254="","",IFERROR(VLOOKUP(--B254,'CATALOGO CECO'!$A$2:$H$550,2,FALSE),"CECO NO EXISTE"))</f>
        <v/>
      </c>
      <c r="H254" s="8">
        <f>IF(B254="","",IFERROR(VLOOKUP(--B254,'CATALOGO CECO'!$A$2:$H$550,3,FALSE),""))</f>
        <v/>
      </c>
      <c r="I254" s="8">
        <f>IF(B254="","",IFERROR(VLOOKUP(--B254,'CATALOGO CECO'!$A$2:$H$550,5,FALSE),""))</f>
        <v/>
      </c>
      <c r="J254" s="8">
        <f>IF(B254="","",IFERROR(VLOOKUP(--B254,'CATALOGO CECO'!$A$2:$H$550,8,FALSE),""))</f>
        <v/>
      </c>
      <c r="K254" s="8">
        <f>IF(COUNTA(A254:F254)=0,"",IF(OR(LEN(A254)&lt;&gt;7,MID(A254,5,1)&lt;&gt;"-",ISERROR(--LEFT(A254,4)),ISERROR(--RIGHT(A254,2))),"ERROR: PERIODO debe ser AAAA-MM",IF(B254="","ERROR: falta CODIGO CECO",IF(G254="CECO NO EXISTE","ERROR: CECO no existe en el catálogo",IF(C254="","ERROR: falta CUENTA",IF(ISERROR(--C254),"ERROR: CUENTA debe tener solo dígitos",IF(ISERROR(FIND(LEFT(C254,1),"567")),"ERROR: CUENTA fuera de las clases de costo",IF(NOT(ISNUMBER(E254)),"ERROR: VALOR debe ser numérico",IF(E254=0,"AVISO: valor cero (no se carga)",IF(J254&lt;&gt;"ACTIVO","NO SE CARGA: CECO en estado "&amp;J254,"OK"))))))))))</f>
        <v/>
      </c>
    </row>
    <row r="255">
      <c r="A255" s="5" t="n"/>
      <c r="B255" s="6" t="n"/>
      <c r="C255" s="5" t="n"/>
      <c r="D255" s="6" t="n"/>
      <c r="E255" s="7" t="n"/>
      <c r="F255" s="6" t="n"/>
      <c r="G255" s="8">
        <f>IF(B255="","",IFERROR(VLOOKUP(--B255,'CATALOGO CECO'!$A$2:$H$550,2,FALSE),"CECO NO EXISTE"))</f>
        <v/>
      </c>
      <c r="H255" s="8">
        <f>IF(B255="","",IFERROR(VLOOKUP(--B255,'CATALOGO CECO'!$A$2:$H$550,3,FALSE),""))</f>
        <v/>
      </c>
      <c r="I255" s="8">
        <f>IF(B255="","",IFERROR(VLOOKUP(--B255,'CATALOGO CECO'!$A$2:$H$550,5,FALSE),""))</f>
        <v/>
      </c>
      <c r="J255" s="8">
        <f>IF(B255="","",IFERROR(VLOOKUP(--B255,'CATALOGO CECO'!$A$2:$H$550,8,FALSE),""))</f>
        <v/>
      </c>
      <c r="K255" s="8">
        <f>IF(COUNTA(A255:F255)=0,"",IF(OR(LEN(A255)&lt;&gt;7,MID(A255,5,1)&lt;&gt;"-",ISERROR(--LEFT(A255,4)),ISERROR(--RIGHT(A255,2))),"ERROR: PERIODO debe ser AAAA-MM",IF(B255="","ERROR: falta CODIGO CECO",IF(G255="CECO NO EXISTE","ERROR: CECO no existe en el catálogo",IF(C255="","ERROR: falta CUENTA",IF(ISERROR(--C255),"ERROR: CUENTA debe tener solo dígitos",IF(ISERROR(FIND(LEFT(C255,1),"567")),"ERROR: CUENTA fuera de las clases de costo",IF(NOT(ISNUMBER(E255)),"ERROR: VALOR debe ser numérico",IF(E255=0,"AVISO: valor cero (no se carga)",IF(J255&lt;&gt;"ACTIVO","NO SE CARGA: CECO en estado "&amp;J255,"OK"))))))))))</f>
        <v/>
      </c>
    </row>
    <row r="256">
      <c r="A256" s="5" t="n"/>
      <c r="B256" s="6" t="n"/>
      <c r="C256" s="5" t="n"/>
      <c r="D256" s="6" t="n"/>
      <c r="E256" s="7" t="n"/>
      <c r="F256" s="6" t="n"/>
      <c r="G256" s="8">
        <f>IF(B256="","",IFERROR(VLOOKUP(--B256,'CATALOGO CECO'!$A$2:$H$550,2,FALSE),"CECO NO EXISTE"))</f>
        <v/>
      </c>
      <c r="H256" s="8">
        <f>IF(B256="","",IFERROR(VLOOKUP(--B256,'CATALOGO CECO'!$A$2:$H$550,3,FALSE),""))</f>
        <v/>
      </c>
      <c r="I256" s="8">
        <f>IF(B256="","",IFERROR(VLOOKUP(--B256,'CATALOGO CECO'!$A$2:$H$550,5,FALSE),""))</f>
        <v/>
      </c>
      <c r="J256" s="8">
        <f>IF(B256="","",IFERROR(VLOOKUP(--B256,'CATALOGO CECO'!$A$2:$H$550,8,FALSE),""))</f>
        <v/>
      </c>
      <c r="K256" s="8">
        <f>IF(COUNTA(A256:F256)=0,"",IF(OR(LEN(A256)&lt;&gt;7,MID(A256,5,1)&lt;&gt;"-",ISERROR(--LEFT(A256,4)),ISERROR(--RIGHT(A256,2))),"ERROR: PERIODO debe ser AAAA-MM",IF(B256="","ERROR: falta CODIGO CECO",IF(G256="CECO NO EXISTE","ERROR: CECO no existe en el catálogo",IF(C256="","ERROR: falta CUENTA",IF(ISERROR(--C256),"ERROR: CUENTA debe tener solo dígitos",IF(ISERROR(FIND(LEFT(C256,1),"567")),"ERROR: CUENTA fuera de las clases de costo",IF(NOT(ISNUMBER(E256)),"ERROR: VALOR debe ser numérico",IF(E256=0,"AVISO: valor cero (no se carga)",IF(J256&lt;&gt;"ACTIVO","NO SE CARGA: CECO en estado "&amp;J256,"OK"))))))))))</f>
        <v/>
      </c>
    </row>
    <row r="257">
      <c r="A257" s="5" t="n"/>
      <c r="B257" s="6" t="n"/>
      <c r="C257" s="5" t="n"/>
      <c r="D257" s="6" t="n"/>
      <c r="E257" s="7" t="n"/>
      <c r="F257" s="6" t="n"/>
      <c r="G257" s="8">
        <f>IF(B257="","",IFERROR(VLOOKUP(--B257,'CATALOGO CECO'!$A$2:$H$550,2,FALSE),"CECO NO EXISTE"))</f>
        <v/>
      </c>
      <c r="H257" s="8">
        <f>IF(B257="","",IFERROR(VLOOKUP(--B257,'CATALOGO CECO'!$A$2:$H$550,3,FALSE),""))</f>
        <v/>
      </c>
      <c r="I257" s="8">
        <f>IF(B257="","",IFERROR(VLOOKUP(--B257,'CATALOGO CECO'!$A$2:$H$550,5,FALSE),""))</f>
        <v/>
      </c>
      <c r="J257" s="8">
        <f>IF(B257="","",IFERROR(VLOOKUP(--B257,'CATALOGO CECO'!$A$2:$H$550,8,FALSE),""))</f>
        <v/>
      </c>
      <c r="K257" s="8">
        <f>IF(COUNTA(A257:F257)=0,"",IF(OR(LEN(A257)&lt;&gt;7,MID(A257,5,1)&lt;&gt;"-",ISERROR(--LEFT(A257,4)),ISERROR(--RIGHT(A257,2))),"ERROR: PERIODO debe ser AAAA-MM",IF(B257="","ERROR: falta CODIGO CECO",IF(G257="CECO NO EXISTE","ERROR: CECO no existe en el catálogo",IF(C257="","ERROR: falta CUENTA",IF(ISERROR(--C257),"ERROR: CUENTA debe tener solo dígitos",IF(ISERROR(FIND(LEFT(C257,1),"567")),"ERROR: CUENTA fuera de las clases de costo",IF(NOT(ISNUMBER(E257)),"ERROR: VALOR debe ser numérico",IF(E257=0,"AVISO: valor cero (no se carga)",IF(J257&lt;&gt;"ACTIVO","NO SE CARGA: CECO en estado "&amp;J257,"OK"))))))))))</f>
        <v/>
      </c>
    </row>
    <row r="258">
      <c r="A258" s="5" t="n"/>
      <c r="B258" s="6" t="n"/>
      <c r="C258" s="5" t="n"/>
      <c r="D258" s="6" t="n"/>
      <c r="E258" s="7" t="n"/>
      <c r="F258" s="6" t="n"/>
      <c r="G258" s="8">
        <f>IF(B258="","",IFERROR(VLOOKUP(--B258,'CATALOGO CECO'!$A$2:$H$550,2,FALSE),"CECO NO EXISTE"))</f>
        <v/>
      </c>
      <c r="H258" s="8">
        <f>IF(B258="","",IFERROR(VLOOKUP(--B258,'CATALOGO CECO'!$A$2:$H$550,3,FALSE),""))</f>
        <v/>
      </c>
      <c r="I258" s="8">
        <f>IF(B258="","",IFERROR(VLOOKUP(--B258,'CATALOGO CECO'!$A$2:$H$550,5,FALSE),""))</f>
        <v/>
      </c>
      <c r="J258" s="8">
        <f>IF(B258="","",IFERROR(VLOOKUP(--B258,'CATALOGO CECO'!$A$2:$H$550,8,FALSE),""))</f>
        <v/>
      </c>
      <c r="K258" s="8">
        <f>IF(COUNTA(A258:F258)=0,"",IF(OR(LEN(A258)&lt;&gt;7,MID(A258,5,1)&lt;&gt;"-",ISERROR(--LEFT(A258,4)),ISERROR(--RIGHT(A258,2))),"ERROR: PERIODO debe ser AAAA-MM",IF(B258="","ERROR: falta CODIGO CECO",IF(G258="CECO NO EXISTE","ERROR: CECO no existe en el catálogo",IF(C258="","ERROR: falta CUENTA",IF(ISERROR(--C258),"ERROR: CUENTA debe tener solo dígitos",IF(ISERROR(FIND(LEFT(C258,1),"567")),"ERROR: CUENTA fuera de las clases de costo",IF(NOT(ISNUMBER(E258)),"ERROR: VALOR debe ser numérico",IF(E258=0,"AVISO: valor cero (no se carga)",IF(J258&lt;&gt;"ACTIVO","NO SE CARGA: CECO en estado "&amp;J258,"OK"))))))))))</f>
        <v/>
      </c>
    </row>
    <row r="259">
      <c r="A259" s="5" t="n"/>
      <c r="B259" s="6" t="n"/>
      <c r="C259" s="5" t="n"/>
      <c r="D259" s="6" t="n"/>
      <c r="E259" s="7" t="n"/>
      <c r="F259" s="6" t="n"/>
      <c r="G259" s="8">
        <f>IF(B259="","",IFERROR(VLOOKUP(--B259,'CATALOGO CECO'!$A$2:$H$550,2,FALSE),"CECO NO EXISTE"))</f>
        <v/>
      </c>
      <c r="H259" s="8">
        <f>IF(B259="","",IFERROR(VLOOKUP(--B259,'CATALOGO CECO'!$A$2:$H$550,3,FALSE),""))</f>
        <v/>
      </c>
      <c r="I259" s="8">
        <f>IF(B259="","",IFERROR(VLOOKUP(--B259,'CATALOGO CECO'!$A$2:$H$550,5,FALSE),""))</f>
        <v/>
      </c>
      <c r="J259" s="8">
        <f>IF(B259="","",IFERROR(VLOOKUP(--B259,'CATALOGO CECO'!$A$2:$H$550,8,FALSE),""))</f>
        <v/>
      </c>
      <c r="K259" s="8">
        <f>IF(COUNTA(A259:F259)=0,"",IF(OR(LEN(A259)&lt;&gt;7,MID(A259,5,1)&lt;&gt;"-",ISERROR(--LEFT(A259,4)),ISERROR(--RIGHT(A259,2))),"ERROR: PERIODO debe ser AAAA-MM",IF(B259="","ERROR: falta CODIGO CECO",IF(G259="CECO NO EXISTE","ERROR: CECO no existe en el catálogo",IF(C259="","ERROR: falta CUENTA",IF(ISERROR(--C259),"ERROR: CUENTA debe tener solo dígitos",IF(ISERROR(FIND(LEFT(C259,1),"567")),"ERROR: CUENTA fuera de las clases de costo",IF(NOT(ISNUMBER(E259)),"ERROR: VALOR debe ser numérico",IF(E259=0,"AVISO: valor cero (no se carga)",IF(J259&lt;&gt;"ACTIVO","NO SE CARGA: CECO en estado "&amp;J259,"OK"))))))))))</f>
        <v/>
      </c>
    </row>
    <row r="260">
      <c r="A260" s="5" t="n"/>
      <c r="B260" s="6" t="n"/>
      <c r="C260" s="5" t="n"/>
      <c r="D260" s="6" t="n"/>
      <c r="E260" s="7" t="n"/>
      <c r="F260" s="6" t="n"/>
      <c r="G260" s="8">
        <f>IF(B260="","",IFERROR(VLOOKUP(--B260,'CATALOGO CECO'!$A$2:$H$550,2,FALSE),"CECO NO EXISTE"))</f>
        <v/>
      </c>
      <c r="H260" s="8">
        <f>IF(B260="","",IFERROR(VLOOKUP(--B260,'CATALOGO CECO'!$A$2:$H$550,3,FALSE),""))</f>
        <v/>
      </c>
      <c r="I260" s="8">
        <f>IF(B260="","",IFERROR(VLOOKUP(--B260,'CATALOGO CECO'!$A$2:$H$550,5,FALSE),""))</f>
        <v/>
      </c>
      <c r="J260" s="8">
        <f>IF(B260="","",IFERROR(VLOOKUP(--B260,'CATALOGO CECO'!$A$2:$H$550,8,FALSE),""))</f>
        <v/>
      </c>
      <c r="K260" s="8">
        <f>IF(COUNTA(A260:F260)=0,"",IF(OR(LEN(A260)&lt;&gt;7,MID(A260,5,1)&lt;&gt;"-",ISERROR(--LEFT(A260,4)),ISERROR(--RIGHT(A260,2))),"ERROR: PERIODO debe ser AAAA-MM",IF(B260="","ERROR: falta CODIGO CECO",IF(G260="CECO NO EXISTE","ERROR: CECO no existe en el catálogo",IF(C260="","ERROR: falta CUENTA",IF(ISERROR(--C260),"ERROR: CUENTA debe tener solo dígitos",IF(ISERROR(FIND(LEFT(C260,1),"567")),"ERROR: CUENTA fuera de las clases de costo",IF(NOT(ISNUMBER(E260)),"ERROR: VALOR debe ser numérico",IF(E260=0,"AVISO: valor cero (no se carga)",IF(J260&lt;&gt;"ACTIVO","NO SE CARGA: CECO en estado "&amp;J260,"OK"))))))))))</f>
        <v/>
      </c>
    </row>
    <row r="261">
      <c r="A261" s="5" t="n"/>
      <c r="B261" s="6" t="n"/>
      <c r="C261" s="5" t="n"/>
      <c r="D261" s="6" t="n"/>
      <c r="E261" s="7" t="n"/>
      <c r="F261" s="6" t="n"/>
      <c r="G261" s="8">
        <f>IF(B261="","",IFERROR(VLOOKUP(--B261,'CATALOGO CECO'!$A$2:$H$550,2,FALSE),"CECO NO EXISTE"))</f>
        <v/>
      </c>
      <c r="H261" s="8">
        <f>IF(B261="","",IFERROR(VLOOKUP(--B261,'CATALOGO CECO'!$A$2:$H$550,3,FALSE),""))</f>
        <v/>
      </c>
      <c r="I261" s="8">
        <f>IF(B261="","",IFERROR(VLOOKUP(--B261,'CATALOGO CECO'!$A$2:$H$550,5,FALSE),""))</f>
        <v/>
      </c>
      <c r="J261" s="8">
        <f>IF(B261="","",IFERROR(VLOOKUP(--B261,'CATALOGO CECO'!$A$2:$H$550,8,FALSE),""))</f>
        <v/>
      </c>
      <c r="K261" s="8">
        <f>IF(COUNTA(A261:F261)=0,"",IF(OR(LEN(A261)&lt;&gt;7,MID(A261,5,1)&lt;&gt;"-",ISERROR(--LEFT(A261,4)),ISERROR(--RIGHT(A261,2))),"ERROR: PERIODO debe ser AAAA-MM",IF(B261="","ERROR: falta CODIGO CECO",IF(G261="CECO NO EXISTE","ERROR: CECO no existe en el catálogo",IF(C261="","ERROR: falta CUENTA",IF(ISERROR(--C261),"ERROR: CUENTA debe tener solo dígitos",IF(ISERROR(FIND(LEFT(C261,1),"567")),"ERROR: CUENTA fuera de las clases de costo",IF(NOT(ISNUMBER(E261)),"ERROR: VALOR debe ser numérico",IF(E261=0,"AVISO: valor cero (no se carga)",IF(J261&lt;&gt;"ACTIVO","NO SE CARGA: CECO en estado "&amp;J261,"OK"))))))))))</f>
        <v/>
      </c>
    </row>
    <row r="262">
      <c r="A262" s="5" t="n"/>
      <c r="B262" s="6" t="n"/>
      <c r="C262" s="5" t="n"/>
      <c r="D262" s="6" t="n"/>
      <c r="E262" s="7" t="n"/>
      <c r="F262" s="6" t="n"/>
      <c r="G262" s="8">
        <f>IF(B262="","",IFERROR(VLOOKUP(--B262,'CATALOGO CECO'!$A$2:$H$550,2,FALSE),"CECO NO EXISTE"))</f>
        <v/>
      </c>
      <c r="H262" s="8">
        <f>IF(B262="","",IFERROR(VLOOKUP(--B262,'CATALOGO CECO'!$A$2:$H$550,3,FALSE),""))</f>
        <v/>
      </c>
      <c r="I262" s="8">
        <f>IF(B262="","",IFERROR(VLOOKUP(--B262,'CATALOGO CECO'!$A$2:$H$550,5,FALSE),""))</f>
        <v/>
      </c>
      <c r="J262" s="8">
        <f>IF(B262="","",IFERROR(VLOOKUP(--B262,'CATALOGO CECO'!$A$2:$H$550,8,FALSE),""))</f>
        <v/>
      </c>
      <c r="K262" s="8">
        <f>IF(COUNTA(A262:F262)=0,"",IF(OR(LEN(A262)&lt;&gt;7,MID(A262,5,1)&lt;&gt;"-",ISERROR(--LEFT(A262,4)),ISERROR(--RIGHT(A262,2))),"ERROR: PERIODO debe ser AAAA-MM",IF(B262="","ERROR: falta CODIGO CECO",IF(G262="CECO NO EXISTE","ERROR: CECO no existe en el catálogo",IF(C262="","ERROR: falta CUENTA",IF(ISERROR(--C262),"ERROR: CUENTA debe tener solo dígitos",IF(ISERROR(FIND(LEFT(C262,1),"567")),"ERROR: CUENTA fuera de las clases de costo",IF(NOT(ISNUMBER(E262)),"ERROR: VALOR debe ser numérico",IF(E262=0,"AVISO: valor cero (no se carga)",IF(J262&lt;&gt;"ACTIVO","NO SE CARGA: CECO en estado "&amp;J262,"OK"))))))))))</f>
        <v/>
      </c>
    </row>
    <row r="263">
      <c r="A263" s="5" t="n"/>
      <c r="B263" s="6" t="n"/>
      <c r="C263" s="5" t="n"/>
      <c r="D263" s="6" t="n"/>
      <c r="E263" s="7" t="n"/>
      <c r="F263" s="6" t="n"/>
      <c r="G263" s="8">
        <f>IF(B263="","",IFERROR(VLOOKUP(--B263,'CATALOGO CECO'!$A$2:$H$550,2,FALSE),"CECO NO EXISTE"))</f>
        <v/>
      </c>
      <c r="H263" s="8">
        <f>IF(B263="","",IFERROR(VLOOKUP(--B263,'CATALOGO CECO'!$A$2:$H$550,3,FALSE),""))</f>
        <v/>
      </c>
      <c r="I263" s="8">
        <f>IF(B263="","",IFERROR(VLOOKUP(--B263,'CATALOGO CECO'!$A$2:$H$550,5,FALSE),""))</f>
        <v/>
      </c>
      <c r="J263" s="8">
        <f>IF(B263="","",IFERROR(VLOOKUP(--B263,'CATALOGO CECO'!$A$2:$H$550,8,FALSE),""))</f>
        <v/>
      </c>
      <c r="K263" s="8">
        <f>IF(COUNTA(A263:F263)=0,"",IF(OR(LEN(A263)&lt;&gt;7,MID(A263,5,1)&lt;&gt;"-",ISERROR(--LEFT(A263,4)),ISERROR(--RIGHT(A263,2))),"ERROR: PERIODO debe ser AAAA-MM",IF(B263="","ERROR: falta CODIGO CECO",IF(G263="CECO NO EXISTE","ERROR: CECO no existe en el catálogo",IF(C263="","ERROR: falta CUENTA",IF(ISERROR(--C263),"ERROR: CUENTA debe tener solo dígitos",IF(ISERROR(FIND(LEFT(C263,1),"567")),"ERROR: CUENTA fuera de las clases de costo",IF(NOT(ISNUMBER(E263)),"ERROR: VALOR debe ser numérico",IF(E263=0,"AVISO: valor cero (no se carga)",IF(J263&lt;&gt;"ACTIVO","NO SE CARGA: CECO en estado "&amp;J263,"OK"))))))))))</f>
        <v/>
      </c>
    </row>
    <row r="264">
      <c r="A264" s="5" t="n"/>
      <c r="B264" s="6" t="n"/>
      <c r="C264" s="5" t="n"/>
      <c r="D264" s="6" t="n"/>
      <c r="E264" s="7" t="n"/>
      <c r="F264" s="6" t="n"/>
      <c r="G264" s="8">
        <f>IF(B264="","",IFERROR(VLOOKUP(--B264,'CATALOGO CECO'!$A$2:$H$550,2,FALSE),"CECO NO EXISTE"))</f>
        <v/>
      </c>
      <c r="H264" s="8">
        <f>IF(B264="","",IFERROR(VLOOKUP(--B264,'CATALOGO CECO'!$A$2:$H$550,3,FALSE),""))</f>
        <v/>
      </c>
      <c r="I264" s="8">
        <f>IF(B264="","",IFERROR(VLOOKUP(--B264,'CATALOGO CECO'!$A$2:$H$550,5,FALSE),""))</f>
        <v/>
      </c>
      <c r="J264" s="8">
        <f>IF(B264="","",IFERROR(VLOOKUP(--B264,'CATALOGO CECO'!$A$2:$H$550,8,FALSE),""))</f>
        <v/>
      </c>
      <c r="K264" s="8">
        <f>IF(COUNTA(A264:F264)=0,"",IF(OR(LEN(A264)&lt;&gt;7,MID(A264,5,1)&lt;&gt;"-",ISERROR(--LEFT(A264,4)),ISERROR(--RIGHT(A264,2))),"ERROR: PERIODO debe ser AAAA-MM",IF(B264="","ERROR: falta CODIGO CECO",IF(G264="CECO NO EXISTE","ERROR: CECO no existe en el catálogo",IF(C264="","ERROR: falta CUENTA",IF(ISERROR(--C264),"ERROR: CUENTA debe tener solo dígitos",IF(ISERROR(FIND(LEFT(C264,1),"567")),"ERROR: CUENTA fuera de las clases de costo",IF(NOT(ISNUMBER(E264)),"ERROR: VALOR debe ser numérico",IF(E264=0,"AVISO: valor cero (no se carga)",IF(J264&lt;&gt;"ACTIVO","NO SE CARGA: CECO en estado "&amp;J264,"OK"))))))))))</f>
        <v/>
      </c>
    </row>
    <row r="265">
      <c r="A265" s="5" t="n"/>
      <c r="B265" s="6" t="n"/>
      <c r="C265" s="5" t="n"/>
      <c r="D265" s="6" t="n"/>
      <c r="E265" s="7" t="n"/>
      <c r="F265" s="6" t="n"/>
      <c r="G265" s="8">
        <f>IF(B265="","",IFERROR(VLOOKUP(--B265,'CATALOGO CECO'!$A$2:$H$550,2,FALSE),"CECO NO EXISTE"))</f>
        <v/>
      </c>
      <c r="H265" s="8">
        <f>IF(B265="","",IFERROR(VLOOKUP(--B265,'CATALOGO CECO'!$A$2:$H$550,3,FALSE),""))</f>
        <v/>
      </c>
      <c r="I265" s="8">
        <f>IF(B265="","",IFERROR(VLOOKUP(--B265,'CATALOGO CECO'!$A$2:$H$550,5,FALSE),""))</f>
        <v/>
      </c>
      <c r="J265" s="8">
        <f>IF(B265="","",IFERROR(VLOOKUP(--B265,'CATALOGO CECO'!$A$2:$H$550,8,FALSE),""))</f>
        <v/>
      </c>
      <c r="K265" s="8">
        <f>IF(COUNTA(A265:F265)=0,"",IF(OR(LEN(A265)&lt;&gt;7,MID(A265,5,1)&lt;&gt;"-",ISERROR(--LEFT(A265,4)),ISERROR(--RIGHT(A265,2))),"ERROR: PERIODO debe ser AAAA-MM",IF(B265="","ERROR: falta CODIGO CECO",IF(G265="CECO NO EXISTE","ERROR: CECO no existe en el catálogo",IF(C265="","ERROR: falta CUENTA",IF(ISERROR(--C265),"ERROR: CUENTA debe tener solo dígitos",IF(ISERROR(FIND(LEFT(C265,1),"567")),"ERROR: CUENTA fuera de las clases de costo",IF(NOT(ISNUMBER(E265)),"ERROR: VALOR debe ser numérico",IF(E265=0,"AVISO: valor cero (no se carga)",IF(J265&lt;&gt;"ACTIVO","NO SE CARGA: CECO en estado "&amp;J265,"OK"))))))))))</f>
        <v/>
      </c>
    </row>
    <row r="266">
      <c r="A266" s="5" t="n"/>
      <c r="B266" s="6" t="n"/>
      <c r="C266" s="5" t="n"/>
      <c r="D266" s="6" t="n"/>
      <c r="E266" s="7" t="n"/>
      <c r="F266" s="6" t="n"/>
      <c r="G266" s="8">
        <f>IF(B266="","",IFERROR(VLOOKUP(--B266,'CATALOGO CECO'!$A$2:$H$550,2,FALSE),"CECO NO EXISTE"))</f>
        <v/>
      </c>
      <c r="H266" s="8">
        <f>IF(B266="","",IFERROR(VLOOKUP(--B266,'CATALOGO CECO'!$A$2:$H$550,3,FALSE),""))</f>
        <v/>
      </c>
      <c r="I266" s="8">
        <f>IF(B266="","",IFERROR(VLOOKUP(--B266,'CATALOGO CECO'!$A$2:$H$550,5,FALSE),""))</f>
        <v/>
      </c>
      <c r="J266" s="8">
        <f>IF(B266="","",IFERROR(VLOOKUP(--B266,'CATALOGO CECO'!$A$2:$H$550,8,FALSE),""))</f>
        <v/>
      </c>
      <c r="K266" s="8">
        <f>IF(COUNTA(A266:F266)=0,"",IF(OR(LEN(A266)&lt;&gt;7,MID(A266,5,1)&lt;&gt;"-",ISERROR(--LEFT(A266,4)),ISERROR(--RIGHT(A266,2))),"ERROR: PERIODO debe ser AAAA-MM",IF(B266="","ERROR: falta CODIGO CECO",IF(G266="CECO NO EXISTE","ERROR: CECO no existe en el catálogo",IF(C266="","ERROR: falta CUENTA",IF(ISERROR(--C266),"ERROR: CUENTA debe tener solo dígitos",IF(ISERROR(FIND(LEFT(C266,1),"567")),"ERROR: CUENTA fuera de las clases de costo",IF(NOT(ISNUMBER(E266)),"ERROR: VALOR debe ser numérico",IF(E266=0,"AVISO: valor cero (no se carga)",IF(J266&lt;&gt;"ACTIVO","NO SE CARGA: CECO en estado "&amp;J266,"OK"))))))))))</f>
        <v/>
      </c>
    </row>
    <row r="267">
      <c r="A267" s="5" t="n"/>
      <c r="B267" s="6" t="n"/>
      <c r="C267" s="5" t="n"/>
      <c r="D267" s="6" t="n"/>
      <c r="E267" s="7" t="n"/>
      <c r="F267" s="6" t="n"/>
      <c r="G267" s="8">
        <f>IF(B267="","",IFERROR(VLOOKUP(--B267,'CATALOGO CECO'!$A$2:$H$550,2,FALSE),"CECO NO EXISTE"))</f>
        <v/>
      </c>
      <c r="H267" s="8">
        <f>IF(B267="","",IFERROR(VLOOKUP(--B267,'CATALOGO CECO'!$A$2:$H$550,3,FALSE),""))</f>
        <v/>
      </c>
      <c r="I267" s="8">
        <f>IF(B267="","",IFERROR(VLOOKUP(--B267,'CATALOGO CECO'!$A$2:$H$550,5,FALSE),""))</f>
        <v/>
      </c>
      <c r="J267" s="8">
        <f>IF(B267="","",IFERROR(VLOOKUP(--B267,'CATALOGO CECO'!$A$2:$H$550,8,FALSE),""))</f>
        <v/>
      </c>
      <c r="K267" s="8">
        <f>IF(COUNTA(A267:F267)=0,"",IF(OR(LEN(A267)&lt;&gt;7,MID(A267,5,1)&lt;&gt;"-",ISERROR(--LEFT(A267,4)),ISERROR(--RIGHT(A267,2))),"ERROR: PERIODO debe ser AAAA-MM",IF(B267="","ERROR: falta CODIGO CECO",IF(G267="CECO NO EXISTE","ERROR: CECO no existe en el catálogo",IF(C267="","ERROR: falta CUENTA",IF(ISERROR(--C267),"ERROR: CUENTA debe tener solo dígitos",IF(ISERROR(FIND(LEFT(C267,1),"567")),"ERROR: CUENTA fuera de las clases de costo",IF(NOT(ISNUMBER(E267)),"ERROR: VALOR debe ser numérico",IF(E267=0,"AVISO: valor cero (no se carga)",IF(J267&lt;&gt;"ACTIVO","NO SE CARGA: CECO en estado "&amp;J267,"OK"))))))))))</f>
        <v/>
      </c>
    </row>
    <row r="268">
      <c r="A268" s="5" t="n"/>
      <c r="B268" s="6" t="n"/>
      <c r="C268" s="5" t="n"/>
      <c r="D268" s="6" t="n"/>
      <c r="E268" s="7" t="n"/>
      <c r="F268" s="6" t="n"/>
      <c r="G268" s="8">
        <f>IF(B268="","",IFERROR(VLOOKUP(--B268,'CATALOGO CECO'!$A$2:$H$550,2,FALSE),"CECO NO EXISTE"))</f>
        <v/>
      </c>
      <c r="H268" s="8">
        <f>IF(B268="","",IFERROR(VLOOKUP(--B268,'CATALOGO CECO'!$A$2:$H$550,3,FALSE),""))</f>
        <v/>
      </c>
      <c r="I268" s="8">
        <f>IF(B268="","",IFERROR(VLOOKUP(--B268,'CATALOGO CECO'!$A$2:$H$550,5,FALSE),""))</f>
        <v/>
      </c>
      <c r="J268" s="8">
        <f>IF(B268="","",IFERROR(VLOOKUP(--B268,'CATALOGO CECO'!$A$2:$H$550,8,FALSE),""))</f>
        <v/>
      </c>
      <c r="K268" s="8">
        <f>IF(COUNTA(A268:F268)=0,"",IF(OR(LEN(A268)&lt;&gt;7,MID(A268,5,1)&lt;&gt;"-",ISERROR(--LEFT(A268,4)),ISERROR(--RIGHT(A268,2))),"ERROR: PERIODO debe ser AAAA-MM",IF(B268="","ERROR: falta CODIGO CECO",IF(G268="CECO NO EXISTE","ERROR: CECO no existe en el catálogo",IF(C268="","ERROR: falta CUENTA",IF(ISERROR(--C268),"ERROR: CUENTA debe tener solo dígitos",IF(ISERROR(FIND(LEFT(C268,1),"567")),"ERROR: CUENTA fuera de las clases de costo",IF(NOT(ISNUMBER(E268)),"ERROR: VALOR debe ser numérico",IF(E268=0,"AVISO: valor cero (no se carga)",IF(J268&lt;&gt;"ACTIVO","NO SE CARGA: CECO en estado "&amp;J268,"OK"))))))))))</f>
        <v/>
      </c>
    </row>
    <row r="269">
      <c r="A269" s="5" t="n"/>
      <c r="B269" s="6" t="n"/>
      <c r="C269" s="5" t="n"/>
      <c r="D269" s="6" t="n"/>
      <c r="E269" s="7" t="n"/>
      <c r="F269" s="6" t="n"/>
      <c r="G269" s="8">
        <f>IF(B269="","",IFERROR(VLOOKUP(--B269,'CATALOGO CECO'!$A$2:$H$550,2,FALSE),"CECO NO EXISTE"))</f>
        <v/>
      </c>
      <c r="H269" s="8">
        <f>IF(B269="","",IFERROR(VLOOKUP(--B269,'CATALOGO CECO'!$A$2:$H$550,3,FALSE),""))</f>
        <v/>
      </c>
      <c r="I269" s="8">
        <f>IF(B269="","",IFERROR(VLOOKUP(--B269,'CATALOGO CECO'!$A$2:$H$550,5,FALSE),""))</f>
        <v/>
      </c>
      <c r="J269" s="8">
        <f>IF(B269="","",IFERROR(VLOOKUP(--B269,'CATALOGO CECO'!$A$2:$H$550,8,FALSE),""))</f>
        <v/>
      </c>
      <c r="K269" s="8">
        <f>IF(COUNTA(A269:F269)=0,"",IF(OR(LEN(A269)&lt;&gt;7,MID(A269,5,1)&lt;&gt;"-",ISERROR(--LEFT(A269,4)),ISERROR(--RIGHT(A269,2))),"ERROR: PERIODO debe ser AAAA-MM",IF(B269="","ERROR: falta CODIGO CECO",IF(G269="CECO NO EXISTE","ERROR: CECO no existe en el catálogo",IF(C269="","ERROR: falta CUENTA",IF(ISERROR(--C269),"ERROR: CUENTA debe tener solo dígitos",IF(ISERROR(FIND(LEFT(C269,1),"567")),"ERROR: CUENTA fuera de las clases de costo",IF(NOT(ISNUMBER(E269)),"ERROR: VALOR debe ser numérico",IF(E269=0,"AVISO: valor cero (no se carga)",IF(J269&lt;&gt;"ACTIVO","NO SE CARGA: CECO en estado "&amp;J269,"OK"))))))))))</f>
        <v/>
      </c>
    </row>
    <row r="270">
      <c r="A270" s="5" t="n"/>
      <c r="B270" s="6" t="n"/>
      <c r="C270" s="5" t="n"/>
      <c r="D270" s="6" t="n"/>
      <c r="E270" s="7" t="n"/>
      <c r="F270" s="6" t="n"/>
      <c r="G270" s="8">
        <f>IF(B270="","",IFERROR(VLOOKUP(--B270,'CATALOGO CECO'!$A$2:$H$550,2,FALSE),"CECO NO EXISTE"))</f>
        <v/>
      </c>
      <c r="H270" s="8">
        <f>IF(B270="","",IFERROR(VLOOKUP(--B270,'CATALOGO CECO'!$A$2:$H$550,3,FALSE),""))</f>
        <v/>
      </c>
      <c r="I270" s="8">
        <f>IF(B270="","",IFERROR(VLOOKUP(--B270,'CATALOGO CECO'!$A$2:$H$550,5,FALSE),""))</f>
        <v/>
      </c>
      <c r="J270" s="8">
        <f>IF(B270="","",IFERROR(VLOOKUP(--B270,'CATALOGO CECO'!$A$2:$H$550,8,FALSE),""))</f>
        <v/>
      </c>
      <c r="K270" s="8">
        <f>IF(COUNTA(A270:F270)=0,"",IF(OR(LEN(A270)&lt;&gt;7,MID(A270,5,1)&lt;&gt;"-",ISERROR(--LEFT(A270,4)),ISERROR(--RIGHT(A270,2))),"ERROR: PERIODO debe ser AAAA-MM",IF(B270="","ERROR: falta CODIGO CECO",IF(G270="CECO NO EXISTE","ERROR: CECO no existe en el catálogo",IF(C270="","ERROR: falta CUENTA",IF(ISERROR(--C270),"ERROR: CUENTA debe tener solo dígitos",IF(ISERROR(FIND(LEFT(C270,1),"567")),"ERROR: CUENTA fuera de las clases de costo",IF(NOT(ISNUMBER(E270)),"ERROR: VALOR debe ser numérico",IF(E270=0,"AVISO: valor cero (no se carga)",IF(J270&lt;&gt;"ACTIVO","NO SE CARGA: CECO en estado "&amp;J270,"OK"))))))))))</f>
        <v/>
      </c>
    </row>
    <row r="271">
      <c r="A271" s="5" t="n"/>
      <c r="B271" s="6" t="n"/>
      <c r="C271" s="5" t="n"/>
      <c r="D271" s="6" t="n"/>
      <c r="E271" s="7" t="n"/>
      <c r="F271" s="6" t="n"/>
      <c r="G271" s="8">
        <f>IF(B271="","",IFERROR(VLOOKUP(--B271,'CATALOGO CECO'!$A$2:$H$550,2,FALSE),"CECO NO EXISTE"))</f>
        <v/>
      </c>
      <c r="H271" s="8">
        <f>IF(B271="","",IFERROR(VLOOKUP(--B271,'CATALOGO CECO'!$A$2:$H$550,3,FALSE),""))</f>
        <v/>
      </c>
      <c r="I271" s="8">
        <f>IF(B271="","",IFERROR(VLOOKUP(--B271,'CATALOGO CECO'!$A$2:$H$550,5,FALSE),""))</f>
        <v/>
      </c>
      <c r="J271" s="8">
        <f>IF(B271="","",IFERROR(VLOOKUP(--B271,'CATALOGO CECO'!$A$2:$H$550,8,FALSE),""))</f>
        <v/>
      </c>
      <c r="K271" s="8">
        <f>IF(COUNTA(A271:F271)=0,"",IF(OR(LEN(A271)&lt;&gt;7,MID(A271,5,1)&lt;&gt;"-",ISERROR(--LEFT(A271,4)),ISERROR(--RIGHT(A271,2))),"ERROR: PERIODO debe ser AAAA-MM",IF(B271="","ERROR: falta CODIGO CECO",IF(G271="CECO NO EXISTE","ERROR: CECO no existe en el catálogo",IF(C271="","ERROR: falta CUENTA",IF(ISERROR(--C271),"ERROR: CUENTA debe tener solo dígitos",IF(ISERROR(FIND(LEFT(C271,1),"567")),"ERROR: CUENTA fuera de las clases de costo",IF(NOT(ISNUMBER(E271)),"ERROR: VALOR debe ser numérico",IF(E271=0,"AVISO: valor cero (no se carga)",IF(J271&lt;&gt;"ACTIVO","NO SE CARGA: CECO en estado "&amp;J271,"OK"))))))))))</f>
        <v/>
      </c>
    </row>
    <row r="272">
      <c r="A272" s="5" t="n"/>
      <c r="B272" s="6" t="n"/>
      <c r="C272" s="5" t="n"/>
      <c r="D272" s="6" t="n"/>
      <c r="E272" s="7" t="n"/>
      <c r="F272" s="6" t="n"/>
      <c r="G272" s="8">
        <f>IF(B272="","",IFERROR(VLOOKUP(--B272,'CATALOGO CECO'!$A$2:$H$550,2,FALSE),"CECO NO EXISTE"))</f>
        <v/>
      </c>
      <c r="H272" s="8">
        <f>IF(B272="","",IFERROR(VLOOKUP(--B272,'CATALOGO CECO'!$A$2:$H$550,3,FALSE),""))</f>
        <v/>
      </c>
      <c r="I272" s="8">
        <f>IF(B272="","",IFERROR(VLOOKUP(--B272,'CATALOGO CECO'!$A$2:$H$550,5,FALSE),""))</f>
        <v/>
      </c>
      <c r="J272" s="8">
        <f>IF(B272="","",IFERROR(VLOOKUP(--B272,'CATALOGO CECO'!$A$2:$H$550,8,FALSE),""))</f>
        <v/>
      </c>
      <c r="K272" s="8">
        <f>IF(COUNTA(A272:F272)=0,"",IF(OR(LEN(A272)&lt;&gt;7,MID(A272,5,1)&lt;&gt;"-",ISERROR(--LEFT(A272,4)),ISERROR(--RIGHT(A272,2))),"ERROR: PERIODO debe ser AAAA-MM",IF(B272="","ERROR: falta CODIGO CECO",IF(G272="CECO NO EXISTE","ERROR: CECO no existe en el catálogo",IF(C272="","ERROR: falta CUENTA",IF(ISERROR(--C272),"ERROR: CUENTA debe tener solo dígitos",IF(ISERROR(FIND(LEFT(C272,1),"567")),"ERROR: CUENTA fuera de las clases de costo",IF(NOT(ISNUMBER(E272)),"ERROR: VALOR debe ser numérico",IF(E272=0,"AVISO: valor cero (no se carga)",IF(J272&lt;&gt;"ACTIVO","NO SE CARGA: CECO en estado "&amp;J272,"OK"))))))))))</f>
        <v/>
      </c>
    </row>
    <row r="273">
      <c r="A273" s="5" t="n"/>
      <c r="B273" s="6" t="n"/>
      <c r="C273" s="5" t="n"/>
      <c r="D273" s="6" t="n"/>
      <c r="E273" s="7" t="n"/>
      <c r="F273" s="6" t="n"/>
      <c r="G273" s="8">
        <f>IF(B273="","",IFERROR(VLOOKUP(--B273,'CATALOGO CECO'!$A$2:$H$550,2,FALSE),"CECO NO EXISTE"))</f>
        <v/>
      </c>
      <c r="H273" s="8">
        <f>IF(B273="","",IFERROR(VLOOKUP(--B273,'CATALOGO CECO'!$A$2:$H$550,3,FALSE),""))</f>
        <v/>
      </c>
      <c r="I273" s="8">
        <f>IF(B273="","",IFERROR(VLOOKUP(--B273,'CATALOGO CECO'!$A$2:$H$550,5,FALSE),""))</f>
        <v/>
      </c>
      <c r="J273" s="8">
        <f>IF(B273="","",IFERROR(VLOOKUP(--B273,'CATALOGO CECO'!$A$2:$H$550,8,FALSE),""))</f>
        <v/>
      </c>
      <c r="K273" s="8">
        <f>IF(COUNTA(A273:F273)=0,"",IF(OR(LEN(A273)&lt;&gt;7,MID(A273,5,1)&lt;&gt;"-",ISERROR(--LEFT(A273,4)),ISERROR(--RIGHT(A273,2))),"ERROR: PERIODO debe ser AAAA-MM",IF(B273="","ERROR: falta CODIGO CECO",IF(G273="CECO NO EXISTE","ERROR: CECO no existe en el catálogo",IF(C273="","ERROR: falta CUENTA",IF(ISERROR(--C273),"ERROR: CUENTA debe tener solo dígitos",IF(ISERROR(FIND(LEFT(C273,1),"567")),"ERROR: CUENTA fuera de las clases de costo",IF(NOT(ISNUMBER(E273)),"ERROR: VALOR debe ser numérico",IF(E273=0,"AVISO: valor cero (no se carga)",IF(J273&lt;&gt;"ACTIVO","NO SE CARGA: CECO en estado "&amp;J273,"OK"))))))))))</f>
        <v/>
      </c>
    </row>
    <row r="274">
      <c r="A274" s="5" t="n"/>
      <c r="B274" s="6" t="n"/>
      <c r="C274" s="5" t="n"/>
      <c r="D274" s="6" t="n"/>
      <c r="E274" s="7" t="n"/>
      <c r="F274" s="6" t="n"/>
      <c r="G274" s="8">
        <f>IF(B274="","",IFERROR(VLOOKUP(--B274,'CATALOGO CECO'!$A$2:$H$550,2,FALSE),"CECO NO EXISTE"))</f>
        <v/>
      </c>
      <c r="H274" s="8">
        <f>IF(B274="","",IFERROR(VLOOKUP(--B274,'CATALOGO CECO'!$A$2:$H$550,3,FALSE),""))</f>
        <v/>
      </c>
      <c r="I274" s="8">
        <f>IF(B274="","",IFERROR(VLOOKUP(--B274,'CATALOGO CECO'!$A$2:$H$550,5,FALSE),""))</f>
        <v/>
      </c>
      <c r="J274" s="8">
        <f>IF(B274="","",IFERROR(VLOOKUP(--B274,'CATALOGO CECO'!$A$2:$H$550,8,FALSE),""))</f>
        <v/>
      </c>
      <c r="K274" s="8">
        <f>IF(COUNTA(A274:F274)=0,"",IF(OR(LEN(A274)&lt;&gt;7,MID(A274,5,1)&lt;&gt;"-",ISERROR(--LEFT(A274,4)),ISERROR(--RIGHT(A274,2))),"ERROR: PERIODO debe ser AAAA-MM",IF(B274="","ERROR: falta CODIGO CECO",IF(G274="CECO NO EXISTE","ERROR: CECO no existe en el catálogo",IF(C274="","ERROR: falta CUENTA",IF(ISERROR(--C274),"ERROR: CUENTA debe tener solo dígitos",IF(ISERROR(FIND(LEFT(C274,1),"567")),"ERROR: CUENTA fuera de las clases de costo",IF(NOT(ISNUMBER(E274)),"ERROR: VALOR debe ser numérico",IF(E274=0,"AVISO: valor cero (no se carga)",IF(J274&lt;&gt;"ACTIVO","NO SE CARGA: CECO en estado "&amp;J274,"OK"))))))))))</f>
        <v/>
      </c>
    </row>
    <row r="275">
      <c r="A275" s="5" t="n"/>
      <c r="B275" s="6" t="n"/>
      <c r="C275" s="5" t="n"/>
      <c r="D275" s="6" t="n"/>
      <c r="E275" s="7" t="n"/>
      <c r="F275" s="6" t="n"/>
      <c r="G275" s="8">
        <f>IF(B275="","",IFERROR(VLOOKUP(--B275,'CATALOGO CECO'!$A$2:$H$550,2,FALSE),"CECO NO EXISTE"))</f>
        <v/>
      </c>
      <c r="H275" s="8">
        <f>IF(B275="","",IFERROR(VLOOKUP(--B275,'CATALOGO CECO'!$A$2:$H$550,3,FALSE),""))</f>
        <v/>
      </c>
      <c r="I275" s="8">
        <f>IF(B275="","",IFERROR(VLOOKUP(--B275,'CATALOGO CECO'!$A$2:$H$550,5,FALSE),""))</f>
        <v/>
      </c>
      <c r="J275" s="8">
        <f>IF(B275="","",IFERROR(VLOOKUP(--B275,'CATALOGO CECO'!$A$2:$H$550,8,FALSE),""))</f>
        <v/>
      </c>
      <c r="K275" s="8">
        <f>IF(COUNTA(A275:F275)=0,"",IF(OR(LEN(A275)&lt;&gt;7,MID(A275,5,1)&lt;&gt;"-",ISERROR(--LEFT(A275,4)),ISERROR(--RIGHT(A275,2))),"ERROR: PERIODO debe ser AAAA-MM",IF(B275="","ERROR: falta CODIGO CECO",IF(G275="CECO NO EXISTE","ERROR: CECO no existe en el catálogo",IF(C275="","ERROR: falta CUENTA",IF(ISERROR(--C275),"ERROR: CUENTA debe tener solo dígitos",IF(ISERROR(FIND(LEFT(C275,1),"567")),"ERROR: CUENTA fuera de las clases de costo",IF(NOT(ISNUMBER(E275)),"ERROR: VALOR debe ser numérico",IF(E275=0,"AVISO: valor cero (no se carga)",IF(J275&lt;&gt;"ACTIVO","NO SE CARGA: CECO en estado "&amp;J275,"OK"))))))))))</f>
        <v/>
      </c>
    </row>
    <row r="276">
      <c r="A276" s="5" t="n"/>
      <c r="B276" s="6" t="n"/>
      <c r="C276" s="5" t="n"/>
      <c r="D276" s="6" t="n"/>
      <c r="E276" s="7" t="n"/>
      <c r="F276" s="6" t="n"/>
      <c r="G276" s="8">
        <f>IF(B276="","",IFERROR(VLOOKUP(--B276,'CATALOGO CECO'!$A$2:$H$550,2,FALSE),"CECO NO EXISTE"))</f>
        <v/>
      </c>
      <c r="H276" s="8">
        <f>IF(B276="","",IFERROR(VLOOKUP(--B276,'CATALOGO CECO'!$A$2:$H$550,3,FALSE),""))</f>
        <v/>
      </c>
      <c r="I276" s="8">
        <f>IF(B276="","",IFERROR(VLOOKUP(--B276,'CATALOGO CECO'!$A$2:$H$550,5,FALSE),""))</f>
        <v/>
      </c>
      <c r="J276" s="8">
        <f>IF(B276="","",IFERROR(VLOOKUP(--B276,'CATALOGO CECO'!$A$2:$H$550,8,FALSE),""))</f>
        <v/>
      </c>
      <c r="K276" s="8">
        <f>IF(COUNTA(A276:F276)=0,"",IF(OR(LEN(A276)&lt;&gt;7,MID(A276,5,1)&lt;&gt;"-",ISERROR(--LEFT(A276,4)),ISERROR(--RIGHT(A276,2))),"ERROR: PERIODO debe ser AAAA-MM",IF(B276="","ERROR: falta CODIGO CECO",IF(G276="CECO NO EXISTE","ERROR: CECO no existe en el catálogo",IF(C276="","ERROR: falta CUENTA",IF(ISERROR(--C276),"ERROR: CUENTA debe tener solo dígitos",IF(ISERROR(FIND(LEFT(C276,1),"567")),"ERROR: CUENTA fuera de las clases de costo",IF(NOT(ISNUMBER(E276)),"ERROR: VALOR debe ser numérico",IF(E276=0,"AVISO: valor cero (no se carga)",IF(J276&lt;&gt;"ACTIVO","NO SE CARGA: CECO en estado "&amp;J276,"OK"))))))))))</f>
        <v/>
      </c>
    </row>
    <row r="277">
      <c r="A277" s="5" t="n"/>
      <c r="B277" s="6" t="n"/>
      <c r="C277" s="5" t="n"/>
      <c r="D277" s="6" t="n"/>
      <c r="E277" s="7" t="n"/>
      <c r="F277" s="6" t="n"/>
      <c r="G277" s="8">
        <f>IF(B277="","",IFERROR(VLOOKUP(--B277,'CATALOGO CECO'!$A$2:$H$550,2,FALSE),"CECO NO EXISTE"))</f>
        <v/>
      </c>
      <c r="H277" s="8">
        <f>IF(B277="","",IFERROR(VLOOKUP(--B277,'CATALOGO CECO'!$A$2:$H$550,3,FALSE),""))</f>
        <v/>
      </c>
      <c r="I277" s="8">
        <f>IF(B277="","",IFERROR(VLOOKUP(--B277,'CATALOGO CECO'!$A$2:$H$550,5,FALSE),""))</f>
        <v/>
      </c>
      <c r="J277" s="8">
        <f>IF(B277="","",IFERROR(VLOOKUP(--B277,'CATALOGO CECO'!$A$2:$H$550,8,FALSE),""))</f>
        <v/>
      </c>
      <c r="K277" s="8">
        <f>IF(COUNTA(A277:F277)=0,"",IF(OR(LEN(A277)&lt;&gt;7,MID(A277,5,1)&lt;&gt;"-",ISERROR(--LEFT(A277,4)),ISERROR(--RIGHT(A277,2))),"ERROR: PERIODO debe ser AAAA-MM",IF(B277="","ERROR: falta CODIGO CECO",IF(G277="CECO NO EXISTE","ERROR: CECO no existe en el catálogo",IF(C277="","ERROR: falta CUENTA",IF(ISERROR(--C277),"ERROR: CUENTA debe tener solo dígitos",IF(ISERROR(FIND(LEFT(C277,1),"567")),"ERROR: CUENTA fuera de las clases de costo",IF(NOT(ISNUMBER(E277)),"ERROR: VALOR debe ser numérico",IF(E277=0,"AVISO: valor cero (no se carga)",IF(J277&lt;&gt;"ACTIVO","NO SE CARGA: CECO en estado "&amp;J277,"OK"))))))))))</f>
        <v/>
      </c>
    </row>
    <row r="278">
      <c r="A278" s="5" t="n"/>
      <c r="B278" s="6" t="n"/>
      <c r="C278" s="5" t="n"/>
      <c r="D278" s="6" t="n"/>
      <c r="E278" s="7" t="n"/>
      <c r="F278" s="6" t="n"/>
      <c r="G278" s="8">
        <f>IF(B278="","",IFERROR(VLOOKUP(--B278,'CATALOGO CECO'!$A$2:$H$550,2,FALSE),"CECO NO EXISTE"))</f>
        <v/>
      </c>
      <c r="H278" s="8">
        <f>IF(B278="","",IFERROR(VLOOKUP(--B278,'CATALOGO CECO'!$A$2:$H$550,3,FALSE),""))</f>
        <v/>
      </c>
      <c r="I278" s="8">
        <f>IF(B278="","",IFERROR(VLOOKUP(--B278,'CATALOGO CECO'!$A$2:$H$550,5,FALSE),""))</f>
        <v/>
      </c>
      <c r="J278" s="8">
        <f>IF(B278="","",IFERROR(VLOOKUP(--B278,'CATALOGO CECO'!$A$2:$H$550,8,FALSE),""))</f>
        <v/>
      </c>
      <c r="K278" s="8">
        <f>IF(COUNTA(A278:F278)=0,"",IF(OR(LEN(A278)&lt;&gt;7,MID(A278,5,1)&lt;&gt;"-",ISERROR(--LEFT(A278,4)),ISERROR(--RIGHT(A278,2))),"ERROR: PERIODO debe ser AAAA-MM",IF(B278="","ERROR: falta CODIGO CECO",IF(G278="CECO NO EXISTE","ERROR: CECO no existe en el catálogo",IF(C278="","ERROR: falta CUENTA",IF(ISERROR(--C278),"ERROR: CUENTA debe tener solo dígitos",IF(ISERROR(FIND(LEFT(C278,1),"567")),"ERROR: CUENTA fuera de las clases de costo",IF(NOT(ISNUMBER(E278)),"ERROR: VALOR debe ser numérico",IF(E278=0,"AVISO: valor cero (no se carga)",IF(J278&lt;&gt;"ACTIVO","NO SE CARGA: CECO en estado "&amp;J278,"OK"))))))))))</f>
        <v/>
      </c>
    </row>
    <row r="279">
      <c r="A279" s="5" t="n"/>
      <c r="B279" s="6" t="n"/>
      <c r="C279" s="5" t="n"/>
      <c r="D279" s="6" t="n"/>
      <c r="E279" s="7" t="n"/>
      <c r="F279" s="6" t="n"/>
      <c r="G279" s="8">
        <f>IF(B279="","",IFERROR(VLOOKUP(--B279,'CATALOGO CECO'!$A$2:$H$550,2,FALSE),"CECO NO EXISTE"))</f>
        <v/>
      </c>
      <c r="H279" s="8">
        <f>IF(B279="","",IFERROR(VLOOKUP(--B279,'CATALOGO CECO'!$A$2:$H$550,3,FALSE),""))</f>
        <v/>
      </c>
      <c r="I279" s="8">
        <f>IF(B279="","",IFERROR(VLOOKUP(--B279,'CATALOGO CECO'!$A$2:$H$550,5,FALSE),""))</f>
        <v/>
      </c>
      <c r="J279" s="8">
        <f>IF(B279="","",IFERROR(VLOOKUP(--B279,'CATALOGO CECO'!$A$2:$H$550,8,FALSE),""))</f>
        <v/>
      </c>
      <c r="K279" s="8">
        <f>IF(COUNTA(A279:F279)=0,"",IF(OR(LEN(A279)&lt;&gt;7,MID(A279,5,1)&lt;&gt;"-",ISERROR(--LEFT(A279,4)),ISERROR(--RIGHT(A279,2))),"ERROR: PERIODO debe ser AAAA-MM",IF(B279="","ERROR: falta CODIGO CECO",IF(G279="CECO NO EXISTE","ERROR: CECO no existe en el catálogo",IF(C279="","ERROR: falta CUENTA",IF(ISERROR(--C279),"ERROR: CUENTA debe tener solo dígitos",IF(ISERROR(FIND(LEFT(C279,1),"567")),"ERROR: CUENTA fuera de las clases de costo",IF(NOT(ISNUMBER(E279)),"ERROR: VALOR debe ser numérico",IF(E279=0,"AVISO: valor cero (no se carga)",IF(J279&lt;&gt;"ACTIVO","NO SE CARGA: CECO en estado "&amp;J279,"OK"))))))))))</f>
        <v/>
      </c>
    </row>
    <row r="280">
      <c r="A280" s="5" t="n"/>
      <c r="B280" s="6" t="n"/>
      <c r="C280" s="5" t="n"/>
      <c r="D280" s="6" t="n"/>
      <c r="E280" s="7" t="n"/>
      <c r="F280" s="6" t="n"/>
      <c r="G280" s="8">
        <f>IF(B280="","",IFERROR(VLOOKUP(--B280,'CATALOGO CECO'!$A$2:$H$550,2,FALSE),"CECO NO EXISTE"))</f>
        <v/>
      </c>
      <c r="H280" s="8">
        <f>IF(B280="","",IFERROR(VLOOKUP(--B280,'CATALOGO CECO'!$A$2:$H$550,3,FALSE),""))</f>
        <v/>
      </c>
      <c r="I280" s="8">
        <f>IF(B280="","",IFERROR(VLOOKUP(--B280,'CATALOGO CECO'!$A$2:$H$550,5,FALSE),""))</f>
        <v/>
      </c>
      <c r="J280" s="8">
        <f>IF(B280="","",IFERROR(VLOOKUP(--B280,'CATALOGO CECO'!$A$2:$H$550,8,FALSE),""))</f>
        <v/>
      </c>
      <c r="K280" s="8">
        <f>IF(COUNTA(A280:F280)=0,"",IF(OR(LEN(A280)&lt;&gt;7,MID(A280,5,1)&lt;&gt;"-",ISERROR(--LEFT(A280,4)),ISERROR(--RIGHT(A280,2))),"ERROR: PERIODO debe ser AAAA-MM",IF(B280="","ERROR: falta CODIGO CECO",IF(G280="CECO NO EXISTE","ERROR: CECO no existe en el catálogo",IF(C280="","ERROR: falta CUENTA",IF(ISERROR(--C280),"ERROR: CUENTA debe tener solo dígitos",IF(ISERROR(FIND(LEFT(C280,1),"567")),"ERROR: CUENTA fuera de las clases de costo",IF(NOT(ISNUMBER(E280)),"ERROR: VALOR debe ser numérico",IF(E280=0,"AVISO: valor cero (no se carga)",IF(J280&lt;&gt;"ACTIVO","NO SE CARGA: CECO en estado "&amp;J280,"OK"))))))))))</f>
        <v/>
      </c>
    </row>
    <row r="281">
      <c r="A281" s="5" t="n"/>
      <c r="B281" s="6" t="n"/>
      <c r="C281" s="5" t="n"/>
      <c r="D281" s="6" t="n"/>
      <c r="E281" s="7" t="n"/>
      <c r="F281" s="6" t="n"/>
      <c r="G281" s="8">
        <f>IF(B281="","",IFERROR(VLOOKUP(--B281,'CATALOGO CECO'!$A$2:$H$550,2,FALSE),"CECO NO EXISTE"))</f>
        <v/>
      </c>
      <c r="H281" s="8">
        <f>IF(B281="","",IFERROR(VLOOKUP(--B281,'CATALOGO CECO'!$A$2:$H$550,3,FALSE),""))</f>
        <v/>
      </c>
      <c r="I281" s="8">
        <f>IF(B281="","",IFERROR(VLOOKUP(--B281,'CATALOGO CECO'!$A$2:$H$550,5,FALSE),""))</f>
        <v/>
      </c>
      <c r="J281" s="8">
        <f>IF(B281="","",IFERROR(VLOOKUP(--B281,'CATALOGO CECO'!$A$2:$H$550,8,FALSE),""))</f>
        <v/>
      </c>
      <c r="K281" s="8">
        <f>IF(COUNTA(A281:F281)=0,"",IF(OR(LEN(A281)&lt;&gt;7,MID(A281,5,1)&lt;&gt;"-",ISERROR(--LEFT(A281,4)),ISERROR(--RIGHT(A281,2))),"ERROR: PERIODO debe ser AAAA-MM",IF(B281="","ERROR: falta CODIGO CECO",IF(G281="CECO NO EXISTE","ERROR: CECO no existe en el catálogo",IF(C281="","ERROR: falta CUENTA",IF(ISERROR(--C281),"ERROR: CUENTA debe tener solo dígitos",IF(ISERROR(FIND(LEFT(C281,1),"567")),"ERROR: CUENTA fuera de las clases de costo",IF(NOT(ISNUMBER(E281)),"ERROR: VALOR debe ser numérico",IF(E281=0,"AVISO: valor cero (no se carga)",IF(J281&lt;&gt;"ACTIVO","NO SE CARGA: CECO en estado "&amp;J281,"OK"))))))))))</f>
        <v/>
      </c>
    </row>
    <row r="282">
      <c r="A282" s="5" t="n"/>
      <c r="B282" s="6" t="n"/>
      <c r="C282" s="5" t="n"/>
      <c r="D282" s="6" t="n"/>
      <c r="E282" s="7" t="n"/>
      <c r="F282" s="6" t="n"/>
      <c r="G282" s="8">
        <f>IF(B282="","",IFERROR(VLOOKUP(--B282,'CATALOGO CECO'!$A$2:$H$550,2,FALSE),"CECO NO EXISTE"))</f>
        <v/>
      </c>
      <c r="H282" s="8">
        <f>IF(B282="","",IFERROR(VLOOKUP(--B282,'CATALOGO CECO'!$A$2:$H$550,3,FALSE),""))</f>
        <v/>
      </c>
      <c r="I282" s="8">
        <f>IF(B282="","",IFERROR(VLOOKUP(--B282,'CATALOGO CECO'!$A$2:$H$550,5,FALSE),""))</f>
        <v/>
      </c>
      <c r="J282" s="8">
        <f>IF(B282="","",IFERROR(VLOOKUP(--B282,'CATALOGO CECO'!$A$2:$H$550,8,FALSE),""))</f>
        <v/>
      </c>
      <c r="K282" s="8">
        <f>IF(COUNTA(A282:F282)=0,"",IF(OR(LEN(A282)&lt;&gt;7,MID(A282,5,1)&lt;&gt;"-",ISERROR(--LEFT(A282,4)),ISERROR(--RIGHT(A282,2))),"ERROR: PERIODO debe ser AAAA-MM",IF(B282="","ERROR: falta CODIGO CECO",IF(G282="CECO NO EXISTE","ERROR: CECO no existe en el catálogo",IF(C282="","ERROR: falta CUENTA",IF(ISERROR(--C282),"ERROR: CUENTA debe tener solo dígitos",IF(ISERROR(FIND(LEFT(C282,1),"567")),"ERROR: CUENTA fuera de las clases de costo",IF(NOT(ISNUMBER(E282)),"ERROR: VALOR debe ser numérico",IF(E282=0,"AVISO: valor cero (no se carga)",IF(J282&lt;&gt;"ACTIVO","NO SE CARGA: CECO en estado "&amp;J282,"OK"))))))))))</f>
        <v/>
      </c>
    </row>
    <row r="283">
      <c r="A283" s="5" t="n"/>
      <c r="B283" s="6" t="n"/>
      <c r="C283" s="5" t="n"/>
      <c r="D283" s="6" t="n"/>
      <c r="E283" s="7" t="n"/>
      <c r="F283" s="6" t="n"/>
      <c r="G283" s="8">
        <f>IF(B283="","",IFERROR(VLOOKUP(--B283,'CATALOGO CECO'!$A$2:$H$550,2,FALSE),"CECO NO EXISTE"))</f>
        <v/>
      </c>
      <c r="H283" s="8">
        <f>IF(B283="","",IFERROR(VLOOKUP(--B283,'CATALOGO CECO'!$A$2:$H$550,3,FALSE),""))</f>
        <v/>
      </c>
      <c r="I283" s="8">
        <f>IF(B283="","",IFERROR(VLOOKUP(--B283,'CATALOGO CECO'!$A$2:$H$550,5,FALSE),""))</f>
        <v/>
      </c>
      <c r="J283" s="8">
        <f>IF(B283="","",IFERROR(VLOOKUP(--B283,'CATALOGO CECO'!$A$2:$H$550,8,FALSE),""))</f>
        <v/>
      </c>
      <c r="K283" s="8">
        <f>IF(COUNTA(A283:F283)=0,"",IF(OR(LEN(A283)&lt;&gt;7,MID(A283,5,1)&lt;&gt;"-",ISERROR(--LEFT(A283,4)),ISERROR(--RIGHT(A283,2))),"ERROR: PERIODO debe ser AAAA-MM",IF(B283="","ERROR: falta CODIGO CECO",IF(G283="CECO NO EXISTE","ERROR: CECO no existe en el catálogo",IF(C283="","ERROR: falta CUENTA",IF(ISERROR(--C283),"ERROR: CUENTA debe tener solo dígitos",IF(ISERROR(FIND(LEFT(C283,1),"567")),"ERROR: CUENTA fuera de las clases de costo",IF(NOT(ISNUMBER(E283)),"ERROR: VALOR debe ser numérico",IF(E283=0,"AVISO: valor cero (no se carga)",IF(J283&lt;&gt;"ACTIVO","NO SE CARGA: CECO en estado "&amp;J283,"OK"))))))))))</f>
        <v/>
      </c>
    </row>
    <row r="284">
      <c r="A284" s="5" t="n"/>
      <c r="B284" s="6" t="n"/>
      <c r="C284" s="5" t="n"/>
      <c r="D284" s="6" t="n"/>
      <c r="E284" s="7" t="n"/>
      <c r="F284" s="6" t="n"/>
      <c r="G284" s="8">
        <f>IF(B284="","",IFERROR(VLOOKUP(--B284,'CATALOGO CECO'!$A$2:$H$550,2,FALSE),"CECO NO EXISTE"))</f>
        <v/>
      </c>
      <c r="H284" s="8">
        <f>IF(B284="","",IFERROR(VLOOKUP(--B284,'CATALOGO CECO'!$A$2:$H$550,3,FALSE),""))</f>
        <v/>
      </c>
      <c r="I284" s="8">
        <f>IF(B284="","",IFERROR(VLOOKUP(--B284,'CATALOGO CECO'!$A$2:$H$550,5,FALSE),""))</f>
        <v/>
      </c>
      <c r="J284" s="8">
        <f>IF(B284="","",IFERROR(VLOOKUP(--B284,'CATALOGO CECO'!$A$2:$H$550,8,FALSE),""))</f>
        <v/>
      </c>
      <c r="K284" s="8">
        <f>IF(COUNTA(A284:F284)=0,"",IF(OR(LEN(A284)&lt;&gt;7,MID(A284,5,1)&lt;&gt;"-",ISERROR(--LEFT(A284,4)),ISERROR(--RIGHT(A284,2))),"ERROR: PERIODO debe ser AAAA-MM",IF(B284="","ERROR: falta CODIGO CECO",IF(G284="CECO NO EXISTE","ERROR: CECO no existe en el catálogo",IF(C284="","ERROR: falta CUENTA",IF(ISERROR(--C284),"ERROR: CUENTA debe tener solo dígitos",IF(ISERROR(FIND(LEFT(C284,1),"567")),"ERROR: CUENTA fuera de las clases de costo",IF(NOT(ISNUMBER(E284)),"ERROR: VALOR debe ser numérico",IF(E284=0,"AVISO: valor cero (no se carga)",IF(J284&lt;&gt;"ACTIVO","NO SE CARGA: CECO en estado "&amp;J284,"OK"))))))))))</f>
        <v/>
      </c>
    </row>
    <row r="285">
      <c r="A285" s="5" t="n"/>
      <c r="B285" s="6" t="n"/>
      <c r="C285" s="5" t="n"/>
      <c r="D285" s="6" t="n"/>
      <c r="E285" s="7" t="n"/>
      <c r="F285" s="6" t="n"/>
      <c r="G285" s="8">
        <f>IF(B285="","",IFERROR(VLOOKUP(--B285,'CATALOGO CECO'!$A$2:$H$550,2,FALSE),"CECO NO EXISTE"))</f>
        <v/>
      </c>
      <c r="H285" s="8">
        <f>IF(B285="","",IFERROR(VLOOKUP(--B285,'CATALOGO CECO'!$A$2:$H$550,3,FALSE),""))</f>
        <v/>
      </c>
      <c r="I285" s="8">
        <f>IF(B285="","",IFERROR(VLOOKUP(--B285,'CATALOGO CECO'!$A$2:$H$550,5,FALSE),""))</f>
        <v/>
      </c>
      <c r="J285" s="8">
        <f>IF(B285="","",IFERROR(VLOOKUP(--B285,'CATALOGO CECO'!$A$2:$H$550,8,FALSE),""))</f>
        <v/>
      </c>
      <c r="K285" s="8">
        <f>IF(COUNTA(A285:F285)=0,"",IF(OR(LEN(A285)&lt;&gt;7,MID(A285,5,1)&lt;&gt;"-",ISERROR(--LEFT(A285,4)),ISERROR(--RIGHT(A285,2))),"ERROR: PERIODO debe ser AAAA-MM",IF(B285="","ERROR: falta CODIGO CECO",IF(G285="CECO NO EXISTE","ERROR: CECO no existe en el catálogo",IF(C285="","ERROR: falta CUENTA",IF(ISERROR(--C285),"ERROR: CUENTA debe tener solo dígitos",IF(ISERROR(FIND(LEFT(C285,1),"567")),"ERROR: CUENTA fuera de las clases de costo",IF(NOT(ISNUMBER(E285)),"ERROR: VALOR debe ser numérico",IF(E285=0,"AVISO: valor cero (no se carga)",IF(J285&lt;&gt;"ACTIVO","NO SE CARGA: CECO en estado "&amp;J285,"OK"))))))))))</f>
        <v/>
      </c>
    </row>
    <row r="286">
      <c r="A286" s="5" t="n"/>
      <c r="B286" s="6" t="n"/>
      <c r="C286" s="5" t="n"/>
      <c r="D286" s="6" t="n"/>
      <c r="E286" s="7" t="n"/>
      <c r="F286" s="6" t="n"/>
      <c r="G286" s="8">
        <f>IF(B286="","",IFERROR(VLOOKUP(--B286,'CATALOGO CECO'!$A$2:$H$550,2,FALSE),"CECO NO EXISTE"))</f>
        <v/>
      </c>
      <c r="H286" s="8">
        <f>IF(B286="","",IFERROR(VLOOKUP(--B286,'CATALOGO CECO'!$A$2:$H$550,3,FALSE),""))</f>
        <v/>
      </c>
      <c r="I286" s="8">
        <f>IF(B286="","",IFERROR(VLOOKUP(--B286,'CATALOGO CECO'!$A$2:$H$550,5,FALSE),""))</f>
        <v/>
      </c>
      <c r="J286" s="8">
        <f>IF(B286="","",IFERROR(VLOOKUP(--B286,'CATALOGO CECO'!$A$2:$H$550,8,FALSE),""))</f>
        <v/>
      </c>
      <c r="K286" s="8">
        <f>IF(COUNTA(A286:F286)=0,"",IF(OR(LEN(A286)&lt;&gt;7,MID(A286,5,1)&lt;&gt;"-",ISERROR(--LEFT(A286,4)),ISERROR(--RIGHT(A286,2))),"ERROR: PERIODO debe ser AAAA-MM",IF(B286="","ERROR: falta CODIGO CECO",IF(G286="CECO NO EXISTE","ERROR: CECO no existe en el catálogo",IF(C286="","ERROR: falta CUENTA",IF(ISERROR(--C286),"ERROR: CUENTA debe tener solo dígitos",IF(ISERROR(FIND(LEFT(C286,1),"567")),"ERROR: CUENTA fuera de las clases de costo",IF(NOT(ISNUMBER(E286)),"ERROR: VALOR debe ser numérico",IF(E286=0,"AVISO: valor cero (no se carga)",IF(J286&lt;&gt;"ACTIVO","NO SE CARGA: CECO en estado "&amp;J286,"OK"))))))))))</f>
        <v/>
      </c>
    </row>
    <row r="287">
      <c r="A287" s="5" t="n"/>
      <c r="B287" s="6" t="n"/>
      <c r="C287" s="5" t="n"/>
      <c r="D287" s="6" t="n"/>
      <c r="E287" s="7" t="n"/>
      <c r="F287" s="6" t="n"/>
      <c r="G287" s="8">
        <f>IF(B287="","",IFERROR(VLOOKUP(--B287,'CATALOGO CECO'!$A$2:$H$550,2,FALSE),"CECO NO EXISTE"))</f>
        <v/>
      </c>
      <c r="H287" s="8">
        <f>IF(B287="","",IFERROR(VLOOKUP(--B287,'CATALOGO CECO'!$A$2:$H$550,3,FALSE),""))</f>
        <v/>
      </c>
      <c r="I287" s="8">
        <f>IF(B287="","",IFERROR(VLOOKUP(--B287,'CATALOGO CECO'!$A$2:$H$550,5,FALSE),""))</f>
        <v/>
      </c>
      <c r="J287" s="8">
        <f>IF(B287="","",IFERROR(VLOOKUP(--B287,'CATALOGO CECO'!$A$2:$H$550,8,FALSE),""))</f>
        <v/>
      </c>
      <c r="K287" s="8">
        <f>IF(COUNTA(A287:F287)=0,"",IF(OR(LEN(A287)&lt;&gt;7,MID(A287,5,1)&lt;&gt;"-",ISERROR(--LEFT(A287,4)),ISERROR(--RIGHT(A287,2))),"ERROR: PERIODO debe ser AAAA-MM",IF(B287="","ERROR: falta CODIGO CECO",IF(G287="CECO NO EXISTE","ERROR: CECO no existe en el catálogo",IF(C287="","ERROR: falta CUENTA",IF(ISERROR(--C287),"ERROR: CUENTA debe tener solo dígitos",IF(ISERROR(FIND(LEFT(C287,1),"567")),"ERROR: CUENTA fuera de las clases de costo",IF(NOT(ISNUMBER(E287)),"ERROR: VALOR debe ser numérico",IF(E287=0,"AVISO: valor cero (no se carga)",IF(J287&lt;&gt;"ACTIVO","NO SE CARGA: CECO en estado "&amp;J287,"OK"))))))))))</f>
        <v/>
      </c>
    </row>
    <row r="288">
      <c r="A288" s="5" t="n"/>
      <c r="B288" s="6" t="n"/>
      <c r="C288" s="5" t="n"/>
      <c r="D288" s="6" t="n"/>
      <c r="E288" s="7" t="n"/>
      <c r="F288" s="6" t="n"/>
      <c r="G288" s="8">
        <f>IF(B288="","",IFERROR(VLOOKUP(--B288,'CATALOGO CECO'!$A$2:$H$550,2,FALSE),"CECO NO EXISTE"))</f>
        <v/>
      </c>
      <c r="H288" s="8">
        <f>IF(B288="","",IFERROR(VLOOKUP(--B288,'CATALOGO CECO'!$A$2:$H$550,3,FALSE),""))</f>
        <v/>
      </c>
      <c r="I288" s="8">
        <f>IF(B288="","",IFERROR(VLOOKUP(--B288,'CATALOGO CECO'!$A$2:$H$550,5,FALSE),""))</f>
        <v/>
      </c>
      <c r="J288" s="8">
        <f>IF(B288="","",IFERROR(VLOOKUP(--B288,'CATALOGO CECO'!$A$2:$H$550,8,FALSE),""))</f>
        <v/>
      </c>
      <c r="K288" s="8">
        <f>IF(COUNTA(A288:F288)=0,"",IF(OR(LEN(A288)&lt;&gt;7,MID(A288,5,1)&lt;&gt;"-",ISERROR(--LEFT(A288,4)),ISERROR(--RIGHT(A288,2))),"ERROR: PERIODO debe ser AAAA-MM",IF(B288="","ERROR: falta CODIGO CECO",IF(G288="CECO NO EXISTE","ERROR: CECO no existe en el catálogo",IF(C288="","ERROR: falta CUENTA",IF(ISERROR(--C288),"ERROR: CUENTA debe tener solo dígitos",IF(ISERROR(FIND(LEFT(C288,1),"567")),"ERROR: CUENTA fuera de las clases de costo",IF(NOT(ISNUMBER(E288)),"ERROR: VALOR debe ser numérico",IF(E288=0,"AVISO: valor cero (no se carga)",IF(J288&lt;&gt;"ACTIVO","NO SE CARGA: CECO en estado "&amp;J288,"OK"))))))))))</f>
        <v/>
      </c>
    </row>
    <row r="289">
      <c r="A289" s="5" t="n"/>
      <c r="B289" s="6" t="n"/>
      <c r="C289" s="5" t="n"/>
      <c r="D289" s="6" t="n"/>
      <c r="E289" s="7" t="n"/>
      <c r="F289" s="6" t="n"/>
      <c r="G289" s="8">
        <f>IF(B289="","",IFERROR(VLOOKUP(--B289,'CATALOGO CECO'!$A$2:$H$550,2,FALSE),"CECO NO EXISTE"))</f>
        <v/>
      </c>
      <c r="H289" s="8">
        <f>IF(B289="","",IFERROR(VLOOKUP(--B289,'CATALOGO CECO'!$A$2:$H$550,3,FALSE),""))</f>
        <v/>
      </c>
      <c r="I289" s="8">
        <f>IF(B289="","",IFERROR(VLOOKUP(--B289,'CATALOGO CECO'!$A$2:$H$550,5,FALSE),""))</f>
        <v/>
      </c>
      <c r="J289" s="8">
        <f>IF(B289="","",IFERROR(VLOOKUP(--B289,'CATALOGO CECO'!$A$2:$H$550,8,FALSE),""))</f>
        <v/>
      </c>
      <c r="K289" s="8">
        <f>IF(COUNTA(A289:F289)=0,"",IF(OR(LEN(A289)&lt;&gt;7,MID(A289,5,1)&lt;&gt;"-",ISERROR(--LEFT(A289,4)),ISERROR(--RIGHT(A289,2))),"ERROR: PERIODO debe ser AAAA-MM",IF(B289="","ERROR: falta CODIGO CECO",IF(G289="CECO NO EXISTE","ERROR: CECO no existe en el catálogo",IF(C289="","ERROR: falta CUENTA",IF(ISERROR(--C289),"ERROR: CUENTA debe tener solo dígitos",IF(ISERROR(FIND(LEFT(C289,1),"567")),"ERROR: CUENTA fuera de las clases de costo",IF(NOT(ISNUMBER(E289)),"ERROR: VALOR debe ser numérico",IF(E289=0,"AVISO: valor cero (no se carga)",IF(J289&lt;&gt;"ACTIVO","NO SE CARGA: CECO en estado "&amp;J289,"OK"))))))))))</f>
        <v/>
      </c>
    </row>
    <row r="290">
      <c r="A290" s="5" t="n"/>
      <c r="B290" s="6" t="n"/>
      <c r="C290" s="5" t="n"/>
      <c r="D290" s="6" t="n"/>
      <c r="E290" s="7" t="n"/>
      <c r="F290" s="6" t="n"/>
      <c r="G290" s="8">
        <f>IF(B290="","",IFERROR(VLOOKUP(--B290,'CATALOGO CECO'!$A$2:$H$550,2,FALSE),"CECO NO EXISTE"))</f>
        <v/>
      </c>
      <c r="H290" s="8">
        <f>IF(B290="","",IFERROR(VLOOKUP(--B290,'CATALOGO CECO'!$A$2:$H$550,3,FALSE),""))</f>
        <v/>
      </c>
      <c r="I290" s="8">
        <f>IF(B290="","",IFERROR(VLOOKUP(--B290,'CATALOGO CECO'!$A$2:$H$550,5,FALSE),""))</f>
        <v/>
      </c>
      <c r="J290" s="8">
        <f>IF(B290="","",IFERROR(VLOOKUP(--B290,'CATALOGO CECO'!$A$2:$H$550,8,FALSE),""))</f>
        <v/>
      </c>
      <c r="K290" s="8">
        <f>IF(COUNTA(A290:F290)=0,"",IF(OR(LEN(A290)&lt;&gt;7,MID(A290,5,1)&lt;&gt;"-",ISERROR(--LEFT(A290,4)),ISERROR(--RIGHT(A290,2))),"ERROR: PERIODO debe ser AAAA-MM",IF(B290="","ERROR: falta CODIGO CECO",IF(G290="CECO NO EXISTE","ERROR: CECO no existe en el catálogo",IF(C290="","ERROR: falta CUENTA",IF(ISERROR(--C290),"ERROR: CUENTA debe tener solo dígitos",IF(ISERROR(FIND(LEFT(C290,1),"567")),"ERROR: CUENTA fuera de las clases de costo",IF(NOT(ISNUMBER(E290)),"ERROR: VALOR debe ser numérico",IF(E290=0,"AVISO: valor cero (no se carga)",IF(J290&lt;&gt;"ACTIVO","NO SE CARGA: CECO en estado "&amp;J290,"OK"))))))))))</f>
        <v/>
      </c>
    </row>
    <row r="291">
      <c r="A291" s="5" t="n"/>
      <c r="B291" s="6" t="n"/>
      <c r="C291" s="5" t="n"/>
      <c r="D291" s="6" t="n"/>
      <c r="E291" s="7" t="n"/>
      <c r="F291" s="6" t="n"/>
      <c r="G291" s="8">
        <f>IF(B291="","",IFERROR(VLOOKUP(--B291,'CATALOGO CECO'!$A$2:$H$550,2,FALSE),"CECO NO EXISTE"))</f>
        <v/>
      </c>
      <c r="H291" s="8">
        <f>IF(B291="","",IFERROR(VLOOKUP(--B291,'CATALOGO CECO'!$A$2:$H$550,3,FALSE),""))</f>
        <v/>
      </c>
      <c r="I291" s="8">
        <f>IF(B291="","",IFERROR(VLOOKUP(--B291,'CATALOGO CECO'!$A$2:$H$550,5,FALSE),""))</f>
        <v/>
      </c>
      <c r="J291" s="8">
        <f>IF(B291="","",IFERROR(VLOOKUP(--B291,'CATALOGO CECO'!$A$2:$H$550,8,FALSE),""))</f>
        <v/>
      </c>
      <c r="K291" s="8">
        <f>IF(COUNTA(A291:F291)=0,"",IF(OR(LEN(A291)&lt;&gt;7,MID(A291,5,1)&lt;&gt;"-",ISERROR(--LEFT(A291,4)),ISERROR(--RIGHT(A291,2))),"ERROR: PERIODO debe ser AAAA-MM",IF(B291="","ERROR: falta CODIGO CECO",IF(G291="CECO NO EXISTE","ERROR: CECO no existe en el catálogo",IF(C291="","ERROR: falta CUENTA",IF(ISERROR(--C291),"ERROR: CUENTA debe tener solo dígitos",IF(ISERROR(FIND(LEFT(C291,1),"567")),"ERROR: CUENTA fuera de las clases de costo",IF(NOT(ISNUMBER(E291)),"ERROR: VALOR debe ser numérico",IF(E291=0,"AVISO: valor cero (no se carga)",IF(J291&lt;&gt;"ACTIVO","NO SE CARGA: CECO en estado "&amp;J291,"OK"))))))))))</f>
        <v/>
      </c>
    </row>
    <row r="292">
      <c r="A292" s="5" t="n"/>
      <c r="B292" s="6" t="n"/>
      <c r="C292" s="5" t="n"/>
      <c r="D292" s="6" t="n"/>
      <c r="E292" s="7" t="n"/>
      <c r="F292" s="6" t="n"/>
      <c r="G292" s="8">
        <f>IF(B292="","",IFERROR(VLOOKUP(--B292,'CATALOGO CECO'!$A$2:$H$550,2,FALSE),"CECO NO EXISTE"))</f>
        <v/>
      </c>
      <c r="H292" s="8">
        <f>IF(B292="","",IFERROR(VLOOKUP(--B292,'CATALOGO CECO'!$A$2:$H$550,3,FALSE),""))</f>
        <v/>
      </c>
      <c r="I292" s="8">
        <f>IF(B292="","",IFERROR(VLOOKUP(--B292,'CATALOGO CECO'!$A$2:$H$550,5,FALSE),""))</f>
        <v/>
      </c>
      <c r="J292" s="8">
        <f>IF(B292="","",IFERROR(VLOOKUP(--B292,'CATALOGO CECO'!$A$2:$H$550,8,FALSE),""))</f>
        <v/>
      </c>
      <c r="K292" s="8">
        <f>IF(COUNTA(A292:F292)=0,"",IF(OR(LEN(A292)&lt;&gt;7,MID(A292,5,1)&lt;&gt;"-",ISERROR(--LEFT(A292,4)),ISERROR(--RIGHT(A292,2))),"ERROR: PERIODO debe ser AAAA-MM",IF(B292="","ERROR: falta CODIGO CECO",IF(G292="CECO NO EXISTE","ERROR: CECO no existe en el catálogo",IF(C292="","ERROR: falta CUENTA",IF(ISERROR(--C292),"ERROR: CUENTA debe tener solo dígitos",IF(ISERROR(FIND(LEFT(C292,1),"567")),"ERROR: CUENTA fuera de las clases de costo",IF(NOT(ISNUMBER(E292)),"ERROR: VALOR debe ser numérico",IF(E292=0,"AVISO: valor cero (no se carga)",IF(J292&lt;&gt;"ACTIVO","NO SE CARGA: CECO en estado "&amp;J292,"OK"))))))))))</f>
        <v/>
      </c>
    </row>
    <row r="293">
      <c r="A293" s="5" t="n"/>
      <c r="B293" s="6" t="n"/>
      <c r="C293" s="5" t="n"/>
      <c r="D293" s="6" t="n"/>
      <c r="E293" s="7" t="n"/>
      <c r="F293" s="6" t="n"/>
      <c r="G293" s="8">
        <f>IF(B293="","",IFERROR(VLOOKUP(--B293,'CATALOGO CECO'!$A$2:$H$550,2,FALSE),"CECO NO EXISTE"))</f>
        <v/>
      </c>
      <c r="H293" s="8">
        <f>IF(B293="","",IFERROR(VLOOKUP(--B293,'CATALOGO CECO'!$A$2:$H$550,3,FALSE),""))</f>
        <v/>
      </c>
      <c r="I293" s="8">
        <f>IF(B293="","",IFERROR(VLOOKUP(--B293,'CATALOGO CECO'!$A$2:$H$550,5,FALSE),""))</f>
        <v/>
      </c>
      <c r="J293" s="8">
        <f>IF(B293="","",IFERROR(VLOOKUP(--B293,'CATALOGO CECO'!$A$2:$H$550,8,FALSE),""))</f>
        <v/>
      </c>
      <c r="K293" s="8">
        <f>IF(COUNTA(A293:F293)=0,"",IF(OR(LEN(A293)&lt;&gt;7,MID(A293,5,1)&lt;&gt;"-",ISERROR(--LEFT(A293,4)),ISERROR(--RIGHT(A293,2))),"ERROR: PERIODO debe ser AAAA-MM",IF(B293="","ERROR: falta CODIGO CECO",IF(G293="CECO NO EXISTE","ERROR: CECO no existe en el catálogo",IF(C293="","ERROR: falta CUENTA",IF(ISERROR(--C293),"ERROR: CUENTA debe tener solo dígitos",IF(ISERROR(FIND(LEFT(C293,1),"567")),"ERROR: CUENTA fuera de las clases de costo",IF(NOT(ISNUMBER(E293)),"ERROR: VALOR debe ser numérico",IF(E293=0,"AVISO: valor cero (no se carga)",IF(J293&lt;&gt;"ACTIVO","NO SE CARGA: CECO en estado "&amp;J293,"OK"))))))))))</f>
        <v/>
      </c>
    </row>
    <row r="294">
      <c r="A294" s="5" t="n"/>
      <c r="B294" s="6" t="n"/>
      <c r="C294" s="5" t="n"/>
      <c r="D294" s="6" t="n"/>
      <c r="E294" s="7" t="n"/>
      <c r="F294" s="6" t="n"/>
      <c r="G294" s="8">
        <f>IF(B294="","",IFERROR(VLOOKUP(--B294,'CATALOGO CECO'!$A$2:$H$550,2,FALSE),"CECO NO EXISTE"))</f>
        <v/>
      </c>
      <c r="H294" s="8">
        <f>IF(B294="","",IFERROR(VLOOKUP(--B294,'CATALOGO CECO'!$A$2:$H$550,3,FALSE),""))</f>
        <v/>
      </c>
      <c r="I294" s="8">
        <f>IF(B294="","",IFERROR(VLOOKUP(--B294,'CATALOGO CECO'!$A$2:$H$550,5,FALSE),""))</f>
        <v/>
      </c>
      <c r="J294" s="8">
        <f>IF(B294="","",IFERROR(VLOOKUP(--B294,'CATALOGO CECO'!$A$2:$H$550,8,FALSE),""))</f>
        <v/>
      </c>
      <c r="K294" s="8">
        <f>IF(COUNTA(A294:F294)=0,"",IF(OR(LEN(A294)&lt;&gt;7,MID(A294,5,1)&lt;&gt;"-",ISERROR(--LEFT(A294,4)),ISERROR(--RIGHT(A294,2))),"ERROR: PERIODO debe ser AAAA-MM",IF(B294="","ERROR: falta CODIGO CECO",IF(G294="CECO NO EXISTE","ERROR: CECO no existe en el catálogo",IF(C294="","ERROR: falta CUENTA",IF(ISERROR(--C294),"ERROR: CUENTA debe tener solo dígitos",IF(ISERROR(FIND(LEFT(C294,1),"567")),"ERROR: CUENTA fuera de las clases de costo",IF(NOT(ISNUMBER(E294)),"ERROR: VALOR debe ser numérico",IF(E294=0,"AVISO: valor cero (no se carga)",IF(J294&lt;&gt;"ACTIVO","NO SE CARGA: CECO en estado "&amp;J294,"OK"))))))))))</f>
        <v/>
      </c>
    </row>
    <row r="295">
      <c r="A295" s="5" t="n"/>
      <c r="B295" s="6" t="n"/>
      <c r="C295" s="5" t="n"/>
      <c r="D295" s="6" t="n"/>
      <c r="E295" s="7" t="n"/>
      <c r="F295" s="6" t="n"/>
      <c r="G295" s="8">
        <f>IF(B295="","",IFERROR(VLOOKUP(--B295,'CATALOGO CECO'!$A$2:$H$550,2,FALSE),"CECO NO EXISTE"))</f>
        <v/>
      </c>
      <c r="H295" s="8">
        <f>IF(B295="","",IFERROR(VLOOKUP(--B295,'CATALOGO CECO'!$A$2:$H$550,3,FALSE),""))</f>
        <v/>
      </c>
      <c r="I295" s="8">
        <f>IF(B295="","",IFERROR(VLOOKUP(--B295,'CATALOGO CECO'!$A$2:$H$550,5,FALSE),""))</f>
        <v/>
      </c>
      <c r="J295" s="8">
        <f>IF(B295="","",IFERROR(VLOOKUP(--B295,'CATALOGO CECO'!$A$2:$H$550,8,FALSE),""))</f>
        <v/>
      </c>
      <c r="K295" s="8">
        <f>IF(COUNTA(A295:F295)=0,"",IF(OR(LEN(A295)&lt;&gt;7,MID(A295,5,1)&lt;&gt;"-",ISERROR(--LEFT(A295,4)),ISERROR(--RIGHT(A295,2))),"ERROR: PERIODO debe ser AAAA-MM",IF(B295="","ERROR: falta CODIGO CECO",IF(G295="CECO NO EXISTE","ERROR: CECO no existe en el catálogo",IF(C295="","ERROR: falta CUENTA",IF(ISERROR(--C295),"ERROR: CUENTA debe tener solo dígitos",IF(ISERROR(FIND(LEFT(C295,1),"567")),"ERROR: CUENTA fuera de las clases de costo",IF(NOT(ISNUMBER(E295)),"ERROR: VALOR debe ser numérico",IF(E295=0,"AVISO: valor cero (no se carga)",IF(J295&lt;&gt;"ACTIVO","NO SE CARGA: CECO en estado "&amp;J295,"OK"))))))))))</f>
        <v/>
      </c>
    </row>
    <row r="296">
      <c r="A296" s="5" t="n"/>
      <c r="B296" s="6" t="n"/>
      <c r="C296" s="5" t="n"/>
      <c r="D296" s="6" t="n"/>
      <c r="E296" s="7" t="n"/>
      <c r="F296" s="6" t="n"/>
      <c r="G296" s="8">
        <f>IF(B296="","",IFERROR(VLOOKUP(--B296,'CATALOGO CECO'!$A$2:$H$550,2,FALSE),"CECO NO EXISTE"))</f>
        <v/>
      </c>
      <c r="H296" s="8">
        <f>IF(B296="","",IFERROR(VLOOKUP(--B296,'CATALOGO CECO'!$A$2:$H$550,3,FALSE),""))</f>
        <v/>
      </c>
      <c r="I296" s="8">
        <f>IF(B296="","",IFERROR(VLOOKUP(--B296,'CATALOGO CECO'!$A$2:$H$550,5,FALSE),""))</f>
        <v/>
      </c>
      <c r="J296" s="8">
        <f>IF(B296="","",IFERROR(VLOOKUP(--B296,'CATALOGO CECO'!$A$2:$H$550,8,FALSE),""))</f>
        <v/>
      </c>
      <c r="K296" s="8">
        <f>IF(COUNTA(A296:F296)=0,"",IF(OR(LEN(A296)&lt;&gt;7,MID(A296,5,1)&lt;&gt;"-",ISERROR(--LEFT(A296,4)),ISERROR(--RIGHT(A296,2))),"ERROR: PERIODO debe ser AAAA-MM",IF(B296="","ERROR: falta CODIGO CECO",IF(G296="CECO NO EXISTE","ERROR: CECO no existe en el catálogo",IF(C296="","ERROR: falta CUENTA",IF(ISERROR(--C296),"ERROR: CUENTA debe tener solo dígitos",IF(ISERROR(FIND(LEFT(C296,1),"567")),"ERROR: CUENTA fuera de las clases de costo",IF(NOT(ISNUMBER(E296)),"ERROR: VALOR debe ser numérico",IF(E296=0,"AVISO: valor cero (no se carga)",IF(J296&lt;&gt;"ACTIVO","NO SE CARGA: CECO en estado "&amp;J296,"OK"))))))))))</f>
        <v/>
      </c>
    </row>
    <row r="297">
      <c r="A297" s="5" t="n"/>
      <c r="B297" s="6" t="n"/>
      <c r="C297" s="5" t="n"/>
      <c r="D297" s="6" t="n"/>
      <c r="E297" s="7" t="n"/>
      <c r="F297" s="6" t="n"/>
      <c r="G297" s="8">
        <f>IF(B297="","",IFERROR(VLOOKUP(--B297,'CATALOGO CECO'!$A$2:$H$550,2,FALSE),"CECO NO EXISTE"))</f>
        <v/>
      </c>
      <c r="H297" s="8">
        <f>IF(B297="","",IFERROR(VLOOKUP(--B297,'CATALOGO CECO'!$A$2:$H$550,3,FALSE),""))</f>
        <v/>
      </c>
      <c r="I297" s="8">
        <f>IF(B297="","",IFERROR(VLOOKUP(--B297,'CATALOGO CECO'!$A$2:$H$550,5,FALSE),""))</f>
        <v/>
      </c>
      <c r="J297" s="8">
        <f>IF(B297="","",IFERROR(VLOOKUP(--B297,'CATALOGO CECO'!$A$2:$H$550,8,FALSE),""))</f>
        <v/>
      </c>
      <c r="K297" s="8">
        <f>IF(COUNTA(A297:F297)=0,"",IF(OR(LEN(A297)&lt;&gt;7,MID(A297,5,1)&lt;&gt;"-",ISERROR(--LEFT(A297,4)),ISERROR(--RIGHT(A297,2))),"ERROR: PERIODO debe ser AAAA-MM",IF(B297="","ERROR: falta CODIGO CECO",IF(G297="CECO NO EXISTE","ERROR: CECO no existe en el catálogo",IF(C297="","ERROR: falta CUENTA",IF(ISERROR(--C297),"ERROR: CUENTA debe tener solo dígitos",IF(ISERROR(FIND(LEFT(C297,1),"567")),"ERROR: CUENTA fuera de las clases de costo",IF(NOT(ISNUMBER(E297)),"ERROR: VALOR debe ser numérico",IF(E297=0,"AVISO: valor cero (no se carga)",IF(J297&lt;&gt;"ACTIVO","NO SE CARGA: CECO en estado "&amp;J297,"OK"))))))))))</f>
        <v/>
      </c>
    </row>
    <row r="298">
      <c r="A298" s="5" t="n"/>
      <c r="B298" s="6" t="n"/>
      <c r="C298" s="5" t="n"/>
      <c r="D298" s="6" t="n"/>
      <c r="E298" s="7" t="n"/>
      <c r="F298" s="6" t="n"/>
      <c r="G298" s="8">
        <f>IF(B298="","",IFERROR(VLOOKUP(--B298,'CATALOGO CECO'!$A$2:$H$550,2,FALSE),"CECO NO EXISTE"))</f>
        <v/>
      </c>
      <c r="H298" s="8">
        <f>IF(B298="","",IFERROR(VLOOKUP(--B298,'CATALOGO CECO'!$A$2:$H$550,3,FALSE),""))</f>
        <v/>
      </c>
      <c r="I298" s="8">
        <f>IF(B298="","",IFERROR(VLOOKUP(--B298,'CATALOGO CECO'!$A$2:$H$550,5,FALSE),""))</f>
        <v/>
      </c>
      <c r="J298" s="8">
        <f>IF(B298="","",IFERROR(VLOOKUP(--B298,'CATALOGO CECO'!$A$2:$H$550,8,FALSE),""))</f>
        <v/>
      </c>
      <c r="K298" s="8">
        <f>IF(COUNTA(A298:F298)=0,"",IF(OR(LEN(A298)&lt;&gt;7,MID(A298,5,1)&lt;&gt;"-",ISERROR(--LEFT(A298,4)),ISERROR(--RIGHT(A298,2))),"ERROR: PERIODO debe ser AAAA-MM",IF(B298="","ERROR: falta CODIGO CECO",IF(G298="CECO NO EXISTE","ERROR: CECO no existe en el catálogo",IF(C298="","ERROR: falta CUENTA",IF(ISERROR(--C298),"ERROR: CUENTA debe tener solo dígitos",IF(ISERROR(FIND(LEFT(C298,1),"567")),"ERROR: CUENTA fuera de las clases de costo",IF(NOT(ISNUMBER(E298)),"ERROR: VALOR debe ser numérico",IF(E298=0,"AVISO: valor cero (no se carga)",IF(J298&lt;&gt;"ACTIVO","NO SE CARGA: CECO en estado "&amp;J298,"OK"))))))))))</f>
        <v/>
      </c>
    </row>
    <row r="299">
      <c r="A299" s="5" t="n"/>
      <c r="B299" s="6" t="n"/>
      <c r="C299" s="5" t="n"/>
      <c r="D299" s="6" t="n"/>
      <c r="E299" s="7" t="n"/>
      <c r="F299" s="6" t="n"/>
      <c r="G299" s="8">
        <f>IF(B299="","",IFERROR(VLOOKUP(--B299,'CATALOGO CECO'!$A$2:$H$550,2,FALSE),"CECO NO EXISTE"))</f>
        <v/>
      </c>
      <c r="H299" s="8">
        <f>IF(B299="","",IFERROR(VLOOKUP(--B299,'CATALOGO CECO'!$A$2:$H$550,3,FALSE),""))</f>
        <v/>
      </c>
      <c r="I299" s="8">
        <f>IF(B299="","",IFERROR(VLOOKUP(--B299,'CATALOGO CECO'!$A$2:$H$550,5,FALSE),""))</f>
        <v/>
      </c>
      <c r="J299" s="8">
        <f>IF(B299="","",IFERROR(VLOOKUP(--B299,'CATALOGO CECO'!$A$2:$H$550,8,FALSE),""))</f>
        <v/>
      </c>
      <c r="K299" s="8">
        <f>IF(COUNTA(A299:F299)=0,"",IF(OR(LEN(A299)&lt;&gt;7,MID(A299,5,1)&lt;&gt;"-",ISERROR(--LEFT(A299,4)),ISERROR(--RIGHT(A299,2))),"ERROR: PERIODO debe ser AAAA-MM",IF(B299="","ERROR: falta CODIGO CECO",IF(G299="CECO NO EXISTE","ERROR: CECO no existe en el catálogo",IF(C299="","ERROR: falta CUENTA",IF(ISERROR(--C299),"ERROR: CUENTA debe tener solo dígitos",IF(ISERROR(FIND(LEFT(C299,1),"567")),"ERROR: CUENTA fuera de las clases de costo",IF(NOT(ISNUMBER(E299)),"ERROR: VALOR debe ser numérico",IF(E299=0,"AVISO: valor cero (no se carga)",IF(J299&lt;&gt;"ACTIVO","NO SE CARGA: CECO en estado "&amp;J299,"OK"))))))))))</f>
        <v/>
      </c>
    </row>
    <row r="300">
      <c r="A300" s="5" t="n"/>
      <c r="B300" s="6" t="n"/>
      <c r="C300" s="5" t="n"/>
      <c r="D300" s="6" t="n"/>
      <c r="E300" s="7" t="n"/>
      <c r="F300" s="6" t="n"/>
      <c r="G300" s="8">
        <f>IF(B300="","",IFERROR(VLOOKUP(--B300,'CATALOGO CECO'!$A$2:$H$550,2,FALSE),"CECO NO EXISTE"))</f>
        <v/>
      </c>
      <c r="H300" s="8">
        <f>IF(B300="","",IFERROR(VLOOKUP(--B300,'CATALOGO CECO'!$A$2:$H$550,3,FALSE),""))</f>
        <v/>
      </c>
      <c r="I300" s="8">
        <f>IF(B300="","",IFERROR(VLOOKUP(--B300,'CATALOGO CECO'!$A$2:$H$550,5,FALSE),""))</f>
        <v/>
      </c>
      <c r="J300" s="8">
        <f>IF(B300="","",IFERROR(VLOOKUP(--B300,'CATALOGO CECO'!$A$2:$H$550,8,FALSE),""))</f>
        <v/>
      </c>
      <c r="K300" s="8">
        <f>IF(COUNTA(A300:F300)=0,"",IF(OR(LEN(A300)&lt;&gt;7,MID(A300,5,1)&lt;&gt;"-",ISERROR(--LEFT(A300,4)),ISERROR(--RIGHT(A300,2))),"ERROR: PERIODO debe ser AAAA-MM",IF(B300="","ERROR: falta CODIGO CECO",IF(G300="CECO NO EXISTE","ERROR: CECO no existe en el catálogo",IF(C300="","ERROR: falta CUENTA",IF(ISERROR(--C300),"ERROR: CUENTA debe tener solo dígitos",IF(ISERROR(FIND(LEFT(C300,1),"567")),"ERROR: CUENTA fuera de las clases de costo",IF(NOT(ISNUMBER(E300)),"ERROR: VALOR debe ser numérico",IF(E300=0,"AVISO: valor cero (no se carga)",IF(J300&lt;&gt;"ACTIVO","NO SE CARGA: CECO en estado "&amp;J300,"OK"))))))))))</f>
        <v/>
      </c>
    </row>
    <row r="301">
      <c r="A301" s="5" t="n"/>
      <c r="B301" s="6" t="n"/>
      <c r="C301" s="5" t="n"/>
      <c r="D301" s="6" t="n"/>
      <c r="E301" s="7" t="n"/>
      <c r="F301" s="6" t="n"/>
      <c r="G301" s="8">
        <f>IF(B301="","",IFERROR(VLOOKUP(--B301,'CATALOGO CECO'!$A$2:$H$550,2,FALSE),"CECO NO EXISTE"))</f>
        <v/>
      </c>
      <c r="H301" s="8">
        <f>IF(B301="","",IFERROR(VLOOKUP(--B301,'CATALOGO CECO'!$A$2:$H$550,3,FALSE),""))</f>
        <v/>
      </c>
      <c r="I301" s="8">
        <f>IF(B301="","",IFERROR(VLOOKUP(--B301,'CATALOGO CECO'!$A$2:$H$550,5,FALSE),""))</f>
        <v/>
      </c>
      <c r="J301" s="8">
        <f>IF(B301="","",IFERROR(VLOOKUP(--B301,'CATALOGO CECO'!$A$2:$H$550,8,FALSE),""))</f>
        <v/>
      </c>
      <c r="K301" s="8">
        <f>IF(COUNTA(A301:F301)=0,"",IF(OR(LEN(A301)&lt;&gt;7,MID(A301,5,1)&lt;&gt;"-",ISERROR(--LEFT(A301,4)),ISERROR(--RIGHT(A301,2))),"ERROR: PERIODO debe ser AAAA-MM",IF(B301="","ERROR: falta CODIGO CECO",IF(G301="CECO NO EXISTE","ERROR: CECO no existe en el catálogo",IF(C301="","ERROR: falta CUENTA",IF(ISERROR(--C301),"ERROR: CUENTA debe tener solo dígitos",IF(ISERROR(FIND(LEFT(C301,1),"567")),"ERROR: CUENTA fuera de las clases de costo",IF(NOT(ISNUMBER(E301)),"ERROR: VALOR debe ser numérico",IF(E301=0,"AVISO: valor cero (no se carga)",IF(J301&lt;&gt;"ACTIVO","NO SE CARGA: CECO en estado "&amp;J301,"OK"))))))))))</f>
        <v/>
      </c>
    </row>
    <row r="302">
      <c r="A302" s="5" t="n"/>
      <c r="B302" s="6" t="n"/>
      <c r="C302" s="5" t="n"/>
      <c r="D302" s="6" t="n"/>
      <c r="E302" s="7" t="n"/>
      <c r="F302" s="6" t="n"/>
      <c r="G302" s="8">
        <f>IF(B302="","",IFERROR(VLOOKUP(--B302,'CATALOGO CECO'!$A$2:$H$550,2,FALSE),"CECO NO EXISTE"))</f>
        <v/>
      </c>
      <c r="H302" s="8">
        <f>IF(B302="","",IFERROR(VLOOKUP(--B302,'CATALOGO CECO'!$A$2:$H$550,3,FALSE),""))</f>
        <v/>
      </c>
      <c r="I302" s="8">
        <f>IF(B302="","",IFERROR(VLOOKUP(--B302,'CATALOGO CECO'!$A$2:$H$550,5,FALSE),""))</f>
        <v/>
      </c>
      <c r="J302" s="8">
        <f>IF(B302="","",IFERROR(VLOOKUP(--B302,'CATALOGO CECO'!$A$2:$H$550,8,FALSE),""))</f>
        <v/>
      </c>
      <c r="K302" s="8">
        <f>IF(COUNTA(A302:F302)=0,"",IF(OR(LEN(A302)&lt;&gt;7,MID(A302,5,1)&lt;&gt;"-",ISERROR(--LEFT(A302,4)),ISERROR(--RIGHT(A302,2))),"ERROR: PERIODO debe ser AAAA-MM",IF(B302="","ERROR: falta CODIGO CECO",IF(G302="CECO NO EXISTE","ERROR: CECO no existe en el catálogo",IF(C302="","ERROR: falta CUENTA",IF(ISERROR(--C302),"ERROR: CUENTA debe tener solo dígitos",IF(ISERROR(FIND(LEFT(C302,1),"567")),"ERROR: CUENTA fuera de las clases de costo",IF(NOT(ISNUMBER(E302)),"ERROR: VALOR debe ser numérico",IF(E302=0,"AVISO: valor cero (no se carga)",IF(J302&lt;&gt;"ACTIVO","NO SE CARGA: CECO en estado "&amp;J302,"OK"))))))))))</f>
        <v/>
      </c>
    </row>
    <row r="303">
      <c r="A303" s="5" t="n"/>
      <c r="B303" s="6" t="n"/>
      <c r="C303" s="5" t="n"/>
      <c r="D303" s="6" t="n"/>
      <c r="E303" s="7" t="n"/>
      <c r="F303" s="6" t="n"/>
      <c r="G303" s="8">
        <f>IF(B303="","",IFERROR(VLOOKUP(--B303,'CATALOGO CECO'!$A$2:$H$550,2,FALSE),"CECO NO EXISTE"))</f>
        <v/>
      </c>
      <c r="H303" s="8">
        <f>IF(B303="","",IFERROR(VLOOKUP(--B303,'CATALOGO CECO'!$A$2:$H$550,3,FALSE),""))</f>
        <v/>
      </c>
      <c r="I303" s="8">
        <f>IF(B303="","",IFERROR(VLOOKUP(--B303,'CATALOGO CECO'!$A$2:$H$550,5,FALSE),""))</f>
        <v/>
      </c>
      <c r="J303" s="8">
        <f>IF(B303="","",IFERROR(VLOOKUP(--B303,'CATALOGO CECO'!$A$2:$H$550,8,FALSE),""))</f>
        <v/>
      </c>
      <c r="K303" s="8">
        <f>IF(COUNTA(A303:F303)=0,"",IF(OR(LEN(A303)&lt;&gt;7,MID(A303,5,1)&lt;&gt;"-",ISERROR(--LEFT(A303,4)),ISERROR(--RIGHT(A303,2))),"ERROR: PERIODO debe ser AAAA-MM",IF(B303="","ERROR: falta CODIGO CECO",IF(G303="CECO NO EXISTE","ERROR: CECO no existe en el catálogo",IF(C303="","ERROR: falta CUENTA",IF(ISERROR(--C303),"ERROR: CUENTA debe tener solo dígitos",IF(ISERROR(FIND(LEFT(C303,1),"567")),"ERROR: CUENTA fuera de las clases de costo",IF(NOT(ISNUMBER(E303)),"ERROR: VALOR debe ser numérico",IF(E303=0,"AVISO: valor cero (no se carga)",IF(J303&lt;&gt;"ACTIVO","NO SE CARGA: CECO en estado "&amp;J303,"OK"))))))))))</f>
        <v/>
      </c>
    </row>
    <row r="304">
      <c r="A304" s="5" t="n"/>
      <c r="B304" s="6" t="n"/>
      <c r="C304" s="5" t="n"/>
      <c r="D304" s="6" t="n"/>
      <c r="E304" s="7" t="n"/>
      <c r="F304" s="6" t="n"/>
      <c r="G304" s="8">
        <f>IF(B304="","",IFERROR(VLOOKUP(--B304,'CATALOGO CECO'!$A$2:$H$550,2,FALSE),"CECO NO EXISTE"))</f>
        <v/>
      </c>
      <c r="H304" s="8">
        <f>IF(B304="","",IFERROR(VLOOKUP(--B304,'CATALOGO CECO'!$A$2:$H$550,3,FALSE),""))</f>
        <v/>
      </c>
      <c r="I304" s="8">
        <f>IF(B304="","",IFERROR(VLOOKUP(--B304,'CATALOGO CECO'!$A$2:$H$550,5,FALSE),""))</f>
        <v/>
      </c>
      <c r="J304" s="8">
        <f>IF(B304="","",IFERROR(VLOOKUP(--B304,'CATALOGO CECO'!$A$2:$H$550,8,FALSE),""))</f>
        <v/>
      </c>
      <c r="K304" s="8">
        <f>IF(COUNTA(A304:F304)=0,"",IF(OR(LEN(A304)&lt;&gt;7,MID(A304,5,1)&lt;&gt;"-",ISERROR(--LEFT(A304,4)),ISERROR(--RIGHT(A304,2))),"ERROR: PERIODO debe ser AAAA-MM",IF(B304="","ERROR: falta CODIGO CECO",IF(G304="CECO NO EXISTE","ERROR: CECO no existe en el catálogo",IF(C304="","ERROR: falta CUENTA",IF(ISERROR(--C304),"ERROR: CUENTA debe tener solo dígitos",IF(ISERROR(FIND(LEFT(C304,1),"567")),"ERROR: CUENTA fuera de las clases de costo",IF(NOT(ISNUMBER(E304)),"ERROR: VALOR debe ser numérico",IF(E304=0,"AVISO: valor cero (no se carga)",IF(J304&lt;&gt;"ACTIVO","NO SE CARGA: CECO en estado "&amp;J304,"OK"))))))))))</f>
        <v/>
      </c>
    </row>
    <row r="305">
      <c r="A305" s="5" t="n"/>
      <c r="B305" s="6" t="n"/>
      <c r="C305" s="5" t="n"/>
      <c r="D305" s="6" t="n"/>
      <c r="E305" s="7" t="n"/>
      <c r="F305" s="6" t="n"/>
      <c r="G305" s="8">
        <f>IF(B305="","",IFERROR(VLOOKUP(--B305,'CATALOGO CECO'!$A$2:$H$550,2,FALSE),"CECO NO EXISTE"))</f>
        <v/>
      </c>
      <c r="H305" s="8">
        <f>IF(B305="","",IFERROR(VLOOKUP(--B305,'CATALOGO CECO'!$A$2:$H$550,3,FALSE),""))</f>
        <v/>
      </c>
      <c r="I305" s="8">
        <f>IF(B305="","",IFERROR(VLOOKUP(--B305,'CATALOGO CECO'!$A$2:$H$550,5,FALSE),""))</f>
        <v/>
      </c>
      <c r="J305" s="8">
        <f>IF(B305="","",IFERROR(VLOOKUP(--B305,'CATALOGO CECO'!$A$2:$H$550,8,FALSE),""))</f>
        <v/>
      </c>
      <c r="K305" s="8">
        <f>IF(COUNTA(A305:F305)=0,"",IF(OR(LEN(A305)&lt;&gt;7,MID(A305,5,1)&lt;&gt;"-",ISERROR(--LEFT(A305,4)),ISERROR(--RIGHT(A305,2))),"ERROR: PERIODO debe ser AAAA-MM",IF(B305="","ERROR: falta CODIGO CECO",IF(G305="CECO NO EXISTE","ERROR: CECO no existe en el catálogo",IF(C305="","ERROR: falta CUENTA",IF(ISERROR(--C305),"ERROR: CUENTA debe tener solo dígitos",IF(ISERROR(FIND(LEFT(C305,1),"567")),"ERROR: CUENTA fuera de las clases de costo",IF(NOT(ISNUMBER(E305)),"ERROR: VALOR debe ser numérico",IF(E305=0,"AVISO: valor cero (no se carga)",IF(J305&lt;&gt;"ACTIVO","NO SE CARGA: CECO en estado "&amp;J305,"OK"))))))))))</f>
        <v/>
      </c>
    </row>
    <row r="306">
      <c r="A306" s="5" t="n"/>
      <c r="B306" s="6" t="n"/>
      <c r="C306" s="5" t="n"/>
      <c r="D306" s="6" t="n"/>
      <c r="E306" s="7" t="n"/>
      <c r="F306" s="6" t="n"/>
      <c r="G306" s="8">
        <f>IF(B306="","",IFERROR(VLOOKUP(--B306,'CATALOGO CECO'!$A$2:$H$550,2,FALSE),"CECO NO EXISTE"))</f>
        <v/>
      </c>
      <c r="H306" s="8">
        <f>IF(B306="","",IFERROR(VLOOKUP(--B306,'CATALOGO CECO'!$A$2:$H$550,3,FALSE),""))</f>
        <v/>
      </c>
      <c r="I306" s="8">
        <f>IF(B306="","",IFERROR(VLOOKUP(--B306,'CATALOGO CECO'!$A$2:$H$550,5,FALSE),""))</f>
        <v/>
      </c>
      <c r="J306" s="8">
        <f>IF(B306="","",IFERROR(VLOOKUP(--B306,'CATALOGO CECO'!$A$2:$H$550,8,FALSE),""))</f>
        <v/>
      </c>
      <c r="K306" s="8">
        <f>IF(COUNTA(A306:F306)=0,"",IF(OR(LEN(A306)&lt;&gt;7,MID(A306,5,1)&lt;&gt;"-",ISERROR(--LEFT(A306,4)),ISERROR(--RIGHT(A306,2))),"ERROR: PERIODO debe ser AAAA-MM",IF(B306="","ERROR: falta CODIGO CECO",IF(G306="CECO NO EXISTE","ERROR: CECO no existe en el catálogo",IF(C306="","ERROR: falta CUENTA",IF(ISERROR(--C306),"ERROR: CUENTA debe tener solo dígitos",IF(ISERROR(FIND(LEFT(C306,1),"567")),"ERROR: CUENTA fuera de las clases de costo",IF(NOT(ISNUMBER(E306)),"ERROR: VALOR debe ser numérico",IF(E306=0,"AVISO: valor cero (no se carga)",IF(J306&lt;&gt;"ACTIVO","NO SE CARGA: CECO en estado "&amp;J306,"OK"))))))))))</f>
        <v/>
      </c>
    </row>
    <row r="307">
      <c r="A307" s="5" t="n"/>
      <c r="B307" s="6" t="n"/>
      <c r="C307" s="5" t="n"/>
      <c r="D307" s="6" t="n"/>
      <c r="E307" s="7" t="n"/>
      <c r="F307" s="6" t="n"/>
      <c r="G307" s="8">
        <f>IF(B307="","",IFERROR(VLOOKUP(--B307,'CATALOGO CECO'!$A$2:$H$550,2,FALSE),"CECO NO EXISTE"))</f>
        <v/>
      </c>
      <c r="H307" s="8">
        <f>IF(B307="","",IFERROR(VLOOKUP(--B307,'CATALOGO CECO'!$A$2:$H$550,3,FALSE),""))</f>
        <v/>
      </c>
      <c r="I307" s="8">
        <f>IF(B307="","",IFERROR(VLOOKUP(--B307,'CATALOGO CECO'!$A$2:$H$550,5,FALSE),""))</f>
        <v/>
      </c>
      <c r="J307" s="8">
        <f>IF(B307="","",IFERROR(VLOOKUP(--B307,'CATALOGO CECO'!$A$2:$H$550,8,FALSE),""))</f>
        <v/>
      </c>
      <c r="K307" s="8">
        <f>IF(COUNTA(A307:F307)=0,"",IF(OR(LEN(A307)&lt;&gt;7,MID(A307,5,1)&lt;&gt;"-",ISERROR(--LEFT(A307,4)),ISERROR(--RIGHT(A307,2))),"ERROR: PERIODO debe ser AAAA-MM",IF(B307="","ERROR: falta CODIGO CECO",IF(G307="CECO NO EXISTE","ERROR: CECO no existe en el catálogo",IF(C307="","ERROR: falta CUENTA",IF(ISERROR(--C307),"ERROR: CUENTA debe tener solo dígitos",IF(ISERROR(FIND(LEFT(C307,1),"567")),"ERROR: CUENTA fuera de las clases de costo",IF(NOT(ISNUMBER(E307)),"ERROR: VALOR debe ser numérico",IF(E307=0,"AVISO: valor cero (no se carga)",IF(J307&lt;&gt;"ACTIVO","NO SE CARGA: CECO en estado "&amp;J307,"OK"))))))))))</f>
        <v/>
      </c>
    </row>
    <row r="308">
      <c r="A308" s="5" t="n"/>
      <c r="B308" s="6" t="n"/>
      <c r="C308" s="5" t="n"/>
      <c r="D308" s="6" t="n"/>
      <c r="E308" s="7" t="n"/>
      <c r="F308" s="6" t="n"/>
      <c r="G308" s="8">
        <f>IF(B308="","",IFERROR(VLOOKUP(--B308,'CATALOGO CECO'!$A$2:$H$550,2,FALSE),"CECO NO EXISTE"))</f>
        <v/>
      </c>
      <c r="H308" s="8">
        <f>IF(B308="","",IFERROR(VLOOKUP(--B308,'CATALOGO CECO'!$A$2:$H$550,3,FALSE),""))</f>
        <v/>
      </c>
      <c r="I308" s="8">
        <f>IF(B308="","",IFERROR(VLOOKUP(--B308,'CATALOGO CECO'!$A$2:$H$550,5,FALSE),""))</f>
        <v/>
      </c>
      <c r="J308" s="8">
        <f>IF(B308="","",IFERROR(VLOOKUP(--B308,'CATALOGO CECO'!$A$2:$H$550,8,FALSE),""))</f>
        <v/>
      </c>
      <c r="K308" s="8">
        <f>IF(COUNTA(A308:F308)=0,"",IF(OR(LEN(A308)&lt;&gt;7,MID(A308,5,1)&lt;&gt;"-",ISERROR(--LEFT(A308,4)),ISERROR(--RIGHT(A308,2))),"ERROR: PERIODO debe ser AAAA-MM",IF(B308="","ERROR: falta CODIGO CECO",IF(G308="CECO NO EXISTE","ERROR: CECO no existe en el catálogo",IF(C308="","ERROR: falta CUENTA",IF(ISERROR(--C308),"ERROR: CUENTA debe tener solo dígitos",IF(ISERROR(FIND(LEFT(C308,1),"567")),"ERROR: CUENTA fuera de las clases de costo",IF(NOT(ISNUMBER(E308)),"ERROR: VALOR debe ser numérico",IF(E308=0,"AVISO: valor cero (no se carga)",IF(J308&lt;&gt;"ACTIVO","NO SE CARGA: CECO en estado "&amp;J308,"OK"))))))))))</f>
        <v/>
      </c>
    </row>
    <row r="309">
      <c r="A309" s="5" t="n"/>
      <c r="B309" s="6" t="n"/>
      <c r="C309" s="5" t="n"/>
      <c r="D309" s="6" t="n"/>
      <c r="E309" s="7" t="n"/>
      <c r="F309" s="6" t="n"/>
      <c r="G309" s="8">
        <f>IF(B309="","",IFERROR(VLOOKUP(--B309,'CATALOGO CECO'!$A$2:$H$550,2,FALSE),"CECO NO EXISTE"))</f>
        <v/>
      </c>
      <c r="H309" s="8">
        <f>IF(B309="","",IFERROR(VLOOKUP(--B309,'CATALOGO CECO'!$A$2:$H$550,3,FALSE),""))</f>
        <v/>
      </c>
      <c r="I309" s="8">
        <f>IF(B309="","",IFERROR(VLOOKUP(--B309,'CATALOGO CECO'!$A$2:$H$550,5,FALSE),""))</f>
        <v/>
      </c>
      <c r="J309" s="8">
        <f>IF(B309="","",IFERROR(VLOOKUP(--B309,'CATALOGO CECO'!$A$2:$H$550,8,FALSE),""))</f>
        <v/>
      </c>
      <c r="K309" s="8">
        <f>IF(COUNTA(A309:F309)=0,"",IF(OR(LEN(A309)&lt;&gt;7,MID(A309,5,1)&lt;&gt;"-",ISERROR(--LEFT(A309,4)),ISERROR(--RIGHT(A309,2))),"ERROR: PERIODO debe ser AAAA-MM",IF(B309="","ERROR: falta CODIGO CECO",IF(G309="CECO NO EXISTE","ERROR: CECO no existe en el catálogo",IF(C309="","ERROR: falta CUENTA",IF(ISERROR(--C309),"ERROR: CUENTA debe tener solo dígitos",IF(ISERROR(FIND(LEFT(C309,1),"567")),"ERROR: CUENTA fuera de las clases de costo",IF(NOT(ISNUMBER(E309)),"ERROR: VALOR debe ser numérico",IF(E309=0,"AVISO: valor cero (no se carga)",IF(J309&lt;&gt;"ACTIVO","NO SE CARGA: CECO en estado "&amp;J309,"OK"))))))))))</f>
        <v/>
      </c>
    </row>
    <row r="310">
      <c r="A310" s="5" t="n"/>
      <c r="B310" s="6" t="n"/>
      <c r="C310" s="5" t="n"/>
      <c r="D310" s="6" t="n"/>
      <c r="E310" s="7" t="n"/>
      <c r="F310" s="6" t="n"/>
      <c r="G310" s="8">
        <f>IF(B310="","",IFERROR(VLOOKUP(--B310,'CATALOGO CECO'!$A$2:$H$550,2,FALSE),"CECO NO EXISTE"))</f>
        <v/>
      </c>
      <c r="H310" s="8">
        <f>IF(B310="","",IFERROR(VLOOKUP(--B310,'CATALOGO CECO'!$A$2:$H$550,3,FALSE),""))</f>
        <v/>
      </c>
      <c r="I310" s="8">
        <f>IF(B310="","",IFERROR(VLOOKUP(--B310,'CATALOGO CECO'!$A$2:$H$550,5,FALSE),""))</f>
        <v/>
      </c>
      <c r="J310" s="8">
        <f>IF(B310="","",IFERROR(VLOOKUP(--B310,'CATALOGO CECO'!$A$2:$H$550,8,FALSE),""))</f>
        <v/>
      </c>
      <c r="K310" s="8">
        <f>IF(COUNTA(A310:F310)=0,"",IF(OR(LEN(A310)&lt;&gt;7,MID(A310,5,1)&lt;&gt;"-",ISERROR(--LEFT(A310,4)),ISERROR(--RIGHT(A310,2))),"ERROR: PERIODO debe ser AAAA-MM",IF(B310="","ERROR: falta CODIGO CECO",IF(G310="CECO NO EXISTE","ERROR: CECO no existe en el catálogo",IF(C310="","ERROR: falta CUENTA",IF(ISERROR(--C310),"ERROR: CUENTA debe tener solo dígitos",IF(ISERROR(FIND(LEFT(C310,1),"567")),"ERROR: CUENTA fuera de las clases de costo",IF(NOT(ISNUMBER(E310)),"ERROR: VALOR debe ser numérico",IF(E310=0,"AVISO: valor cero (no se carga)",IF(J310&lt;&gt;"ACTIVO","NO SE CARGA: CECO en estado "&amp;J310,"OK"))))))))))</f>
        <v/>
      </c>
    </row>
    <row r="311">
      <c r="A311" s="5" t="n"/>
      <c r="B311" s="6" t="n"/>
      <c r="C311" s="5" t="n"/>
      <c r="D311" s="6" t="n"/>
      <c r="E311" s="7" t="n"/>
      <c r="F311" s="6" t="n"/>
      <c r="G311" s="8">
        <f>IF(B311="","",IFERROR(VLOOKUP(--B311,'CATALOGO CECO'!$A$2:$H$550,2,FALSE),"CECO NO EXISTE"))</f>
        <v/>
      </c>
      <c r="H311" s="8">
        <f>IF(B311="","",IFERROR(VLOOKUP(--B311,'CATALOGO CECO'!$A$2:$H$550,3,FALSE),""))</f>
        <v/>
      </c>
      <c r="I311" s="8">
        <f>IF(B311="","",IFERROR(VLOOKUP(--B311,'CATALOGO CECO'!$A$2:$H$550,5,FALSE),""))</f>
        <v/>
      </c>
      <c r="J311" s="8">
        <f>IF(B311="","",IFERROR(VLOOKUP(--B311,'CATALOGO CECO'!$A$2:$H$550,8,FALSE),""))</f>
        <v/>
      </c>
      <c r="K311" s="8">
        <f>IF(COUNTA(A311:F311)=0,"",IF(OR(LEN(A311)&lt;&gt;7,MID(A311,5,1)&lt;&gt;"-",ISERROR(--LEFT(A311,4)),ISERROR(--RIGHT(A311,2))),"ERROR: PERIODO debe ser AAAA-MM",IF(B311="","ERROR: falta CODIGO CECO",IF(G311="CECO NO EXISTE","ERROR: CECO no existe en el catálogo",IF(C311="","ERROR: falta CUENTA",IF(ISERROR(--C311),"ERROR: CUENTA debe tener solo dígitos",IF(ISERROR(FIND(LEFT(C311,1),"567")),"ERROR: CUENTA fuera de las clases de costo",IF(NOT(ISNUMBER(E311)),"ERROR: VALOR debe ser numérico",IF(E311=0,"AVISO: valor cero (no se carga)",IF(J311&lt;&gt;"ACTIVO","NO SE CARGA: CECO en estado "&amp;J311,"OK"))))))))))</f>
        <v/>
      </c>
    </row>
    <row r="312">
      <c r="A312" s="5" t="n"/>
      <c r="B312" s="6" t="n"/>
      <c r="C312" s="5" t="n"/>
      <c r="D312" s="6" t="n"/>
      <c r="E312" s="7" t="n"/>
      <c r="F312" s="6" t="n"/>
      <c r="G312" s="8">
        <f>IF(B312="","",IFERROR(VLOOKUP(--B312,'CATALOGO CECO'!$A$2:$H$550,2,FALSE),"CECO NO EXISTE"))</f>
        <v/>
      </c>
      <c r="H312" s="8">
        <f>IF(B312="","",IFERROR(VLOOKUP(--B312,'CATALOGO CECO'!$A$2:$H$550,3,FALSE),""))</f>
        <v/>
      </c>
      <c r="I312" s="8">
        <f>IF(B312="","",IFERROR(VLOOKUP(--B312,'CATALOGO CECO'!$A$2:$H$550,5,FALSE),""))</f>
        <v/>
      </c>
      <c r="J312" s="8">
        <f>IF(B312="","",IFERROR(VLOOKUP(--B312,'CATALOGO CECO'!$A$2:$H$550,8,FALSE),""))</f>
        <v/>
      </c>
      <c r="K312" s="8">
        <f>IF(COUNTA(A312:F312)=0,"",IF(OR(LEN(A312)&lt;&gt;7,MID(A312,5,1)&lt;&gt;"-",ISERROR(--LEFT(A312,4)),ISERROR(--RIGHT(A312,2))),"ERROR: PERIODO debe ser AAAA-MM",IF(B312="","ERROR: falta CODIGO CECO",IF(G312="CECO NO EXISTE","ERROR: CECO no existe en el catálogo",IF(C312="","ERROR: falta CUENTA",IF(ISERROR(--C312),"ERROR: CUENTA debe tener solo dígitos",IF(ISERROR(FIND(LEFT(C312,1),"567")),"ERROR: CUENTA fuera de las clases de costo",IF(NOT(ISNUMBER(E312)),"ERROR: VALOR debe ser numérico",IF(E312=0,"AVISO: valor cero (no se carga)",IF(J312&lt;&gt;"ACTIVO","NO SE CARGA: CECO en estado "&amp;J312,"OK"))))))))))</f>
        <v/>
      </c>
    </row>
    <row r="313">
      <c r="A313" s="5" t="n"/>
      <c r="B313" s="6" t="n"/>
      <c r="C313" s="5" t="n"/>
      <c r="D313" s="6" t="n"/>
      <c r="E313" s="7" t="n"/>
      <c r="F313" s="6" t="n"/>
      <c r="G313" s="8">
        <f>IF(B313="","",IFERROR(VLOOKUP(--B313,'CATALOGO CECO'!$A$2:$H$550,2,FALSE),"CECO NO EXISTE"))</f>
        <v/>
      </c>
      <c r="H313" s="8">
        <f>IF(B313="","",IFERROR(VLOOKUP(--B313,'CATALOGO CECO'!$A$2:$H$550,3,FALSE),""))</f>
        <v/>
      </c>
      <c r="I313" s="8">
        <f>IF(B313="","",IFERROR(VLOOKUP(--B313,'CATALOGO CECO'!$A$2:$H$550,5,FALSE),""))</f>
        <v/>
      </c>
      <c r="J313" s="8">
        <f>IF(B313="","",IFERROR(VLOOKUP(--B313,'CATALOGO CECO'!$A$2:$H$550,8,FALSE),""))</f>
        <v/>
      </c>
      <c r="K313" s="8">
        <f>IF(COUNTA(A313:F313)=0,"",IF(OR(LEN(A313)&lt;&gt;7,MID(A313,5,1)&lt;&gt;"-",ISERROR(--LEFT(A313,4)),ISERROR(--RIGHT(A313,2))),"ERROR: PERIODO debe ser AAAA-MM",IF(B313="","ERROR: falta CODIGO CECO",IF(G313="CECO NO EXISTE","ERROR: CECO no existe en el catálogo",IF(C313="","ERROR: falta CUENTA",IF(ISERROR(--C313),"ERROR: CUENTA debe tener solo dígitos",IF(ISERROR(FIND(LEFT(C313,1),"567")),"ERROR: CUENTA fuera de las clases de costo",IF(NOT(ISNUMBER(E313)),"ERROR: VALOR debe ser numérico",IF(E313=0,"AVISO: valor cero (no se carga)",IF(J313&lt;&gt;"ACTIVO","NO SE CARGA: CECO en estado "&amp;J313,"OK"))))))))))</f>
        <v/>
      </c>
    </row>
    <row r="314">
      <c r="A314" s="5" t="n"/>
      <c r="B314" s="6" t="n"/>
      <c r="C314" s="5" t="n"/>
      <c r="D314" s="6" t="n"/>
      <c r="E314" s="7" t="n"/>
      <c r="F314" s="6" t="n"/>
      <c r="G314" s="8">
        <f>IF(B314="","",IFERROR(VLOOKUP(--B314,'CATALOGO CECO'!$A$2:$H$550,2,FALSE),"CECO NO EXISTE"))</f>
        <v/>
      </c>
      <c r="H314" s="8">
        <f>IF(B314="","",IFERROR(VLOOKUP(--B314,'CATALOGO CECO'!$A$2:$H$550,3,FALSE),""))</f>
        <v/>
      </c>
      <c r="I314" s="8">
        <f>IF(B314="","",IFERROR(VLOOKUP(--B314,'CATALOGO CECO'!$A$2:$H$550,5,FALSE),""))</f>
        <v/>
      </c>
      <c r="J314" s="8">
        <f>IF(B314="","",IFERROR(VLOOKUP(--B314,'CATALOGO CECO'!$A$2:$H$550,8,FALSE),""))</f>
        <v/>
      </c>
      <c r="K314" s="8">
        <f>IF(COUNTA(A314:F314)=0,"",IF(OR(LEN(A314)&lt;&gt;7,MID(A314,5,1)&lt;&gt;"-",ISERROR(--LEFT(A314,4)),ISERROR(--RIGHT(A314,2))),"ERROR: PERIODO debe ser AAAA-MM",IF(B314="","ERROR: falta CODIGO CECO",IF(G314="CECO NO EXISTE","ERROR: CECO no existe en el catálogo",IF(C314="","ERROR: falta CUENTA",IF(ISERROR(--C314),"ERROR: CUENTA debe tener solo dígitos",IF(ISERROR(FIND(LEFT(C314,1),"567")),"ERROR: CUENTA fuera de las clases de costo",IF(NOT(ISNUMBER(E314)),"ERROR: VALOR debe ser numérico",IF(E314=0,"AVISO: valor cero (no se carga)",IF(J314&lt;&gt;"ACTIVO","NO SE CARGA: CECO en estado "&amp;J314,"OK"))))))))))</f>
        <v/>
      </c>
    </row>
    <row r="315">
      <c r="A315" s="5" t="n"/>
      <c r="B315" s="6" t="n"/>
      <c r="C315" s="5" t="n"/>
      <c r="D315" s="6" t="n"/>
      <c r="E315" s="7" t="n"/>
      <c r="F315" s="6" t="n"/>
      <c r="G315" s="8">
        <f>IF(B315="","",IFERROR(VLOOKUP(--B315,'CATALOGO CECO'!$A$2:$H$550,2,FALSE),"CECO NO EXISTE"))</f>
        <v/>
      </c>
      <c r="H315" s="8">
        <f>IF(B315="","",IFERROR(VLOOKUP(--B315,'CATALOGO CECO'!$A$2:$H$550,3,FALSE),""))</f>
        <v/>
      </c>
      <c r="I315" s="8">
        <f>IF(B315="","",IFERROR(VLOOKUP(--B315,'CATALOGO CECO'!$A$2:$H$550,5,FALSE),""))</f>
        <v/>
      </c>
      <c r="J315" s="8">
        <f>IF(B315="","",IFERROR(VLOOKUP(--B315,'CATALOGO CECO'!$A$2:$H$550,8,FALSE),""))</f>
        <v/>
      </c>
      <c r="K315" s="8">
        <f>IF(COUNTA(A315:F315)=0,"",IF(OR(LEN(A315)&lt;&gt;7,MID(A315,5,1)&lt;&gt;"-",ISERROR(--LEFT(A315,4)),ISERROR(--RIGHT(A315,2))),"ERROR: PERIODO debe ser AAAA-MM",IF(B315="","ERROR: falta CODIGO CECO",IF(G315="CECO NO EXISTE","ERROR: CECO no existe en el catálogo",IF(C315="","ERROR: falta CUENTA",IF(ISERROR(--C315),"ERROR: CUENTA debe tener solo dígitos",IF(ISERROR(FIND(LEFT(C315,1),"567")),"ERROR: CUENTA fuera de las clases de costo",IF(NOT(ISNUMBER(E315)),"ERROR: VALOR debe ser numérico",IF(E315=0,"AVISO: valor cero (no se carga)",IF(J315&lt;&gt;"ACTIVO","NO SE CARGA: CECO en estado "&amp;J315,"OK"))))))))))</f>
        <v/>
      </c>
    </row>
    <row r="316">
      <c r="A316" s="5" t="n"/>
      <c r="B316" s="6" t="n"/>
      <c r="C316" s="5" t="n"/>
      <c r="D316" s="6" t="n"/>
      <c r="E316" s="7" t="n"/>
      <c r="F316" s="6" t="n"/>
      <c r="G316" s="8">
        <f>IF(B316="","",IFERROR(VLOOKUP(--B316,'CATALOGO CECO'!$A$2:$H$550,2,FALSE),"CECO NO EXISTE"))</f>
        <v/>
      </c>
      <c r="H316" s="8">
        <f>IF(B316="","",IFERROR(VLOOKUP(--B316,'CATALOGO CECO'!$A$2:$H$550,3,FALSE),""))</f>
        <v/>
      </c>
      <c r="I316" s="8">
        <f>IF(B316="","",IFERROR(VLOOKUP(--B316,'CATALOGO CECO'!$A$2:$H$550,5,FALSE),""))</f>
        <v/>
      </c>
      <c r="J316" s="8">
        <f>IF(B316="","",IFERROR(VLOOKUP(--B316,'CATALOGO CECO'!$A$2:$H$550,8,FALSE),""))</f>
        <v/>
      </c>
      <c r="K316" s="8">
        <f>IF(COUNTA(A316:F316)=0,"",IF(OR(LEN(A316)&lt;&gt;7,MID(A316,5,1)&lt;&gt;"-",ISERROR(--LEFT(A316,4)),ISERROR(--RIGHT(A316,2))),"ERROR: PERIODO debe ser AAAA-MM",IF(B316="","ERROR: falta CODIGO CECO",IF(G316="CECO NO EXISTE","ERROR: CECO no existe en el catálogo",IF(C316="","ERROR: falta CUENTA",IF(ISERROR(--C316),"ERROR: CUENTA debe tener solo dígitos",IF(ISERROR(FIND(LEFT(C316,1),"567")),"ERROR: CUENTA fuera de las clases de costo",IF(NOT(ISNUMBER(E316)),"ERROR: VALOR debe ser numérico",IF(E316=0,"AVISO: valor cero (no se carga)",IF(J316&lt;&gt;"ACTIVO","NO SE CARGA: CECO en estado "&amp;J316,"OK"))))))))))</f>
        <v/>
      </c>
    </row>
    <row r="317">
      <c r="A317" s="5" t="n"/>
      <c r="B317" s="6" t="n"/>
      <c r="C317" s="5" t="n"/>
      <c r="D317" s="6" t="n"/>
      <c r="E317" s="7" t="n"/>
      <c r="F317" s="6" t="n"/>
      <c r="G317" s="8">
        <f>IF(B317="","",IFERROR(VLOOKUP(--B317,'CATALOGO CECO'!$A$2:$H$550,2,FALSE),"CECO NO EXISTE"))</f>
        <v/>
      </c>
      <c r="H317" s="8">
        <f>IF(B317="","",IFERROR(VLOOKUP(--B317,'CATALOGO CECO'!$A$2:$H$550,3,FALSE),""))</f>
        <v/>
      </c>
      <c r="I317" s="8">
        <f>IF(B317="","",IFERROR(VLOOKUP(--B317,'CATALOGO CECO'!$A$2:$H$550,5,FALSE),""))</f>
        <v/>
      </c>
      <c r="J317" s="8">
        <f>IF(B317="","",IFERROR(VLOOKUP(--B317,'CATALOGO CECO'!$A$2:$H$550,8,FALSE),""))</f>
        <v/>
      </c>
      <c r="K317" s="8">
        <f>IF(COUNTA(A317:F317)=0,"",IF(OR(LEN(A317)&lt;&gt;7,MID(A317,5,1)&lt;&gt;"-",ISERROR(--LEFT(A317,4)),ISERROR(--RIGHT(A317,2))),"ERROR: PERIODO debe ser AAAA-MM",IF(B317="","ERROR: falta CODIGO CECO",IF(G317="CECO NO EXISTE","ERROR: CECO no existe en el catálogo",IF(C317="","ERROR: falta CUENTA",IF(ISERROR(--C317),"ERROR: CUENTA debe tener solo dígitos",IF(ISERROR(FIND(LEFT(C317,1),"567")),"ERROR: CUENTA fuera de las clases de costo",IF(NOT(ISNUMBER(E317)),"ERROR: VALOR debe ser numérico",IF(E317=0,"AVISO: valor cero (no se carga)",IF(J317&lt;&gt;"ACTIVO","NO SE CARGA: CECO en estado "&amp;J317,"OK"))))))))))</f>
        <v/>
      </c>
    </row>
    <row r="318">
      <c r="A318" s="5" t="n"/>
      <c r="B318" s="6" t="n"/>
      <c r="C318" s="5" t="n"/>
      <c r="D318" s="6" t="n"/>
      <c r="E318" s="7" t="n"/>
      <c r="F318" s="6" t="n"/>
      <c r="G318" s="8">
        <f>IF(B318="","",IFERROR(VLOOKUP(--B318,'CATALOGO CECO'!$A$2:$H$550,2,FALSE),"CECO NO EXISTE"))</f>
        <v/>
      </c>
      <c r="H318" s="8">
        <f>IF(B318="","",IFERROR(VLOOKUP(--B318,'CATALOGO CECO'!$A$2:$H$550,3,FALSE),""))</f>
        <v/>
      </c>
      <c r="I318" s="8">
        <f>IF(B318="","",IFERROR(VLOOKUP(--B318,'CATALOGO CECO'!$A$2:$H$550,5,FALSE),""))</f>
        <v/>
      </c>
      <c r="J318" s="8">
        <f>IF(B318="","",IFERROR(VLOOKUP(--B318,'CATALOGO CECO'!$A$2:$H$550,8,FALSE),""))</f>
        <v/>
      </c>
      <c r="K318" s="8">
        <f>IF(COUNTA(A318:F318)=0,"",IF(OR(LEN(A318)&lt;&gt;7,MID(A318,5,1)&lt;&gt;"-",ISERROR(--LEFT(A318,4)),ISERROR(--RIGHT(A318,2))),"ERROR: PERIODO debe ser AAAA-MM",IF(B318="","ERROR: falta CODIGO CECO",IF(G318="CECO NO EXISTE","ERROR: CECO no existe en el catálogo",IF(C318="","ERROR: falta CUENTA",IF(ISERROR(--C318),"ERROR: CUENTA debe tener solo dígitos",IF(ISERROR(FIND(LEFT(C318,1),"567")),"ERROR: CUENTA fuera de las clases de costo",IF(NOT(ISNUMBER(E318)),"ERROR: VALOR debe ser numérico",IF(E318=0,"AVISO: valor cero (no se carga)",IF(J318&lt;&gt;"ACTIVO","NO SE CARGA: CECO en estado "&amp;J318,"OK"))))))))))</f>
        <v/>
      </c>
    </row>
    <row r="319">
      <c r="A319" s="5" t="n"/>
      <c r="B319" s="6" t="n"/>
      <c r="C319" s="5" t="n"/>
      <c r="D319" s="6" t="n"/>
      <c r="E319" s="7" t="n"/>
      <c r="F319" s="6" t="n"/>
      <c r="G319" s="8">
        <f>IF(B319="","",IFERROR(VLOOKUP(--B319,'CATALOGO CECO'!$A$2:$H$550,2,FALSE),"CECO NO EXISTE"))</f>
        <v/>
      </c>
      <c r="H319" s="8">
        <f>IF(B319="","",IFERROR(VLOOKUP(--B319,'CATALOGO CECO'!$A$2:$H$550,3,FALSE),""))</f>
        <v/>
      </c>
      <c r="I319" s="8">
        <f>IF(B319="","",IFERROR(VLOOKUP(--B319,'CATALOGO CECO'!$A$2:$H$550,5,FALSE),""))</f>
        <v/>
      </c>
      <c r="J319" s="8">
        <f>IF(B319="","",IFERROR(VLOOKUP(--B319,'CATALOGO CECO'!$A$2:$H$550,8,FALSE),""))</f>
        <v/>
      </c>
      <c r="K319" s="8">
        <f>IF(COUNTA(A319:F319)=0,"",IF(OR(LEN(A319)&lt;&gt;7,MID(A319,5,1)&lt;&gt;"-",ISERROR(--LEFT(A319,4)),ISERROR(--RIGHT(A319,2))),"ERROR: PERIODO debe ser AAAA-MM",IF(B319="","ERROR: falta CODIGO CECO",IF(G319="CECO NO EXISTE","ERROR: CECO no existe en el catálogo",IF(C319="","ERROR: falta CUENTA",IF(ISERROR(--C319),"ERROR: CUENTA debe tener solo dígitos",IF(ISERROR(FIND(LEFT(C319,1),"567")),"ERROR: CUENTA fuera de las clases de costo",IF(NOT(ISNUMBER(E319)),"ERROR: VALOR debe ser numérico",IF(E319=0,"AVISO: valor cero (no se carga)",IF(J319&lt;&gt;"ACTIVO","NO SE CARGA: CECO en estado "&amp;J319,"OK"))))))))))</f>
        <v/>
      </c>
    </row>
    <row r="320">
      <c r="A320" s="5" t="n"/>
      <c r="B320" s="6" t="n"/>
      <c r="C320" s="5" t="n"/>
      <c r="D320" s="6" t="n"/>
      <c r="E320" s="7" t="n"/>
      <c r="F320" s="6" t="n"/>
      <c r="G320" s="8">
        <f>IF(B320="","",IFERROR(VLOOKUP(--B320,'CATALOGO CECO'!$A$2:$H$550,2,FALSE),"CECO NO EXISTE"))</f>
        <v/>
      </c>
      <c r="H320" s="8">
        <f>IF(B320="","",IFERROR(VLOOKUP(--B320,'CATALOGO CECO'!$A$2:$H$550,3,FALSE),""))</f>
        <v/>
      </c>
      <c r="I320" s="8">
        <f>IF(B320="","",IFERROR(VLOOKUP(--B320,'CATALOGO CECO'!$A$2:$H$550,5,FALSE),""))</f>
        <v/>
      </c>
      <c r="J320" s="8">
        <f>IF(B320="","",IFERROR(VLOOKUP(--B320,'CATALOGO CECO'!$A$2:$H$550,8,FALSE),""))</f>
        <v/>
      </c>
      <c r="K320" s="8">
        <f>IF(COUNTA(A320:F320)=0,"",IF(OR(LEN(A320)&lt;&gt;7,MID(A320,5,1)&lt;&gt;"-",ISERROR(--LEFT(A320,4)),ISERROR(--RIGHT(A320,2))),"ERROR: PERIODO debe ser AAAA-MM",IF(B320="","ERROR: falta CODIGO CECO",IF(G320="CECO NO EXISTE","ERROR: CECO no existe en el catálogo",IF(C320="","ERROR: falta CUENTA",IF(ISERROR(--C320),"ERROR: CUENTA debe tener solo dígitos",IF(ISERROR(FIND(LEFT(C320,1),"567")),"ERROR: CUENTA fuera de las clases de costo",IF(NOT(ISNUMBER(E320)),"ERROR: VALOR debe ser numérico",IF(E320=0,"AVISO: valor cero (no se carga)",IF(J320&lt;&gt;"ACTIVO","NO SE CARGA: CECO en estado "&amp;J320,"OK"))))))))))</f>
        <v/>
      </c>
    </row>
    <row r="321">
      <c r="A321" s="5" t="n"/>
      <c r="B321" s="6" t="n"/>
      <c r="C321" s="5" t="n"/>
      <c r="D321" s="6" t="n"/>
      <c r="E321" s="7" t="n"/>
      <c r="F321" s="6" t="n"/>
      <c r="G321" s="8">
        <f>IF(B321="","",IFERROR(VLOOKUP(--B321,'CATALOGO CECO'!$A$2:$H$550,2,FALSE),"CECO NO EXISTE"))</f>
        <v/>
      </c>
      <c r="H321" s="8">
        <f>IF(B321="","",IFERROR(VLOOKUP(--B321,'CATALOGO CECO'!$A$2:$H$550,3,FALSE),""))</f>
        <v/>
      </c>
      <c r="I321" s="8">
        <f>IF(B321="","",IFERROR(VLOOKUP(--B321,'CATALOGO CECO'!$A$2:$H$550,5,FALSE),""))</f>
        <v/>
      </c>
      <c r="J321" s="8">
        <f>IF(B321="","",IFERROR(VLOOKUP(--B321,'CATALOGO CECO'!$A$2:$H$550,8,FALSE),""))</f>
        <v/>
      </c>
      <c r="K321" s="8">
        <f>IF(COUNTA(A321:F321)=0,"",IF(OR(LEN(A321)&lt;&gt;7,MID(A321,5,1)&lt;&gt;"-",ISERROR(--LEFT(A321,4)),ISERROR(--RIGHT(A321,2))),"ERROR: PERIODO debe ser AAAA-MM",IF(B321="","ERROR: falta CODIGO CECO",IF(G321="CECO NO EXISTE","ERROR: CECO no existe en el catálogo",IF(C321="","ERROR: falta CUENTA",IF(ISERROR(--C321),"ERROR: CUENTA debe tener solo dígitos",IF(ISERROR(FIND(LEFT(C321,1),"567")),"ERROR: CUENTA fuera de las clases de costo",IF(NOT(ISNUMBER(E321)),"ERROR: VALOR debe ser numérico",IF(E321=0,"AVISO: valor cero (no se carga)",IF(J321&lt;&gt;"ACTIVO","NO SE CARGA: CECO en estado "&amp;J321,"OK"))))))))))</f>
        <v/>
      </c>
    </row>
    <row r="322">
      <c r="A322" s="5" t="n"/>
      <c r="B322" s="6" t="n"/>
      <c r="C322" s="5" t="n"/>
      <c r="D322" s="6" t="n"/>
      <c r="E322" s="7" t="n"/>
      <c r="F322" s="6" t="n"/>
      <c r="G322" s="8">
        <f>IF(B322="","",IFERROR(VLOOKUP(--B322,'CATALOGO CECO'!$A$2:$H$550,2,FALSE),"CECO NO EXISTE"))</f>
        <v/>
      </c>
      <c r="H322" s="8">
        <f>IF(B322="","",IFERROR(VLOOKUP(--B322,'CATALOGO CECO'!$A$2:$H$550,3,FALSE),""))</f>
        <v/>
      </c>
      <c r="I322" s="8">
        <f>IF(B322="","",IFERROR(VLOOKUP(--B322,'CATALOGO CECO'!$A$2:$H$550,5,FALSE),""))</f>
        <v/>
      </c>
      <c r="J322" s="8">
        <f>IF(B322="","",IFERROR(VLOOKUP(--B322,'CATALOGO CECO'!$A$2:$H$550,8,FALSE),""))</f>
        <v/>
      </c>
      <c r="K322" s="8">
        <f>IF(COUNTA(A322:F322)=0,"",IF(OR(LEN(A322)&lt;&gt;7,MID(A322,5,1)&lt;&gt;"-",ISERROR(--LEFT(A322,4)),ISERROR(--RIGHT(A322,2))),"ERROR: PERIODO debe ser AAAA-MM",IF(B322="","ERROR: falta CODIGO CECO",IF(G322="CECO NO EXISTE","ERROR: CECO no existe en el catálogo",IF(C322="","ERROR: falta CUENTA",IF(ISERROR(--C322),"ERROR: CUENTA debe tener solo dígitos",IF(ISERROR(FIND(LEFT(C322,1),"567")),"ERROR: CUENTA fuera de las clases de costo",IF(NOT(ISNUMBER(E322)),"ERROR: VALOR debe ser numérico",IF(E322=0,"AVISO: valor cero (no se carga)",IF(J322&lt;&gt;"ACTIVO","NO SE CARGA: CECO en estado "&amp;J322,"OK"))))))))))</f>
        <v/>
      </c>
    </row>
    <row r="323">
      <c r="A323" s="5" t="n"/>
      <c r="B323" s="6" t="n"/>
      <c r="C323" s="5" t="n"/>
      <c r="D323" s="6" t="n"/>
      <c r="E323" s="7" t="n"/>
      <c r="F323" s="6" t="n"/>
      <c r="G323" s="8">
        <f>IF(B323="","",IFERROR(VLOOKUP(--B323,'CATALOGO CECO'!$A$2:$H$550,2,FALSE),"CECO NO EXISTE"))</f>
        <v/>
      </c>
      <c r="H323" s="8">
        <f>IF(B323="","",IFERROR(VLOOKUP(--B323,'CATALOGO CECO'!$A$2:$H$550,3,FALSE),""))</f>
        <v/>
      </c>
      <c r="I323" s="8">
        <f>IF(B323="","",IFERROR(VLOOKUP(--B323,'CATALOGO CECO'!$A$2:$H$550,5,FALSE),""))</f>
        <v/>
      </c>
      <c r="J323" s="8">
        <f>IF(B323="","",IFERROR(VLOOKUP(--B323,'CATALOGO CECO'!$A$2:$H$550,8,FALSE),""))</f>
        <v/>
      </c>
      <c r="K323" s="8">
        <f>IF(COUNTA(A323:F323)=0,"",IF(OR(LEN(A323)&lt;&gt;7,MID(A323,5,1)&lt;&gt;"-",ISERROR(--LEFT(A323,4)),ISERROR(--RIGHT(A323,2))),"ERROR: PERIODO debe ser AAAA-MM",IF(B323="","ERROR: falta CODIGO CECO",IF(G323="CECO NO EXISTE","ERROR: CECO no existe en el catálogo",IF(C323="","ERROR: falta CUENTA",IF(ISERROR(--C323),"ERROR: CUENTA debe tener solo dígitos",IF(ISERROR(FIND(LEFT(C323,1),"567")),"ERROR: CUENTA fuera de las clases de costo",IF(NOT(ISNUMBER(E323)),"ERROR: VALOR debe ser numérico",IF(E323=0,"AVISO: valor cero (no se carga)",IF(J323&lt;&gt;"ACTIVO","NO SE CARGA: CECO en estado "&amp;J323,"OK"))))))))))</f>
        <v/>
      </c>
    </row>
    <row r="324">
      <c r="A324" s="5" t="n"/>
      <c r="B324" s="6" t="n"/>
      <c r="C324" s="5" t="n"/>
      <c r="D324" s="6" t="n"/>
      <c r="E324" s="7" t="n"/>
      <c r="F324" s="6" t="n"/>
      <c r="G324" s="8">
        <f>IF(B324="","",IFERROR(VLOOKUP(--B324,'CATALOGO CECO'!$A$2:$H$550,2,FALSE),"CECO NO EXISTE"))</f>
        <v/>
      </c>
      <c r="H324" s="8">
        <f>IF(B324="","",IFERROR(VLOOKUP(--B324,'CATALOGO CECO'!$A$2:$H$550,3,FALSE),""))</f>
        <v/>
      </c>
      <c r="I324" s="8">
        <f>IF(B324="","",IFERROR(VLOOKUP(--B324,'CATALOGO CECO'!$A$2:$H$550,5,FALSE),""))</f>
        <v/>
      </c>
      <c r="J324" s="8">
        <f>IF(B324="","",IFERROR(VLOOKUP(--B324,'CATALOGO CECO'!$A$2:$H$550,8,FALSE),""))</f>
        <v/>
      </c>
      <c r="K324" s="8">
        <f>IF(COUNTA(A324:F324)=0,"",IF(OR(LEN(A324)&lt;&gt;7,MID(A324,5,1)&lt;&gt;"-",ISERROR(--LEFT(A324,4)),ISERROR(--RIGHT(A324,2))),"ERROR: PERIODO debe ser AAAA-MM",IF(B324="","ERROR: falta CODIGO CECO",IF(G324="CECO NO EXISTE","ERROR: CECO no existe en el catálogo",IF(C324="","ERROR: falta CUENTA",IF(ISERROR(--C324),"ERROR: CUENTA debe tener solo dígitos",IF(ISERROR(FIND(LEFT(C324,1),"567")),"ERROR: CUENTA fuera de las clases de costo",IF(NOT(ISNUMBER(E324)),"ERROR: VALOR debe ser numérico",IF(E324=0,"AVISO: valor cero (no se carga)",IF(J324&lt;&gt;"ACTIVO","NO SE CARGA: CECO en estado "&amp;J324,"OK"))))))))))</f>
        <v/>
      </c>
    </row>
    <row r="325">
      <c r="A325" s="5" t="n"/>
      <c r="B325" s="6" t="n"/>
      <c r="C325" s="5" t="n"/>
      <c r="D325" s="6" t="n"/>
      <c r="E325" s="7" t="n"/>
      <c r="F325" s="6" t="n"/>
      <c r="G325" s="8">
        <f>IF(B325="","",IFERROR(VLOOKUP(--B325,'CATALOGO CECO'!$A$2:$H$550,2,FALSE),"CECO NO EXISTE"))</f>
        <v/>
      </c>
      <c r="H325" s="8">
        <f>IF(B325="","",IFERROR(VLOOKUP(--B325,'CATALOGO CECO'!$A$2:$H$550,3,FALSE),""))</f>
        <v/>
      </c>
      <c r="I325" s="8">
        <f>IF(B325="","",IFERROR(VLOOKUP(--B325,'CATALOGO CECO'!$A$2:$H$550,5,FALSE),""))</f>
        <v/>
      </c>
      <c r="J325" s="8">
        <f>IF(B325="","",IFERROR(VLOOKUP(--B325,'CATALOGO CECO'!$A$2:$H$550,8,FALSE),""))</f>
        <v/>
      </c>
      <c r="K325" s="8">
        <f>IF(COUNTA(A325:F325)=0,"",IF(OR(LEN(A325)&lt;&gt;7,MID(A325,5,1)&lt;&gt;"-",ISERROR(--LEFT(A325,4)),ISERROR(--RIGHT(A325,2))),"ERROR: PERIODO debe ser AAAA-MM",IF(B325="","ERROR: falta CODIGO CECO",IF(G325="CECO NO EXISTE","ERROR: CECO no existe en el catálogo",IF(C325="","ERROR: falta CUENTA",IF(ISERROR(--C325),"ERROR: CUENTA debe tener solo dígitos",IF(ISERROR(FIND(LEFT(C325,1),"567")),"ERROR: CUENTA fuera de las clases de costo",IF(NOT(ISNUMBER(E325)),"ERROR: VALOR debe ser numérico",IF(E325=0,"AVISO: valor cero (no se carga)",IF(J325&lt;&gt;"ACTIVO","NO SE CARGA: CECO en estado "&amp;J325,"OK"))))))))))</f>
        <v/>
      </c>
    </row>
    <row r="326">
      <c r="A326" s="5" t="n"/>
      <c r="B326" s="6" t="n"/>
      <c r="C326" s="5" t="n"/>
      <c r="D326" s="6" t="n"/>
      <c r="E326" s="7" t="n"/>
      <c r="F326" s="6" t="n"/>
      <c r="G326" s="8">
        <f>IF(B326="","",IFERROR(VLOOKUP(--B326,'CATALOGO CECO'!$A$2:$H$550,2,FALSE),"CECO NO EXISTE"))</f>
        <v/>
      </c>
      <c r="H326" s="8">
        <f>IF(B326="","",IFERROR(VLOOKUP(--B326,'CATALOGO CECO'!$A$2:$H$550,3,FALSE),""))</f>
        <v/>
      </c>
      <c r="I326" s="8">
        <f>IF(B326="","",IFERROR(VLOOKUP(--B326,'CATALOGO CECO'!$A$2:$H$550,5,FALSE),""))</f>
        <v/>
      </c>
      <c r="J326" s="8">
        <f>IF(B326="","",IFERROR(VLOOKUP(--B326,'CATALOGO CECO'!$A$2:$H$550,8,FALSE),""))</f>
        <v/>
      </c>
      <c r="K326" s="8">
        <f>IF(COUNTA(A326:F326)=0,"",IF(OR(LEN(A326)&lt;&gt;7,MID(A326,5,1)&lt;&gt;"-",ISERROR(--LEFT(A326,4)),ISERROR(--RIGHT(A326,2))),"ERROR: PERIODO debe ser AAAA-MM",IF(B326="","ERROR: falta CODIGO CECO",IF(G326="CECO NO EXISTE","ERROR: CECO no existe en el catálogo",IF(C326="","ERROR: falta CUENTA",IF(ISERROR(--C326),"ERROR: CUENTA debe tener solo dígitos",IF(ISERROR(FIND(LEFT(C326,1),"567")),"ERROR: CUENTA fuera de las clases de costo",IF(NOT(ISNUMBER(E326)),"ERROR: VALOR debe ser numérico",IF(E326=0,"AVISO: valor cero (no se carga)",IF(J326&lt;&gt;"ACTIVO","NO SE CARGA: CECO en estado "&amp;J326,"OK"))))))))))</f>
        <v/>
      </c>
    </row>
    <row r="327">
      <c r="A327" s="5" t="n"/>
      <c r="B327" s="6" t="n"/>
      <c r="C327" s="5" t="n"/>
      <c r="D327" s="6" t="n"/>
      <c r="E327" s="7" t="n"/>
      <c r="F327" s="6" t="n"/>
      <c r="G327" s="8">
        <f>IF(B327="","",IFERROR(VLOOKUP(--B327,'CATALOGO CECO'!$A$2:$H$550,2,FALSE),"CECO NO EXISTE"))</f>
        <v/>
      </c>
      <c r="H327" s="8">
        <f>IF(B327="","",IFERROR(VLOOKUP(--B327,'CATALOGO CECO'!$A$2:$H$550,3,FALSE),""))</f>
        <v/>
      </c>
      <c r="I327" s="8">
        <f>IF(B327="","",IFERROR(VLOOKUP(--B327,'CATALOGO CECO'!$A$2:$H$550,5,FALSE),""))</f>
        <v/>
      </c>
      <c r="J327" s="8">
        <f>IF(B327="","",IFERROR(VLOOKUP(--B327,'CATALOGO CECO'!$A$2:$H$550,8,FALSE),""))</f>
        <v/>
      </c>
      <c r="K327" s="8">
        <f>IF(COUNTA(A327:F327)=0,"",IF(OR(LEN(A327)&lt;&gt;7,MID(A327,5,1)&lt;&gt;"-",ISERROR(--LEFT(A327,4)),ISERROR(--RIGHT(A327,2))),"ERROR: PERIODO debe ser AAAA-MM",IF(B327="","ERROR: falta CODIGO CECO",IF(G327="CECO NO EXISTE","ERROR: CECO no existe en el catálogo",IF(C327="","ERROR: falta CUENTA",IF(ISERROR(--C327),"ERROR: CUENTA debe tener solo dígitos",IF(ISERROR(FIND(LEFT(C327,1),"567")),"ERROR: CUENTA fuera de las clases de costo",IF(NOT(ISNUMBER(E327)),"ERROR: VALOR debe ser numérico",IF(E327=0,"AVISO: valor cero (no se carga)",IF(J327&lt;&gt;"ACTIVO","NO SE CARGA: CECO en estado "&amp;J327,"OK"))))))))))</f>
        <v/>
      </c>
    </row>
    <row r="328">
      <c r="A328" s="5" t="n"/>
      <c r="B328" s="6" t="n"/>
      <c r="C328" s="5" t="n"/>
      <c r="D328" s="6" t="n"/>
      <c r="E328" s="7" t="n"/>
      <c r="F328" s="6" t="n"/>
      <c r="G328" s="8">
        <f>IF(B328="","",IFERROR(VLOOKUP(--B328,'CATALOGO CECO'!$A$2:$H$550,2,FALSE),"CECO NO EXISTE"))</f>
        <v/>
      </c>
      <c r="H328" s="8">
        <f>IF(B328="","",IFERROR(VLOOKUP(--B328,'CATALOGO CECO'!$A$2:$H$550,3,FALSE),""))</f>
        <v/>
      </c>
      <c r="I328" s="8">
        <f>IF(B328="","",IFERROR(VLOOKUP(--B328,'CATALOGO CECO'!$A$2:$H$550,5,FALSE),""))</f>
        <v/>
      </c>
      <c r="J328" s="8">
        <f>IF(B328="","",IFERROR(VLOOKUP(--B328,'CATALOGO CECO'!$A$2:$H$550,8,FALSE),""))</f>
        <v/>
      </c>
      <c r="K328" s="8">
        <f>IF(COUNTA(A328:F328)=0,"",IF(OR(LEN(A328)&lt;&gt;7,MID(A328,5,1)&lt;&gt;"-",ISERROR(--LEFT(A328,4)),ISERROR(--RIGHT(A328,2))),"ERROR: PERIODO debe ser AAAA-MM",IF(B328="","ERROR: falta CODIGO CECO",IF(G328="CECO NO EXISTE","ERROR: CECO no existe en el catálogo",IF(C328="","ERROR: falta CUENTA",IF(ISERROR(--C328),"ERROR: CUENTA debe tener solo dígitos",IF(ISERROR(FIND(LEFT(C328,1),"567")),"ERROR: CUENTA fuera de las clases de costo",IF(NOT(ISNUMBER(E328)),"ERROR: VALOR debe ser numérico",IF(E328=0,"AVISO: valor cero (no se carga)",IF(J328&lt;&gt;"ACTIVO","NO SE CARGA: CECO en estado "&amp;J328,"OK"))))))))))</f>
        <v/>
      </c>
    </row>
    <row r="329">
      <c r="A329" s="5" t="n"/>
      <c r="B329" s="6" t="n"/>
      <c r="C329" s="5" t="n"/>
      <c r="D329" s="6" t="n"/>
      <c r="E329" s="7" t="n"/>
      <c r="F329" s="6" t="n"/>
      <c r="G329" s="8">
        <f>IF(B329="","",IFERROR(VLOOKUP(--B329,'CATALOGO CECO'!$A$2:$H$550,2,FALSE),"CECO NO EXISTE"))</f>
        <v/>
      </c>
      <c r="H329" s="8">
        <f>IF(B329="","",IFERROR(VLOOKUP(--B329,'CATALOGO CECO'!$A$2:$H$550,3,FALSE),""))</f>
        <v/>
      </c>
      <c r="I329" s="8">
        <f>IF(B329="","",IFERROR(VLOOKUP(--B329,'CATALOGO CECO'!$A$2:$H$550,5,FALSE),""))</f>
        <v/>
      </c>
      <c r="J329" s="8">
        <f>IF(B329="","",IFERROR(VLOOKUP(--B329,'CATALOGO CECO'!$A$2:$H$550,8,FALSE),""))</f>
        <v/>
      </c>
      <c r="K329" s="8">
        <f>IF(COUNTA(A329:F329)=0,"",IF(OR(LEN(A329)&lt;&gt;7,MID(A329,5,1)&lt;&gt;"-",ISERROR(--LEFT(A329,4)),ISERROR(--RIGHT(A329,2))),"ERROR: PERIODO debe ser AAAA-MM",IF(B329="","ERROR: falta CODIGO CECO",IF(G329="CECO NO EXISTE","ERROR: CECO no existe en el catálogo",IF(C329="","ERROR: falta CUENTA",IF(ISERROR(--C329),"ERROR: CUENTA debe tener solo dígitos",IF(ISERROR(FIND(LEFT(C329,1),"567")),"ERROR: CUENTA fuera de las clases de costo",IF(NOT(ISNUMBER(E329)),"ERROR: VALOR debe ser numérico",IF(E329=0,"AVISO: valor cero (no se carga)",IF(J329&lt;&gt;"ACTIVO","NO SE CARGA: CECO en estado "&amp;J329,"OK"))))))))))</f>
        <v/>
      </c>
    </row>
    <row r="330">
      <c r="A330" s="5" t="n"/>
      <c r="B330" s="6" t="n"/>
      <c r="C330" s="5" t="n"/>
      <c r="D330" s="6" t="n"/>
      <c r="E330" s="7" t="n"/>
      <c r="F330" s="6" t="n"/>
      <c r="G330" s="8">
        <f>IF(B330="","",IFERROR(VLOOKUP(--B330,'CATALOGO CECO'!$A$2:$H$550,2,FALSE),"CECO NO EXISTE"))</f>
        <v/>
      </c>
      <c r="H330" s="8">
        <f>IF(B330="","",IFERROR(VLOOKUP(--B330,'CATALOGO CECO'!$A$2:$H$550,3,FALSE),""))</f>
        <v/>
      </c>
      <c r="I330" s="8">
        <f>IF(B330="","",IFERROR(VLOOKUP(--B330,'CATALOGO CECO'!$A$2:$H$550,5,FALSE),""))</f>
        <v/>
      </c>
      <c r="J330" s="8">
        <f>IF(B330="","",IFERROR(VLOOKUP(--B330,'CATALOGO CECO'!$A$2:$H$550,8,FALSE),""))</f>
        <v/>
      </c>
      <c r="K330" s="8">
        <f>IF(COUNTA(A330:F330)=0,"",IF(OR(LEN(A330)&lt;&gt;7,MID(A330,5,1)&lt;&gt;"-",ISERROR(--LEFT(A330,4)),ISERROR(--RIGHT(A330,2))),"ERROR: PERIODO debe ser AAAA-MM",IF(B330="","ERROR: falta CODIGO CECO",IF(G330="CECO NO EXISTE","ERROR: CECO no existe en el catálogo",IF(C330="","ERROR: falta CUENTA",IF(ISERROR(--C330),"ERROR: CUENTA debe tener solo dígitos",IF(ISERROR(FIND(LEFT(C330,1),"567")),"ERROR: CUENTA fuera de las clases de costo",IF(NOT(ISNUMBER(E330)),"ERROR: VALOR debe ser numérico",IF(E330=0,"AVISO: valor cero (no se carga)",IF(J330&lt;&gt;"ACTIVO","NO SE CARGA: CECO en estado "&amp;J330,"OK"))))))))))</f>
        <v/>
      </c>
    </row>
    <row r="331">
      <c r="A331" s="5" t="n"/>
      <c r="B331" s="6" t="n"/>
      <c r="C331" s="5" t="n"/>
      <c r="D331" s="6" t="n"/>
      <c r="E331" s="7" t="n"/>
      <c r="F331" s="6" t="n"/>
      <c r="G331" s="8">
        <f>IF(B331="","",IFERROR(VLOOKUP(--B331,'CATALOGO CECO'!$A$2:$H$550,2,FALSE),"CECO NO EXISTE"))</f>
        <v/>
      </c>
      <c r="H331" s="8">
        <f>IF(B331="","",IFERROR(VLOOKUP(--B331,'CATALOGO CECO'!$A$2:$H$550,3,FALSE),""))</f>
        <v/>
      </c>
      <c r="I331" s="8">
        <f>IF(B331="","",IFERROR(VLOOKUP(--B331,'CATALOGO CECO'!$A$2:$H$550,5,FALSE),""))</f>
        <v/>
      </c>
      <c r="J331" s="8">
        <f>IF(B331="","",IFERROR(VLOOKUP(--B331,'CATALOGO CECO'!$A$2:$H$550,8,FALSE),""))</f>
        <v/>
      </c>
      <c r="K331" s="8">
        <f>IF(COUNTA(A331:F331)=0,"",IF(OR(LEN(A331)&lt;&gt;7,MID(A331,5,1)&lt;&gt;"-",ISERROR(--LEFT(A331,4)),ISERROR(--RIGHT(A331,2))),"ERROR: PERIODO debe ser AAAA-MM",IF(B331="","ERROR: falta CODIGO CECO",IF(G331="CECO NO EXISTE","ERROR: CECO no existe en el catálogo",IF(C331="","ERROR: falta CUENTA",IF(ISERROR(--C331),"ERROR: CUENTA debe tener solo dígitos",IF(ISERROR(FIND(LEFT(C331,1),"567")),"ERROR: CUENTA fuera de las clases de costo",IF(NOT(ISNUMBER(E331)),"ERROR: VALOR debe ser numérico",IF(E331=0,"AVISO: valor cero (no se carga)",IF(J331&lt;&gt;"ACTIVO","NO SE CARGA: CECO en estado "&amp;J331,"OK"))))))))))</f>
        <v/>
      </c>
    </row>
    <row r="332">
      <c r="A332" s="5" t="n"/>
      <c r="B332" s="6" t="n"/>
      <c r="C332" s="5" t="n"/>
      <c r="D332" s="6" t="n"/>
      <c r="E332" s="7" t="n"/>
      <c r="F332" s="6" t="n"/>
      <c r="G332" s="8">
        <f>IF(B332="","",IFERROR(VLOOKUP(--B332,'CATALOGO CECO'!$A$2:$H$550,2,FALSE),"CECO NO EXISTE"))</f>
        <v/>
      </c>
      <c r="H332" s="8">
        <f>IF(B332="","",IFERROR(VLOOKUP(--B332,'CATALOGO CECO'!$A$2:$H$550,3,FALSE),""))</f>
        <v/>
      </c>
      <c r="I332" s="8">
        <f>IF(B332="","",IFERROR(VLOOKUP(--B332,'CATALOGO CECO'!$A$2:$H$550,5,FALSE),""))</f>
        <v/>
      </c>
      <c r="J332" s="8">
        <f>IF(B332="","",IFERROR(VLOOKUP(--B332,'CATALOGO CECO'!$A$2:$H$550,8,FALSE),""))</f>
        <v/>
      </c>
      <c r="K332" s="8">
        <f>IF(COUNTA(A332:F332)=0,"",IF(OR(LEN(A332)&lt;&gt;7,MID(A332,5,1)&lt;&gt;"-",ISERROR(--LEFT(A332,4)),ISERROR(--RIGHT(A332,2))),"ERROR: PERIODO debe ser AAAA-MM",IF(B332="","ERROR: falta CODIGO CECO",IF(G332="CECO NO EXISTE","ERROR: CECO no existe en el catálogo",IF(C332="","ERROR: falta CUENTA",IF(ISERROR(--C332),"ERROR: CUENTA debe tener solo dígitos",IF(ISERROR(FIND(LEFT(C332,1),"567")),"ERROR: CUENTA fuera de las clases de costo",IF(NOT(ISNUMBER(E332)),"ERROR: VALOR debe ser numérico",IF(E332=0,"AVISO: valor cero (no se carga)",IF(J332&lt;&gt;"ACTIVO","NO SE CARGA: CECO en estado "&amp;J332,"OK"))))))))))</f>
        <v/>
      </c>
    </row>
    <row r="333">
      <c r="A333" s="5" t="n"/>
      <c r="B333" s="6" t="n"/>
      <c r="C333" s="5" t="n"/>
      <c r="D333" s="6" t="n"/>
      <c r="E333" s="7" t="n"/>
      <c r="F333" s="6" t="n"/>
      <c r="G333" s="8">
        <f>IF(B333="","",IFERROR(VLOOKUP(--B333,'CATALOGO CECO'!$A$2:$H$550,2,FALSE),"CECO NO EXISTE"))</f>
        <v/>
      </c>
      <c r="H333" s="8">
        <f>IF(B333="","",IFERROR(VLOOKUP(--B333,'CATALOGO CECO'!$A$2:$H$550,3,FALSE),""))</f>
        <v/>
      </c>
      <c r="I333" s="8">
        <f>IF(B333="","",IFERROR(VLOOKUP(--B333,'CATALOGO CECO'!$A$2:$H$550,5,FALSE),""))</f>
        <v/>
      </c>
      <c r="J333" s="8">
        <f>IF(B333="","",IFERROR(VLOOKUP(--B333,'CATALOGO CECO'!$A$2:$H$550,8,FALSE),""))</f>
        <v/>
      </c>
      <c r="K333" s="8">
        <f>IF(COUNTA(A333:F333)=0,"",IF(OR(LEN(A333)&lt;&gt;7,MID(A333,5,1)&lt;&gt;"-",ISERROR(--LEFT(A333,4)),ISERROR(--RIGHT(A333,2))),"ERROR: PERIODO debe ser AAAA-MM",IF(B333="","ERROR: falta CODIGO CECO",IF(G333="CECO NO EXISTE","ERROR: CECO no existe en el catálogo",IF(C333="","ERROR: falta CUENTA",IF(ISERROR(--C333),"ERROR: CUENTA debe tener solo dígitos",IF(ISERROR(FIND(LEFT(C333,1),"567")),"ERROR: CUENTA fuera de las clases de costo",IF(NOT(ISNUMBER(E333)),"ERROR: VALOR debe ser numérico",IF(E333=0,"AVISO: valor cero (no se carga)",IF(J333&lt;&gt;"ACTIVO","NO SE CARGA: CECO en estado "&amp;J333,"OK"))))))))))</f>
        <v/>
      </c>
    </row>
    <row r="334">
      <c r="A334" s="5" t="n"/>
      <c r="B334" s="6" t="n"/>
      <c r="C334" s="5" t="n"/>
      <c r="D334" s="6" t="n"/>
      <c r="E334" s="7" t="n"/>
      <c r="F334" s="6" t="n"/>
      <c r="G334" s="8">
        <f>IF(B334="","",IFERROR(VLOOKUP(--B334,'CATALOGO CECO'!$A$2:$H$550,2,FALSE),"CECO NO EXISTE"))</f>
        <v/>
      </c>
      <c r="H334" s="8">
        <f>IF(B334="","",IFERROR(VLOOKUP(--B334,'CATALOGO CECO'!$A$2:$H$550,3,FALSE),""))</f>
        <v/>
      </c>
      <c r="I334" s="8">
        <f>IF(B334="","",IFERROR(VLOOKUP(--B334,'CATALOGO CECO'!$A$2:$H$550,5,FALSE),""))</f>
        <v/>
      </c>
      <c r="J334" s="8">
        <f>IF(B334="","",IFERROR(VLOOKUP(--B334,'CATALOGO CECO'!$A$2:$H$550,8,FALSE),""))</f>
        <v/>
      </c>
      <c r="K334" s="8">
        <f>IF(COUNTA(A334:F334)=0,"",IF(OR(LEN(A334)&lt;&gt;7,MID(A334,5,1)&lt;&gt;"-",ISERROR(--LEFT(A334,4)),ISERROR(--RIGHT(A334,2))),"ERROR: PERIODO debe ser AAAA-MM",IF(B334="","ERROR: falta CODIGO CECO",IF(G334="CECO NO EXISTE","ERROR: CECO no existe en el catálogo",IF(C334="","ERROR: falta CUENTA",IF(ISERROR(--C334),"ERROR: CUENTA debe tener solo dígitos",IF(ISERROR(FIND(LEFT(C334,1),"567")),"ERROR: CUENTA fuera de las clases de costo",IF(NOT(ISNUMBER(E334)),"ERROR: VALOR debe ser numérico",IF(E334=0,"AVISO: valor cero (no se carga)",IF(J334&lt;&gt;"ACTIVO","NO SE CARGA: CECO en estado "&amp;J334,"OK"))))))))))</f>
        <v/>
      </c>
    </row>
    <row r="335">
      <c r="A335" s="5" t="n"/>
      <c r="B335" s="6" t="n"/>
      <c r="C335" s="5" t="n"/>
      <c r="D335" s="6" t="n"/>
      <c r="E335" s="7" t="n"/>
      <c r="F335" s="6" t="n"/>
      <c r="G335" s="8">
        <f>IF(B335="","",IFERROR(VLOOKUP(--B335,'CATALOGO CECO'!$A$2:$H$550,2,FALSE),"CECO NO EXISTE"))</f>
        <v/>
      </c>
      <c r="H335" s="8">
        <f>IF(B335="","",IFERROR(VLOOKUP(--B335,'CATALOGO CECO'!$A$2:$H$550,3,FALSE),""))</f>
        <v/>
      </c>
      <c r="I335" s="8">
        <f>IF(B335="","",IFERROR(VLOOKUP(--B335,'CATALOGO CECO'!$A$2:$H$550,5,FALSE),""))</f>
        <v/>
      </c>
      <c r="J335" s="8">
        <f>IF(B335="","",IFERROR(VLOOKUP(--B335,'CATALOGO CECO'!$A$2:$H$550,8,FALSE),""))</f>
        <v/>
      </c>
      <c r="K335" s="8">
        <f>IF(COUNTA(A335:F335)=0,"",IF(OR(LEN(A335)&lt;&gt;7,MID(A335,5,1)&lt;&gt;"-",ISERROR(--LEFT(A335,4)),ISERROR(--RIGHT(A335,2))),"ERROR: PERIODO debe ser AAAA-MM",IF(B335="","ERROR: falta CODIGO CECO",IF(G335="CECO NO EXISTE","ERROR: CECO no existe en el catálogo",IF(C335="","ERROR: falta CUENTA",IF(ISERROR(--C335),"ERROR: CUENTA debe tener solo dígitos",IF(ISERROR(FIND(LEFT(C335,1),"567")),"ERROR: CUENTA fuera de las clases de costo",IF(NOT(ISNUMBER(E335)),"ERROR: VALOR debe ser numérico",IF(E335=0,"AVISO: valor cero (no se carga)",IF(J335&lt;&gt;"ACTIVO","NO SE CARGA: CECO en estado "&amp;J335,"OK"))))))))))</f>
        <v/>
      </c>
    </row>
    <row r="336">
      <c r="A336" s="5" t="n"/>
      <c r="B336" s="6" t="n"/>
      <c r="C336" s="5" t="n"/>
      <c r="D336" s="6" t="n"/>
      <c r="E336" s="7" t="n"/>
      <c r="F336" s="6" t="n"/>
      <c r="G336" s="8">
        <f>IF(B336="","",IFERROR(VLOOKUP(--B336,'CATALOGO CECO'!$A$2:$H$550,2,FALSE),"CECO NO EXISTE"))</f>
        <v/>
      </c>
      <c r="H336" s="8">
        <f>IF(B336="","",IFERROR(VLOOKUP(--B336,'CATALOGO CECO'!$A$2:$H$550,3,FALSE),""))</f>
        <v/>
      </c>
      <c r="I336" s="8">
        <f>IF(B336="","",IFERROR(VLOOKUP(--B336,'CATALOGO CECO'!$A$2:$H$550,5,FALSE),""))</f>
        <v/>
      </c>
      <c r="J336" s="8">
        <f>IF(B336="","",IFERROR(VLOOKUP(--B336,'CATALOGO CECO'!$A$2:$H$550,8,FALSE),""))</f>
        <v/>
      </c>
      <c r="K336" s="8">
        <f>IF(COUNTA(A336:F336)=0,"",IF(OR(LEN(A336)&lt;&gt;7,MID(A336,5,1)&lt;&gt;"-",ISERROR(--LEFT(A336,4)),ISERROR(--RIGHT(A336,2))),"ERROR: PERIODO debe ser AAAA-MM",IF(B336="","ERROR: falta CODIGO CECO",IF(G336="CECO NO EXISTE","ERROR: CECO no existe en el catálogo",IF(C336="","ERROR: falta CUENTA",IF(ISERROR(--C336),"ERROR: CUENTA debe tener solo dígitos",IF(ISERROR(FIND(LEFT(C336,1),"567")),"ERROR: CUENTA fuera de las clases de costo",IF(NOT(ISNUMBER(E336)),"ERROR: VALOR debe ser numérico",IF(E336=0,"AVISO: valor cero (no se carga)",IF(J336&lt;&gt;"ACTIVO","NO SE CARGA: CECO en estado "&amp;J336,"OK"))))))))))</f>
        <v/>
      </c>
    </row>
    <row r="337">
      <c r="A337" s="5" t="n"/>
      <c r="B337" s="6" t="n"/>
      <c r="C337" s="5" t="n"/>
      <c r="D337" s="6" t="n"/>
      <c r="E337" s="7" t="n"/>
      <c r="F337" s="6" t="n"/>
      <c r="G337" s="8">
        <f>IF(B337="","",IFERROR(VLOOKUP(--B337,'CATALOGO CECO'!$A$2:$H$550,2,FALSE),"CECO NO EXISTE"))</f>
        <v/>
      </c>
      <c r="H337" s="8">
        <f>IF(B337="","",IFERROR(VLOOKUP(--B337,'CATALOGO CECO'!$A$2:$H$550,3,FALSE),""))</f>
        <v/>
      </c>
      <c r="I337" s="8">
        <f>IF(B337="","",IFERROR(VLOOKUP(--B337,'CATALOGO CECO'!$A$2:$H$550,5,FALSE),""))</f>
        <v/>
      </c>
      <c r="J337" s="8">
        <f>IF(B337="","",IFERROR(VLOOKUP(--B337,'CATALOGO CECO'!$A$2:$H$550,8,FALSE),""))</f>
        <v/>
      </c>
      <c r="K337" s="8">
        <f>IF(COUNTA(A337:F337)=0,"",IF(OR(LEN(A337)&lt;&gt;7,MID(A337,5,1)&lt;&gt;"-",ISERROR(--LEFT(A337,4)),ISERROR(--RIGHT(A337,2))),"ERROR: PERIODO debe ser AAAA-MM",IF(B337="","ERROR: falta CODIGO CECO",IF(G337="CECO NO EXISTE","ERROR: CECO no existe en el catálogo",IF(C337="","ERROR: falta CUENTA",IF(ISERROR(--C337),"ERROR: CUENTA debe tener solo dígitos",IF(ISERROR(FIND(LEFT(C337,1),"567")),"ERROR: CUENTA fuera de las clases de costo",IF(NOT(ISNUMBER(E337)),"ERROR: VALOR debe ser numérico",IF(E337=0,"AVISO: valor cero (no se carga)",IF(J337&lt;&gt;"ACTIVO","NO SE CARGA: CECO en estado "&amp;J337,"OK"))))))))))</f>
        <v/>
      </c>
    </row>
    <row r="338">
      <c r="A338" s="5" t="n"/>
      <c r="B338" s="6" t="n"/>
      <c r="C338" s="5" t="n"/>
      <c r="D338" s="6" t="n"/>
      <c r="E338" s="7" t="n"/>
      <c r="F338" s="6" t="n"/>
      <c r="G338" s="8">
        <f>IF(B338="","",IFERROR(VLOOKUP(--B338,'CATALOGO CECO'!$A$2:$H$550,2,FALSE),"CECO NO EXISTE"))</f>
        <v/>
      </c>
      <c r="H338" s="8">
        <f>IF(B338="","",IFERROR(VLOOKUP(--B338,'CATALOGO CECO'!$A$2:$H$550,3,FALSE),""))</f>
        <v/>
      </c>
      <c r="I338" s="8">
        <f>IF(B338="","",IFERROR(VLOOKUP(--B338,'CATALOGO CECO'!$A$2:$H$550,5,FALSE),""))</f>
        <v/>
      </c>
      <c r="J338" s="8">
        <f>IF(B338="","",IFERROR(VLOOKUP(--B338,'CATALOGO CECO'!$A$2:$H$550,8,FALSE),""))</f>
        <v/>
      </c>
      <c r="K338" s="8">
        <f>IF(COUNTA(A338:F338)=0,"",IF(OR(LEN(A338)&lt;&gt;7,MID(A338,5,1)&lt;&gt;"-",ISERROR(--LEFT(A338,4)),ISERROR(--RIGHT(A338,2))),"ERROR: PERIODO debe ser AAAA-MM",IF(B338="","ERROR: falta CODIGO CECO",IF(G338="CECO NO EXISTE","ERROR: CECO no existe en el catálogo",IF(C338="","ERROR: falta CUENTA",IF(ISERROR(--C338),"ERROR: CUENTA debe tener solo dígitos",IF(ISERROR(FIND(LEFT(C338,1),"567")),"ERROR: CUENTA fuera de las clases de costo",IF(NOT(ISNUMBER(E338)),"ERROR: VALOR debe ser numérico",IF(E338=0,"AVISO: valor cero (no se carga)",IF(J338&lt;&gt;"ACTIVO","NO SE CARGA: CECO en estado "&amp;J338,"OK"))))))))))</f>
        <v/>
      </c>
    </row>
    <row r="339">
      <c r="A339" s="5" t="n"/>
      <c r="B339" s="6" t="n"/>
      <c r="C339" s="5" t="n"/>
      <c r="D339" s="6" t="n"/>
      <c r="E339" s="7" t="n"/>
      <c r="F339" s="6" t="n"/>
      <c r="G339" s="8">
        <f>IF(B339="","",IFERROR(VLOOKUP(--B339,'CATALOGO CECO'!$A$2:$H$550,2,FALSE),"CECO NO EXISTE"))</f>
        <v/>
      </c>
      <c r="H339" s="8">
        <f>IF(B339="","",IFERROR(VLOOKUP(--B339,'CATALOGO CECO'!$A$2:$H$550,3,FALSE),""))</f>
        <v/>
      </c>
      <c r="I339" s="8">
        <f>IF(B339="","",IFERROR(VLOOKUP(--B339,'CATALOGO CECO'!$A$2:$H$550,5,FALSE),""))</f>
        <v/>
      </c>
      <c r="J339" s="8">
        <f>IF(B339="","",IFERROR(VLOOKUP(--B339,'CATALOGO CECO'!$A$2:$H$550,8,FALSE),""))</f>
        <v/>
      </c>
      <c r="K339" s="8">
        <f>IF(COUNTA(A339:F339)=0,"",IF(OR(LEN(A339)&lt;&gt;7,MID(A339,5,1)&lt;&gt;"-",ISERROR(--LEFT(A339,4)),ISERROR(--RIGHT(A339,2))),"ERROR: PERIODO debe ser AAAA-MM",IF(B339="","ERROR: falta CODIGO CECO",IF(G339="CECO NO EXISTE","ERROR: CECO no existe en el catálogo",IF(C339="","ERROR: falta CUENTA",IF(ISERROR(--C339),"ERROR: CUENTA debe tener solo dígitos",IF(ISERROR(FIND(LEFT(C339,1),"567")),"ERROR: CUENTA fuera de las clases de costo",IF(NOT(ISNUMBER(E339)),"ERROR: VALOR debe ser numérico",IF(E339=0,"AVISO: valor cero (no se carga)",IF(J339&lt;&gt;"ACTIVO","NO SE CARGA: CECO en estado "&amp;J339,"OK"))))))))))</f>
        <v/>
      </c>
    </row>
    <row r="340">
      <c r="A340" s="5" t="n"/>
      <c r="B340" s="6" t="n"/>
      <c r="C340" s="5" t="n"/>
      <c r="D340" s="6" t="n"/>
      <c r="E340" s="7" t="n"/>
      <c r="F340" s="6" t="n"/>
      <c r="G340" s="8">
        <f>IF(B340="","",IFERROR(VLOOKUP(--B340,'CATALOGO CECO'!$A$2:$H$550,2,FALSE),"CECO NO EXISTE"))</f>
        <v/>
      </c>
      <c r="H340" s="8">
        <f>IF(B340="","",IFERROR(VLOOKUP(--B340,'CATALOGO CECO'!$A$2:$H$550,3,FALSE),""))</f>
        <v/>
      </c>
      <c r="I340" s="8">
        <f>IF(B340="","",IFERROR(VLOOKUP(--B340,'CATALOGO CECO'!$A$2:$H$550,5,FALSE),""))</f>
        <v/>
      </c>
      <c r="J340" s="8">
        <f>IF(B340="","",IFERROR(VLOOKUP(--B340,'CATALOGO CECO'!$A$2:$H$550,8,FALSE),""))</f>
        <v/>
      </c>
      <c r="K340" s="8">
        <f>IF(COUNTA(A340:F340)=0,"",IF(OR(LEN(A340)&lt;&gt;7,MID(A340,5,1)&lt;&gt;"-",ISERROR(--LEFT(A340,4)),ISERROR(--RIGHT(A340,2))),"ERROR: PERIODO debe ser AAAA-MM",IF(B340="","ERROR: falta CODIGO CECO",IF(G340="CECO NO EXISTE","ERROR: CECO no existe en el catálogo",IF(C340="","ERROR: falta CUENTA",IF(ISERROR(--C340),"ERROR: CUENTA debe tener solo dígitos",IF(ISERROR(FIND(LEFT(C340,1),"567")),"ERROR: CUENTA fuera de las clases de costo",IF(NOT(ISNUMBER(E340)),"ERROR: VALOR debe ser numérico",IF(E340=0,"AVISO: valor cero (no se carga)",IF(J340&lt;&gt;"ACTIVO","NO SE CARGA: CECO en estado "&amp;J340,"OK"))))))))))</f>
        <v/>
      </c>
    </row>
    <row r="341">
      <c r="A341" s="5" t="n"/>
      <c r="B341" s="6" t="n"/>
      <c r="C341" s="5" t="n"/>
      <c r="D341" s="6" t="n"/>
      <c r="E341" s="7" t="n"/>
      <c r="F341" s="6" t="n"/>
      <c r="G341" s="8">
        <f>IF(B341="","",IFERROR(VLOOKUP(--B341,'CATALOGO CECO'!$A$2:$H$550,2,FALSE),"CECO NO EXISTE"))</f>
        <v/>
      </c>
      <c r="H341" s="8">
        <f>IF(B341="","",IFERROR(VLOOKUP(--B341,'CATALOGO CECO'!$A$2:$H$550,3,FALSE),""))</f>
        <v/>
      </c>
      <c r="I341" s="8">
        <f>IF(B341="","",IFERROR(VLOOKUP(--B341,'CATALOGO CECO'!$A$2:$H$550,5,FALSE),""))</f>
        <v/>
      </c>
      <c r="J341" s="8">
        <f>IF(B341="","",IFERROR(VLOOKUP(--B341,'CATALOGO CECO'!$A$2:$H$550,8,FALSE),""))</f>
        <v/>
      </c>
      <c r="K341" s="8">
        <f>IF(COUNTA(A341:F341)=0,"",IF(OR(LEN(A341)&lt;&gt;7,MID(A341,5,1)&lt;&gt;"-",ISERROR(--LEFT(A341,4)),ISERROR(--RIGHT(A341,2))),"ERROR: PERIODO debe ser AAAA-MM",IF(B341="","ERROR: falta CODIGO CECO",IF(G341="CECO NO EXISTE","ERROR: CECO no existe en el catálogo",IF(C341="","ERROR: falta CUENTA",IF(ISERROR(--C341),"ERROR: CUENTA debe tener solo dígitos",IF(ISERROR(FIND(LEFT(C341,1),"567")),"ERROR: CUENTA fuera de las clases de costo",IF(NOT(ISNUMBER(E341)),"ERROR: VALOR debe ser numérico",IF(E341=0,"AVISO: valor cero (no se carga)",IF(J341&lt;&gt;"ACTIVO","NO SE CARGA: CECO en estado "&amp;J341,"OK"))))))))))</f>
        <v/>
      </c>
    </row>
    <row r="342">
      <c r="A342" s="5" t="n"/>
      <c r="B342" s="6" t="n"/>
      <c r="C342" s="5" t="n"/>
      <c r="D342" s="6" t="n"/>
      <c r="E342" s="7" t="n"/>
      <c r="F342" s="6" t="n"/>
      <c r="G342" s="8">
        <f>IF(B342="","",IFERROR(VLOOKUP(--B342,'CATALOGO CECO'!$A$2:$H$550,2,FALSE),"CECO NO EXISTE"))</f>
        <v/>
      </c>
      <c r="H342" s="8">
        <f>IF(B342="","",IFERROR(VLOOKUP(--B342,'CATALOGO CECO'!$A$2:$H$550,3,FALSE),""))</f>
        <v/>
      </c>
      <c r="I342" s="8">
        <f>IF(B342="","",IFERROR(VLOOKUP(--B342,'CATALOGO CECO'!$A$2:$H$550,5,FALSE),""))</f>
        <v/>
      </c>
      <c r="J342" s="8">
        <f>IF(B342="","",IFERROR(VLOOKUP(--B342,'CATALOGO CECO'!$A$2:$H$550,8,FALSE),""))</f>
        <v/>
      </c>
      <c r="K342" s="8">
        <f>IF(COUNTA(A342:F342)=0,"",IF(OR(LEN(A342)&lt;&gt;7,MID(A342,5,1)&lt;&gt;"-",ISERROR(--LEFT(A342,4)),ISERROR(--RIGHT(A342,2))),"ERROR: PERIODO debe ser AAAA-MM",IF(B342="","ERROR: falta CODIGO CECO",IF(G342="CECO NO EXISTE","ERROR: CECO no existe en el catálogo",IF(C342="","ERROR: falta CUENTA",IF(ISERROR(--C342),"ERROR: CUENTA debe tener solo dígitos",IF(ISERROR(FIND(LEFT(C342,1),"567")),"ERROR: CUENTA fuera de las clases de costo",IF(NOT(ISNUMBER(E342)),"ERROR: VALOR debe ser numérico",IF(E342=0,"AVISO: valor cero (no se carga)",IF(J342&lt;&gt;"ACTIVO","NO SE CARGA: CECO en estado "&amp;J342,"OK"))))))))))</f>
        <v/>
      </c>
    </row>
    <row r="343">
      <c r="A343" s="5" t="n"/>
      <c r="B343" s="6" t="n"/>
      <c r="C343" s="5" t="n"/>
      <c r="D343" s="6" t="n"/>
      <c r="E343" s="7" t="n"/>
      <c r="F343" s="6" t="n"/>
      <c r="G343" s="8">
        <f>IF(B343="","",IFERROR(VLOOKUP(--B343,'CATALOGO CECO'!$A$2:$H$550,2,FALSE),"CECO NO EXISTE"))</f>
        <v/>
      </c>
      <c r="H343" s="8">
        <f>IF(B343="","",IFERROR(VLOOKUP(--B343,'CATALOGO CECO'!$A$2:$H$550,3,FALSE),""))</f>
        <v/>
      </c>
      <c r="I343" s="8">
        <f>IF(B343="","",IFERROR(VLOOKUP(--B343,'CATALOGO CECO'!$A$2:$H$550,5,FALSE),""))</f>
        <v/>
      </c>
      <c r="J343" s="8">
        <f>IF(B343="","",IFERROR(VLOOKUP(--B343,'CATALOGO CECO'!$A$2:$H$550,8,FALSE),""))</f>
        <v/>
      </c>
      <c r="K343" s="8">
        <f>IF(COUNTA(A343:F343)=0,"",IF(OR(LEN(A343)&lt;&gt;7,MID(A343,5,1)&lt;&gt;"-",ISERROR(--LEFT(A343,4)),ISERROR(--RIGHT(A343,2))),"ERROR: PERIODO debe ser AAAA-MM",IF(B343="","ERROR: falta CODIGO CECO",IF(G343="CECO NO EXISTE","ERROR: CECO no existe en el catálogo",IF(C343="","ERROR: falta CUENTA",IF(ISERROR(--C343),"ERROR: CUENTA debe tener solo dígitos",IF(ISERROR(FIND(LEFT(C343,1),"567")),"ERROR: CUENTA fuera de las clases de costo",IF(NOT(ISNUMBER(E343)),"ERROR: VALOR debe ser numérico",IF(E343=0,"AVISO: valor cero (no se carga)",IF(J343&lt;&gt;"ACTIVO","NO SE CARGA: CECO en estado "&amp;J343,"OK"))))))))))</f>
        <v/>
      </c>
    </row>
    <row r="344">
      <c r="A344" s="5" t="n"/>
      <c r="B344" s="6" t="n"/>
      <c r="C344" s="5" t="n"/>
      <c r="D344" s="6" t="n"/>
      <c r="E344" s="7" t="n"/>
      <c r="F344" s="6" t="n"/>
      <c r="G344" s="8">
        <f>IF(B344="","",IFERROR(VLOOKUP(--B344,'CATALOGO CECO'!$A$2:$H$550,2,FALSE),"CECO NO EXISTE"))</f>
        <v/>
      </c>
      <c r="H344" s="8">
        <f>IF(B344="","",IFERROR(VLOOKUP(--B344,'CATALOGO CECO'!$A$2:$H$550,3,FALSE),""))</f>
        <v/>
      </c>
      <c r="I344" s="8">
        <f>IF(B344="","",IFERROR(VLOOKUP(--B344,'CATALOGO CECO'!$A$2:$H$550,5,FALSE),""))</f>
        <v/>
      </c>
      <c r="J344" s="8">
        <f>IF(B344="","",IFERROR(VLOOKUP(--B344,'CATALOGO CECO'!$A$2:$H$550,8,FALSE),""))</f>
        <v/>
      </c>
      <c r="K344" s="8">
        <f>IF(COUNTA(A344:F344)=0,"",IF(OR(LEN(A344)&lt;&gt;7,MID(A344,5,1)&lt;&gt;"-",ISERROR(--LEFT(A344,4)),ISERROR(--RIGHT(A344,2))),"ERROR: PERIODO debe ser AAAA-MM",IF(B344="","ERROR: falta CODIGO CECO",IF(G344="CECO NO EXISTE","ERROR: CECO no existe en el catálogo",IF(C344="","ERROR: falta CUENTA",IF(ISERROR(--C344),"ERROR: CUENTA debe tener solo dígitos",IF(ISERROR(FIND(LEFT(C344,1),"567")),"ERROR: CUENTA fuera de las clases de costo",IF(NOT(ISNUMBER(E344)),"ERROR: VALOR debe ser numérico",IF(E344=0,"AVISO: valor cero (no se carga)",IF(J344&lt;&gt;"ACTIVO","NO SE CARGA: CECO en estado "&amp;J344,"OK"))))))))))</f>
        <v/>
      </c>
    </row>
    <row r="345">
      <c r="A345" s="5" t="n"/>
      <c r="B345" s="6" t="n"/>
      <c r="C345" s="5" t="n"/>
      <c r="D345" s="6" t="n"/>
      <c r="E345" s="7" t="n"/>
      <c r="F345" s="6" t="n"/>
      <c r="G345" s="8">
        <f>IF(B345="","",IFERROR(VLOOKUP(--B345,'CATALOGO CECO'!$A$2:$H$550,2,FALSE),"CECO NO EXISTE"))</f>
        <v/>
      </c>
      <c r="H345" s="8">
        <f>IF(B345="","",IFERROR(VLOOKUP(--B345,'CATALOGO CECO'!$A$2:$H$550,3,FALSE),""))</f>
        <v/>
      </c>
      <c r="I345" s="8">
        <f>IF(B345="","",IFERROR(VLOOKUP(--B345,'CATALOGO CECO'!$A$2:$H$550,5,FALSE),""))</f>
        <v/>
      </c>
      <c r="J345" s="8">
        <f>IF(B345="","",IFERROR(VLOOKUP(--B345,'CATALOGO CECO'!$A$2:$H$550,8,FALSE),""))</f>
        <v/>
      </c>
      <c r="K345" s="8">
        <f>IF(COUNTA(A345:F345)=0,"",IF(OR(LEN(A345)&lt;&gt;7,MID(A345,5,1)&lt;&gt;"-",ISERROR(--LEFT(A345,4)),ISERROR(--RIGHT(A345,2))),"ERROR: PERIODO debe ser AAAA-MM",IF(B345="","ERROR: falta CODIGO CECO",IF(G345="CECO NO EXISTE","ERROR: CECO no existe en el catálogo",IF(C345="","ERROR: falta CUENTA",IF(ISERROR(--C345),"ERROR: CUENTA debe tener solo dígitos",IF(ISERROR(FIND(LEFT(C345,1),"567")),"ERROR: CUENTA fuera de las clases de costo",IF(NOT(ISNUMBER(E345)),"ERROR: VALOR debe ser numérico",IF(E345=0,"AVISO: valor cero (no se carga)",IF(J345&lt;&gt;"ACTIVO","NO SE CARGA: CECO en estado "&amp;J345,"OK"))))))))))</f>
        <v/>
      </c>
    </row>
    <row r="346">
      <c r="A346" s="5" t="n"/>
      <c r="B346" s="6" t="n"/>
      <c r="C346" s="5" t="n"/>
      <c r="D346" s="6" t="n"/>
      <c r="E346" s="7" t="n"/>
      <c r="F346" s="6" t="n"/>
      <c r="G346" s="8">
        <f>IF(B346="","",IFERROR(VLOOKUP(--B346,'CATALOGO CECO'!$A$2:$H$550,2,FALSE),"CECO NO EXISTE"))</f>
        <v/>
      </c>
      <c r="H346" s="8">
        <f>IF(B346="","",IFERROR(VLOOKUP(--B346,'CATALOGO CECO'!$A$2:$H$550,3,FALSE),""))</f>
        <v/>
      </c>
      <c r="I346" s="8">
        <f>IF(B346="","",IFERROR(VLOOKUP(--B346,'CATALOGO CECO'!$A$2:$H$550,5,FALSE),""))</f>
        <v/>
      </c>
      <c r="J346" s="8">
        <f>IF(B346="","",IFERROR(VLOOKUP(--B346,'CATALOGO CECO'!$A$2:$H$550,8,FALSE),""))</f>
        <v/>
      </c>
      <c r="K346" s="8">
        <f>IF(COUNTA(A346:F346)=0,"",IF(OR(LEN(A346)&lt;&gt;7,MID(A346,5,1)&lt;&gt;"-",ISERROR(--LEFT(A346,4)),ISERROR(--RIGHT(A346,2))),"ERROR: PERIODO debe ser AAAA-MM",IF(B346="","ERROR: falta CODIGO CECO",IF(G346="CECO NO EXISTE","ERROR: CECO no existe en el catálogo",IF(C346="","ERROR: falta CUENTA",IF(ISERROR(--C346),"ERROR: CUENTA debe tener solo dígitos",IF(ISERROR(FIND(LEFT(C346,1),"567")),"ERROR: CUENTA fuera de las clases de costo",IF(NOT(ISNUMBER(E346)),"ERROR: VALOR debe ser numérico",IF(E346=0,"AVISO: valor cero (no se carga)",IF(J346&lt;&gt;"ACTIVO","NO SE CARGA: CECO en estado "&amp;J346,"OK"))))))))))</f>
        <v/>
      </c>
    </row>
    <row r="347">
      <c r="A347" s="5" t="n"/>
      <c r="B347" s="6" t="n"/>
      <c r="C347" s="5" t="n"/>
      <c r="D347" s="6" t="n"/>
      <c r="E347" s="7" t="n"/>
      <c r="F347" s="6" t="n"/>
      <c r="G347" s="8">
        <f>IF(B347="","",IFERROR(VLOOKUP(--B347,'CATALOGO CECO'!$A$2:$H$550,2,FALSE),"CECO NO EXISTE"))</f>
        <v/>
      </c>
      <c r="H347" s="8">
        <f>IF(B347="","",IFERROR(VLOOKUP(--B347,'CATALOGO CECO'!$A$2:$H$550,3,FALSE),""))</f>
        <v/>
      </c>
      <c r="I347" s="8">
        <f>IF(B347="","",IFERROR(VLOOKUP(--B347,'CATALOGO CECO'!$A$2:$H$550,5,FALSE),""))</f>
        <v/>
      </c>
      <c r="J347" s="8">
        <f>IF(B347="","",IFERROR(VLOOKUP(--B347,'CATALOGO CECO'!$A$2:$H$550,8,FALSE),""))</f>
        <v/>
      </c>
      <c r="K347" s="8">
        <f>IF(COUNTA(A347:F347)=0,"",IF(OR(LEN(A347)&lt;&gt;7,MID(A347,5,1)&lt;&gt;"-",ISERROR(--LEFT(A347,4)),ISERROR(--RIGHT(A347,2))),"ERROR: PERIODO debe ser AAAA-MM",IF(B347="","ERROR: falta CODIGO CECO",IF(G347="CECO NO EXISTE","ERROR: CECO no existe en el catálogo",IF(C347="","ERROR: falta CUENTA",IF(ISERROR(--C347),"ERROR: CUENTA debe tener solo dígitos",IF(ISERROR(FIND(LEFT(C347,1),"567")),"ERROR: CUENTA fuera de las clases de costo",IF(NOT(ISNUMBER(E347)),"ERROR: VALOR debe ser numérico",IF(E347=0,"AVISO: valor cero (no se carga)",IF(J347&lt;&gt;"ACTIVO","NO SE CARGA: CECO en estado "&amp;J347,"OK"))))))))))</f>
        <v/>
      </c>
    </row>
    <row r="348">
      <c r="A348" s="5" t="n"/>
      <c r="B348" s="6" t="n"/>
      <c r="C348" s="5" t="n"/>
      <c r="D348" s="6" t="n"/>
      <c r="E348" s="7" t="n"/>
      <c r="F348" s="6" t="n"/>
      <c r="G348" s="8">
        <f>IF(B348="","",IFERROR(VLOOKUP(--B348,'CATALOGO CECO'!$A$2:$H$550,2,FALSE),"CECO NO EXISTE"))</f>
        <v/>
      </c>
      <c r="H348" s="8">
        <f>IF(B348="","",IFERROR(VLOOKUP(--B348,'CATALOGO CECO'!$A$2:$H$550,3,FALSE),""))</f>
        <v/>
      </c>
      <c r="I348" s="8">
        <f>IF(B348="","",IFERROR(VLOOKUP(--B348,'CATALOGO CECO'!$A$2:$H$550,5,FALSE),""))</f>
        <v/>
      </c>
      <c r="J348" s="8">
        <f>IF(B348="","",IFERROR(VLOOKUP(--B348,'CATALOGO CECO'!$A$2:$H$550,8,FALSE),""))</f>
        <v/>
      </c>
      <c r="K348" s="8">
        <f>IF(COUNTA(A348:F348)=0,"",IF(OR(LEN(A348)&lt;&gt;7,MID(A348,5,1)&lt;&gt;"-",ISERROR(--LEFT(A348,4)),ISERROR(--RIGHT(A348,2))),"ERROR: PERIODO debe ser AAAA-MM",IF(B348="","ERROR: falta CODIGO CECO",IF(G348="CECO NO EXISTE","ERROR: CECO no existe en el catálogo",IF(C348="","ERROR: falta CUENTA",IF(ISERROR(--C348),"ERROR: CUENTA debe tener solo dígitos",IF(ISERROR(FIND(LEFT(C348,1),"567")),"ERROR: CUENTA fuera de las clases de costo",IF(NOT(ISNUMBER(E348)),"ERROR: VALOR debe ser numérico",IF(E348=0,"AVISO: valor cero (no se carga)",IF(J348&lt;&gt;"ACTIVO","NO SE CARGA: CECO en estado "&amp;J348,"OK"))))))))))</f>
        <v/>
      </c>
    </row>
    <row r="349">
      <c r="A349" s="5" t="n"/>
      <c r="B349" s="6" t="n"/>
      <c r="C349" s="5" t="n"/>
      <c r="D349" s="6" t="n"/>
      <c r="E349" s="7" t="n"/>
      <c r="F349" s="6" t="n"/>
      <c r="G349" s="8">
        <f>IF(B349="","",IFERROR(VLOOKUP(--B349,'CATALOGO CECO'!$A$2:$H$550,2,FALSE),"CECO NO EXISTE"))</f>
        <v/>
      </c>
      <c r="H349" s="8">
        <f>IF(B349="","",IFERROR(VLOOKUP(--B349,'CATALOGO CECO'!$A$2:$H$550,3,FALSE),""))</f>
        <v/>
      </c>
      <c r="I349" s="8">
        <f>IF(B349="","",IFERROR(VLOOKUP(--B349,'CATALOGO CECO'!$A$2:$H$550,5,FALSE),""))</f>
        <v/>
      </c>
      <c r="J349" s="8">
        <f>IF(B349="","",IFERROR(VLOOKUP(--B349,'CATALOGO CECO'!$A$2:$H$550,8,FALSE),""))</f>
        <v/>
      </c>
      <c r="K349" s="8">
        <f>IF(COUNTA(A349:F349)=0,"",IF(OR(LEN(A349)&lt;&gt;7,MID(A349,5,1)&lt;&gt;"-",ISERROR(--LEFT(A349,4)),ISERROR(--RIGHT(A349,2))),"ERROR: PERIODO debe ser AAAA-MM",IF(B349="","ERROR: falta CODIGO CECO",IF(G349="CECO NO EXISTE","ERROR: CECO no existe en el catálogo",IF(C349="","ERROR: falta CUENTA",IF(ISERROR(--C349),"ERROR: CUENTA debe tener solo dígitos",IF(ISERROR(FIND(LEFT(C349,1),"567")),"ERROR: CUENTA fuera de las clases de costo",IF(NOT(ISNUMBER(E349)),"ERROR: VALOR debe ser numérico",IF(E349=0,"AVISO: valor cero (no se carga)",IF(J349&lt;&gt;"ACTIVO","NO SE CARGA: CECO en estado "&amp;J349,"OK"))))))))))</f>
        <v/>
      </c>
    </row>
    <row r="350">
      <c r="A350" s="5" t="n"/>
      <c r="B350" s="6" t="n"/>
      <c r="C350" s="5" t="n"/>
      <c r="D350" s="6" t="n"/>
      <c r="E350" s="7" t="n"/>
      <c r="F350" s="6" t="n"/>
      <c r="G350" s="8">
        <f>IF(B350="","",IFERROR(VLOOKUP(--B350,'CATALOGO CECO'!$A$2:$H$550,2,FALSE),"CECO NO EXISTE"))</f>
        <v/>
      </c>
      <c r="H350" s="8">
        <f>IF(B350="","",IFERROR(VLOOKUP(--B350,'CATALOGO CECO'!$A$2:$H$550,3,FALSE),""))</f>
        <v/>
      </c>
      <c r="I350" s="8">
        <f>IF(B350="","",IFERROR(VLOOKUP(--B350,'CATALOGO CECO'!$A$2:$H$550,5,FALSE),""))</f>
        <v/>
      </c>
      <c r="J350" s="8">
        <f>IF(B350="","",IFERROR(VLOOKUP(--B350,'CATALOGO CECO'!$A$2:$H$550,8,FALSE),""))</f>
        <v/>
      </c>
      <c r="K350" s="8">
        <f>IF(COUNTA(A350:F350)=0,"",IF(OR(LEN(A350)&lt;&gt;7,MID(A350,5,1)&lt;&gt;"-",ISERROR(--LEFT(A350,4)),ISERROR(--RIGHT(A350,2))),"ERROR: PERIODO debe ser AAAA-MM",IF(B350="","ERROR: falta CODIGO CECO",IF(G350="CECO NO EXISTE","ERROR: CECO no existe en el catálogo",IF(C350="","ERROR: falta CUENTA",IF(ISERROR(--C350),"ERROR: CUENTA debe tener solo dígitos",IF(ISERROR(FIND(LEFT(C350,1),"567")),"ERROR: CUENTA fuera de las clases de costo",IF(NOT(ISNUMBER(E350)),"ERROR: VALOR debe ser numérico",IF(E350=0,"AVISO: valor cero (no se carga)",IF(J350&lt;&gt;"ACTIVO","NO SE CARGA: CECO en estado "&amp;J350,"OK"))))))))))</f>
        <v/>
      </c>
    </row>
    <row r="351">
      <c r="A351" s="5" t="n"/>
      <c r="B351" s="6" t="n"/>
      <c r="C351" s="5" t="n"/>
      <c r="D351" s="6" t="n"/>
      <c r="E351" s="7" t="n"/>
      <c r="F351" s="6" t="n"/>
      <c r="G351" s="8">
        <f>IF(B351="","",IFERROR(VLOOKUP(--B351,'CATALOGO CECO'!$A$2:$H$550,2,FALSE),"CECO NO EXISTE"))</f>
        <v/>
      </c>
      <c r="H351" s="8">
        <f>IF(B351="","",IFERROR(VLOOKUP(--B351,'CATALOGO CECO'!$A$2:$H$550,3,FALSE),""))</f>
        <v/>
      </c>
      <c r="I351" s="8">
        <f>IF(B351="","",IFERROR(VLOOKUP(--B351,'CATALOGO CECO'!$A$2:$H$550,5,FALSE),""))</f>
        <v/>
      </c>
      <c r="J351" s="8">
        <f>IF(B351="","",IFERROR(VLOOKUP(--B351,'CATALOGO CECO'!$A$2:$H$550,8,FALSE),""))</f>
        <v/>
      </c>
      <c r="K351" s="8">
        <f>IF(COUNTA(A351:F351)=0,"",IF(OR(LEN(A351)&lt;&gt;7,MID(A351,5,1)&lt;&gt;"-",ISERROR(--LEFT(A351,4)),ISERROR(--RIGHT(A351,2))),"ERROR: PERIODO debe ser AAAA-MM",IF(B351="","ERROR: falta CODIGO CECO",IF(G351="CECO NO EXISTE","ERROR: CECO no existe en el catálogo",IF(C351="","ERROR: falta CUENTA",IF(ISERROR(--C351),"ERROR: CUENTA debe tener solo dígitos",IF(ISERROR(FIND(LEFT(C351,1),"567")),"ERROR: CUENTA fuera de las clases de costo",IF(NOT(ISNUMBER(E351)),"ERROR: VALOR debe ser numérico",IF(E351=0,"AVISO: valor cero (no se carga)",IF(J351&lt;&gt;"ACTIVO","NO SE CARGA: CECO en estado "&amp;J351,"OK"))))))))))</f>
        <v/>
      </c>
    </row>
    <row r="352">
      <c r="A352" s="5" t="n"/>
      <c r="B352" s="6" t="n"/>
      <c r="C352" s="5" t="n"/>
      <c r="D352" s="6" t="n"/>
      <c r="E352" s="7" t="n"/>
      <c r="F352" s="6" t="n"/>
      <c r="G352" s="8">
        <f>IF(B352="","",IFERROR(VLOOKUP(--B352,'CATALOGO CECO'!$A$2:$H$550,2,FALSE),"CECO NO EXISTE"))</f>
        <v/>
      </c>
      <c r="H352" s="8">
        <f>IF(B352="","",IFERROR(VLOOKUP(--B352,'CATALOGO CECO'!$A$2:$H$550,3,FALSE),""))</f>
        <v/>
      </c>
      <c r="I352" s="8">
        <f>IF(B352="","",IFERROR(VLOOKUP(--B352,'CATALOGO CECO'!$A$2:$H$550,5,FALSE),""))</f>
        <v/>
      </c>
      <c r="J352" s="8">
        <f>IF(B352="","",IFERROR(VLOOKUP(--B352,'CATALOGO CECO'!$A$2:$H$550,8,FALSE),""))</f>
        <v/>
      </c>
      <c r="K352" s="8">
        <f>IF(COUNTA(A352:F352)=0,"",IF(OR(LEN(A352)&lt;&gt;7,MID(A352,5,1)&lt;&gt;"-",ISERROR(--LEFT(A352,4)),ISERROR(--RIGHT(A352,2))),"ERROR: PERIODO debe ser AAAA-MM",IF(B352="","ERROR: falta CODIGO CECO",IF(G352="CECO NO EXISTE","ERROR: CECO no existe en el catálogo",IF(C352="","ERROR: falta CUENTA",IF(ISERROR(--C352),"ERROR: CUENTA debe tener solo dígitos",IF(ISERROR(FIND(LEFT(C352,1),"567")),"ERROR: CUENTA fuera de las clases de costo",IF(NOT(ISNUMBER(E352)),"ERROR: VALOR debe ser numérico",IF(E352=0,"AVISO: valor cero (no se carga)",IF(J352&lt;&gt;"ACTIVO","NO SE CARGA: CECO en estado "&amp;J352,"OK"))))))))))</f>
        <v/>
      </c>
    </row>
    <row r="353">
      <c r="A353" s="5" t="n"/>
      <c r="B353" s="6" t="n"/>
      <c r="C353" s="5" t="n"/>
      <c r="D353" s="6" t="n"/>
      <c r="E353" s="7" t="n"/>
      <c r="F353" s="6" t="n"/>
      <c r="G353" s="8">
        <f>IF(B353="","",IFERROR(VLOOKUP(--B353,'CATALOGO CECO'!$A$2:$H$550,2,FALSE),"CECO NO EXISTE"))</f>
        <v/>
      </c>
      <c r="H353" s="8">
        <f>IF(B353="","",IFERROR(VLOOKUP(--B353,'CATALOGO CECO'!$A$2:$H$550,3,FALSE),""))</f>
        <v/>
      </c>
      <c r="I353" s="8">
        <f>IF(B353="","",IFERROR(VLOOKUP(--B353,'CATALOGO CECO'!$A$2:$H$550,5,FALSE),""))</f>
        <v/>
      </c>
      <c r="J353" s="8">
        <f>IF(B353="","",IFERROR(VLOOKUP(--B353,'CATALOGO CECO'!$A$2:$H$550,8,FALSE),""))</f>
        <v/>
      </c>
      <c r="K353" s="8">
        <f>IF(COUNTA(A353:F353)=0,"",IF(OR(LEN(A353)&lt;&gt;7,MID(A353,5,1)&lt;&gt;"-",ISERROR(--LEFT(A353,4)),ISERROR(--RIGHT(A353,2))),"ERROR: PERIODO debe ser AAAA-MM",IF(B353="","ERROR: falta CODIGO CECO",IF(G353="CECO NO EXISTE","ERROR: CECO no existe en el catálogo",IF(C353="","ERROR: falta CUENTA",IF(ISERROR(--C353),"ERROR: CUENTA debe tener solo dígitos",IF(ISERROR(FIND(LEFT(C353,1),"567")),"ERROR: CUENTA fuera de las clases de costo",IF(NOT(ISNUMBER(E353)),"ERROR: VALOR debe ser numérico",IF(E353=0,"AVISO: valor cero (no se carga)",IF(J353&lt;&gt;"ACTIVO","NO SE CARGA: CECO en estado "&amp;J353,"OK"))))))))))</f>
        <v/>
      </c>
    </row>
    <row r="354">
      <c r="A354" s="5" t="n"/>
      <c r="B354" s="6" t="n"/>
      <c r="C354" s="5" t="n"/>
      <c r="D354" s="6" t="n"/>
      <c r="E354" s="7" t="n"/>
      <c r="F354" s="6" t="n"/>
      <c r="G354" s="8">
        <f>IF(B354="","",IFERROR(VLOOKUP(--B354,'CATALOGO CECO'!$A$2:$H$550,2,FALSE),"CECO NO EXISTE"))</f>
        <v/>
      </c>
      <c r="H354" s="8">
        <f>IF(B354="","",IFERROR(VLOOKUP(--B354,'CATALOGO CECO'!$A$2:$H$550,3,FALSE),""))</f>
        <v/>
      </c>
      <c r="I354" s="8">
        <f>IF(B354="","",IFERROR(VLOOKUP(--B354,'CATALOGO CECO'!$A$2:$H$550,5,FALSE),""))</f>
        <v/>
      </c>
      <c r="J354" s="8">
        <f>IF(B354="","",IFERROR(VLOOKUP(--B354,'CATALOGO CECO'!$A$2:$H$550,8,FALSE),""))</f>
        <v/>
      </c>
      <c r="K354" s="8">
        <f>IF(COUNTA(A354:F354)=0,"",IF(OR(LEN(A354)&lt;&gt;7,MID(A354,5,1)&lt;&gt;"-",ISERROR(--LEFT(A354,4)),ISERROR(--RIGHT(A354,2))),"ERROR: PERIODO debe ser AAAA-MM",IF(B354="","ERROR: falta CODIGO CECO",IF(G354="CECO NO EXISTE","ERROR: CECO no existe en el catálogo",IF(C354="","ERROR: falta CUENTA",IF(ISERROR(--C354),"ERROR: CUENTA debe tener solo dígitos",IF(ISERROR(FIND(LEFT(C354,1),"567")),"ERROR: CUENTA fuera de las clases de costo",IF(NOT(ISNUMBER(E354)),"ERROR: VALOR debe ser numérico",IF(E354=0,"AVISO: valor cero (no se carga)",IF(J354&lt;&gt;"ACTIVO","NO SE CARGA: CECO en estado "&amp;J354,"OK"))))))))))</f>
        <v/>
      </c>
    </row>
    <row r="355">
      <c r="A355" s="5" t="n"/>
      <c r="B355" s="6" t="n"/>
      <c r="C355" s="5" t="n"/>
      <c r="D355" s="6" t="n"/>
      <c r="E355" s="7" t="n"/>
      <c r="F355" s="6" t="n"/>
      <c r="G355" s="8">
        <f>IF(B355="","",IFERROR(VLOOKUP(--B355,'CATALOGO CECO'!$A$2:$H$550,2,FALSE),"CECO NO EXISTE"))</f>
        <v/>
      </c>
      <c r="H355" s="8">
        <f>IF(B355="","",IFERROR(VLOOKUP(--B355,'CATALOGO CECO'!$A$2:$H$550,3,FALSE),""))</f>
        <v/>
      </c>
      <c r="I355" s="8">
        <f>IF(B355="","",IFERROR(VLOOKUP(--B355,'CATALOGO CECO'!$A$2:$H$550,5,FALSE),""))</f>
        <v/>
      </c>
      <c r="J355" s="8">
        <f>IF(B355="","",IFERROR(VLOOKUP(--B355,'CATALOGO CECO'!$A$2:$H$550,8,FALSE),""))</f>
        <v/>
      </c>
      <c r="K355" s="8">
        <f>IF(COUNTA(A355:F355)=0,"",IF(OR(LEN(A355)&lt;&gt;7,MID(A355,5,1)&lt;&gt;"-",ISERROR(--LEFT(A355,4)),ISERROR(--RIGHT(A355,2))),"ERROR: PERIODO debe ser AAAA-MM",IF(B355="","ERROR: falta CODIGO CECO",IF(G355="CECO NO EXISTE","ERROR: CECO no existe en el catálogo",IF(C355="","ERROR: falta CUENTA",IF(ISERROR(--C355),"ERROR: CUENTA debe tener solo dígitos",IF(ISERROR(FIND(LEFT(C355,1),"567")),"ERROR: CUENTA fuera de las clases de costo",IF(NOT(ISNUMBER(E355)),"ERROR: VALOR debe ser numérico",IF(E355=0,"AVISO: valor cero (no se carga)",IF(J355&lt;&gt;"ACTIVO","NO SE CARGA: CECO en estado "&amp;J355,"OK"))))))))))</f>
        <v/>
      </c>
    </row>
    <row r="356">
      <c r="A356" s="5" t="n"/>
      <c r="B356" s="6" t="n"/>
      <c r="C356" s="5" t="n"/>
      <c r="D356" s="6" t="n"/>
      <c r="E356" s="7" t="n"/>
      <c r="F356" s="6" t="n"/>
      <c r="G356" s="8">
        <f>IF(B356="","",IFERROR(VLOOKUP(--B356,'CATALOGO CECO'!$A$2:$H$550,2,FALSE),"CECO NO EXISTE"))</f>
        <v/>
      </c>
      <c r="H356" s="8">
        <f>IF(B356="","",IFERROR(VLOOKUP(--B356,'CATALOGO CECO'!$A$2:$H$550,3,FALSE),""))</f>
        <v/>
      </c>
      <c r="I356" s="8">
        <f>IF(B356="","",IFERROR(VLOOKUP(--B356,'CATALOGO CECO'!$A$2:$H$550,5,FALSE),""))</f>
        <v/>
      </c>
      <c r="J356" s="8">
        <f>IF(B356="","",IFERROR(VLOOKUP(--B356,'CATALOGO CECO'!$A$2:$H$550,8,FALSE),""))</f>
        <v/>
      </c>
      <c r="K356" s="8">
        <f>IF(COUNTA(A356:F356)=0,"",IF(OR(LEN(A356)&lt;&gt;7,MID(A356,5,1)&lt;&gt;"-",ISERROR(--LEFT(A356,4)),ISERROR(--RIGHT(A356,2))),"ERROR: PERIODO debe ser AAAA-MM",IF(B356="","ERROR: falta CODIGO CECO",IF(G356="CECO NO EXISTE","ERROR: CECO no existe en el catálogo",IF(C356="","ERROR: falta CUENTA",IF(ISERROR(--C356),"ERROR: CUENTA debe tener solo dígitos",IF(ISERROR(FIND(LEFT(C356,1),"567")),"ERROR: CUENTA fuera de las clases de costo",IF(NOT(ISNUMBER(E356)),"ERROR: VALOR debe ser numérico",IF(E356=0,"AVISO: valor cero (no se carga)",IF(J356&lt;&gt;"ACTIVO","NO SE CARGA: CECO en estado "&amp;J356,"OK"))))))))))</f>
        <v/>
      </c>
    </row>
    <row r="357">
      <c r="A357" s="5" t="n"/>
      <c r="B357" s="6" t="n"/>
      <c r="C357" s="5" t="n"/>
      <c r="D357" s="6" t="n"/>
      <c r="E357" s="7" t="n"/>
      <c r="F357" s="6" t="n"/>
      <c r="G357" s="8">
        <f>IF(B357="","",IFERROR(VLOOKUP(--B357,'CATALOGO CECO'!$A$2:$H$550,2,FALSE),"CECO NO EXISTE"))</f>
        <v/>
      </c>
      <c r="H357" s="8">
        <f>IF(B357="","",IFERROR(VLOOKUP(--B357,'CATALOGO CECO'!$A$2:$H$550,3,FALSE),""))</f>
        <v/>
      </c>
      <c r="I357" s="8">
        <f>IF(B357="","",IFERROR(VLOOKUP(--B357,'CATALOGO CECO'!$A$2:$H$550,5,FALSE),""))</f>
        <v/>
      </c>
      <c r="J357" s="8">
        <f>IF(B357="","",IFERROR(VLOOKUP(--B357,'CATALOGO CECO'!$A$2:$H$550,8,FALSE),""))</f>
        <v/>
      </c>
      <c r="K357" s="8">
        <f>IF(COUNTA(A357:F357)=0,"",IF(OR(LEN(A357)&lt;&gt;7,MID(A357,5,1)&lt;&gt;"-",ISERROR(--LEFT(A357,4)),ISERROR(--RIGHT(A357,2))),"ERROR: PERIODO debe ser AAAA-MM",IF(B357="","ERROR: falta CODIGO CECO",IF(G357="CECO NO EXISTE","ERROR: CECO no existe en el catálogo",IF(C357="","ERROR: falta CUENTA",IF(ISERROR(--C357),"ERROR: CUENTA debe tener solo dígitos",IF(ISERROR(FIND(LEFT(C357,1),"567")),"ERROR: CUENTA fuera de las clases de costo",IF(NOT(ISNUMBER(E357)),"ERROR: VALOR debe ser numérico",IF(E357=0,"AVISO: valor cero (no se carga)",IF(J357&lt;&gt;"ACTIVO","NO SE CARGA: CECO en estado "&amp;J357,"OK"))))))))))</f>
        <v/>
      </c>
    </row>
    <row r="358">
      <c r="A358" s="5" t="n"/>
      <c r="B358" s="6" t="n"/>
      <c r="C358" s="5" t="n"/>
      <c r="D358" s="6" t="n"/>
      <c r="E358" s="7" t="n"/>
      <c r="F358" s="6" t="n"/>
      <c r="G358" s="8">
        <f>IF(B358="","",IFERROR(VLOOKUP(--B358,'CATALOGO CECO'!$A$2:$H$550,2,FALSE),"CECO NO EXISTE"))</f>
        <v/>
      </c>
      <c r="H358" s="8">
        <f>IF(B358="","",IFERROR(VLOOKUP(--B358,'CATALOGO CECO'!$A$2:$H$550,3,FALSE),""))</f>
        <v/>
      </c>
      <c r="I358" s="8">
        <f>IF(B358="","",IFERROR(VLOOKUP(--B358,'CATALOGO CECO'!$A$2:$H$550,5,FALSE),""))</f>
        <v/>
      </c>
      <c r="J358" s="8">
        <f>IF(B358="","",IFERROR(VLOOKUP(--B358,'CATALOGO CECO'!$A$2:$H$550,8,FALSE),""))</f>
        <v/>
      </c>
      <c r="K358" s="8">
        <f>IF(COUNTA(A358:F358)=0,"",IF(OR(LEN(A358)&lt;&gt;7,MID(A358,5,1)&lt;&gt;"-",ISERROR(--LEFT(A358,4)),ISERROR(--RIGHT(A358,2))),"ERROR: PERIODO debe ser AAAA-MM",IF(B358="","ERROR: falta CODIGO CECO",IF(G358="CECO NO EXISTE","ERROR: CECO no existe en el catálogo",IF(C358="","ERROR: falta CUENTA",IF(ISERROR(--C358),"ERROR: CUENTA debe tener solo dígitos",IF(ISERROR(FIND(LEFT(C358,1),"567")),"ERROR: CUENTA fuera de las clases de costo",IF(NOT(ISNUMBER(E358)),"ERROR: VALOR debe ser numérico",IF(E358=0,"AVISO: valor cero (no se carga)",IF(J358&lt;&gt;"ACTIVO","NO SE CARGA: CECO en estado "&amp;J358,"OK"))))))))))</f>
        <v/>
      </c>
    </row>
    <row r="359">
      <c r="A359" s="5" t="n"/>
      <c r="B359" s="6" t="n"/>
      <c r="C359" s="5" t="n"/>
      <c r="D359" s="6" t="n"/>
      <c r="E359" s="7" t="n"/>
      <c r="F359" s="6" t="n"/>
      <c r="G359" s="8">
        <f>IF(B359="","",IFERROR(VLOOKUP(--B359,'CATALOGO CECO'!$A$2:$H$550,2,FALSE),"CECO NO EXISTE"))</f>
        <v/>
      </c>
      <c r="H359" s="8">
        <f>IF(B359="","",IFERROR(VLOOKUP(--B359,'CATALOGO CECO'!$A$2:$H$550,3,FALSE),""))</f>
        <v/>
      </c>
      <c r="I359" s="8">
        <f>IF(B359="","",IFERROR(VLOOKUP(--B359,'CATALOGO CECO'!$A$2:$H$550,5,FALSE),""))</f>
        <v/>
      </c>
      <c r="J359" s="8">
        <f>IF(B359="","",IFERROR(VLOOKUP(--B359,'CATALOGO CECO'!$A$2:$H$550,8,FALSE),""))</f>
        <v/>
      </c>
      <c r="K359" s="8">
        <f>IF(COUNTA(A359:F359)=0,"",IF(OR(LEN(A359)&lt;&gt;7,MID(A359,5,1)&lt;&gt;"-",ISERROR(--LEFT(A359,4)),ISERROR(--RIGHT(A359,2))),"ERROR: PERIODO debe ser AAAA-MM",IF(B359="","ERROR: falta CODIGO CECO",IF(G359="CECO NO EXISTE","ERROR: CECO no existe en el catálogo",IF(C359="","ERROR: falta CUENTA",IF(ISERROR(--C359),"ERROR: CUENTA debe tener solo dígitos",IF(ISERROR(FIND(LEFT(C359,1),"567")),"ERROR: CUENTA fuera de las clases de costo",IF(NOT(ISNUMBER(E359)),"ERROR: VALOR debe ser numérico",IF(E359=0,"AVISO: valor cero (no se carga)",IF(J359&lt;&gt;"ACTIVO","NO SE CARGA: CECO en estado "&amp;J359,"OK"))))))))))</f>
        <v/>
      </c>
    </row>
    <row r="360">
      <c r="A360" s="5" t="n"/>
      <c r="B360" s="6" t="n"/>
      <c r="C360" s="5" t="n"/>
      <c r="D360" s="6" t="n"/>
      <c r="E360" s="7" t="n"/>
      <c r="F360" s="6" t="n"/>
      <c r="G360" s="8">
        <f>IF(B360="","",IFERROR(VLOOKUP(--B360,'CATALOGO CECO'!$A$2:$H$550,2,FALSE),"CECO NO EXISTE"))</f>
        <v/>
      </c>
      <c r="H360" s="8">
        <f>IF(B360="","",IFERROR(VLOOKUP(--B360,'CATALOGO CECO'!$A$2:$H$550,3,FALSE),""))</f>
        <v/>
      </c>
      <c r="I360" s="8">
        <f>IF(B360="","",IFERROR(VLOOKUP(--B360,'CATALOGO CECO'!$A$2:$H$550,5,FALSE),""))</f>
        <v/>
      </c>
      <c r="J360" s="8">
        <f>IF(B360="","",IFERROR(VLOOKUP(--B360,'CATALOGO CECO'!$A$2:$H$550,8,FALSE),""))</f>
        <v/>
      </c>
      <c r="K360" s="8">
        <f>IF(COUNTA(A360:F360)=0,"",IF(OR(LEN(A360)&lt;&gt;7,MID(A360,5,1)&lt;&gt;"-",ISERROR(--LEFT(A360,4)),ISERROR(--RIGHT(A360,2))),"ERROR: PERIODO debe ser AAAA-MM",IF(B360="","ERROR: falta CODIGO CECO",IF(G360="CECO NO EXISTE","ERROR: CECO no existe en el catálogo",IF(C360="","ERROR: falta CUENTA",IF(ISERROR(--C360),"ERROR: CUENTA debe tener solo dígitos",IF(ISERROR(FIND(LEFT(C360,1),"567")),"ERROR: CUENTA fuera de las clases de costo",IF(NOT(ISNUMBER(E360)),"ERROR: VALOR debe ser numérico",IF(E360=0,"AVISO: valor cero (no se carga)",IF(J360&lt;&gt;"ACTIVO","NO SE CARGA: CECO en estado "&amp;J360,"OK"))))))))))</f>
        <v/>
      </c>
    </row>
    <row r="361">
      <c r="A361" s="5" t="n"/>
      <c r="B361" s="6" t="n"/>
      <c r="C361" s="5" t="n"/>
      <c r="D361" s="6" t="n"/>
      <c r="E361" s="7" t="n"/>
      <c r="F361" s="6" t="n"/>
      <c r="G361" s="8">
        <f>IF(B361="","",IFERROR(VLOOKUP(--B361,'CATALOGO CECO'!$A$2:$H$550,2,FALSE),"CECO NO EXISTE"))</f>
        <v/>
      </c>
      <c r="H361" s="8">
        <f>IF(B361="","",IFERROR(VLOOKUP(--B361,'CATALOGO CECO'!$A$2:$H$550,3,FALSE),""))</f>
        <v/>
      </c>
      <c r="I361" s="8">
        <f>IF(B361="","",IFERROR(VLOOKUP(--B361,'CATALOGO CECO'!$A$2:$H$550,5,FALSE),""))</f>
        <v/>
      </c>
      <c r="J361" s="8">
        <f>IF(B361="","",IFERROR(VLOOKUP(--B361,'CATALOGO CECO'!$A$2:$H$550,8,FALSE),""))</f>
        <v/>
      </c>
      <c r="K361" s="8">
        <f>IF(COUNTA(A361:F361)=0,"",IF(OR(LEN(A361)&lt;&gt;7,MID(A361,5,1)&lt;&gt;"-",ISERROR(--LEFT(A361,4)),ISERROR(--RIGHT(A361,2))),"ERROR: PERIODO debe ser AAAA-MM",IF(B361="","ERROR: falta CODIGO CECO",IF(G361="CECO NO EXISTE","ERROR: CECO no existe en el catálogo",IF(C361="","ERROR: falta CUENTA",IF(ISERROR(--C361),"ERROR: CUENTA debe tener solo dígitos",IF(ISERROR(FIND(LEFT(C361,1),"567")),"ERROR: CUENTA fuera de las clases de costo",IF(NOT(ISNUMBER(E361)),"ERROR: VALOR debe ser numérico",IF(E361=0,"AVISO: valor cero (no se carga)",IF(J361&lt;&gt;"ACTIVO","NO SE CARGA: CECO en estado "&amp;J361,"OK"))))))))))</f>
        <v/>
      </c>
    </row>
    <row r="362">
      <c r="A362" s="5" t="n"/>
      <c r="B362" s="6" t="n"/>
      <c r="C362" s="5" t="n"/>
      <c r="D362" s="6" t="n"/>
      <c r="E362" s="7" t="n"/>
      <c r="F362" s="6" t="n"/>
      <c r="G362" s="8">
        <f>IF(B362="","",IFERROR(VLOOKUP(--B362,'CATALOGO CECO'!$A$2:$H$550,2,FALSE),"CECO NO EXISTE"))</f>
        <v/>
      </c>
      <c r="H362" s="8">
        <f>IF(B362="","",IFERROR(VLOOKUP(--B362,'CATALOGO CECO'!$A$2:$H$550,3,FALSE),""))</f>
        <v/>
      </c>
      <c r="I362" s="8">
        <f>IF(B362="","",IFERROR(VLOOKUP(--B362,'CATALOGO CECO'!$A$2:$H$550,5,FALSE),""))</f>
        <v/>
      </c>
      <c r="J362" s="8">
        <f>IF(B362="","",IFERROR(VLOOKUP(--B362,'CATALOGO CECO'!$A$2:$H$550,8,FALSE),""))</f>
        <v/>
      </c>
      <c r="K362" s="8">
        <f>IF(COUNTA(A362:F362)=0,"",IF(OR(LEN(A362)&lt;&gt;7,MID(A362,5,1)&lt;&gt;"-",ISERROR(--LEFT(A362,4)),ISERROR(--RIGHT(A362,2))),"ERROR: PERIODO debe ser AAAA-MM",IF(B362="","ERROR: falta CODIGO CECO",IF(G362="CECO NO EXISTE","ERROR: CECO no existe en el catálogo",IF(C362="","ERROR: falta CUENTA",IF(ISERROR(--C362),"ERROR: CUENTA debe tener solo dígitos",IF(ISERROR(FIND(LEFT(C362,1),"567")),"ERROR: CUENTA fuera de las clases de costo",IF(NOT(ISNUMBER(E362)),"ERROR: VALOR debe ser numérico",IF(E362=0,"AVISO: valor cero (no se carga)",IF(J362&lt;&gt;"ACTIVO","NO SE CARGA: CECO en estado "&amp;J362,"OK"))))))))))</f>
        <v/>
      </c>
    </row>
    <row r="363">
      <c r="A363" s="5" t="n"/>
      <c r="B363" s="6" t="n"/>
      <c r="C363" s="5" t="n"/>
      <c r="D363" s="6" t="n"/>
      <c r="E363" s="7" t="n"/>
      <c r="F363" s="6" t="n"/>
      <c r="G363" s="8">
        <f>IF(B363="","",IFERROR(VLOOKUP(--B363,'CATALOGO CECO'!$A$2:$H$550,2,FALSE),"CECO NO EXISTE"))</f>
        <v/>
      </c>
      <c r="H363" s="8">
        <f>IF(B363="","",IFERROR(VLOOKUP(--B363,'CATALOGO CECO'!$A$2:$H$550,3,FALSE),""))</f>
        <v/>
      </c>
      <c r="I363" s="8">
        <f>IF(B363="","",IFERROR(VLOOKUP(--B363,'CATALOGO CECO'!$A$2:$H$550,5,FALSE),""))</f>
        <v/>
      </c>
      <c r="J363" s="8">
        <f>IF(B363="","",IFERROR(VLOOKUP(--B363,'CATALOGO CECO'!$A$2:$H$550,8,FALSE),""))</f>
        <v/>
      </c>
      <c r="K363" s="8">
        <f>IF(COUNTA(A363:F363)=0,"",IF(OR(LEN(A363)&lt;&gt;7,MID(A363,5,1)&lt;&gt;"-",ISERROR(--LEFT(A363,4)),ISERROR(--RIGHT(A363,2))),"ERROR: PERIODO debe ser AAAA-MM",IF(B363="","ERROR: falta CODIGO CECO",IF(G363="CECO NO EXISTE","ERROR: CECO no existe en el catálogo",IF(C363="","ERROR: falta CUENTA",IF(ISERROR(--C363),"ERROR: CUENTA debe tener solo dígitos",IF(ISERROR(FIND(LEFT(C363,1),"567")),"ERROR: CUENTA fuera de las clases de costo",IF(NOT(ISNUMBER(E363)),"ERROR: VALOR debe ser numérico",IF(E363=0,"AVISO: valor cero (no se carga)",IF(J363&lt;&gt;"ACTIVO","NO SE CARGA: CECO en estado "&amp;J363,"OK"))))))))))</f>
        <v/>
      </c>
    </row>
    <row r="364">
      <c r="A364" s="5" t="n"/>
      <c r="B364" s="6" t="n"/>
      <c r="C364" s="5" t="n"/>
      <c r="D364" s="6" t="n"/>
      <c r="E364" s="7" t="n"/>
      <c r="F364" s="6" t="n"/>
      <c r="G364" s="8">
        <f>IF(B364="","",IFERROR(VLOOKUP(--B364,'CATALOGO CECO'!$A$2:$H$550,2,FALSE),"CECO NO EXISTE"))</f>
        <v/>
      </c>
      <c r="H364" s="8">
        <f>IF(B364="","",IFERROR(VLOOKUP(--B364,'CATALOGO CECO'!$A$2:$H$550,3,FALSE),""))</f>
        <v/>
      </c>
      <c r="I364" s="8">
        <f>IF(B364="","",IFERROR(VLOOKUP(--B364,'CATALOGO CECO'!$A$2:$H$550,5,FALSE),""))</f>
        <v/>
      </c>
      <c r="J364" s="8">
        <f>IF(B364="","",IFERROR(VLOOKUP(--B364,'CATALOGO CECO'!$A$2:$H$550,8,FALSE),""))</f>
        <v/>
      </c>
      <c r="K364" s="8">
        <f>IF(COUNTA(A364:F364)=0,"",IF(OR(LEN(A364)&lt;&gt;7,MID(A364,5,1)&lt;&gt;"-",ISERROR(--LEFT(A364,4)),ISERROR(--RIGHT(A364,2))),"ERROR: PERIODO debe ser AAAA-MM",IF(B364="","ERROR: falta CODIGO CECO",IF(G364="CECO NO EXISTE","ERROR: CECO no existe en el catálogo",IF(C364="","ERROR: falta CUENTA",IF(ISERROR(--C364),"ERROR: CUENTA debe tener solo dígitos",IF(ISERROR(FIND(LEFT(C364,1),"567")),"ERROR: CUENTA fuera de las clases de costo",IF(NOT(ISNUMBER(E364)),"ERROR: VALOR debe ser numérico",IF(E364=0,"AVISO: valor cero (no se carga)",IF(J364&lt;&gt;"ACTIVO","NO SE CARGA: CECO en estado "&amp;J364,"OK"))))))))))</f>
        <v/>
      </c>
    </row>
    <row r="365">
      <c r="A365" s="5" t="n"/>
      <c r="B365" s="6" t="n"/>
      <c r="C365" s="5" t="n"/>
      <c r="D365" s="6" t="n"/>
      <c r="E365" s="7" t="n"/>
      <c r="F365" s="6" t="n"/>
      <c r="G365" s="8">
        <f>IF(B365="","",IFERROR(VLOOKUP(--B365,'CATALOGO CECO'!$A$2:$H$550,2,FALSE),"CECO NO EXISTE"))</f>
        <v/>
      </c>
      <c r="H365" s="8">
        <f>IF(B365="","",IFERROR(VLOOKUP(--B365,'CATALOGO CECO'!$A$2:$H$550,3,FALSE),""))</f>
        <v/>
      </c>
      <c r="I365" s="8">
        <f>IF(B365="","",IFERROR(VLOOKUP(--B365,'CATALOGO CECO'!$A$2:$H$550,5,FALSE),""))</f>
        <v/>
      </c>
      <c r="J365" s="8">
        <f>IF(B365="","",IFERROR(VLOOKUP(--B365,'CATALOGO CECO'!$A$2:$H$550,8,FALSE),""))</f>
        <v/>
      </c>
      <c r="K365" s="8">
        <f>IF(COUNTA(A365:F365)=0,"",IF(OR(LEN(A365)&lt;&gt;7,MID(A365,5,1)&lt;&gt;"-",ISERROR(--LEFT(A365,4)),ISERROR(--RIGHT(A365,2))),"ERROR: PERIODO debe ser AAAA-MM",IF(B365="","ERROR: falta CODIGO CECO",IF(G365="CECO NO EXISTE","ERROR: CECO no existe en el catálogo",IF(C365="","ERROR: falta CUENTA",IF(ISERROR(--C365),"ERROR: CUENTA debe tener solo dígitos",IF(ISERROR(FIND(LEFT(C365,1),"567")),"ERROR: CUENTA fuera de las clases de costo",IF(NOT(ISNUMBER(E365)),"ERROR: VALOR debe ser numérico",IF(E365=0,"AVISO: valor cero (no se carga)",IF(J365&lt;&gt;"ACTIVO","NO SE CARGA: CECO en estado "&amp;J365,"OK"))))))))))</f>
        <v/>
      </c>
    </row>
    <row r="366">
      <c r="A366" s="5" t="n"/>
      <c r="B366" s="6" t="n"/>
      <c r="C366" s="5" t="n"/>
      <c r="D366" s="6" t="n"/>
      <c r="E366" s="7" t="n"/>
      <c r="F366" s="6" t="n"/>
      <c r="G366" s="8">
        <f>IF(B366="","",IFERROR(VLOOKUP(--B366,'CATALOGO CECO'!$A$2:$H$550,2,FALSE),"CECO NO EXISTE"))</f>
        <v/>
      </c>
      <c r="H366" s="8">
        <f>IF(B366="","",IFERROR(VLOOKUP(--B366,'CATALOGO CECO'!$A$2:$H$550,3,FALSE),""))</f>
        <v/>
      </c>
      <c r="I366" s="8">
        <f>IF(B366="","",IFERROR(VLOOKUP(--B366,'CATALOGO CECO'!$A$2:$H$550,5,FALSE),""))</f>
        <v/>
      </c>
      <c r="J366" s="8">
        <f>IF(B366="","",IFERROR(VLOOKUP(--B366,'CATALOGO CECO'!$A$2:$H$550,8,FALSE),""))</f>
        <v/>
      </c>
      <c r="K366" s="8">
        <f>IF(COUNTA(A366:F366)=0,"",IF(OR(LEN(A366)&lt;&gt;7,MID(A366,5,1)&lt;&gt;"-",ISERROR(--LEFT(A366,4)),ISERROR(--RIGHT(A366,2))),"ERROR: PERIODO debe ser AAAA-MM",IF(B366="","ERROR: falta CODIGO CECO",IF(G366="CECO NO EXISTE","ERROR: CECO no existe en el catálogo",IF(C366="","ERROR: falta CUENTA",IF(ISERROR(--C366),"ERROR: CUENTA debe tener solo dígitos",IF(ISERROR(FIND(LEFT(C366,1),"567")),"ERROR: CUENTA fuera de las clases de costo",IF(NOT(ISNUMBER(E366)),"ERROR: VALOR debe ser numérico",IF(E366=0,"AVISO: valor cero (no se carga)",IF(J366&lt;&gt;"ACTIVO","NO SE CARGA: CECO en estado "&amp;J366,"OK"))))))))))</f>
        <v/>
      </c>
    </row>
    <row r="367">
      <c r="A367" s="5" t="n"/>
      <c r="B367" s="6" t="n"/>
      <c r="C367" s="5" t="n"/>
      <c r="D367" s="6" t="n"/>
      <c r="E367" s="7" t="n"/>
      <c r="F367" s="6" t="n"/>
      <c r="G367" s="8">
        <f>IF(B367="","",IFERROR(VLOOKUP(--B367,'CATALOGO CECO'!$A$2:$H$550,2,FALSE),"CECO NO EXISTE"))</f>
        <v/>
      </c>
      <c r="H367" s="8">
        <f>IF(B367="","",IFERROR(VLOOKUP(--B367,'CATALOGO CECO'!$A$2:$H$550,3,FALSE),""))</f>
        <v/>
      </c>
      <c r="I367" s="8">
        <f>IF(B367="","",IFERROR(VLOOKUP(--B367,'CATALOGO CECO'!$A$2:$H$550,5,FALSE),""))</f>
        <v/>
      </c>
      <c r="J367" s="8">
        <f>IF(B367="","",IFERROR(VLOOKUP(--B367,'CATALOGO CECO'!$A$2:$H$550,8,FALSE),""))</f>
        <v/>
      </c>
      <c r="K367" s="8">
        <f>IF(COUNTA(A367:F367)=0,"",IF(OR(LEN(A367)&lt;&gt;7,MID(A367,5,1)&lt;&gt;"-",ISERROR(--LEFT(A367,4)),ISERROR(--RIGHT(A367,2))),"ERROR: PERIODO debe ser AAAA-MM",IF(B367="","ERROR: falta CODIGO CECO",IF(G367="CECO NO EXISTE","ERROR: CECO no existe en el catálogo",IF(C367="","ERROR: falta CUENTA",IF(ISERROR(--C367),"ERROR: CUENTA debe tener solo dígitos",IF(ISERROR(FIND(LEFT(C367,1),"567")),"ERROR: CUENTA fuera de las clases de costo",IF(NOT(ISNUMBER(E367)),"ERROR: VALOR debe ser numérico",IF(E367=0,"AVISO: valor cero (no se carga)",IF(J367&lt;&gt;"ACTIVO","NO SE CARGA: CECO en estado "&amp;J367,"OK"))))))))))</f>
        <v/>
      </c>
    </row>
    <row r="368">
      <c r="A368" s="5" t="n"/>
      <c r="B368" s="6" t="n"/>
      <c r="C368" s="5" t="n"/>
      <c r="D368" s="6" t="n"/>
      <c r="E368" s="7" t="n"/>
      <c r="F368" s="6" t="n"/>
      <c r="G368" s="8">
        <f>IF(B368="","",IFERROR(VLOOKUP(--B368,'CATALOGO CECO'!$A$2:$H$550,2,FALSE),"CECO NO EXISTE"))</f>
        <v/>
      </c>
      <c r="H368" s="8">
        <f>IF(B368="","",IFERROR(VLOOKUP(--B368,'CATALOGO CECO'!$A$2:$H$550,3,FALSE),""))</f>
        <v/>
      </c>
      <c r="I368" s="8">
        <f>IF(B368="","",IFERROR(VLOOKUP(--B368,'CATALOGO CECO'!$A$2:$H$550,5,FALSE),""))</f>
        <v/>
      </c>
      <c r="J368" s="8">
        <f>IF(B368="","",IFERROR(VLOOKUP(--B368,'CATALOGO CECO'!$A$2:$H$550,8,FALSE),""))</f>
        <v/>
      </c>
      <c r="K368" s="8">
        <f>IF(COUNTA(A368:F368)=0,"",IF(OR(LEN(A368)&lt;&gt;7,MID(A368,5,1)&lt;&gt;"-",ISERROR(--LEFT(A368,4)),ISERROR(--RIGHT(A368,2))),"ERROR: PERIODO debe ser AAAA-MM",IF(B368="","ERROR: falta CODIGO CECO",IF(G368="CECO NO EXISTE","ERROR: CECO no existe en el catálogo",IF(C368="","ERROR: falta CUENTA",IF(ISERROR(--C368),"ERROR: CUENTA debe tener solo dígitos",IF(ISERROR(FIND(LEFT(C368,1),"567")),"ERROR: CUENTA fuera de las clases de costo",IF(NOT(ISNUMBER(E368)),"ERROR: VALOR debe ser numérico",IF(E368=0,"AVISO: valor cero (no se carga)",IF(J368&lt;&gt;"ACTIVO","NO SE CARGA: CECO en estado "&amp;J368,"OK"))))))))))</f>
        <v/>
      </c>
    </row>
    <row r="369">
      <c r="A369" s="5" t="n"/>
      <c r="B369" s="6" t="n"/>
      <c r="C369" s="5" t="n"/>
      <c r="D369" s="6" t="n"/>
      <c r="E369" s="7" t="n"/>
      <c r="F369" s="6" t="n"/>
      <c r="G369" s="8">
        <f>IF(B369="","",IFERROR(VLOOKUP(--B369,'CATALOGO CECO'!$A$2:$H$550,2,FALSE),"CECO NO EXISTE"))</f>
        <v/>
      </c>
      <c r="H369" s="8">
        <f>IF(B369="","",IFERROR(VLOOKUP(--B369,'CATALOGO CECO'!$A$2:$H$550,3,FALSE),""))</f>
        <v/>
      </c>
      <c r="I369" s="8">
        <f>IF(B369="","",IFERROR(VLOOKUP(--B369,'CATALOGO CECO'!$A$2:$H$550,5,FALSE),""))</f>
        <v/>
      </c>
      <c r="J369" s="8">
        <f>IF(B369="","",IFERROR(VLOOKUP(--B369,'CATALOGO CECO'!$A$2:$H$550,8,FALSE),""))</f>
        <v/>
      </c>
      <c r="K369" s="8">
        <f>IF(COUNTA(A369:F369)=0,"",IF(OR(LEN(A369)&lt;&gt;7,MID(A369,5,1)&lt;&gt;"-",ISERROR(--LEFT(A369,4)),ISERROR(--RIGHT(A369,2))),"ERROR: PERIODO debe ser AAAA-MM",IF(B369="","ERROR: falta CODIGO CECO",IF(G369="CECO NO EXISTE","ERROR: CECO no existe en el catálogo",IF(C369="","ERROR: falta CUENTA",IF(ISERROR(--C369),"ERROR: CUENTA debe tener solo dígitos",IF(ISERROR(FIND(LEFT(C369,1),"567")),"ERROR: CUENTA fuera de las clases de costo",IF(NOT(ISNUMBER(E369)),"ERROR: VALOR debe ser numérico",IF(E369=0,"AVISO: valor cero (no se carga)",IF(J369&lt;&gt;"ACTIVO","NO SE CARGA: CECO en estado "&amp;J369,"OK"))))))))))</f>
        <v/>
      </c>
    </row>
    <row r="370">
      <c r="A370" s="5" t="n"/>
      <c r="B370" s="6" t="n"/>
      <c r="C370" s="5" t="n"/>
      <c r="D370" s="6" t="n"/>
      <c r="E370" s="7" t="n"/>
      <c r="F370" s="6" t="n"/>
      <c r="G370" s="8">
        <f>IF(B370="","",IFERROR(VLOOKUP(--B370,'CATALOGO CECO'!$A$2:$H$550,2,FALSE),"CECO NO EXISTE"))</f>
        <v/>
      </c>
      <c r="H370" s="8">
        <f>IF(B370="","",IFERROR(VLOOKUP(--B370,'CATALOGO CECO'!$A$2:$H$550,3,FALSE),""))</f>
        <v/>
      </c>
      <c r="I370" s="8">
        <f>IF(B370="","",IFERROR(VLOOKUP(--B370,'CATALOGO CECO'!$A$2:$H$550,5,FALSE),""))</f>
        <v/>
      </c>
      <c r="J370" s="8">
        <f>IF(B370="","",IFERROR(VLOOKUP(--B370,'CATALOGO CECO'!$A$2:$H$550,8,FALSE),""))</f>
        <v/>
      </c>
      <c r="K370" s="8">
        <f>IF(COUNTA(A370:F370)=0,"",IF(OR(LEN(A370)&lt;&gt;7,MID(A370,5,1)&lt;&gt;"-",ISERROR(--LEFT(A370,4)),ISERROR(--RIGHT(A370,2))),"ERROR: PERIODO debe ser AAAA-MM",IF(B370="","ERROR: falta CODIGO CECO",IF(G370="CECO NO EXISTE","ERROR: CECO no existe en el catálogo",IF(C370="","ERROR: falta CUENTA",IF(ISERROR(--C370),"ERROR: CUENTA debe tener solo dígitos",IF(ISERROR(FIND(LEFT(C370,1),"567")),"ERROR: CUENTA fuera de las clases de costo",IF(NOT(ISNUMBER(E370)),"ERROR: VALOR debe ser numérico",IF(E370=0,"AVISO: valor cero (no se carga)",IF(J370&lt;&gt;"ACTIVO","NO SE CARGA: CECO en estado "&amp;J370,"OK"))))))))))</f>
        <v/>
      </c>
    </row>
    <row r="371">
      <c r="A371" s="5" t="n"/>
      <c r="B371" s="6" t="n"/>
      <c r="C371" s="5" t="n"/>
      <c r="D371" s="6" t="n"/>
      <c r="E371" s="7" t="n"/>
      <c r="F371" s="6" t="n"/>
      <c r="G371" s="8">
        <f>IF(B371="","",IFERROR(VLOOKUP(--B371,'CATALOGO CECO'!$A$2:$H$550,2,FALSE),"CECO NO EXISTE"))</f>
        <v/>
      </c>
      <c r="H371" s="8">
        <f>IF(B371="","",IFERROR(VLOOKUP(--B371,'CATALOGO CECO'!$A$2:$H$550,3,FALSE),""))</f>
        <v/>
      </c>
      <c r="I371" s="8">
        <f>IF(B371="","",IFERROR(VLOOKUP(--B371,'CATALOGO CECO'!$A$2:$H$550,5,FALSE),""))</f>
        <v/>
      </c>
      <c r="J371" s="8">
        <f>IF(B371="","",IFERROR(VLOOKUP(--B371,'CATALOGO CECO'!$A$2:$H$550,8,FALSE),""))</f>
        <v/>
      </c>
      <c r="K371" s="8">
        <f>IF(COUNTA(A371:F371)=0,"",IF(OR(LEN(A371)&lt;&gt;7,MID(A371,5,1)&lt;&gt;"-",ISERROR(--LEFT(A371,4)),ISERROR(--RIGHT(A371,2))),"ERROR: PERIODO debe ser AAAA-MM",IF(B371="","ERROR: falta CODIGO CECO",IF(G371="CECO NO EXISTE","ERROR: CECO no existe en el catálogo",IF(C371="","ERROR: falta CUENTA",IF(ISERROR(--C371),"ERROR: CUENTA debe tener solo dígitos",IF(ISERROR(FIND(LEFT(C371,1),"567")),"ERROR: CUENTA fuera de las clases de costo",IF(NOT(ISNUMBER(E371)),"ERROR: VALOR debe ser numérico",IF(E371=0,"AVISO: valor cero (no se carga)",IF(J371&lt;&gt;"ACTIVO","NO SE CARGA: CECO en estado "&amp;J371,"OK"))))))))))</f>
        <v/>
      </c>
    </row>
    <row r="372">
      <c r="A372" s="5" t="n"/>
      <c r="B372" s="6" t="n"/>
      <c r="C372" s="5" t="n"/>
      <c r="D372" s="6" t="n"/>
      <c r="E372" s="7" t="n"/>
      <c r="F372" s="6" t="n"/>
      <c r="G372" s="8">
        <f>IF(B372="","",IFERROR(VLOOKUP(--B372,'CATALOGO CECO'!$A$2:$H$550,2,FALSE),"CECO NO EXISTE"))</f>
        <v/>
      </c>
      <c r="H372" s="8">
        <f>IF(B372="","",IFERROR(VLOOKUP(--B372,'CATALOGO CECO'!$A$2:$H$550,3,FALSE),""))</f>
        <v/>
      </c>
      <c r="I372" s="8">
        <f>IF(B372="","",IFERROR(VLOOKUP(--B372,'CATALOGO CECO'!$A$2:$H$550,5,FALSE),""))</f>
        <v/>
      </c>
      <c r="J372" s="8">
        <f>IF(B372="","",IFERROR(VLOOKUP(--B372,'CATALOGO CECO'!$A$2:$H$550,8,FALSE),""))</f>
        <v/>
      </c>
      <c r="K372" s="8">
        <f>IF(COUNTA(A372:F372)=0,"",IF(OR(LEN(A372)&lt;&gt;7,MID(A372,5,1)&lt;&gt;"-",ISERROR(--LEFT(A372,4)),ISERROR(--RIGHT(A372,2))),"ERROR: PERIODO debe ser AAAA-MM",IF(B372="","ERROR: falta CODIGO CECO",IF(G372="CECO NO EXISTE","ERROR: CECO no existe en el catálogo",IF(C372="","ERROR: falta CUENTA",IF(ISERROR(--C372),"ERROR: CUENTA debe tener solo dígitos",IF(ISERROR(FIND(LEFT(C372,1),"567")),"ERROR: CUENTA fuera de las clases de costo",IF(NOT(ISNUMBER(E372)),"ERROR: VALOR debe ser numérico",IF(E372=0,"AVISO: valor cero (no se carga)",IF(J372&lt;&gt;"ACTIVO","NO SE CARGA: CECO en estado "&amp;J372,"OK"))))))))))</f>
        <v/>
      </c>
    </row>
    <row r="373">
      <c r="A373" s="5" t="n"/>
      <c r="B373" s="6" t="n"/>
      <c r="C373" s="5" t="n"/>
      <c r="D373" s="6" t="n"/>
      <c r="E373" s="7" t="n"/>
      <c r="F373" s="6" t="n"/>
      <c r="G373" s="8">
        <f>IF(B373="","",IFERROR(VLOOKUP(--B373,'CATALOGO CECO'!$A$2:$H$550,2,FALSE),"CECO NO EXISTE"))</f>
        <v/>
      </c>
      <c r="H373" s="8">
        <f>IF(B373="","",IFERROR(VLOOKUP(--B373,'CATALOGO CECO'!$A$2:$H$550,3,FALSE),""))</f>
        <v/>
      </c>
      <c r="I373" s="8">
        <f>IF(B373="","",IFERROR(VLOOKUP(--B373,'CATALOGO CECO'!$A$2:$H$550,5,FALSE),""))</f>
        <v/>
      </c>
      <c r="J373" s="8">
        <f>IF(B373="","",IFERROR(VLOOKUP(--B373,'CATALOGO CECO'!$A$2:$H$550,8,FALSE),""))</f>
        <v/>
      </c>
      <c r="K373" s="8">
        <f>IF(COUNTA(A373:F373)=0,"",IF(OR(LEN(A373)&lt;&gt;7,MID(A373,5,1)&lt;&gt;"-",ISERROR(--LEFT(A373,4)),ISERROR(--RIGHT(A373,2))),"ERROR: PERIODO debe ser AAAA-MM",IF(B373="","ERROR: falta CODIGO CECO",IF(G373="CECO NO EXISTE","ERROR: CECO no existe en el catálogo",IF(C373="","ERROR: falta CUENTA",IF(ISERROR(--C373),"ERROR: CUENTA debe tener solo dígitos",IF(ISERROR(FIND(LEFT(C373,1),"567")),"ERROR: CUENTA fuera de las clases de costo",IF(NOT(ISNUMBER(E373)),"ERROR: VALOR debe ser numérico",IF(E373=0,"AVISO: valor cero (no se carga)",IF(J373&lt;&gt;"ACTIVO","NO SE CARGA: CECO en estado "&amp;J373,"OK"))))))))))</f>
        <v/>
      </c>
    </row>
    <row r="374">
      <c r="A374" s="5" t="n"/>
      <c r="B374" s="6" t="n"/>
      <c r="C374" s="5" t="n"/>
      <c r="D374" s="6" t="n"/>
      <c r="E374" s="7" t="n"/>
      <c r="F374" s="6" t="n"/>
      <c r="G374" s="8">
        <f>IF(B374="","",IFERROR(VLOOKUP(--B374,'CATALOGO CECO'!$A$2:$H$550,2,FALSE),"CECO NO EXISTE"))</f>
        <v/>
      </c>
      <c r="H374" s="8">
        <f>IF(B374="","",IFERROR(VLOOKUP(--B374,'CATALOGO CECO'!$A$2:$H$550,3,FALSE),""))</f>
        <v/>
      </c>
      <c r="I374" s="8">
        <f>IF(B374="","",IFERROR(VLOOKUP(--B374,'CATALOGO CECO'!$A$2:$H$550,5,FALSE),""))</f>
        <v/>
      </c>
      <c r="J374" s="8">
        <f>IF(B374="","",IFERROR(VLOOKUP(--B374,'CATALOGO CECO'!$A$2:$H$550,8,FALSE),""))</f>
        <v/>
      </c>
      <c r="K374" s="8">
        <f>IF(COUNTA(A374:F374)=0,"",IF(OR(LEN(A374)&lt;&gt;7,MID(A374,5,1)&lt;&gt;"-",ISERROR(--LEFT(A374,4)),ISERROR(--RIGHT(A374,2))),"ERROR: PERIODO debe ser AAAA-MM",IF(B374="","ERROR: falta CODIGO CECO",IF(G374="CECO NO EXISTE","ERROR: CECO no existe en el catálogo",IF(C374="","ERROR: falta CUENTA",IF(ISERROR(--C374),"ERROR: CUENTA debe tener solo dígitos",IF(ISERROR(FIND(LEFT(C374,1),"567")),"ERROR: CUENTA fuera de las clases de costo",IF(NOT(ISNUMBER(E374)),"ERROR: VALOR debe ser numérico",IF(E374=0,"AVISO: valor cero (no se carga)",IF(J374&lt;&gt;"ACTIVO","NO SE CARGA: CECO en estado "&amp;J374,"OK"))))))))))</f>
        <v/>
      </c>
    </row>
    <row r="375">
      <c r="A375" s="5" t="n"/>
      <c r="B375" s="6" t="n"/>
      <c r="C375" s="5" t="n"/>
      <c r="D375" s="6" t="n"/>
      <c r="E375" s="7" t="n"/>
      <c r="F375" s="6" t="n"/>
      <c r="G375" s="8">
        <f>IF(B375="","",IFERROR(VLOOKUP(--B375,'CATALOGO CECO'!$A$2:$H$550,2,FALSE),"CECO NO EXISTE"))</f>
        <v/>
      </c>
      <c r="H375" s="8">
        <f>IF(B375="","",IFERROR(VLOOKUP(--B375,'CATALOGO CECO'!$A$2:$H$550,3,FALSE),""))</f>
        <v/>
      </c>
      <c r="I375" s="8">
        <f>IF(B375="","",IFERROR(VLOOKUP(--B375,'CATALOGO CECO'!$A$2:$H$550,5,FALSE),""))</f>
        <v/>
      </c>
      <c r="J375" s="8">
        <f>IF(B375="","",IFERROR(VLOOKUP(--B375,'CATALOGO CECO'!$A$2:$H$550,8,FALSE),""))</f>
        <v/>
      </c>
      <c r="K375" s="8">
        <f>IF(COUNTA(A375:F375)=0,"",IF(OR(LEN(A375)&lt;&gt;7,MID(A375,5,1)&lt;&gt;"-",ISERROR(--LEFT(A375,4)),ISERROR(--RIGHT(A375,2))),"ERROR: PERIODO debe ser AAAA-MM",IF(B375="","ERROR: falta CODIGO CECO",IF(G375="CECO NO EXISTE","ERROR: CECO no existe en el catálogo",IF(C375="","ERROR: falta CUENTA",IF(ISERROR(--C375),"ERROR: CUENTA debe tener solo dígitos",IF(ISERROR(FIND(LEFT(C375,1),"567")),"ERROR: CUENTA fuera de las clases de costo",IF(NOT(ISNUMBER(E375)),"ERROR: VALOR debe ser numérico",IF(E375=0,"AVISO: valor cero (no se carga)",IF(J375&lt;&gt;"ACTIVO","NO SE CARGA: CECO en estado "&amp;J375,"OK"))))))))))</f>
        <v/>
      </c>
    </row>
    <row r="376">
      <c r="A376" s="5" t="n"/>
      <c r="B376" s="6" t="n"/>
      <c r="C376" s="5" t="n"/>
      <c r="D376" s="6" t="n"/>
      <c r="E376" s="7" t="n"/>
      <c r="F376" s="6" t="n"/>
      <c r="G376" s="8">
        <f>IF(B376="","",IFERROR(VLOOKUP(--B376,'CATALOGO CECO'!$A$2:$H$550,2,FALSE),"CECO NO EXISTE"))</f>
        <v/>
      </c>
      <c r="H376" s="8">
        <f>IF(B376="","",IFERROR(VLOOKUP(--B376,'CATALOGO CECO'!$A$2:$H$550,3,FALSE),""))</f>
        <v/>
      </c>
      <c r="I376" s="8">
        <f>IF(B376="","",IFERROR(VLOOKUP(--B376,'CATALOGO CECO'!$A$2:$H$550,5,FALSE),""))</f>
        <v/>
      </c>
      <c r="J376" s="8">
        <f>IF(B376="","",IFERROR(VLOOKUP(--B376,'CATALOGO CECO'!$A$2:$H$550,8,FALSE),""))</f>
        <v/>
      </c>
      <c r="K376" s="8">
        <f>IF(COUNTA(A376:F376)=0,"",IF(OR(LEN(A376)&lt;&gt;7,MID(A376,5,1)&lt;&gt;"-",ISERROR(--LEFT(A376,4)),ISERROR(--RIGHT(A376,2))),"ERROR: PERIODO debe ser AAAA-MM",IF(B376="","ERROR: falta CODIGO CECO",IF(G376="CECO NO EXISTE","ERROR: CECO no existe en el catálogo",IF(C376="","ERROR: falta CUENTA",IF(ISERROR(--C376),"ERROR: CUENTA debe tener solo dígitos",IF(ISERROR(FIND(LEFT(C376,1),"567")),"ERROR: CUENTA fuera de las clases de costo",IF(NOT(ISNUMBER(E376)),"ERROR: VALOR debe ser numérico",IF(E376=0,"AVISO: valor cero (no se carga)",IF(J376&lt;&gt;"ACTIVO","NO SE CARGA: CECO en estado "&amp;J376,"OK"))))))))))</f>
        <v/>
      </c>
    </row>
    <row r="377">
      <c r="A377" s="5" t="n"/>
      <c r="B377" s="6" t="n"/>
      <c r="C377" s="5" t="n"/>
      <c r="D377" s="6" t="n"/>
      <c r="E377" s="7" t="n"/>
      <c r="F377" s="6" t="n"/>
      <c r="G377" s="8">
        <f>IF(B377="","",IFERROR(VLOOKUP(--B377,'CATALOGO CECO'!$A$2:$H$550,2,FALSE),"CECO NO EXISTE"))</f>
        <v/>
      </c>
      <c r="H377" s="8">
        <f>IF(B377="","",IFERROR(VLOOKUP(--B377,'CATALOGO CECO'!$A$2:$H$550,3,FALSE),""))</f>
        <v/>
      </c>
      <c r="I377" s="8">
        <f>IF(B377="","",IFERROR(VLOOKUP(--B377,'CATALOGO CECO'!$A$2:$H$550,5,FALSE),""))</f>
        <v/>
      </c>
      <c r="J377" s="8">
        <f>IF(B377="","",IFERROR(VLOOKUP(--B377,'CATALOGO CECO'!$A$2:$H$550,8,FALSE),""))</f>
        <v/>
      </c>
      <c r="K377" s="8">
        <f>IF(COUNTA(A377:F377)=0,"",IF(OR(LEN(A377)&lt;&gt;7,MID(A377,5,1)&lt;&gt;"-",ISERROR(--LEFT(A377,4)),ISERROR(--RIGHT(A377,2))),"ERROR: PERIODO debe ser AAAA-MM",IF(B377="","ERROR: falta CODIGO CECO",IF(G377="CECO NO EXISTE","ERROR: CECO no existe en el catálogo",IF(C377="","ERROR: falta CUENTA",IF(ISERROR(--C377),"ERROR: CUENTA debe tener solo dígitos",IF(ISERROR(FIND(LEFT(C377,1),"567")),"ERROR: CUENTA fuera de las clases de costo",IF(NOT(ISNUMBER(E377)),"ERROR: VALOR debe ser numérico",IF(E377=0,"AVISO: valor cero (no se carga)",IF(J377&lt;&gt;"ACTIVO","NO SE CARGA: CECO en estado "&amp;J377,"OK"))))))))))</f>
        <v/>
      </c>
    </row>
    <row r="378">
      <c r="A378" s="5" t="n"/>
      <c r="B378" s="6" t="n"/>
      <c r="C378" s="5" t="n"/>
      <c r="D378" s="6" t="n"/>
      <c r="E378" s="7" t="n"/>
      <c r="F378" s="6" t="n"/>
      <c r="G378" s="8">
        <f>IF(B378="","",IFERROR(VLOOKUP(--B378,'CATALOGO CECO'!$A$2:$H$550,2,FALSE),"CECO NO EXISTE"))</f>
        <v/>
      </c>
      <c r="H378" s="8">
        <f>IF(B378="","",IFERROR(VLOOKUP(--B378,'CATALOGO CECO'!$A$2:$H$550,3,FALSE),""))</f>
        <v/>
      </c>
      <c r="I378" s="8">
        <f>IF(B378="","",IFERROR(VLOOKUP(--B378,'CATALOGO CECO'!$A$2:$H$550,5,FALSE),""))</f>
        <v/>
      </c>
      <c r="J378" s="8">
        <f>IF(B378="","",IFERROR(VLOOKUP(--B378,'CATALOGO CECO'!$A$2:$H$550,8,FALSE),""))</f>
        <v/>
      </c>
      <c r="K378" s="8">
        <f>IF(COUNTA(A378:F378)=0,"",IF(OR(LEN(A378)&lt;&gt;7,MID(A378,5,1)&lt;&gt;"-",ISERROR(--LEFT(A378,4)),ISERROR(--RIGHT(A378,2))),"ERROR: PERIODO debe ser AAAA-MM",IF(B378="","ERROR: falta CODIGO CECO",IF(G378="CECO NO EXISTE","ERROR: CECO no existe en el catálogo",IF(C378="","ERROR: falta CUENTA",IF(ISERROR(--C378),"ERROR: CUENTA debe tener solo dígitos",IF(ISERROR(FIND(LEFT(C378,1),"567")),"ERROR: CUENTA fuera de las clases de costo",IF(NOT(ISNUMBER(E378)),"ERROR: VALOR debe ser numérico",IF(E378=0,"AVISO: valor cero (no se carga)",IF(J378&lt;&gt;"ACTIVO","NO SE CARGA: CECO en estado "&amp;J378,"OK"))))))))))</f>
        <v/>
      </c>
    </row>
    <row r="379">
      <c r="A379" s="5" t="n"/>
      <c r="B379" s="6" t="n"/>
      <c r="C379" s="5" t="n"/>
      <c r="D379" s="6" t="n"/>
      <c r="E379" s="7" t="n"/>
      <c r="F379" s="6" t="n"/>
      <c r="G379" s="8">
        <f>IF(B379="","",IFERROR(VLOOKUP(--B379,'CATALOGO CECO'!$A$2:$H$550,2,FALSE),"CECO NO EXISTE"))</f>
        <v/>
      </c>
      <c r="H379" s="8">
        <f>IF(B379="","",IFERROR(VLOOKUP(--B379,'CATALOGO CECO'!$A$2:$H$550,3,FALSE),""))</f>
        <v/>
      </c>
      <c r="I379" s="8">
        <f>IF(B379="","",IFERROR(VLOOKUP(--B379,'CATALOGO CECO'!$A$2:$H$550,5,FALSE),""))</f>
        <v/>
      </c>
      <c r="J379" s="8">
        <f>IF(B379="","",IFERROR(VLOOKUP(--B379,'CATALOGO CECO'!$A$2:$H$550,8,FALSE),""))</f>
        <v/>
      </c>
      <c r="K379" s="8">
        <f>IF(COUNTA(A379:F379)=0,"",IF(OR(LEN(A379)&lt;&gt;7,MID(A379,5,1)&lt;&gt;"-",ISERROR(--LEFT(A379,4)),ISERROR(--RIGHT(A379,2))),"ERROR: PERIODO debe ser AAAA-MM",IF(B379="","ERROR: falta CODIGO CECO",IF(G379="CECO NO EXISTE","ERROR: CECO no existe en el catálogo",IF(C379="","ERROR: falta CUENTA",IF(ISERROR(--C379),"ERROR: CUENTA debe tener solo dígitos",IF(ISERROR(FIND(LEFT(C379,1),"567")),"ERROR: CUENTA fuera de las clases de costo",IF(NOT(ISNUMBER(E379)),"ERROR: VALOR debe ser numérico",IF(E379=0,"AVISO: valor cero (no se carga)",IF(J379&lt;&gt;"ACTIVO","NO SE CARGA: CECO en estado "&amp;J379,"OK"))))))))))</f>
        <v/>
      </c>
    </row>
    <row r="380">
      <c r="A380" s="5" t="n"/>
      <c r="B380" s="6" t="n"/>
      <c r="C380" s="5" t="n"/>
      <c r="D380" s="6" t="n"/>
      <c r="E380" s="7" t="n"/>
      <c r="F380" s="6" t="n"/>
      <c r="G380" s="8">
        <f>IF(B380="","",IFERROR(VLOOKUP(--B380,'CATALOGO CECO'!$A$2:$H$550,2,FALSE),"CECO NO EXISTE"))</f>
        <v/>
      </c>
      <c r="H380" s="8">
        <f>IF(B380="","",IFERROR(VLOOKUP(--B380,'CATALOGO CECO'!$A$2:$H$550,3,FALSE),""))</f>
        <v/>
      </c>
      <c r="I380" s="8">
        <f>IF(B380="","",IFERROR(VLOOKUP(--B380,'CATALOGO CECO'!$A$2:$H$550,5,FALSE),""))</f>
        <v/>
      </c>
      <c r="J380" s="8">
        <f>IF(B380="","",IFERROR(VLOOKUP(--B380,'CATALOGO CECO'!$A$2:$H$550,8,FALSE),""))</f>
        <v/>
      </c>
      <c r="K380" s="8">
        <f>IF(COUNTA(A380:F380)=0,"",IF(OR(LEN(A380)&lt;&gt;7,MID(A380,5,1)&lt;&gt;"-",ISERROR(--LEFT(A380,4)),ISERROR(--RIGHT(A380,2))),"ERROR: PERIODO debe ser AAAA-MM",IF(B380="","ERROR: falta CODIGO CECO",IF(G380="CECO NO EXISTE","ERROR: CECO no existe en el catálogo",IF(C380="","ERROR: falta CUENTA",IF(ISERROR(--C380),"ERROR: CUENTA debe tener solo dígitos",IF(ISERROR(FIND(LEFT(C380,1),"567")),"ERROR: CUENTA fuera de las clases de costo",IF(NOT(ISNUMBER(E380)),"ERROR: VALOR debe ser numérico",IF(E380=0,"AVISO: valor cero (no se carga)",IF(J380&lt;&gt;"ACTIVO","NO SE CARGA: CECO en estado "&amp;J380,"OK"))))))))))</f>
        <v/>
      </c>
    </row>
    <row r="381">
      <c r="A381" s="5" t="n"/>
      <c r="B381" s="6" t="n"/>
      <c r="C381" s="5" t="n"/>
      <c r="D381" s="6" t="n"/>
      <c r="E381" s="7" t="n"/>
      <c r="F381" s="6" t="n"/>
      <c r="G381" s="8">
        <f>IF(B381="","",IFERROR(VLOOKUP(--B381,'CATALOGO CECO'!$A$2:$H$550,2,FALSE),"CECO NO EXISTE"))</f>
        <v/>
      </c>
      <c r="H381" s="8">
        <f>IF(B381="","",IFERROR(VLOOKUP(--B381,'CATALOGO CECO'!$A$2:$H$550,3,FALSE),""))</f>
        <v/>
      </c>
      <c r="I381" s="8">
        <f>IF(B381="","",IFERROR(VLOOKUP(--B381,'CATALOGO CECO'!$A$2:$H$550,5,FALSE),""))</f>
        <v/>
      </c>
      <c r="J381" s="8">
        <f>IF(B381="","",IFERROR(VLOOKUP(--B381,'CATALOGO CECO'!$A$2:$H$550,8,FALSE),""))</f>
        <v/>
      </c>
      <c r="K381" s="8">
        <f>IF(COUNTA(A381:F381)=0,"",IF(OR(LEN(A381)&lt;&gt;7,MID(A381,5,1)&lt;&gt;"-",ISERROR(--LEFT(A381,4)),ISERROR(--RIGHT(A381,2))),"ERROR: PERIODO debe ser AAAA-MM",IF(B381="","ERROR: falta CODIGO CECO",IF(G381="CECO NO EXISTE","ERROR: CECO no existe en el catálogo",IF(C381="","ERROR: falta CUENTA",IF(ISERROR(--C381),"ERROR: CUENTA debe tener solo dígitos",IF(ISERROR(FIND(LEFT(C381,1),"567")),"ERROR: CUENTA fuera de las clases de costo",IF(NOT(ISNUMBER(E381)),"ERROR: VALOR debe ser numérico",IF(E381=0,"AVISO: valor cero (no se carga)",IF(J381&lt;&gt;"ACTIVO","NO SE CARGA: CECO en estado "&amp;J381,"OK"))))))))))</f>
        <v/>
      </c>
    </row>
    <row r="382">
      <c r="A382" s="5" t="n"/>
      <c r="B382" s="6" t="n"/>
      <c r="C382" s="5" t="n"/>
      <c r="D382" s="6" t="n"/>
      <c r="E382" s="7" t="n"/>
      <c r="F382" s="6" t="n"/>
      <c r="G382" s="8">
        <f>IF(B382="","",IFERROR(VLOOKUP(--B382,'CATALOGO CECO'!$A$2:$H$550,2,FALSE),"CECO NO EXISTE"))</f>
        <v/>
      </c>
      <c r="H382" s="8">
        <f>IF(B382="","",IFERROR(VLOOKUP(--B382,'CATALOGO CECO'!$A$2:$H$550,3,FALSE),""))</f>
        <v/>
      </c>
      <c r="I382" s="8">
        <f>IF(B382="","",IFERROR(VLOOKUP(--B382,'CATALOGO CECO'!$A$2:$H$550,5,FALSE),""))</f>
        <v/>
      </c>
      <c r="J382" s="8">
        <f>IF(B382="","",IFERROR(VLOOKUP(--B382,'CATALOGO CECO'!$A$2:$H$550,8,FALSE),""))</f>
        <v/>
      </c>
      <c r="K382" s="8">
        <f>IF(COUNTA(A382:F382)=0,"",IF(OR(LEN(A382)&lt;&gt;7,MID(A382,5,1)&lt;&gt;"-",ISERROR(--LEFT(A382,4)),ISERROR(--RIGHT(A382,2))),"ERROR: PERIODO debe ser AAAA-MM",IF(B382="","ERROR: falta CODIGO CECO",IF(G382="CECO NO EXISTE","ERROR: CECO no existe en el catálogo",IF(C382="","ERROR: falta CUENTA",IF(ISERROR(--C382),"ERROR: CUENTA debe tener solo dígitos",IF(ISERROR(FIND(LEFT(C382,1),"567")),"ERROR: CUENTA fuera de las clases de costo",IF(NOT(ISNUMBER(E382)),"ERROR: VALOR debe ser numérico",IF(E382=0,"AVISO: valor cero (no se carga)",IF(J382&lt;&gt;"ACTIVO","NO SE CARGA: CECO en estado "&amp;J382,"OK"))))))))))</f>
        <v/>
      </c>
    </row>
    <row r="383">
      <c r="A383" s="5" t="n"/>
      <c r="B383" s="6" t="n"/>
      <c r="C383" s="5" t="n"/>
      <c r="D383" s="6" t="n"/>
      <c r="E383" s="7" t="n"/>
      <c r="F383" s="6" t="n"/>
      <c r="G383" s="8">
        <f>IF(B383="","",IFERROR(VLOOKUP(--B383,'CATALOGO CECO'!$A$2:$H$550,2,FALSE),"CECO NO EXISTE"))</f>
        <v/>
      </c>
      <c r="H383" s="8">
        <f>IF(B383="","",IFERROR(VLOOKUP(--B383,'CATALOGO CECO'!$A$2:$H$550,3,FALSE),""))</f>
        <v/>
      </c>
      <c r="I383" s="8">
        <f>IF(B383="","",IFERROR(VLOOKUP(--B383,'CATALOGO CECO'!$A$2:$H$550,5,FALSE),""))</f>
        <v/>
      </c>
      <c r="J383" s="8">
        <f>IF(B383="","",IFERROR(VLOOKUP(--B383,'CATALOGO CECO'!$A$2:$H$550,8,FALSE),""))</f>
        <v/>
      </c>
      <c r="K383" s="8">
        <f>IF(COUNTA(A383:F383)=0,"",IF(OR(LEN(A383)&lt;&gt;7,MID(A383,5,1)&lt;&gt;"-",ISERROR(--LEFT(A383,4)),ISERROR(--RIGHT(A383,2))),"ERROR: PERIODO debe ser AAAA-MM",IF(B383="","ERROR: falta CODIGO CECO",IF(G383="CECO NO EXISTE","ERROR: CECO no existe en el catálogo",IF(C383="","ERROR: falta CUENTA",IF(ISERROR(--C383),"ERROR: CUENTA debe tener solo dígitos",IF(ISERROR(FIND(LEFT(C383,1),"567")),"ERROR: CUENTA fuera de las clases de costo",IF(NOT(ISNUMBER(E383)),"ERROR: VALOR debe ser numérico",IF(E383=0,"AVISO: valor cero (no se carga)",IF(J383&lt;&gt;"ACTIVO","NO SE CARGA: CECO en estado "&amp;J383,"OK"))))))))))</f>
        <v/>
      </c>
    </row>
    <row r="384">
      <c r="A384" s="5" t="n"/>
      <c r="B384" s="6" t="n"/>
      <c r="C384" s="5" t="n"/>
      <c r="D384" s="6" t="n"/>
      <c r="E384" s="7" t="n"/>
      <c r="F384" s="6" t="n"/>
      <c r="G384" s="8">
        <f>IF(B384="","",IFERROR(VLOOKUP(--B384,'CATALOGO CECO'!$A$2:$H$550,2,FALSE),"CECO NO EXISTE"))</f>
        <v/>
      </c>
      <c r="H384" s="8">
        <f>IF(B384="","",IFERROR(VLOOKUP(--B384,'CATALOGO CECO'!$A$2:$H$550,3,FALSE),""))</f>
        <v/>
      </c>
      <c r="I384" s="8">
        <f>IF(B384="","",IFERROR(VLOOKUP(--B384,'CATALOGO CECO'!$A$2:$H$550,5,FALSE),""))</f>
        <v/>
      </c>
      <c r="J384" s="8">
        <f>IF(B384="","",IFERROR(VLOOKUP(--B384,'CATALOGO CECO'!$A$2:$H$550,8,FALSE),""))</f>
        <v/>
      </c>
      <c r="K384" s="8">
        <f>IF(COUNTA(A384:F384)=0,"",IF(OR(LEN(A384)&lt;&gt;7,MID(A384,5,1)&lt;&gt;"-",ISERROR(--LEFT(A384,4)),ISERROR(--RIGHT(A384,2))),"ERROR: PERIODO debe ser AAAA-MM",IF(B384="","ERROR: falta CODIGO CECO",IF(G384="CECO NO EXISTE","ERROR: CECO no existe en el catálogo",IF(C384="","ERROR: falta CUENTA",IF(ISERROR(--C384),"ERROR: CUENTA debe tener solo dígitos",IF(ISERROR(FIND(LEFT(C384,1),"567")),"ERROR: CUENTA fuera de las clases de costo",IF(NOT(ISNUMBER(E384)),"ERROR: VALOR debe ser numérico",IF(E384=0,"AVISO: valor cero (no se carga)",IF(J384&lt;&gt;"ACTIVO","NO SE CARGA: CECO en estado "&amp;J384,"OK"))))))))))</f>
        <v/>
      </c>
    </row>
    <row r="385">
      <c r="A385" s="5" t="n"/>
      <c r="B385" s="6" t="n"/>
      <c r="C385" s="5" t="n"/>
      <c r="D385" s="6" t="n"/>
      <c r="E385" s="7" t="n"/>
      <c r="F385" s="6" t="n"/>
      <c r="G385" s="8">
        <f>IF(B385="","",IFERROR(VLOOKUP(--B385,'CATALOGO CECO'!$A$2:$H$550,2,FALSE),"CECO NO EXISTE"))</f>
        <v/>
      </c>
      <c r="H385" s="8">
        <f>IF(B385="","",IFERROR(VLOOKUP(--B385,'CATALOGO CECO'!$A$2:$H$550,3,FALSE),""))</f>
        <v/>
      </c>
      <c r="I385" s="8">
        <f>IF(B385="","",IFERROR(VLOOKUP(--B385,'CATALOGO CECO'!$A$2:$H$550,5,FALSE),""))</f>
        <v/>
      </c>
      <c r="J385" s="8">
        <f>IF(B385="","",IFERROR(VLOOKUP(--B385,'CATALOGO CECO'!$A$2:$H$550,8,FALSE),""))</f>
        <v/>
      </c>
      <c r="K385" s="8">
        <f>IF(COUNTA(A385:F385)=0,"",IF(OR(LEN(A385)&lt;&gt;7,MID(A385,5,1)&lt;&gt;"-",ISERROR(--LEFT(A385,4)),ISERROR(--RIGHT(A385,2))),"ERROR: PERIODO debe ser AAAA-MM",IF(B385="","ERROR: falta CODIGO CECO",IF(G385="CECO NO EXISTE","ERROR: CECO no existe en el catálogo",IF(C385="","ERROR: falta CUENTA",IF(ISERROR(--C385),"ERROR: CUENTA debe tener solo dígitos",IF(ISERROR(FIND(LEFT(C385,1),"567")),"ERROR: CUENTA fuera de las clases de costo",IF(NOT(ISNUMBER(E385)),"ERROR: VALOR debe ser numérico",IF(E385=0,"AVISO: valor cero (no se carga)",IF(J385&lt;&gt;"ACTIVO","NO SE CARGA: CECO en estado "&amp;J385,"OK"))))))))))</f>
        <v/>
      </c>
    </row>
    <row r="386">
      <c r="A386" s="5" t="n"/>
      <c r="B386" s="6" t="n"/>
      <c r="C386" s="5" t="n"/>
      <c r="D386" s="6" t="n"/>
      <c r="E386" s="7" t="n"/>
      <c r="F386" s="6" t="n"/>
      <c r="G386" s="8">
        <f>IF(B386="","",IFERROR(VLOOKUP(--B386,'CATALOGO CECO'!$A$2:$H$550,2,FALSE),"CECO NO EXISTE"))</f>
        <v/>
      </c>
      <c r="H386" s="8">
        <f>IF(B386="","",IFERROR(VLOOKUP(--B386,'CATALOGO CECO'!$A$2:$H$550,3,FALSE),""))</f>
        <v/>
      </c>
      <c r="I386" s="8">
        <f>IF(B386="","",IFERROR(VLOOKUP(--B386,'CATALOGO CECO'!$A$2:$H$550,5,FALSE),""))</f>
        <v/>
      </c>
      <c r="J386" s="8">
        <f>IF(B386="","",IFERROR(VLOOKUP(--B386,'CATALOGO CECO'!$A$2:$H$550,8,FALSE),""))</f>
        <v/>
      </c>
      <c r="K386" s="8">
        <f>IF(COUNTA(A386:F386)=0,"",IF(OR(LEN(A386)&lt;&gt;7,MID(A386,5,1)&lt;&gt;"-",ISERROR(--LEFT(A386,4)),ISERROR(--RIGHT(A386,2))),"ERROR: PERIODO debe ser AAAA-MM",IF(B386="","ERROR: falta CODIGO CECO",IF(G386="CECO NO EXISTE","ERROR: CECO no existe en el catálogo",IF(C386="","ERROR: falta CUENTA",IF(ISERROR(--C386),"ERROR: CUENTA debe tener solo dígitos",IF(ISERROR(FIND(LEFT(C386,1),"567")),"ERROR: CUENTA fuera de las clases de costo",IF(NOT(ISNUMBER(E386)),"ERROR: VALOR debe ser numérico",IF(E386=0,"AVISO: valor cero (no se carga)",IF(J386&lt;&gt;"ACTIVO","NO SE CARGA: CECO en estado "&amp;J386,"OK"))))))))))</f>
        <v/>
      </c>
    </row>
    <row r="387">
      <c r="A387" s="5" t="n"/>
      <c r="B387" s="6" t="n"/>
      <c r="C387" s="5" t="n"/>
      <c r="D387" s="6" t="n"/>
      <c r="E387" s="7" t="n"/>
      <c r="F387" s="6" t="n"/>
      <c r="G387" s="8">
        <f>IF(B387="","",IFERROR(VLOOKUP(--B387,'CATALOGO CECO'!$A$2:$H$550,2,FALSE),"CECO NO EXISTE"))</f>
        <v/>
      </c>
      <c r="H387" s="8">
        <f>IF(B387="","",IFERROR(VLOOKUP(--B387,'CATALOGO CECO'!$A$2:$H$550,3,FALSE),""))</f>
        <v/>
      </c>
      <c r="I387" s="8">
        <f>IF(B387="","",IFERROR(VLOOKUP(--B387,'CATALOGO CECO'!$A$2:$H$550,5,FALSE),""))</f>
        <v/>
      </c>
      <c r="J387" s="8">
        <f>IF(B387="","",IFERROR(VLOOKUP(--B387,'CATALOGO CECO'!$A$2:$H$550,8,FALSE),""))</f>
        <v/>
      </c>
      <c r="K387" s="8">
        <f>IF(COUNTA(A387:F387)=0,"",IF(OR(LEN(A387)&lt;&gt;7,MID(A387,5,1)&lt;&gt;"-",ISERROR(--LEFT(A387,4)),ISERROR(--RIGHT(A387,2))),"ERROR: PERIODO debe ser AAAA-MM",IF(B387="","ERROR: falta CODIGO CECO",IF(G387="CECO NO EXISTE","ERROR: CECO no existe en el catálogo",IF(C387="","ERROR: falta CUENTA",IF(ISERROR(--C387),"ERROR: CUENTA debe tener solo dígitos",IF(ISERROR(FIND(LEFT(C387,1),"567")),"ERROR: CUENTA fuera de las clases de costo",IF(NOT(ISNUMBER(E387)),"ERROR: VALOR debe ser numérico",IF(E387=0,"AVISO: valor cero (no se carga)",IF(J387&lt;&gt;"ACTIVO","NO SE CARGA: CECO en estado "&amp;J387,"OK"))))))))))</f>
        <v/>
      </c>
    </row>
    <row r="388">
      <c r="A388" s="5" t="n"/>
      <c r="B388" s="6" t="n"/>
      <c r="C388" s="5" t="n"/>
      <c r="D388" s="6" t="n"/>
      <c r="E388" s="7" t="n"/>
      <c r="F388" s="6" t="n"/>
      <c r="G388" s="8">
        <f>IF(B388="","",IFERROR(VLOOKUP(--B388,'CATALOGO CECO'!$A$2:$H$550,2,FALSE),"CECO NO EXISTE"))</f>
        <v/>
      </c>
      <c r="H388" s="8">
        <f>IF(B388="","",IFERROR(VLOOKUP(--B388,'CATALOGO CECO'!$A$2:$H$550,3,FALSE),""))</f>
        <v/>
      </c>
      <c r="I388" s="8">
        <f>IF(B388="","",IFERROR(VLOOKUP(--B388,'CATALOGO CECO'!$A$2:$H$550,5,FALSE),""))</f>
        <v/>
      </c>
      <c r="J388" s="8">
        <f>IF(B388="","",IFERROR(VLOOKUP(--B388,'CATALOGO CECO'!$A$2:$H$550,8,FALSE),""))</f>
        <v/>
      </c>
      <c r="K388" s="8">
        <f>IF(COUNTA(A388:F388)=0,"",IF(OR(LEN(A388)&lt;&gt;7,MID(A388,5,1)&lt;&gt;"-",ISERROR(--LEFT(A388,4)),ISERROR(--RIGHT(A388,2))),"ERROR: PERIODO debe ser AAAA-MM",IF(B388="","ERROR: falta CODIGO CECO",IF(G388="CECO NO EXISTE","ERROR: CECO no existe en el catálogo",IF(C388="","ERROR: falta CUENTA",IF(ISERROR(--C388),"ERROR: CUENTA debe tener solo dígitos",IF(ISERROR(FIND(LEFT(C388,1),"567")),"ERROR: CUENTA fuera de las clases de costo",IF(NOT(ISNUMBER(E388)),"ERROR: VALOR debe ser numérico",IF(E388=0,"AVISO: valor cero (no se carga)",IF(J388&lt;&gt;"ACTIVO","NO SE CARGA: CECO en estado "&amp;J388,"OK"))))))))))</f>
        <v/>
      </c>
    </row>
    <row r="389">
      <c r="A389" s="5" t="n"/>
      <c r="B389" s="6" t="n"/>
      <c r="C389" s="5" t="n"/>
      <c r="D389" s="6" t="n"/>
      <c r="E389" s="7" t="n"/>
      <c r="F389" s="6" t="n"/>
      <c r="G389" s="8">
        <f>IF(B389="","",IFERROR(VLOOKUP(--B389,'CATALOGO CECO'!$A$2:$H$550,2,FALSE),"CECO NO EXISTE"))</f>
        <v/>
      </c>
      <c r="H389" s="8">
        <f>IF(B389="","",IFERROR(VLOOKUP(--B389,'CATALOGO CECO'!$A$2:$H$550,3,FALSE),""))</f>
        <v/>
      </c>
      <c r="I389" s="8">
        <f>IF(B389="","",IFERROR(VLOOKUP(--B389,'CATALOGO CECO'!$A$2:$H$550,5,FALSE),""))</f>
        <v/>
      </c>
      <c r="J389" s="8">
        <f>IF(B389="","",IFERROR(VLOOKUP(--B389,'CATALOGO CECO'!$A$2:$H$550,8,FALSE),""))</f>
        <v/>
      </c>
      <c r="K389" s="8">
        <f>IF(COUNTA(A389:F389)=0,"",IF(OR(LEN(A389)&lt;&gt;7,MID(A389,5,1)&lt;&gt;"-",ISERROR(--LEFT(A389,4)),ISERROR(--RIGHT(A389,2))),"ERROR: PERIODO debe ser AAAA-MM",IF(B389="","ERROR: falta CODIGO CECO",IF(G389="CECO NO EXISTE","ERROR: CECO no existe en el catálogo",IF(C389="","ERROR: falta CUENTA",IF(ISERROR(--C389),"ERROR: CUENTA debe tener solo dígitos",IF(ISERROR(FIND(LEFT(C389,1),"567")),"ERROR: CUENTA fuera de las clases de costo",IF(NOT(ISNUMBER(E389)),"ERROR: VALOR debe ser numérico",IF(E389=0,"AVISO: valor cero (no se carga)",IF(J389&lt;&gt;"ACTIVO","NO SE CARGA: CECO en estado "&amp;J389,"OK"))))))))))</f>
        <v/>
      </c>
    </row>
    <row r="390">
      <c r="A390" s="5" t="n"/>
      <c r="B390" s="6" t="n"/>
      <c r="C390" s="5" t="n"/>
      <c r="D390" s="6" t="n"/>
      <c r="E390" s="7" t="n"/>
      <c r="F390" s="6" t="n"/>
      <c r="G390" s="8">
        <f>IF(B390="","",IFERROR(VLOOKUP(--B390,'CATALOGO CECO'!$A$2:$H$550,2,FALSE),"CECO NO EXISTE"))</f>
        <v/>
      </c>
      <c r="H390" s="8">
        <f>IF(B390="","",IFERROR(VLOOKUP(--B390,'CATALOGO CECO'!$A$2:$H$550,3,FALSE),""))</f>
        <v/>
      </c>
      <c r="I390" s="8">
        <f>IF(B390="","",IFERROR(VLOOKUP(--B390,'CATALOGO CECO'!$A$2:$H$550,5,FALSE),""))</f>
        <v/>
      </c>
      <c r="J390" s="8">
        <f>IF(B390="","",IFERROR(VLOOKUP(--B390,'CATALOGO CECO'!$A$2:$H$550,8,FALSE),""))</f>
        <v/>
      </c>
      <c r="K390" s="8">
        <f>IF(COUNTA(A390:F390)=0,"",IF(OR(LEN(A390)&lt;&gt;7,MID(A390,5,1)&lt;&gt;"-",ISERROR(--LEFT(A390,4)),ISERROR(--RIGHT(A390,2))),"ERROR: PERIODO debe ser AAAA-MM",IF(B390="","ERROR: falta CODIGO CECO",IF(G390="CECO NO EXISTE","ERROR: CECO no existe en el catálogo",IF(C390="","ERROR: falta CUENTA",IF(ISERROR(--C390),"ERROR: CUENTA debe tener solo dígitos",IF(ISERROR(FIND(LEFT(C390,1),"567")),"ERROR: CUENTA fuera de las clases de costo",IF(NOT(ISNUMBER(E390)),"ERROR: VALOR debe ser numérico",IF(E390=0,"AVISO: valor cero (no se carga)",IF(J390&lt;&gt;"ACTIVO","NO SE CARGA: CECO en estado "&amp;J390,"OK"))))))))))</f>
        <v/>
      </c>
    </row>
    <row r="391">
      <c r="A391" s="5" t="n"/>
      <c r="B391" s="6" t="n"/>
      <c r="C391" s="5" t="n"/>
      <c r="D391" s="6" t="n"/>
      <c r="E391" s="7" t="n"/>
      <c r="F391" s="6" t="n"/>
      <c r="G391" s="8">
        <f>IF(B391="","",IFERROR(VLOOKUP(--B391,'CATALOGO CECO'!$A$2:$H$550,2,FALSE),"CECO NO EXISTE"))</f>
        <v/>
      </c>
      <c r="H391" s="8">
        <f>IF(B391="","",IFERROR(VLOOKUP(--B391,'CATALOGO CECO'!$A$2:$H$550,3,FALSE),""))</f>
        <v/>
      </c>
      <c r="I391" s="8">
        <f>IF(B391="","",IFERROR(VLOOKUP(--B391,'CATALOGO CECO'!$A$2:$H$550,5,FALSE),""))</f>
        <v/>
      </c>
      <c r="J391" s="8">
        <f>IF(B391="","",IFERROR(VLOOKUP(--B391,'CATALOGO CECO'!$A$2:$H$550,8,FALSE),""))</f>
        <v/>
      </c>
      <c r="K391" s="8">
        <f>IF(COUNTA(A391:F391)=0,"",IF(OR(LEN(A391)&lt;&gt;7,MID(A391,5,1)&lt;&gt;"-",ISERROR(--LEFT(A391,4)),ISERROR(--RIGHT(A391,2))),"ERROR: PERIODO debe ser AAAA-MM",IF(B391="","ERROR: falta CODIGO CECO",IF(G391="CECO NO EXISTE","ERROR: CECO no existe en el catálogo",IF(C391="","ERROR: falta CUENTA",IF(ISERROR(--C391),"ERROR: CUENTA debe tener solo dígitos",IF(ISERROR(FIND(LEFT(C391,1),"567")),"ERROR: CUENTA fuera de las clases de costo",IF(NOT(ISNUMBER(E391)),"ERROR: VALOR debe ser numérico",IF(E391=0,"AVISO: valor cero (no se carga)",IF(J391&lt;&gt;"ACTIVO","NO SE CARGA: CECO en estado "&amp;J391,"OK"))))))))))</f>
        <v/>
      </c>
    </row>
    <row r="392">
      <c r="A392" s="5" t="n"/>
      <c r="B392" s="6" t="n"/>
      <c r="C392" s="5" t="n"/>
      <c r="D392" s="6" t="n"/>
      <c r="E392" s="7" t="n"/>
      <c r="F392" s="6" t="n"/>
      <c r="G392" s="8">
        <f>IF(B392="","",IFERROR(VLOOKUP(--B392,'CATALOGO CECO'!$A$2:$H$550,2,FALSE),"CECO NO EXISTE"))</f>
        <v/>
      </c>
      <c r="H392" s="8">
        <f>IF(B392="","",IFERROR(VLOOKUP(--B392,'CATALOGO CECO'!$A$2:$H$550,3,FALSE),""))</f>
        <v/>
      </c>
      <c r="I392" s="8">
        <f>IF(B392="","",IFERROR(VLOOKUP(--B392,'CATALOGO CECO'!$A$2:$H$550,5,FALSE),""))</f>
        <v/>
      </c>
      <c r="J392" s="8">
        <f>IF(B392="","",IFERROR(VLOOKUP(--B392,'CATALOGO CECO'!$A$2:$H$550,8,FALSE),""))</f>
        <v/>
      </c>
      <c r="K392" s="8">
        <f>IF(COUNTA(A392:F392)=0,"",IF(OR(LEN(A392)&lt;&gt;7,MID(A392,5,1)&lt;&gt;"-",ISERROR(--LEFT(A392,4)),ISERROR(--RIGHT(A392,2))),"ERROR: PERIODO debe ser AAAA-MM",IF(B392="","ERROR: falta CODIGO CECO",IF(G392="CECO NO EXISTE","ERROR: CECO no existe en el catálogo",IF(C392="","ERROR: falta CUENTA",IF(ISERROR(--C392),"ERROR: CUENTA debe tener solo dígitos",IF(ISERROR(FIND(LEFT(C392,1),"567")),"ERROR: CUENTA fuera de las clases de costo",IF(NOT(ISNUMBER(E392)),"ERROR: VALOR debe ser numérico",IF(E392=0,"AVISO: valor cero (no se carga)",IF(J392&lt;&gt;"ACTIVO","NO SE CARGA: CECO en estado "&amp;J392,"OK"))))))))))</f>
        <v/>
      </c>
    </row>
    <row r="393">
      <c r="A393" s="5" t="n"/>
      <c r="B393" s="6" t="n"/>
      <c r="C393" s="5" t="n"/>
      <c r="D393" s="6" t="n"/>
      <c r="E393" s="7" t="n"/>
      <c r="F393" s="6" t="n"/>
      <c r="G393" s="8">
        <f>IF(B393="","",IFERROR(VLOOKUP(--B393,'CATALOGO CECO'!$A$2:$H$550,2,FALSE),"CECO NO EXISTE"))</f>
        <v/>
      </c>
      <c r="H393" s="8">
        <f>IF(B393="","",IFERROR(VLOOKUP(--B393,'CATALOGO CECO'!$A$2:$H$550,3,FALSE),""))</f>
        <v/>
      </c>
      <c r="I393" s="8">
        <f>IF(B393="","",IFERROR(VLOOKUP(--B393,'CATALOGO CECO'!$A$2:$H$550,5,FALSE),""))</f>
        <v/>
      </c>
      <c r="J393" s="8">
        <f>IF(B393="","",IFERROR(VLOOKUP(--B393,'CATALOGO CECO'!$A$2:$H$550,8,FALSE),""))</f>
        <v/>
      </c>
      <c r="K393" s="8">
        <f>IF(COUNTA(A393:F393)=0,"",IF(OR(LEN(A393)&lt;&gt;7,MID(A393,5,1)&lt;&gt;"-",ISERROR(--LEFT(A393,4)),ISERROR(--RIGHT(A393,2))),"ERROR: PERIODO debe ser AAAA-MM",IF(B393="","ERROR: falta CODIGO CECO",IF(G393="CECO NO EXISTE","ERROR: CECO no existe en el catálogo",IF(C393="","ERROR: falta CUENTA",IF(ISERROR(--C393),"ERROR: CUENTA debe tener solo dígitos",IF(ISERROR(FIND(LEFT(C393,1),"567")),"ERROR: CUENTA fuera de las clases de costo",IF(NOT(ISNUMBER(E393)),"ERROR: VALOR debe ser numérico",IF(E393=0,"AVISO: valor cero (no se carga)",IF(J393&lt;&gt;"ACTIVO","NO SE CARGA: CECO en estado "&amp;J393,"OK"))))))))))</f>
        <v/>
      </c>
    </row>
    <row r="394">
      <c r="A394" s="5" t="n"/>
      <c r="B394" s="6" t="n"/>
      <c r="C394" s="5" t="n"/>
      <c r="D394" s="6" t="n"/>
      <c r="E394" s="7" t="n"/>
      <c r="F394" s="6" t="n"/>
      <c r="G394" s="8">
        <f>IF(B394="","",IFERROR(VLOOKUP(--B394,'CATALOGO CECO'!$A$2:$H$550,2,FALSE),"CECO NO EXISTE"))</f>
        <v/>
      </c>
      <c r="H394" s="8">
        <f>IF(B394="","",IFERROR(VLOOKUP(--B394,'CATALOGO CECO'!$A$2:$H$550,3,FALSE),""))</f>
        <v/>
      </c>
      <c r="I394" s="8">
        <f>IF(B394="","",IFERROR(VLOOKUP(--B394,'CATALOGO CECO'!$A$2:$H$550,5,FALSE),""))</f>
        <v/>
      </c>
      <c r="J394" s="8">
        <f>IF(B394="","",IFERROR(VLOOKUP(--B394,'CATALOGO CECO'!$A$2:$H$550,8,FALSE),""))</f>
        <v/>
      </c>
      <c r="K394" s="8">
        <f>IF(COUNTA(A394:F394)=0,"",IF(OR(LEN(A394)&lt;&gt;7,MID(A394,5,1)&lt;&gt;"-",ISERROR(--LEFT(A394,4)),ISERROR(--RIGHT(A394,2))),"ERROR: PERIODO debe ser AAAA-MM",IF(B394="","ERROR: falta CODIGO CECO",IF(G394="CECO NO EXISTE","ERROR: CECO no existe en el catálogo",IF(C394="","ERROR: falta CUENTA",IF(ISERROR(--C394),"ERROR: CUENTA debe tener solo dígitos",IF(ISERROR(FIND(LEFT(C394,1),"567")),"ERROR: CUENTA fuera de las clases de costo",IF(NOT(ISNUMBER(E394)),"ERROR: VALOR debe ser numérico",IF(E394=0,"AVISO: valor cero (no se carga)",IF(J394&lt;&gt;"ACTIVO","NO SE CARGA: CECO en estado "&amp;J394,"OK"))))))))))</f>
        <v/>
      </c>
    </row>
    <row r="395">
      <c r="A395" s="5" t="n"/>
      <c r="B395" s="6" t="n"/>
      <c r="C395" s="5" t="n"/>
      <c r="D395" s="6" t="n"/>
      <c r="E395" s="7" t="n"/>
      <c r="F395" s="6" t="n"/>
      <c r="G395" s="8">
        <f>IF(B395="","",IFERROR(VLOOKUP(--B395,'CATALOGO CECO'!$A$2:$H$550,2,FALSE),"CECO NO EXISTE"))</f>
        <v/>
      </c>
      <c r="H395" s="8">
        <f>IF(B395="","",IFERROR(VLOOKUP(--B395,'CATALOGO CECO'!$A$2:$H$550,3,FALSE),""))</f>
        <v/>
      </c>
      <c r="I395" s="8">
        <f>IF(B395="","",IFERROR(VLOOKUP(--B395,'CATALOGO CECO'!$A$2:$H$550,5,FALSE),""))</f>
        <v/>
      </c>
      <c r="J395" s="8">
        <f>IF(B395="","",IFERROR(VLOOKUP(--B395,'CATALOGO CECO'!$A$2:$H$550,8,FALSE),""))</f>
        <v/>
      </c>
      <c r="K395" s="8">
        <f>IF(COUNTA(A395:F395)=0,"",IF(OR(LEN(A395)&lt;&gt;7,MID(A395,5,1)&lt;&gt;"-",ISERROR(--LEFT(A395,4)),ISERROR(--RIGHT(A395,2))),"ERROR: PERIODO debe ser AAAA-MM",IF(B395="","ERROR: falta CODIGO CECO",IF(G395="CECO NO EXISTE","ERROR: CECO no existe en el catálogo",IF(C395="","ERROR: falta CUENTA",IF(ISERROR(--C395),"ERROR: CUENTA debe tener solo dígitos",IF(ISERROR(FIND(LEFT(C395,1),"567")),"ERROR: CUENTA fuera de las clases de costo",IF(NOT(ISNUMBER(E395)),"ERROR: VALOR debe ser numérico",IF(E395=0,"AVISO: valor cero (no se carga)",IF(J395&lt;&gt;"ACTIVO","NO SE CARGA: CECO en estado "&amp;J395,"OK"))))))))))</f>
        <v/>
      </c>
    </row>
    <row r="396">
      <c r="A396" s="5" t="n"/>
      <c r="B396" s="6" t="n"/>
      <c r="C396" s="5" t="n"/>
      <c r="D396" s="6" t="n"/>
      <c r="E396" s="7" t="n"/>
      <c r="F396" s="6" t="n"/>
      <c r="G396" s="8">
        <f>IF(B396="","",IFERROR(VLOOKUP(--B396,'CATALOGO CECO'!$A$2:$H$550,2,FALSE),"CECO NO EXISTE"))</f>
        <v/>
      </c>
      <c r="H396" s="8">
        <f>IF(B396="","",IFERROR(VLOOKUP(--B396,'CATALOGO CECO'!$A$2:$H$550,3,FALSE),""))</f>
        <v/>
      </c>
      <c r="I396" s="8">
        <f>IF(B396="","",IFERROR(VLOOKUP(--B396,'CATALOGO CECO'!$A$2:$H$550,5,FALSE),""))</f>
        <v/>
      </c>
      <c r="J396" s="8">
        <f>IF(B396="","",IFERROR(VLOOKUP(--B396,'CATALOGO CECO'!$A$2:$H$550,8,FALSE),""))</f>
        <v/>
      </c>
      <c r="K396" s="8">
        <f>IF(COUNTA(A396:F396)=0,"",IF(OR(LEN(A396)&lt;&gt;7,MID(A396,5,1)&lt;&gt;"-",ISERROR(--LEFT(A396,4)),ISERROR(--RIGHT(A396,2))),"ERROR: PERIODO debe ser AAAA-MM",IF(B396="","ERROR: falta CODIGO CECO",IF(G396="CECO NO EXISTE","ERROR: CECO no existe en el catálogo",IF(C396="","ERROR: falta CUENTA",IF(ISERROR(--C396),"ERROR: CUENTA debe tener solo dígitos",IF(ISERROR(FIND(LEFT(C396,1),"567")),"ERROR: CUENTA fuera de las clases de costo",IF(NOT(ISNUMBER(E396)),"ERROR: VALOR debe ser numérico",IF(E396=0,"AVISO: valor cero (no se carga)",IF(J396&lt;&gt;"ACTIVO","NO SE CARGA: CECO en estado "&amp;J396,"OK"))))))))))</f>
        <v/>
      </c>
    </row>
    <row r="397">
      <c r="A397" s="5" t="n"/>
      <c r="B397" s="6" t="n"/>
      <c r="C397" s="5" t="n"/>
      <c r="D397" s="6" t="n"/>
      <c r="E397" s="7" t="n"/>
      <c r="F397" s="6" t="n"/>
      <c r="G397" s="8">
        <f>IF(B397="","",IFERROR(VLOOKUP(--B397,'CATALOGO CECO'!$A$2:$H$550,2,FALSE),"CECO NO EXISTE"))</f>
        <v/>
      </c>
      <c r="H397" s="8">
        <f>IF(B397="","",IFERROR(VLOOKUP(--B397,'CATALOGO CECO'!$A$2:$H$550,3,FALSE),""))</f>
        <v/>
      </c>
      <c r="I397" s="8">
        <f>IF(B397="","",IFERROR(VLOOKUP(--B397,'CATALOGO CECO'!$A$2:$H$550,5,FALSE),""))</f>
        <v/>
      </c>
      <c r="J397" s="8">
        <f>IF(B397="","",IFERROR(VLOOKUP(--B397,'CATALOGO CECO'!$A$2:$H$550,8,FALSE),""))</f>
        <v/>
      </c>
      <c r="K397" s="8">
        <f>IF(COUNTA(A397:F397)=0,"",IF(OR(LEN(A397)&lt;&gt;7,MID(A397,5,1)&lt;&gt;"-",ISERROR(--LEFT(A397,4)),ISERROR(--RIGHT(A397,2))),"ERROR: PERIODO debe ser AAAA-MM",IF(B397="","ERROR: falta CODIGO CECO",IF(G397="CECO NO EXISTE","ERROR: CECO no existe en el catálogo",IF(C397="","ERROR: falta CUENTA",IF(ISERROR(--C397),"ERROR: CUENTA debe tener solo dígitos",IF(ISERROR(FIND(LEFT(C397,1),"567")),"ERROR: CUENTA fuera de las clases de costo",IF(NOT(ISNUMBER(E397)),"ERROR: VALOR debe ser numérico",IF(E397=0,"AVISO: valor cero (no se carga)",IF(J397&lt;&gt;"ACTIVO","NO SE CARGA: CECO en estado "&amp;J397,"OK"))))))))))</f>
        <v/>
      </c>
    </row>
    <row r="398">
      <c r="A398" s="5" t="n"/>
      <c r="B398" s="6" t="n"/>
      <c r="C398" s="5" t="n"/>
      <c r="D398" s="6" t="n"/>
      <c r="E398" s="7" t="n"/>
      <c r="F398" s="6" t="n"/>
      <c r="G398" s="8">
        <f>IF(B398="","",IFERROR(VLOOKUP(--B398,'CATALOGO CECO'!$A$2:$H$550,2,FALSE),"CECO NO EXISTE"))</f>
        <v/>
      </c>
      <c r="H398" s="8">
        <f>IF(B398="","",IFERROR(VLOOKUP(--B398,'CATALOGO CECO'!$A$2:$H$550,3,FALSE),""))</f>
        <v/>
      </c>
      <c r="I398" s="8">
        <f>IF(B398="","",IFERROR(VLOOKUP(--B398,'CATALOGO CECO'!$A$2:$H$550,5,FALSE),""))</f>
        <v/>
      </c>
      <c r="J398" s="8">
        <f>IF(B398="","",IFERROR(VLOOKUP(--B398,'CATALOGO CECO'!$A$2:$H$550,8,FALSE),""))</f>
        <v/>
      </c>
      <c r="K398" s="8">
        <f>IF(COUNTA(A398:F398)=0,"",IF(OR(LEN(A398)&lt;&gt;7,MID(A398,5,1)&lt;&gt;"-",ISERROR(--LEFT(A398,4)),ISERROR(--RIGHT(A398,2))),"ERROR: PERIODO debe ser AAAA-MM",IF(B398="","ERROR: falta CODIGO CECO",IF(G398="CECO NO EXISTE","ERROR: CECO no existe en el catálogo",IF(C398="","ERROR: falta CUENTA",IF(ISERROR(--C398),"ERROR: CUENTA debe tener solo dígitos",IF(ISERROR(FIND(LEFT(C398,1),"567")),"ERROR: CUENTA fuera de las clases de costo",IF(NOT(ISNUMBER(E398)),"ERROR: VALOR debe ser numérico",IF(E398=0,"AVISO: valor cero (no se carga)",IF(J398&lt;&gt;"ACTIVO","NO SE CARGA: CECO en estado "&amp;J398,"OK"))))))))))</f>
        <v/>
      </c>
    </row>
    <row r="399">
      <c r="A399" s="5" t="n"/>
      <c r="B399" s="6" t="n"/>
      <c r="C399" s="5" t="n"/>
      <c r="D399" s="6" t="n"/>
      <c r="E399" s="7" t="n"/>
      <c r="F399" s="6" t="n"/>
      <c r="G399" s="8">
        <f>IF(B399="","",IFERROR(VLOOKUP(--B399,'CATALOGO CECO'!$A$2:$H$550,2,FALSE),"CECO NO EXISTE"))</f>
        <v/>
      </c>
      <c r="H399" s="8">
        <f>IF(B399="","",IFERROR(VLOOKUP(--B399,'CATALOGO CECO'!$A$2:$H$550,3,FALSE),""))</f>
        <v/>
      </c>
      <c r="I399" s="8">
        <f>IF(B399="","",IFERROR(VLOOKUP(--B399,'CATALOGO CECO'!$A$2:$H$550,5,FALSE),""))</f>
        <v/>
      </c>
      <c r="J399" s="8">
        <f>IF(B399="","",IFERROR(VLOOKUP(--B399,'CATALOGO CECO'!$A$2:$H$550,8,FALSE),""))</f>
        <v/>
      </c>
      <c r="K399" s="8">
        <f>IF(COUNTA(A399:F399)=0,"",IF(OR(LEN(A399)&lt;&gt;7,MID(A399,5,1)&lt;&gt;"-",ISERROR(--LEFT(A399,4)),ISERROR(--RIGHT(A399,2))),"ERROR: PERIODO debe ser AAAA-MM",IF(B399="","ERROR: falta CODIGO CECO",IF(G399="CECO NO EXISTE","ERROR: CECO no existe en el catálogo",IF(C399="","ERROR: falta CUENTA",IF(ISERROR(--C399),"ERROR: CUENTA debe tener solo dígitos",IF(ISERROR(FIND(LEFT(C399,1),"567")),"ERROR: CUENTA fuera de las clases de costo",IF(NOT(ISNUMBER(E399)),"ERROR: VALOR debe ser numérico",IF(E399=0,"AVISO: valor cero (no se carga)",IF(J399&lt;&gt;"ACTIVO","NO SE CARGA: CECO en estado "&amp;J399,"OK"))))))))))</f>
        <v/>
      </c>
    </row>
    <row r="400">
      <c r="A400" s="5" t="n"/>
      <c r="B400" s="6" t="n"/>
      <c r="C400" s="5" t="n"/>
      <c r="D400" s="6" t="n"/>
      <c r="E400" s="7" t="n"/>
      <c r="F400" s="6" t="n"/>
      <c r="G400" s="8">
        <f>IF(B400="","",IFERROR(VLOOKUP(--B400,'CATALOGO CECO'!$A$2:$H$550,2,FALSE),"CECO NO EXISTE"))</f>
        <v/>
      </c>
      <c r="H400" s="8">
        <f>IF(B400="","",IFERROR(VLOOKUP(--B400,'CATALOGO CECO'!$A$2:$H$550,3,FALSE),""))</f>
        <v/>
      </c>
      <c r="I400" s="8">
        <f>IF(B400="","",IFERROR(VLOOKUP(--B400,'CATALOGO CECO'!$A$2:$H$550,5,FALSE),""))</f>
        <v/>
      </c>
      <c r="J400" s="8">
        <f>IF(B400="","",IFERROR(VLOOKUP(--B400,'CATALOGO CECO'!$A$2:$H$550,8,FALSE),""))</f>
        <v/>
      </c>
      <c r="K400" s="8">
        <f>IF(COUNTA(A400:F400)=0,"",IF(OR(LEN(A400)&lt;&gt;7,MID(A400,5,1)&lt;&gt;"-",ISERROR(--LEFT(A400,4)),ISERROR(--RIGHT(A400,2))),"ERROR: PERIODO debe ser AAAA-MM",IF(B400="","ERROR: falta CODIGO CECO",IF(G400="CECO NO EXISTE","ERROR: CECO no existe en el catálogo",IF(C400="","ERROR: falta CUENTA",IF(ISERROR(--C400),"ERROR: CUENTA debe tener solo dígitos",IF(ISERROR(FIND(LEFT(C400,1),"567")),"ERROR: CUENTA fuera de las clases de costo",IF(NOT(ISNUMBER(E400)),"ERROR: VALOR debe ser numérico",IF(E400=0,"AVISO: valor cero (no se carga)",IF(J400&lt;&gt;"ACTIVO","NO SE CARGA: CECO en estado "&amp;J400,"OK"))))))))))</f>
        <v/>
      </c>
    </row>
    <row r="401">
      <c r="A401" s="5" t="n"/>
      <c r="B401" s="6" t="n"/>
      <c r="C401" s="5" t="n"/>
      <c r="D401" s="6" t="n"/>
      <c r="E401" s="7" t="n"/>
      <c r="F401" s="6" t="n"/>
      <c r="G401" s="8">
        <f>IF(B401="","",IFERROR(VLOOKUP(--B401,'CATALOGO CECO'!$A$2:$H$550,2,FALSE),"CECO NO EXISTE"))</f>
        <v/>
      </c>
      <c r="H401" s="8">
        <f>IF(B401="","",IFERROR(VLOOKUP(--B401,'CATALOGO CECO'!$A$2:$H$550,3,FALSE),""))</f>
        <v/>
      </c>
      <c r="I401" s="8">
        <f>IF(B401="","",IFERROR(VLOOKUP(--B401,'CATALOGO CECO'!$A$2:$H$550,5,FALSE),""))</f>
        <v/>
      </c>
      <c r="J401" s="8">
        <f>IF(B401="","",IFERROR(VLOOKUP(--B401,'CATALOGO CECO'!$A$2:$H$550,8,FALSE),""))</f>
        <v/>
      </c>
      <c r="K401" s="8">
        <f>IF(COUNTA(A401:F401)=0,"",IF(OR(LEN(A401)&lt;&gt;7,MID(A401,5,1)&lt;&gt;"-",ISERROR(--LEFT(A401,4)),ISERROR(--RIGHT(A401,2))),"ERROR: PERIODO debe ser AAAA-MM",IF(B401="","ERROR: falta CODIGO CECO",IF(G401="CECO NO EXISTE","ERROR: CECO no existe en el catálogo",IF(C401="","ERROR: falta CUENTA",IF(ISERROR(--C401),"ERROR: CUENTA debe tener solo dígitos",IF(ISERROR(FIND(LEFT(C401,1),"567")),"ERROR: CUENTA fuera de las clases de costo",IF(NOT(ISNUMBER(E401)),"ERROR: VALOR debe ser numérico",IF(E401=0,"AVISO: valor cero (no se carga)",IF(J401&lt;&gt;"ACTIVO","NO SE CARGA: CECO en estado "&amp;J401,"OK"))))))))))</f>
        <v/>
      </c>
    </row>
    <row r="402">
      <c r="A402" s="5" t="n"/>
      <c r="B402" s="6" t="n"/>
      <c r="C402" s="5" t="n"/>
      <c r="D402" s="6" t="n"/>
      <c r="E402" s="7" t="n"/>
      <c r="F402" s="6" t="n"/>
      <c r="G402" s="8">
        <f>IF(B402="","",IFERROR(VLOOKUP(--B402,'CATALOGO CECO'!$A$2:$H$550,2,FALSE),"CECO NO EXISTE"))</f>
        <v/>
      </c>
      <c r="H402" s="8">
        <f>IF(B402="","",IFERROR(VLOOKUP(--B402,'CATALOGO CECO'!$A$2:$H$550,3,FALSE),""))</f>
        <v/>
      </c>
      <c r="I402" s="8">
        <f>IF(B402="","",IFERROR(VLOOKUP(--B402,'CATALOGO CECO'!$A$2:$H$550,5,FALSE),""))</f>
        <v/>
      </c>
      <c r="J402" s="8">
        <f>IF(B402="","",IFERROR(VLOOKUP(--B402,'CATALOGO CECO'!$A$2:$H$550,8,FALSE),""))</f>
        <v/>
      </c>
      <c r="K402" s="8">
        <f>IF(COUNTA(A402:F402)=0,"",IF(OR(LEN(A402)&lt;&gt;7,MID(A402,5,1)&lt;&gt;"-",ISERROR(--LEFT(A402,4)),ISERROR(--RIGHT(A402,2))),"ERROR: PERIODO debe ser AAAA-MM",IF(B402="","ERROR: falta CODIGO CECO",IF(G402="CECO NO EXISTE","ERROR: CECO no existe en el catálogo",IF(C402="","ERROR: falta CUENTA",IF(ISERROR(--C402),"ERROR: CUENTA debe tener solo dígitos",IF(ISERROR(FIND(LEFT(C402,1),"567")),"ERROR: CUENTA fuera de las clases de costo",IF(NOT(ISNUMBER(E402)),"ERROR: VALOR debe ser numérico",IF(E402=0,"AVISO: valor cero (no se carga)",IF(J402&lt;&gt;"ACTIVO","NO SE CARGA: CECO en estado "&amp;J402,"OK"))))))))))</f>
        <v/>
      </c>
    </row>
    <row r="403">
      <c r="A403" s="5" t="n"/>
      <c r="B403" s="6" t="n"/>
      <c r="C403" s="5" t="n"/>
      <c r="D403" s="6" t="n"/>
      <c r="E403" s="7" t="n"/>
      <c r="F403" s="6" t="n"/>
      <c r="G403" s="8">
        <f>IF(B403="","",IFERROR(VLOOKUP(--B403,'CATALOGO CECO'!$A$2:$H$550,2,FALSE),"CECO NO EXISTE"))</f>
        <v/>
      </c>
      <c r="H403" s="8">
        <f>IF(B403="","",IFERROR(VLOOKUP(--B403,'CATALOGO CECO'!$A$2:$H$550,3,FALSE),""))</f>
        <v/>
      </c>
      <c r="I403" s="8">
        <f>IF(B403="","",IFERROR(VLOOKUP(--B403,'CATALOGO CECO'!$A$2:$H$550,5,FALSE),""))</f>
        <v/>
      </c>
      <c r="J403" s="8">
        <f>IF(B403="","",IFERROR(VLOOKUP(--B403,'CATALOGO CECO'!$A$2:$H$550,8,FALSE),""))</f>
        <v/>
      </c>
      <c r="K403" s="8">
        <f>IF(COUNTA(A403:F403)=0,"",IF(OR(LEN(A403)&lt;&gt;7,MID(A403,5,1)&lt;&gt;"-",ISERROR(--LEFT(A403,4)),ISERROR(--RIGHT(A403,2))),"ERROR: PERIODO debe ser AAAA-MM",IF(B403="","ERROR: falta CODIGO CECO",IF(G403="CECO NO EXISTE","ERROR: CECO no existe en el catálogo",IF(C403="","ERROR: falta CUENTA",IF(ISERROR(--C403),"ERROR: CUENTA debe tener solo dígitos",IF(ISERROR(FIND(LEFT(C403,1),"567")),"ERROR: CUENTA fuera de las clases de costo",IF(NOT(ISNUMBER(E403)),"ERROR: VALOR debe ser numérico",IF(E403=0,"AVISO: valor cero (no se carga)",IF(J403&lt;&gt;"ACTIVO","NO SE CARGA: CECO en estado "&amp;J403,"OK"))))))))))</f>
        <v/>
      </c>
    </row>
    <row r="404">
      <c r="A404" s="5" t="n"/>
      <c r="B404" s="6" t="n"/>
      <c r="C404" s="5" t="n"/>
      <c r="D404" s="6" t="n"/>
      <c r="E404" s="7" t="n"/>
      <c r="F404" s="6" t="n"/>
      <c r="G404" s="8">
        <f>IF(B404="","",IFERROR(VLOOKUP(--B404,'CATALOGO CECO'!$A$2:$H$550,2,FALSE),"CECO NO EXISTE"))</f>
        <v/>
      </c>
      <c r="H404" s="8">
        <f>IF(B404="","",IFERROR(VLOOKUP(--B404,'CATALOGO CECO'!$A$2:$H$550,3,FALSE),""))</f>
        <v/>
      </c>
      <c r="I404" s="8">
        <f>IF(B404="","",IFERROR(VLOOKUP(--B404,'CATALOGO CECO'!$A$2:$H$550,5,FALSE),""))</f>
        <v/>
      </c>
      <c r="J404" s="8">
        <f>IF(B404="","",IFERROR(VLOOKUP(--B404,'CATALOGO CECO'!$A$2:$H$550,8,FALSE),""))</f>
        <v/>
      </c>
      <c r="K404" s="8">
        <f>IF(COUNTA(A404:F404)=0,"",IF(OR(LEN(A404)&lt;&gt;7,MID(A404,5,1)&lt;&gt;"-",ISERROR(--LEFT(A404,4)),ISERROR(--RIGHT(A404,2))),"ERROR: PERIODO debe ser AAAA-MM",IF(B404="","ERROR: falta CODIGO CECO",IF(G404="CECO NO EXISTE","ERROR: CECO no existe en el catálogo",IF(C404="","ERROR: falta CUENTA",IF(ISERROR(--C404),"ERROR: CUENTA debe tener solo dígitos",IF(ISERROR(FIND(LEFT(C404,1),"567")),"ERROR: CUENTA fuera de las clases de costo",IF(NOT(ISNUMBER(E404)),"ERROR: VALOR debe ser numérico",IF(E404=0,"AVISO: valor cero (no se carga)",IF(J404&lt;&gt;"ACTIVO","NO SE CARGA: CECO en estado "&amp;J404,"OK"))))))))))</f>
        <v/>
      </c>
    </row>
    <row r="405">
      <c r="A405" s="5" t="n"/>
      <c r="B405" s="6" t="n"/>
      <c r="C405" s="5" t="n"/>
      <c r="D405" s="6" t="n"/>
      <c r="E405" s="7" t="n"/>
      <c r="F405" s="6" t="n"/>
      <c r="G405" s="8">
        <f>IF(B405="","",IFERROR(VLOOKUP(--B405,'CATALOGO CECO'!$A$2:$H$550,2,FALSE),"CECO NO EXISTE"))</f>
        <v/>
      </c>
      <c r="H405" s="8">
        <f>IF(B405="","",IFERROR(VLOOKUP(--B405,'CATALOGO CECO'!$A$2:$H$550,3,FALSE),""))</f>
        <v/>
      </c>
      <c r="I405" s="8">
        <f>IF(B405="","",IFERROR(VLOOKUP(--B405,'CATALOGO CECO'!$A$2:$H$550,5,FALSE),""))</f>
        <v/>
      </c>
      <c r="J405" s="8">
        <f>IF(B405="","",IFERROR(VLOOKUP(--B405,'CATALOGO CECO'!$A$2:$H$550,8,FALSE),""))</f>
        <v/>
      </c>
      <c r="K405" s="8">
        <f>IF(COUNTA(A405:F405)=0,"",IF(OR(LEN(A405)&lt;&gt;7,MID(A405,5,1)&lt;&gt;"-",ISERROR(--LEFT(A405,4)),ISERROR(--RIGHT(A405,2))),"ERROR: PERIODO debe ser AAAA-MM",IF(B405="","ERROR: falta CODIGO CECO",IF(G405="CECO NO EXISTE","ERROR: CECO no existe en el catálogo",IF(C405="","ERROR: falta CUENTA",IF(ISERROR(--C405),"ERROR: CUENTA debe tener solo dígitos",IF(ISERROR(FIND(LEFT(C405,1),"567")),"ERROR: CUENTA fuera de las clases de costo",IF(NOT(ISNUMBER(E405)),"ERROR: VALOR debe ser numérico",IF(E405=0,"AVISO: valor cero (no se carga)",IF(J405&lt;&gt;"ACTIVO","NO SE CARGA: CECO en estado "&amp;J405,"OK"))))))))))</f>
        <v/>
      </c>
    </row>
    <row r="406">
      <c r="A406" s="5" t="n"/>
      <c r="B406" s="6" t="n"/>
      <c r="C406" s="5" t="n"/>
      <c r="D406" s="6" t="n"/>
      <c r="E406" s="7" t="n"/>
      <c r="F406" s="6" t="n"/>
      <c r="G406" s="8">
        <f>IF(B406="","",IFERROR(VLOOKUP(--B406,'CATALOGO CECO'!$A$2:$H$550,2,FALSE),"CECO NO EXISTE"))</f>
        <v/>
      </c>
      <c r="H406" s="8">
        <f>IF(B406="","",IFERROR(VLOOKUP(--B406,'CATALOGO CECO'!$A$2:$H$550,3,FALSE),""))</f>
        <v/>
      </c>
      <c r="I406" s="8">
        <f>IF(B406="","",IFERROR(VLOOKUP(--B406,'CATALOGO CECO'!$A$2:$H$550,5,FALSE),""))</f>
        <v/>
      </c>
      <c r="J406" s="8">
        <f>IF(B406="","",IFERROR(VLOOKUP(--B406,'CATALOGO CECO'!$A$2:$H$550,8,FALSE),""))</f>
        <v/>
      </c>
      <c r="K406" s="8">
        <f>IF(COUNTA(A406:F406)=0,"",IF(OR(LEN(A406)&lt;&gt;7,MID(A406,5,1)&lt;&gt;"-",ISERROR(--LEFT(A406,4)),ISERROR(--RIGHT(A406,2))),"ERROR: PERIODO debe ser AAAA-MM",IF(B406="","ERROR: falta CODIGO CECO",IF(G406="CECO NO EXISTE","ERROR: CECO no existe en el catálogo",IF(C406="","ERROR: falta CUENTA",IF(ISERROR(--C406),"ERROR: CUENTA debe tener solo dígitos",IF(ISERROR(FIND(LEFT(C406,1),"567")),"ERROR: CUENTA fuera de las clases de costo",IF(NOT(ISNUMBER(E406)),"ERROR: VALOR debe ser numérico",IF(E406=0,"AVISO: valor cero (no se carga)",IF(J406&lt;&gt;"ACTIVO","NO SE CARGA: CECO en estado "&amp;J406,"OK"))))))))))</f>
        <v/>
      </c>
    </row>
    <row r="407">
      <c r="A407" s="5" t="n"/>
      <c r="B407" s="6" t="n"/>
      <c r="C407" s="5" t="n"/>
      <c r="D407" s="6" t="n"/>
      <c r="E407" s="7" t="n"/>
      <c r="F407" s="6" t="n"/>
      <c r="G407" s="8">
        <f>IF(B407="","",IFERROR(VLOOKUP(--B407,'CATALOGO CECO'!$A$2:$H$550,2,FALSE),"CECO NO EXISTE"))</f>
        <v/>
      </c>
      <c r="H407" s="8">
        <f>IF(B407="","",IFERROR(VLOOKUP(--B407,'CATALOGO CECO'!$A$2:$H$550,3,FALSE),""))</f>
        <v/>
      </c>
      <c r="I407" s="8">
        <f>IF(B407="","",IFERROR(VLOOKUP(--B407,'CATALOGO CECO'!$A$2:$H$550,5,FALSE),""))</f>
        <v/>
      </c>
      <c r="J407" s="8">
        <f>IF(B407="","",IFERROR(VLOOKUP(--B407,'CATALOGO CECO'!$A$2:$H$550,8,FALSE),""))</f>
        <v/>
      </c>
      <c r="K407" s="8">
        <f>IF(COUNTA(A407:F407)=0,"",IF(OR(LEN(A407)&lt;&gt;7,MID(A407,5,1)&lt;&gt;"-",ISERROR(--LEFT(A407,4)),ISERROR(--RIGHT(A407,2))),"ERROR: PERIODO debe ser AAAA-MM",IF(B407="","ERROR: falta CODIGO CECO",IF(G407="CECO NO EXISTE","ERROR: CECO no existe en el catálogo",IF(C407="","ERROR: falta CUENTA",IF(ISERROR(--C407),"ERROR: CUENTA debe tener solo dígitos",IF(ISERROR(FIND(LEFT(C407,1),"567")),"ERROR: CUENTA fuera de las clases de costo",IF(NOT(ISNUMBER(E407)),"ERROR: VALOR debe ser numérico",IF(E407=0,"AVISO: valor cero (no se carga)",IF(J407&lt;&gt;"ACTIVO","NO SE CARGA: CECO en estado "&amp;J407,"OK"))))))))))</f>
        <v/>
      </c>
    </row>
    <row r="408">
      <c r="A408" s="5" t="n"/>
      <c r="B408" s="6" t="n"/>
      <c r="C408" s="5" t="n"/>
      <c r="D408" s="6" t="n"/>
      <c r="E408" s="7" t="n"/>
      <c r="F408" s="6" t="n"/>
      <c r="G408" s="8">
        <f>IF(B408="","",IFERROR(VLOOKUP(--B408,'CATALOGO CECO'!$A$2:$H$550,2,FALSE),"CECO NO EXISTE"))</f>
        <v/>
      </c>
      <c r="H408" s="8">
        <f>IF(B408="","",IFERROR(VLOOKUP(--B408,'CATALOGO CECO'!$A$2:$H$550,3,FALSE),""))</f>
        <v/>
      </c>
      <c r="I408" s="8">
        <f>IF(B408="","",IFERROR(VLOOKUP(--B408,'CATALOGO CECO'!$A$2:$H$550,5,FALSE),""))</f>
        <v/>
      </c>
      <c r="J408" s="8">
        <f>IF(B408="","",IFERROR(VLOOKUP(--B408,'CATALOGO CECO'!$A$2:$H$550,8,FALSE),""))</f>
        <v/>
      </c>
      <c r="K408" s="8">
        <f>IF(COUNTA(A408:F408)=0,"",IF(OR(LEN(A408)&lt;&gt;7,MID(A408,5,1)&lt;&gt;"-",ISERROR(--LEFT(A408,4)),ISERROR(--RIGHT(A408,2))),"ERROR: PERIODO debe ser AAAA-MM",IF(B408="","ERROR: falta CODIGO CECO",IF(G408="CECO NO EXISTE","ERROR: CECO no existe en el catálogo",IF(C408="","ERROR: falta CUENTA",IF(ISERROR(--C408),"ERROR: CUENTA debe tener solo dígitos",IF(ISERROR(FIND(LEFT(C408,1),"567")),"ERROR: CUENTA fuera de las clases de costo",IF(NOT(ISNUMBER(E408)),"ERROR: VALOR debe ser numérico",IF(E408=0,"AVISO: valor cero (no se carga)",IF(J408&lt;&gt;"ACTIVO","NO SE CARGA: CECO en estado "&amp;J408,"OK"))))))))))</f>
        <v/>
      </c>
    </row>
    <row r="409">
      <c r="A409" s="5" t="n"/>
      <c r="B409" s="6" t="n"/>
      <c r="C409" s="5" t="n"/>
      <c r="D409" s="6" t="n"/>
      <c r="E409" s="7" t="n"/>
      <c r="F409" s="6" t="n"/>
      <c r="G409" s="8">
        <f>IF(B409="","",IFERROR(VLOOKUP(--B409,'CATALOGO CECO'!$A$2:$H$550,2,FALSE),"CECO NO EXISTE"))</f>
        <v/>
      </c>
      <c r="H409" s="8">
        <f>IF(B409="","",IFERROR(VLOOKUP(--B409,'CATALOGO CECO'!$A$2:$H$550,3,FALSE),""))</f>
        <v/>
      </c>
      <c r="I409" s="8">
        <f>IF(B409="","",IFERROR(VLOOKUP(--B409,'CATALOGO CECO'!$A$2:$H$550,5,FALSE),""))</f>
        <v/>
      </c>
      <c r="J409" s="8">
        <f>IF(B409="","",IFERROR(VLOOKUP(--B409,'CATALOGO CECO'!$A$2:$H$550,8,FALSE),""))</f>
        <v/>
      </c>
      <c r="K409" s="8">
        <f>IF(COUNTA(A409:F409)=0,"",IF(OR(LEN(A409)&lt;&gt;7,MID(A409,5,1)&lt;&gt;"-",ISERROR(--LEFT(A409,4)),ISERROR(--RIGHT(A409,2))),"ERROR: PERIODO debe ser AAAA-MM",IF(B409="","ERROR: falta CODIGO CECO",IF(G409="CECO NO EXISTE","ERROR: CECO no existe en el catálogo",IF(C409="","ERROR: falta CUENTA",IF(ISERROR(--C409),"ERROR: CUENTA debe tener solo dígitos",IF(ISERROR(FIND(LEFT(C409,1),"567")),"ERROR: CUENTA fuera de las clases de costo",IF(NOT(ISNUMBER(E409)),"ERROR: VALOR debe ser numérico",IF(E409=0,"AVISO: valor cero (no se carga)",IF(J409&lt;&gt;"ACTIVO","NO SE CARGA: CECO en estado "&amp;J409,"OK"))))))))))</f>
        <v/>
      </c>
    </row>
    <row r="410">
      <c r="A410" s="5" t="n"/>
      <c r="B410" s="6" t="n"/>
      <c r="C410" s="5" t="n"/>
      <c r="D410" s="6" t="n"/>
      <c r="E410" s="7" t="n"/>
      <c r="F410" s="6" t="n"/>
      <c r="G410" s="8">
        <f>IF(B410="","",IFERROR(VLOOKUP(--B410,'CATALOGO CECO'!$A$2:$H$550,2,FALSE),"CECO NO EXISTE"))</f>
        <v/>
      </c>
      <c r="H410" s="8">
        <f>IF(B410="","",IFERROR(VLOOKUP(--B410,'CATALOGO CECO'!$A$2:$H$550,3,FALSE),""))</f>
        <v/>
      </c>
      <c r="I410" s="8">
        <f>IF(B410="","",IFERROR(VLOOKUP(--B410,'CATALOGO CECO'!$A$2:$H$550,5,FALSE),""))</f>
        <v/>
      </c>
      <c r="J410" s="8">
        <f>IF(B410="","",IFERROR(VLOOKUP(--B410,'CATALOGO CECO'!$A$2:$H$550,8,FALSE),""))</f>
        <v/>
      </c>
      <c r="K410" s="8">
        <f>IF(COUNTA(A410:F410)=0,"",IF(OR(LEN(A410)&lt;&gt;7,MID(A410,5,1)&lt;&gt;"-",ISERROR(--LEFT(A410,4)),ISERROR(--RIGHT(A410,2))),"ERROR: PERIODO debe ser AAAA-MM",IF(B410="","ERROR: falta CODIGO CECO",IF(G410="CECO NO EXISTE","ERROR: CECO no existe en el catálogo",IF(C410="","ERROR: falta CUENTA",IF(ISERROR(--C410),"ERROR: CUENTA debe tener solo dígitos",IF(ISERROR(FIND(LEFT(C410,1),"567")),"ERROR: CUENTA fuera de las clases de costo",IF(NOT(ISNUMBER(E410)),"ERROR: VALOR debe ser numérico",IF(E410=0,"AVISO: valor cero (no se carga)",IF(J410&lt;&gt;"ACTIVO","NO SE CARGA: CECO en estado "&amp;J410,"OK"))))))))))</f>
        <v/>
      </c>
    </row>
    <row r="411">
      <c r="A411" s="5" t="n"/>
      <c r="B411" s="6" t="n"/>
      <c r="C411" s="5" t="n"/>
      <c r="D411" s="6" t="n"/>
      <c r="E411" s="7" t="n"/>
      <c r="F411" s="6" t="n"/>
      <c r="G411" s="8">
        <f>IF(B411="","",IFERROR(VLOOKUP(--B411,'CATALOGO CECO'!$A$2:$H$550,2,FALSE),"CECO NO EXISTE"))</f>
        <v/>
      </c>
      <c r="H411" s="8">
        <f>IF(B411="","",IFERROR(VLOOKUP(--B411,'CATALOGO CECO'!$A$2:$H$550,3,FALSE),""))</f>
        <v/>
      </c>
      <c r="I411" s="8">
        <f>IF(B411="","",IFERROR(VLOOKUP(--B411,'CATALOGO CECO'!$A$2:$H$550,5,FALSE),""))</f>
        <v/>
      </c>
      <c r="J411" s="8">
        <f>IF(B411="","",IFERROR(VLOOKUP(--B411,'CATALOGO CECO'!$A$2:$H$550,8,FALSE),""))</f>
        <v/>
      </c>
      <c r="K411" s="8">
        <f>IF(COUNTA(A411:F411)=0,"",IF(OR(LEN(A411)&lt;&gt;7,MID(A411,5,1)&lt;&gt;"-",ISERROR(--LEFT(A411,4)),ISERROR(--RIGHT(A411,2))),"ERROR: PERIODO debe ser AAAA-MM",IF(B411="","ERROR: falta CODIGO CECO",IF(G411="CECO NO EXISTE","ERROR: CECO no existe en el catálogo",IF(C411="","ERROR: falta CUENTA",IF(ISERROR(--C411),"ERROR: CUENTA debe tener solo dígitos",IF(ISERROR(FIND(LEFT(C411,1),"567")),"ERROR: CUENTA fuera de las clases de costo",IF(NOT(ISNUMBER(E411)),"ERROR: VALOR debe ser numérico",IF(E411=0,"AVISO: valor cero (no se carga)",IF(J411&lt;&gt;"ACTIVO","NO SE CARGA: CECO en estado "&amp;J411,"OK"))))))))))</f>
        <v/>
      </c>
    </row>
    <row r="412">
      <c r="A412" s="5" t="n"/>
      <c r="B412" s="6" t="n"/>
      <c r="C412" s="5" t="n"/>
      <c r="D412" s="6" t="n"/>
      <c r="E412" s="7" t="n"/>
      <c r="F412" s="6" t="n"/>
      <c r="G412" s="8">
        <f>IF(B412="","",IFERROR(VLOOKUP(--B412,'CATALOGO CECO'!$A$2:$H$550,2,FALSE),"CECO NO EXISTE"))</f>
        <v/>
      </c>
      <c r="H412" s="8">
        <f>IF(B412="","",IFERROR(VLOOKUP(--B412,'CATALOGO CECO'!$A$2:$H$550,3,FALSE),""))</f>
        <v/>
      </c>
      <c r="I412" s="8">
        <f>IF(B412="","",IFERROR(VLOOKUP(--B412,'CATALOGO CECO'!$A$2:$H$550,5,FALSE),""))</f>
        <v/>
      </c>
      <c r="J412" s="8">
        <f>IF(B412="","",IFERROR(VLOOKUP(--B412,'CATALOGO CECO'!$A$2:$H$550,8,FALSE),""))</f>
        <v/>
      </c>
      <c r="K412" s="8">
        <f>IF(COUNTA(A412:F412)=0,"",IF(OR(LEN(A412)&lt;&gt;7,MID(A412,5,1)&lt;&gt;"-",ISERROR(--LEFT(A412,4)),ISERROR(--RIGHT(A412,2))),"ERROR: PERIODO debe ser AAAA-MM",IF(B412="","ERROR: falta CODIGO CECO",IF(G412="CECO NO EXISTE","ERROR: CECO no existe en el catálogo",IF(C412="","ERROR: falta CUENTA",IF(ISERROR(--C412),"ERROR: CUENTA debe tener solo dígitos",IF(ISERROR(FIND(LEFT(C412,1),"567")),"ERROR: CUENTA fuera de las clases de costo",IF(NOT(ISNUMBER(E412)),"ERROR: VALOR debe ser numérico",IF(E412=0,"AVISO: valor cero (no se carga)",IF(J412&lt;&gt;"ACTIVO","NO SE CARGA: CECO en estado "&amp;J412,"OK"))))))))))</f>
        <v/>
      </c>
    </row>
    <row r="413">
      <c r="A413" s="5" t="n"/>
      <c r="B413" s="6" t="n"/>
      <c r="C413" s="5" t="n"/>
      <c r="D413" s="6" t="n"/>
      <c r="E413" s="7" t="n"/>
      <c r="F413" s="6" t="n"/>
      <c r="G413" s="8">
        <f>IF(B413="","",IFERROR(VLOOKUP(--B413,'CATALOGO CECO'!$A$2:$H$550,2,FALSE),"CECO NO EXISTE"))</f>
        <v/>
      </c>
      <c r="H413" s="8">
        <f>IF(B413="","",IFERROR(VLOOKUP(--B413,'CATALOGO CECO'!$A$2:$H$550,3,FALSE),""))</f>
        <v/>
      </c>
      <c r="I413" s="8">
        <f>IF(B413="","",IFERROR(VLOOKUP(--B413,'CATALOGO CECO'!$A$2:$H$550,5,FALSE),""))</f>
        <v/>
      </c>
      <c r="J413" s="8">
        <f>IF(B413="","",IFERROR(VLOOKUP(--B413,'CATALOGO CECO'!$A$2:$H$550,8,FALSE),""))</f>
        <v/>
      </c>
      <c r="K413" s="8">
        <f>IF(COUNTA(A413:F413)=0,"",IF(OR(LEN(A413)&lt;&gt;7,MID(A413,5,1)&lt;&gt;"-",ISERROR(--LEFT(A413,4)),ISERROR(--RIGHT(A413,2))),"ERROR: PERIODO debe ser AAAA-MM",IF(B413="","ERROR: falta CODIGO CECO",IF(G413="CECO NO EXISTE","ERROR: CECO no existe en el catálogo",IF(C413="","ERROR: falta CUENTA",IF(ISERROR(--C413),"ERROR: CUENTA debe tener solo dígitos",IF(ISERROR(FIND(LEFT(C413,1),"567")),"ERROR: CUENTA fuera de las clases de costo",IF(NOT(ISNUMBER(E413)),"ERROR: VALOR debe ser numérico",IF(E413=0,"AVISO: valor cero (no se carga)",IF(J413&lt;&gt;"ACTIVO","NO SE CARGA: CECO en estado "&amp;J413,"OK"))))))))))</f>
        <v/>
      </c>
    </row>
    <row r="414">
      <c r="A414" s="5" t="n"/>
      <c r="B414" s="6" t="n"/>
      <c r="C414" s="5" t="n"/>
      <c r="D414" s="6" t="n"/>
      <c r="E414" s="7" t="n"/>
      <c r="F414" s="6" t="n"/>
      <c r="G414" s="8">
        <f>IF(B414="","",IFERROR(VLOOKUP(--B414,'CATALOGO CECO'!$A$2:$H$550,2,FALSE),"CECO NO EXISTE"))</f>
        <v/>
      </c>
      <c r="H414" s="8">
        <f>IF(B414="","",IFERROR(VLOOKUP(--B414,'CATALOGO CECO'!$A$2:$H$550,3,FALSE),""))</f>
        <v/>
      </c>
      <c r="I414" s="8">
        <f>IF(B414="","",IFERROR(VLOOKUP(--B414,'CATALOGO CECO'!$A$2:$H$550,5,FALSE),""))</f>
        <v/>
      </c>
      <c r="J414" s="8">
        <f>IF(B414="","",IFERROR(VLOOKUP(--B414,'CATALOGO CECO'!$A$2:$H$550,8,FALSE),""))</f>
        <v/>
      </c>
      <c r="K414" s="8">
        <f>IF(COUNTA(A414:F414)=0,"",IF(OR(LEN(A414)&lt;&gt;7,MID(A414,5,1)&lt;&gt;"-",ISERROR(--LEFT(A414,4)),ISERROR(--RIGHT(A414,2))),"ERROR: PERIODO debe ser AAAA-MM",IF(B414="","ERROR: falta CODIGO CECO",IF(G414="CECO NO EXISTE","ERROR: CECO no existe en el catálogo",IF(C414="","ERROR: falta CUENTA",IF(ISERROR(--C414),"ERROR: CUENTA debe tener solo dígitos",IF(ISERROR(FIND(LEFT(C414,1),"567")),"ERROR: CUENTA fuera de las clases de costo",IF(NOT(ISNUMBER(E414)),"ERROR: VALOR debe ser numérico",IF(E414=0,"AVISO: valor cero (no se carga)",IF(J414&lt;&gt;"ACTIVO","NO SE CARGA: CECO en estado "&amp;J414,"OK"))))))))))</f>
        <v/>
      </c>
    </row>
    <row r="415">
      <c r="A415" s="5" t="n"/>
      <c r="B415" s="6" t="n"/>
      <c r="C415" s="5" t="n"/>
      <c r="D415" s="6" t="n"/>
      <c r="E415" s="7" t="n"/>
      <c r="F415" s="6" t="n"/>
      <c r="G415" s="8">
        <f>IF(B415="","",IFERROR(VLOOKUP(--B415,'CATALOGO CECO'!$A$2:$H$550,2,FALSE),"CECO NO EXISTE"))</f>
        <v/>
      </c>
      <c r="H415" s="8">
        <f>IF(B415="","",IFERROR(VLOOKUP(--B415,'CATALOGO CECO'!$A$2:$H$550,3,FALSE),""))</f>
        <v/>
      </c>
      <c r="I415" s="8">
        <f>IF(B415="","",IFERROR(VLOOKUP(--B415,'CATALOGO CECO'!$A$2:$H$550,5,FALSE),""))</f>
        <v/>
      </c>
      <c r="J415" s="8">
        <f>IF(B415="","",IFERROR(VLOOKUP(--B415,'CATALOGO CECO'!$A$2:$H$550,8,FALSE),""))</f>
        <v/>
      </c>
      <c r="K415" s="8">
        <f>IF(COUNTA(A415:F415)=0,"",IF(OR(LEN(A415)&lt;&gt;7,MID(A415,5,1)&lt;&gt;"-",ISERROR(--LEFT(A415,4)),ISERROR(--RIGHT(A415,2))),"ERROR: PERIODO debe ser AAAA-MM",IF(B415="","ERROR: falta CODIGO CECO",IF(G415="CECO NO EXISTE","ERROR: CECO no existe en el catálogo",IF(C415="","ERROR: falta CUENTA",IF(ISERROR(--C415),"ERROR: CUENTA debe tener solo dígitos",IF(ISERROR(FIND(LEFT(C415,1),"567")),"ERROR: CUENTA fuera de las clases de costo",IF(NOT(ISNUMBER(E415)),"ERROR: VALOR debe ser numérico",IF(E415=0,"AVISO: valor cero (no se carga)",IF(J415&lt;&gt;"ACTIVO","NO SE CARGA: CECO en estado "&amp;J415,"OK"))))))))))</f>
        <v/>
      </c>
    </row>
    <row r="416">
      <c r="A416" s="5" t="n"/>
      <c r="B416" s="6" t="n"/>
      <c r="C416" s="5" t="n"/>
      <c r="D416" s="6" t="n"/>
      <c r="E416" s="7" t="n"/>
      <c r="F416" s="6" t="n"/>
      <c r="G416" s="8">
        <f>IF(B416="","",IFERROR(VLOOKUP(--B416,'CATALOGO CECO'!$A$2:$H$550,2,FALSE),"CECO NO EXISTE"))</f>
        <v/>
      </c>
      <c r="H416" s="8">
        <f>IF(B416="","",IFERROR(VLOOKUP(--B416,'CATALOGO CECO'!$A$2:$H$550,3,FALSE),""))</f>
        <v/>
      </c>
      <c r="I416" s="8">
        <f>IF(B416="","",IFERROR(VLOOKUP(--B416,'CATALOGO CECO'!$A$2:$H$550,5,FALSE),""))</f>
        <v/>
      </c>
      <c r="J416" s="8">
        <f>IF(B416="","",IFERROR(VLOOKUP(--B416,'CATALOGO CECO'!$A$2:$H$550,8,FALSE),""))</f>
        <v/>
      </c>
      <c r="K416" s="8">
        <f>IF(COUNTA(A416:F416)=0,"",IF(OR(LEN(A416)&lt;&gt;7,MID(A416,5,1)&lt;&gt;"-",ISERROR(--LEFT(A416,4)),ISERROR(--RIGHT(A416,2))),"ERROR: PERIODO debe ser AAAA-MM",IF(B416="","ERROR: falta CODIGO CECO",IF(G416="CECO NO EXISTE","ERROR: CECO no existe en el catálogo",IF(C416="","ERROR: falta CUENTA",IF(ISERROR(--C416),"ERROR: CUENTA debe tener solo dígitos",IF(ISERROR(FIND(LEFT(C416,1),"567")),"ERROR: CUENTA fuera de las clases de costo",IF(NOT(ISNUMBER(E416)),"ERROR: VALOR debe ser numérico",IF(E416=0,"AVISO: valor cero (no se carga)",IF(J416&lt;&gt;"ACTIVO","NO SE CARGA: CECO en estado "&amp;J416,"OK"))))))))))</f>
        <v/>
      </c>
    </row>
    <row r="417">
      <c r="A417" s="5" t="n"/>
      <c r="B417" s="6" t="n"/>
      <c r="C417" s="5" t="n"/>
      <c r="D417" s="6" t="n"/>
      <c r="E417" s="7" t="n"/>
      <c r="F417" s="6" t="n"/>
      <c r="G417" s="8">
        <f>IF(B417="","",IFERROR(VLOOKUP(--B417,'CATALOGO CECO'!$A$2:$H$550,2,FALSE),"CECO NO EXISTE"))</f>
        <v/>
      </c>
      <c r="H417" s="8">
        <f>IF(B417="","",IFERROR(VLOOKUP(--B417,'CATALOGO CECO'!$A$2:$H$550,3,FALSE),""))</f>
        <v/>
      </c>
      <c r="I417" s="8">
        <f>IF(B417="","",IFERROR(VLOOKUP(--B417,'CATALOGO CECO'!$A$2:$H$550,5,FALSE),""))</f>
        <v/>
      </c>
      <c r="J417" s="8">
        <f>IF(B417="","",IFERROR(VLOOKUP(--B417,'CATALOGO CECO'!$A$2:$H$550,8,FALSE),""))</f>
        <v/>
      </c>
      <c r="K417" s="8">
        <f>IF(COUNTA(A417:F417)=0,"",IF(OR(LEN(A417)&lt;&gt;7,MID(A417,5,1)&lt;&gt;"-",ISERROR(--LEFT(A417,4)),ISERROR(--RIGHT(A417,2))),"ERROR: PERIODO debe ser AAAA-MM",IF(B417="","ERROR: falta CODIGO CECO",IF(G417="CECO NO EXISTE","ERROR: CECO no existe en el catálogo",IF(C417="","ERROR: falta CUENTA",IF(ISERROR(--C417),"ERROR: CUENTA debe tener solo dígitos",IF(ISERROR(FIND(LEFT(C417,1),"567")),"ERROR: CUENTA fuera de las clases de costo",IF(NOT(ISNUMBER(E417)),"ERROR: VALOR debe ser numérico",IF(E417=0,"AVISO: valor cero (no se carga)",IF(J417&lt;&gt;"ACTIVO","NO SE CARGA: CECO en estado "&amp;J417,"OK"))))))))))</f>
        <v/>
      </c>
    </row>
    <row r="418">
      <c r="A418" s="5" t="n"/>
      <c r="B418" s="6" t="n"/>
      <c r="C418" s="5" t="n"/>
      <c r="D418" s="6" t="n"/>
      <c r="E418" s="7" t="n"/>
      <c r="F418" s="6" t="n"/>
      <c r="G418" s="8">
        <f>IF(B418="","",IFERROR(VLOOKUP(--B418,'CATALOGO CECO'!$A$2:$H$550,2,FALSE),"CECO NO EXISTE"))</f>
        <v/>
      </c>
      <c r="H418" s="8">
        <f>IF(B418="","",IFERROR(VLOOKUP(--B418,'CATALOGO CECO'!$A$2:$H$550,3,FALSE),""))</f>
        <v/>
      </c>
      <c r="I418" s="8">
        <f>IF(B418="","",IFERROR(VLOOKUP(--B418,'CATALOGO CECO'!$A$2:$H$550,5,FALSE),""))</f>
        <v/>
      </c>
      <c r="J418" s="8">
        <f>IF(B418="","",IFERROR(VLOOKUP(--B418,'CATALOGO CECO'!$A$2:$H$550,8,FALSE),""))</f>
        <v/>
      </c>
      <c r="K418" s="8">
        <f>IF(COUNTA(A418:F418)=0,"",IF(OR(LEN(A418)&lt;&gt;7,MID(A418,5,1)&lt;&gt;"-",ISERROR(--LEFT(A418,4)),ISERROR(--RIGHT(A418,2))),"ERROR: PERIODO debe ser AAAA-MM",IF(B418="","ERROR: falta CODIGO CECO",IF(G418="CECO NO EXISTE","ERROR: CECO no existe en el catálogo",IF(C418="","ERROR: falta CUENTA",IF(ISERROR(--C418),"ERROR: CUENTA debe tener solo dígitos",IF(ISERROR(FIND(LEFT(C418,1),"567")),"ERROR: CUENTA fuera de las clases de costo",IF(NOT(ISNUMBER(E418)),"ERROR: VALOR debe ser numérico",IF(E418=0,"AVISO: valor cero (no se carga)",IF(J418&lt;&gt;"ACTIVO","NO SE CARGA: CECO en estado "&amp;J418,"OK"))))))))))</f>
        <v/>
      </c>
    </row>
    <row r="419">
      <c r="A419" s="5" t="n"/>
      <c r="B419" s="6" t="n"/>
      <c r="C419" s="5" t="n"/>
      <c r="D419" s="6" t="n"/>
      <c r="E419" s="7" t="n"/>
      <c r="F419" s="6" t="n"/>
      <c r="G419" s="8">
        <f>IF(B419="","",IFERROR(VLOOKUP(--B419,'CATALOGO CECO'!$A$2:$H$550,2,FALSE),"CECO NO EXISTE"))</f>
        <v/>
      </c>
      <c r="H419" s="8">
        <f>IF(B419="","",IFERROR(VLOOKUP(--B419,'CATALOGO CECO'!$A$2:$H$550,3,FALSE),""))</f>
        <v/>
      </c>
      <c r="I419" s="8">
        <f>IF(B419="","",IFERROR(VLOOKUP(--B419,'CATALOGO CECO'!$A$2:$H$550,5,FALSE),""))</f>
        <v/>
      </c>
      <c r="J419" s="8">
        <f>IF(B419="","",IFERROR(VLOOKUP(--B419,'CATALOGO CECO'!$A$2:$H$550,8,FALSE),""))</f>
        <v/>
      </c>
      <c r="K419" s="8">
        <f>IF(COUNTA(A419:F419)=0,"",IF(OR(LEN(A419)&lt;&gt;7,MID(A419,5,1)&lt;&gt;"-",ISERROR(--LEFT(A419,4)),ISERROR(--RIGHT(A419,2))),"ERROR: PERIODO debe ser AAAA-MM",IF(B419="","ERROR: falta CODIGO CECO",IF(G419="CECO NO EXISTE","ERROR: CECO no existe en el catálogo",IF(C419="","ERROR: falta CUENTA",IF(ISERROR(--C419),"ERROR: CUENTA debe tener solo dígitos",IF(ISERROR(FIND(LEFT(C419,1),"567")),"ERROR: CUENTA fuera de las clases de costo",IF(NOT(ISNUMBER(E419)),"ERROR: VALOR debe ser numérico",IF(E419=0,"AVISO: valor cero (no se carga)",IF(J419&lt;&gt;"ACTIVO","NO SE CARGA: CECO en estado "&amp;J419,"OK"))))))))))</f>
        <v/>
      </c>
    </row>
    <row r="420">
      <c r="A420" s="5" t="n"/>
      <c r="B420" s="6" t="n"/>
      <c r="C420" s="5" t="n"/>
      <c r="D420" s="6" t="n"/>
      <c r="E420" s="7" t="n"/>
      <c r="F420" s="6" t="n"/>
      <c r="G420" s="8">
        <f>IF(B420="","",IFERROR(VLOOKUP(--B420,'CATALOGO CECO'!$A$2:$H$550,2,FALSE),"CECO NO EXISTE"))</f>
        <v/>
      </c>
      <c r="H420" s="8">
        <f>IF(B420="","",IFERROR(VLOOKUP(--B420,'CATALOGO CECO'!$A$2:$H$550,3,FALSE),""))</f>
        <v/>
      </c>
      <c r="I420" s="8">
        <f>IF(B420="","",IFERROR(VLOOKUP(--B420,'CATALOGO CECO'!$A$2:$H$550,5,FALSE),""))</f>
        <v/>
      </c>
      <c r="J420" s="8">
        <f>IF(B420="","",IFERROR(VLOOKUP(--B420,'CATALOGO CECO'!$A$2:$H$550,8,FALSE),""))</f>
        <v/>
      </c>
      <c r="K420" s="8">
        <f>IF(COUNTA(A420:F420)=0,"",IF(OR(LEN(A420)&lt;&gt;7,MID(A420,5,1)&lt;&gt;"-",ISERROR(--LEFT(A420,4)),ISERROR(--RIGHT(A420,2))),"ERROR: PERIODO debe ser AAAA-MM",IF(B420="","ERROR: falta CODIGO CECO",IF(G420="CECO NO EXISTE","ERROR: CECO no existe en el catálogo",IF(C420="","ERROR: falta CUENTA",IF(ISERROR(--C420),"ERROR: CUENTA debe tener solo dígitos",IF(ISERROR(FIND(LEFT(C420,1),"567")),"ERROR: CUENTA fuera de las clases de costo",IF(NOT(ISNUMBER(E420)),"ERROR: VALOR debe ser numérico",IF(E420=0,"AVISO: valor cero (no se carga)",IF(J420&lt;&gt;"ACTIVO","NO SE CARGA: CECO en estado "&amp;J420,"OK"))))))))))</f>
        <v/>
      </c>
    </row>
    <row r="421">
      <c r="A421" s="5" t="n"/>
      <c r="B421" s="6" t="n"/>
      <c r="C421" s="5" t="n"/>
      <c r="D421" s="6" t="n"/>
      <c r="E421" s="7" t="n"/>
      <c r="F421" s="6" t="n"/>
      <c r="G421" s="8">
        <f>IF(B421="","",IFERROR(VLOOKUP(--B421,'CATALOGO CECO'!$A$2:$H$550,2,FALSE),"CECO NO EXISTE"))</f>
        <v/>
      </c>
      <c r="H421" s="8">
        <f>IF(B421="","",IFERROR(VLOOKUP(--B421,'CATALOGO CECO'!$A$2:$H$550,3,FALSE),""))</f>
        <v/>
      </c>
      <c r="I421" s="8">
        <f>IF(B421="","",IFERROR(VLOOKUP(--B421,'CATALOGO CECO'!$A$2:$H$550,5,FALSE),""))</f>
        <v/>
      </c>
      <c r="J421" s="8">
        <f>IF(B421="","",IFERROR(VLOOKUP(--B421,'CATALOGO CECO'!$A$2:$H$550,8,FALSE),""))</f>
        <v/>
      </c>
      <c r="K421" s="8">
        <f>IF(COUNTA(A421:F421)=0,"",IF(OR(LEN(A421)&lt;&gt;7,MID(A421,5,1)&lt;&gt;"-",ISERROR(--LEFT(A421,4)),ISERROR(--RIGHT(A421,2))),"ERROR: PERIODO debe ser AAAA-MM",IF(B421="","ERROR: falta CODIGO CECO",IF(G421="CECO NO EXISTE","ERROR: CECO no existe en el catálogo",IF(C421="","ERROR: falta CUENTA",IF(ISERROR(--C421),"ERROR: CUENTA debe tener solo dígitos",IF(ISERROR(FIND(LEFT(C421,1),"567")),"ERROR: CUENTA fuera de las clases de costo",IF(NOT(ISNUMBER(E421)),"ERROR: VALOR debe ser numérico",IF(E421=0,"AVISO: valor cero (no se carga)",IF(J421&lt;&gt;"ACTIVO","NO SE CARGA: CECO en estado "&amp;J421,"OK"))))))))))</f>
        <v/>
      </c>
    </row>
    <row r="422">
      <c r="A422" s="5" t="n"/>
      <c r="B422" s="6" t="n"/>
      <c r="C422" s="5" t="n"/>
      <c r="D422" s="6" t="n"/>
      <c r="E422" s="7" t="n"/>
      <c r="F422" s="6" t="n"/>
      <c r="G422" s="8">
        <f>IF(B422="","",IFERROR(VLOOKUP(--B422,'CATALOGO CECO'!$A$2:$H$550,2,FALSE),"CECO NO EXISTE"))</f>
        <v/>
      </c>
      <c r="H422" s="8">
        <f>IF(B422="","",IFERROR(VLOOKUP(--B422,'CATALOGO CECO'!$A$2:$H$550,3,FALSE),""))</f>
        <v/>
      </c>
      <c r="I422" s="8">
        <f>IF(B422="","",IFERROR(VLOOKUP(--B422,'CATALOGO CECO'!$A$2:$H$550,5,FALSE),""))</f>
        <v/>
      </c>
      <c r="J422" s="8">
        <f>IF(B422="","",IFERROR(VLOOKUP(--B422,'CATALOGO CECO'!$A$2:$H$550,8,FALSE),""))</f>
        <v/>
      </c>
      <c r="K422" s="8">
        <f>IF(COUNTA(A422:F422)=0,"",IF(OR(LEN(A422)&lt;&gt;7,MID(A422,5,1)&lt;&gt;"-",ISERROR(--LEFT(A422,4)),ISERROR(--RIGHT(A422,2))),"ERROR: PERIODO debe ser AAAA-MM",IF(B422="","ERROR: falta CODIGO CECO",IF(G422="CECO NO EXISTE","ERROR: CECO no existe en el catálogo",IF(C422="","ERROR: falta CUENTA",IF(ISERROR(--C422),"ERROR: CUENTA debe tener solo dígitos",IF(ISERROR(FIND(LEFT(C422,1),"567")),"ERROR: CUENTA fuera de las clases de costo",IF(NOT(ISNUMBER(E422)),"ERROR: VALOR debe ser numérico",IF(E422=0,"AVISO: valor cero (no se carga)",IF(J422&lt;&gt;"ACTIVO","NO SE CARGA: CECO en estado "&amp;J422,"OK"))))))))))</f>
        <v/>
      </c>
    </row>
    <row r="423">
      <c r="A423" s="5" t="n"/>
      <c r="B423" s="6" t="n"/>
      <c r="C423" s="5" t="n"/>
      <c r="D423" s="6" t="n"/>
      <c r="E423" s="7" t="n"/>
      <c r="F423" s="6" t="n"/>
      <c r="G423" s="8">
        <f>IF(B423="","",IFERROR(VLOOKUP(--B423,'CATALOGO CECO'!$A$2:$H$550,2,FALSE),"CECO NO EXISTE"))</f>
        <v/>
      </c>
      <c r="H423" s="8">
        <f>IF(B423="","",IFERROR(VLOOKUP(--B423,'CATALOGO CECO'!$A$2:$H$550,3,FALSE),""))</f>
        <v/>
      </c>
      <c r="I423" s="8">
        <f>IF(B423="","",IFERROR(VLOOKUP(--B423,'CATALOGO CECO'!$A$2:$H$550,5,FALSE),""))</f>
        <v/>
      </c>
      <c r="J423" s="8">
        <f>IF(B423="","",IFERROR(VLOOKUP(--B423,'CATALOGO CECO'!$A$2:$H$550,8,FALSE),""))</f>
        <v/>
      </c>
      <c r="K423" s="8">
        <f>IF(COUNTA(A423:F423)=0,"",IF(OR(LEN(A423)&lt;&gt;7,MID(A423,5,1)&lt;&gt;"-",ISERROR(--LEFT(A423,4)),ISERROR(--RIGHT(A423,2))),"ERROR: PERIODO debe ser AAAA-MM",IF(B423="","ERROR: falta CODIGO CECO",IF(G423="CECO NO EXISTE","ERROR: CECO no existe en el catálogo",IF(C423="","ERROR: falta CUENTA",IF(ISERROR(--C423),"ERROR: CUENTA debe tener solo dígitos",IF(ISERROR(FIND(LEFT(C423,1),"567")),"ERROR: CUENTA fuera de las clases de costo",IF(NOT(ISNUMBER(E423)),"ERROR: VALOR debe ser numérico",IF(E423=0,"AVISO: valor cero (no se carga)",IF(J423&lt;&gt;"ACTIVO","NO SE CARGA: CECO en estado "&amp;J423,"OK"))))))))))</f>
        <v/>
      </c>
    </row>
    <row r="424">
      <c r="A424" s="5" t="n"/>
      <c r="B424" s="6" t="n"/>
      <c r="C424" s="5" t="n"/>
      <c r="D424" s="6" t="n"/>
      <c r="E424" s="7" t="n"/>
      <c r="F424" s="6" t="n"/>
      <c r="G424" s="8">
        <f>IF(B424="","",IFERROR(VLOOKUP(--B424,'CATALOGO CECO'!$A$2:$H$550,2,FALSE),"CECO NO EXISTE"))</f>
        <v/>
      </c>
      <c r="H424" s="8">
        <f>IF(B424="","",IFERROR(VLOOKUP(--B424,'CATALOGO CECO'!$A$2:$H$550,3,FALSE),""))</f>
        <v/>
      </c>
      <c r="I424" s="8">
        <f>IF(B424="","",IFERROR(VLOOKUP(--B424,'CATALOGO CECO'!$A$2:$H$550,5,FALSE),""))</f>
        <v/>
      </c>
      <c r="J424" s="8">
        <f>IF(B424="","",IFERROR(VLOOKUP(--B424,'CATALOGO CECO'!$A$2:$H$550,8,FALSE),""))</f>
        <v/>
      </c>
      <c r="K424" s="8">
        <f>IF(COUNTA(A424:F424)=0,"",IF(OR(LEN(A424)&lt;&gt;7,MID(A424,5,1)&lt;&gt;"-",ISERROR(--LEFT(A424,4)),ISERROR(--RIGHT(A424,2))),"ERROR: PERIODO debe ser AAAA-MM",IF(B424="","ERROR: falta CODIGO CECO",IF(G424="CECO NO EXISTE","ERROR: CECO no existe en el catálogo",IF(C424="","ERROR: falta CUENTA",IF(ISERROR(--C424),"ERROR: CUENTA debe tener solo dígitos",IF(ISERROR(FIND(LEFT(C424,1),"567")),"ERROR: CUENTA fuera de las clases de costo",IF(NOT(ISNUMBER(E424)),"ERROR: VALOR debe ser numérico",IF(E424=0,"AVISO: valor cero (no se carga)",IF(J424&lt;&gt;"ACTIVO","NO SE CARGA: CECO en estado "&amp;J424,"OK"))))))))))</f>
        <v/>
      </c>
    </row>
    <row r="425">
      <c r="A425" s="5" t="n"/>
      <c r="B425" s="6" t="n"/>
      <c r="C425" s="5" t="n"/>
      <c r="D425" s="6" t="n"/>
      <c r="E425" s="7" t="n"/>
      <c r="F425" s="6" t="n"/>
      <c r="G425" s="8">
        <f>IF(B425="","",IFERROR(VLOOKUP(--B425,'CATALOGO CECO'!$A$2:$H$550,2,FALSE),"CECO NO EXISTE"))</f>
        <v/>
      </c>
      <c r="H425" s="8">
        <f>IF(B425="","",IFERROR(VLOOKUP(--B425,'CATALOGO CECO'!$A$2:$H$550,3,FALSE),""))</f>
        <v/>
      </c>
      <c r="I425" s="8">
        <f>IF(B425="","",IFERROR(VLOOKUP(--B425,'CATALOGO CECO'!$A$2:$H$550,5,FALSE),""))</f>
        <v/>
      </c>
      <c r="J425" s="8">
        <f>IF(B425="","",IFERROR(VLOOKUP(--B425,'CATALOGO CECO'!$A$2:$H$550,8,FALSE),""))</f>
        <v/>
      </c>
      <c r="K425" s="8">
        <f>IF(COUNTA(A425:F425)=0,"",IF(OR(LEN(A425)&lt;&gt;7,MID(A425,5,1)&lt;&gt;"-",ISERROR(--LEFT(A425,4)),ISERROR(--RIGHT(A425,2))),"ERROR: PERIODO debe ser AAAA-MM",IF(B425="","ERROR: falta CODIGO CECO",IF(G425="CECO NO EXISTE","ERROR: CECO no existe en el catálogo",IF(C425="","ERROR: falta CUENTA",IF(ISERROR(--C425),"ERROR: CUENTA debe tener solo dígitos",IF(ISERROR(FIND(LEFT(C425,1),"567")),"ERROR: CUENTA fuera de las clases de costo",IF(NOT(ISNUMBER(E425)),"ERROR: VALOR debe ser numérico",IF(E425=0,"AVISO: valor cero (no se carga)",IF(J425&lt;&gt;"ACTIVO","NO SE CARGA: CECO en estado "&amp;J425,"OK"))))))))))</f>
        <v/>
      </c>
    </row>
    <row r="426">
      <c r="A426" s="5" t="n"/>
      <c r="B426" s="6" t="n"/>
      <c r="C426" s="5" t="n"/>
      <c r="D426" s="6" t="n"/>
      <c r="E426" s="7" t="n"/>
      <c r="F426" s="6" t="n"/>
      <c r="G426" s="8">
        <f>IF(B426="","",IFERROR(VLOOKUP(--B426,'CATALOGO CECO'!$A$2:$H$550,2,FALSE),"CECO NO EXISTE"))</f>
        <v/>
      </c>
      <c r="H426" s="8">
        <f>IF(B426="","",IFERROR(VLOOKUP(--B426,'CATALOGO CECO'!$A$2:$H$550,3,FALSE),""))</f>
        <v/>
      </c>
      <c r="I426" s="8">
        <f>IF(B426="","",IFERROR(VLOOKUP(--B426,'CATALOGO CECO'!$A$2:$H$550,5,FALSE),""))</f>
        <v/>
      </c>
      <c r="J426" s="8">
        <f>IF(B426="","",IFERROR(VLOOKUP(--B426,'CATALOGO CECO'!$A$2:$H$550,8,FALSE),""))</f>
        <v/>
      </c>
      <c r="K426" s="8">
        <f>IF(COUNTA(A426:F426)=0,"",IF(OR(LEN(A426)&lt;&gt;7,MID(A426,5,1)&lt;&gt;"-",ISERROR(--LEFT(A426,4)),ISERROR(--RIGHT(A426,2))),"ERROR: PERIODO debe ser AAAA-MM",IF(B426="","ERROR: falta CODIGO CECO",IF(G426="CECO NO EXISTE","ERROR: CECO no existe en el catálogo",IF(C426="","ERROR: falta CUENTA",IF(ISERROR(--C426),"ERROR: CUENTA debe tener solo dígitos",IF(ISERROR(FIND(LEFT(C426,1),"567")),"ERROR: CUENTA fuera de las clases de costo",IF(NOT(ISNUMBER(E426)),"ERROR: VALOR debe ser numérico",IF(E426=0,"AVISO: valor cero (no se carga)",IF(J426&lt;&gt;"ACTIVO","NO SE CARGA: CECO en estado "&amp;J426,"OK"))))))))))</f>
        <v/>
      </c>
    </row>
    <row r="427">
      <c r="A427" s="5" t="n"/>
      <c r="B427" s="6" t="n"/>
      <c r="C427" s="5" t="n"/>
      <c r="D427" s="6" t="n"/>
      <c r="E427" s="7" t="n"/>
      <c r="F427" s="6" t="n"/>
      <c r="G427" s="8">
        <f>IF(B427="","",IFERROR(VLOOKUP(--B427,'CATALOGO CECO'!$A$2:$H$550,2,FALSE),"CECO NO EXISTE"))</f>
        <v/>
      </c>
      <c r="H427" s="8">
        <f>IF(B427="","",IFERROR(VLOOKUP(--B427,'CATALOGO CECO'!$A$2:$H$550,3,FALSE),""))</f>
        <v/>
      </c>
      <c r="I427" s="8">
        <f>IF(B427="","",IFERROR(VLOOKUP(--B427,'CATALOGO CECO'!$A$2:$H$550,5,FALSE),""))</f>
        <v/>
      </c>
      <c r="J427" s="8">
        <f>IF(B427="","",IFERROR(VLOOKUP(--B427,'CATALOGO CECO'!$A$2:$H$550,8,FALSE),""))</f>
        <v/>
      </c>
      <c r="K427" s="8">
        <f>IF(COUNTA(A427:F427)=0,"",IF(OR(LEN(A427)&lt;&gt;7,MID(A427,5,1)&lt;&gt;"-",ISERROR(--LEFT(A427,4)),ISERROR(--RIGHT(A427,2))),"ERROR: PERIODO debe ser AAAA-MM",IF(B427="","ERROR: falta CODIGO CECO",IF(G427="CECO NO EXISTE","ERROR: CECO no existe en el catálogo",IF(C427="","ERROR: falta CUENTA",IF(ISERROR(--C427),"ERROR: CUENTA debe tener solo dígitos",IF(ISERROR(FIND(LEFT(C427,1),"567")),"ERROR: CUENTA fuera de las clases de costo",IF(NOT(ISNUMBER(E427)),"ERROR: VALOR debe ser numérico",IF(E427=0,"AVISO: valor cero (no se carga)",IF(J427&lt;&gt;"ACTIVO","NO SE CARGA: CECO en estado "&amp;J427,"OK"))))))))))</f>
        <v/>
      </c>
    </row>
    <row r="428">
      <c r="A428" s="5" t="n"/>
      <c r="B428" s="6" t="n"/>
      <c r="C428" s="5" t="n"/>
      <c r="D428" s="6" t="n"/>
      <c r="E428" s="7" t="n"/>
      <c r="F428" s="6" t="n"/>
      <c r="G428" s="8">
        <f>IF(B428="","",IFERROR(VLOOKUP(--B428,'CATALOGO CECO'!$A$2:$H$550,2,FALSE),"CECO NO EXISTE"))</f>
        <v/>
      </c>
      <c r="H428" s="8">
        <f>IF(B428="","",IFERROR(VLOOKUP(--B428,'CATALOGO CECO'!$A$2:$H$550,3,FALSE),""))</f>
        <v/>
      </c>
      <c r="I428" s="8">
        <f>IF(B428="","",IFERROR(VLOOKUP(--B428,'CATALOGO CECO'!$A$2:$H$550,5,FALSE),""))</f>
        <v/>
      </c>
      <c r="J428" s="8">
        <f>IF(B428="","",IFERROR(VLOOKUP(--B428,'CATALOGO CECO'!$A$2:$H$550,8,FALSE),""))</f>
        <v/>
      </c>
      <c r="K428" s="8">
        <f>IF(COUNTA(A428:F428)=0,"",IF(OR(LEN(A428)&lt;&gt;7,MID(A428,5,1)&lt;&gt;"-",ISERROR(--LEFT(A428,4)),ISERROR(--RIGHT(A428,2))),"ERROR: PERIODO debe ser AAAA-MM",IF(B428="","ERROR: falta CODIGO CECO",IF(G428="CECO NO EXISTE","ERROR: CECO no existe en el catálogo",IF(C428="","ERROR: falta CUENTA",IF(ISERROR(--C428),"ERROR: CUENTA debe tener solo dígitos",IF(ISERROR(FIND(LEFT(C428,1),"567")),"ERROR: CUENTA fuera de las clases de costo",IF(NOT(ISNUMBER(E428)),"ERROR: VALOR debe ser numérico",IF(E428=0,"AVISO: valor cero (no se carga)",IF(J428&lt;&gt;"ACTIVO","NO SE CARGA: CECO en estado "&amp;J428,"OK"))))))))))</f>
        <v/>
      </c>
    </row>
    <row r="429">
      <c r="A429" s="5" t="n"/>
      <c r="B429" s="6" t="n"/>
      <c r="C429" s="5" t="n"/>
      <c r="D429" s="6" t="n"/>
      <c r="E429" s="7" t="n"/>
      <c r="F429" s="6" t="n"/>
      <c r="G429" s="8">
        <f>IF(B429="","",IFERROR(VLOOKUP(--B429,'CATALOGO CECO'!$A$2:$H$550,2,FALSE),"CECO NO EXISTE"))</f>
        <v/>
      </c>
      <c r="H429" s="8">
        <f>IF(B429="","",IFERROR(VLOOKUP(--B429,'CATALOGO CECO'!$A$2:$H$550,3,FALSE),""))</f>
        <v/>
      </c>
      <c r="I429" s="8">
        <f>IF(B429="","",IFERROR(VLOOKUP(--B429,'CATALOGO CECO'!$A$2:$H$550,5,FALSE),""))</f>
        <v/>
      </c>
      <c r="J429" s="8">
        <f>IF(B429="","",IFERROR(VLOOKUP(--B429,'CATALOGO CECO'!$A$2:$H$550,8,FALSE),""))</f>
        <v/>
      </c>
      <c r="K429" s="8">
        <f>IF(COUNTA(A429:F429)=0,"",IF(OR(LEN(A429)&lt;&gt;7,MID(A429,5,1)&lt;&gt;"-",ISERROR(--LEFT(A429,4)),ISERROR(--RIGHT(A429,2))),"ERROR: PERIODO debe ser AAAA-MM",IF(B429="","ERROR: falta CODIGO CECO",IF(G429="CECO NO EXISTE","ERROR: CECO no existe en el catálogo",IF(C429="","ERROR: falta CUENTA",IF(ISERROR(--C429),"ERROR: CUENTA debe tener solo dígitos",IF(ISERROR(FIND(LEFT(C429,1),"567")),"ERROR: CUENTA fuera de las clases de costo",IF(NOT(ISNUMBER(E429)),"ERROR: VALOR debe ser numérico",IF(E429=0,"AVISO: valor cero (no se carga)",IF(J429&lt;&gt;"ACTIVO","NO SE CARGA: CECO en estado "&amp;J429,"OK"))))))))))</f>
        <v/>
      </c>
    </row>
    <row r="430">
      <c r="A430" s="5" t="n"/>
      <c r="B430" s="6" t="n"/>
      <c r="C430" s="5" t="n"/>
      <c r="D430" s="6" t="n"/>
      <c r="E430" s="7" t="n"/>
      <c r="F430" s="6" t="n"/>
      <c r="G430" s="8">
        <f>IF(B430="","",IFERROR(VLOOKUP(--B430,'CATALOGO CECO'!$A$2:$H$550,2,FALSE),"CECO NO EXISTE"))</f>
        <v/>
      </c>
      <c r="H430" s="8">
        <f>IF(B430="","",IFERROR(VLOOKUP(--B430,'CATALOGO CECO'!$A$2:$H$550,3,FALSE),""))</f>
        <v/>
      </c>
      <c r="I430" s="8">
        <f>IF(B430="","",IFERROR(VLOOKUP(--B430,'CATALOGO CECO'!$A$2:$H$550,5,FALSE),""))</f>
        <v/>
      </c>
      <c r="J430" s="8">
        <f>IF(B430="","",IFERROR(VLOOKUP(--B430,'CATALOGO CECO'!$A$2:$H$550,8,FALSE),""))</f>
        <v/>
      </c>
      <c r="K430" s="8">
        <f>IF(COUNTA(A430:F430)=0,"",IF(OR(LEN(A430)&lt;&gt;7,MID(A430,5,1)&lt;&gt;"-",ISERROR(--LEFT(A430,4)),ISERROR(--RIGHT(A430,2))),"ERROR: PERIODO debe ser AAAA-MM",IF(B430="","ERROR: falta CODIGO CECO",IF(G430="CECO NO EXISTE","ERROR: CECO no existe en el catálogo",IF(C430="","ERROR: falta CUENTA",IF(ISERROR(--C430),"ERROR: CUENTA debe tener solo dígitos",IF(ISERROR(FIND(LEFT(C430,1),"567")),"ERROR: CUENTA fuera de las clases de costo",IF(NOT(ISNUMBER(E430)),"ERROR: VALOR debe ser numérico",IF(E430=0,"AVISO: valor cero (no se carga)",IF(J430&lt;&gt;"ACTIVO","NO SE CARGA: CECO en estado "&amp;J430,"OK"))))))))))</f>
        <v/>
      </c>
    </row>
    <row r="431">
      <c r="A431" s="5" t="n"/>
      <c r="B431" s="6" t="n"/>
      <c r="C431" s="5" t="n"/>
      <c r="D431" s="6" t="n"/>
      <c r="E431" s="7" t="n"/>
      <c r="F431" s="6" t="n"/>
      <c r="G431" s="8">
        <f>IF(B431="","",IFERROR(VLOOKUP(--B431,'CATALOGO CECO'!$A$2:$H$550,2,FALSE),"CECO NO EXISTE"))</f>
        <v/>
      </c>
      <c r="H431" s="8">
        <f>IF(B431="","",IFERROR(VLOOKUP(--B431,'CATALOGO CECO'!$A$2:$H$550,3,FALSE),""))</f>
        <v/>
      </c>
      <c r="I431" s="8">
        <f>IF(B431="","",IFERROR(VLOOKUP(--B431,'CATALOGO CECO'!$A$2:$H$550,5,FALSE),""))</f>
        <v/>
      </c>
      <c r="J431" s="8">
        <f>IF(B431="","",IFERROR(VLOOKUP(--B431,'CATALOGO CECO'!$A$2:$H$550,8,FALSE),""))</f>
        <v/>
      </c>
      <c r="K431" s="8">
        <f>IF(COUNTA(A431:F431)=0,"",IF(OR(LEN(A431)&lt;&gt;7,MID(A431,5,1)&lt;&gt;"-",ISERROR(--LEFT(A431,4)),ISERROR(--RIGHT(A431,2))),"ERROR: PERIODO debe ser AAAA-MM",IF(B431="","ERROR: falta CODIGO CECO",IF(G431="CECO NO EXISTE","ERROR: CECO no existe en el catálogo",IF(C431="","ERROR: falta CUENTA",IF(ISERROR(--C431),"ERROR: CUENTA debe tener solo dígitos",IF(ISERROR(FIND(LEFT(C431,1),"567")),"ERROR: CUENTA fuera de las clases de costo",IF(NOT(ISNUMBER(E431)),"ERROR: VALOR debe ser numérico",IF(E431=0,"AVISO: valor cero (no se carga)",IF(J431&lt;&gt;"ACTIVO","NO SE CARGA: CECO en estado "&amp;J431,"OK"))))))))))</f>
        <v/>
      </c>
    </row>
    <row r="432">
      <c r="A432" s="5" t="n"/>
      <c r="B432" s="6" t="n"/>
      <c r="C432" s="5" t="n"/>
      <c r="D432" s="6" t="n"/>
      <c r="E432" s="7" t="n"/>
      <c r="F432" s="6" t="n"/>
      <c r="G432" s="8">
        <f>IF(B432="","",IFERROR(VLOOKUP(--B432,'CATALOGO CECO'!$A$2:$H$550,2,FALSE),"CECO NO EXISTE"))</f>
        <v/>
      </c>
      <c r="H432" s="8">
        <f>IF(B432="","",IFERROR(VLOOKUP(--B432,'CATALOGO CECO'!$A$2:$H$550,3,FALSE),""))</f>
        <v/>
      </c>
      <c r="I432" s="8">
        <f>IF(B432="","",IFERROR(VLOOKUP(--B432,'CATALOGO CECO'!$A$2:$H$550,5,FALSE),""))</f>
        <v/>
      </c>
      <c r="J432" s="8">
        <f>IF(B432="","",IFERROR(VLOOKUP(--B432,'CATALOGO CECO'!$A$2:$H$550,8,FALSE),""))</f>
        <v/>
      </c>
      <c r="K432" s="8">
        <f>IF(COUNTA(A432:F432)=0,"",IF(OR(LEN(A432)&lt;&gt;7,MID(A432,5,1)&lt;&gt;"-",ISERROR(--LEFT(A432,4)),ISERROR(--RIGHT(A432,2))),"ERROR: PERIODO debe ser AAAA-MM",IF(B432="","ERROR: falta CODIGO CECO",IF(G432="CECO NO EXISTE","ERROR: CECO no existe en el catálogo",IF(C432="","ERROR: falta CUENTA",IF(ISERROR(--C432),"ERROR: CUENTA debe tener solo dígitos",IF(ISERROR(FIND(LEFT(C432,1),"567")),"ERROR: CUENTA fuera de las clases de costo",IF(NOT(ISNUMBER(E432)),"ERROR: VALOR debe ser numérico",IF(E432=0,"AVISO: valor cero (no se carga)",IF(J432&lt;&gt;"ACTIVO","NO SE CARGA: CECO en estado "&amp;J432,"OK"))))))))))</f>
        <v/>
      </c>
    </row>
    <row r="433">
      <c r="A433" s="5" t="n"/>
      <c r="B433" s="6" t="n"/>
      <c r="C433" s="5" t="n"/>
      <c r="D433" s="6" t="n"/>
      <c r="E433" s="7" t="n"/>
      <c r="F433" s="6" t="n"/>
      <c r="G433" s="8">
        <f>IF(B433="","",IFERROR(VLOOKUP(--B433,'CATALOGO CECO'!$A$2:$H$550,2,FALSE),"CECO NO EXISTE"))</f>
        <v/>
      </c>
      <c r="H433" s="8">
        <f>IF(B433="","",IFERROR(VLOOKUP(--B433,'CATALOGO CECO'!$A$2:$H$550,3,FALSE),""))</f>
        <v/>
      </c>
      <c r="I433" s="8">
        <f>IF(B433="","",IFERROR(VLOOKUP(--B433,'CATALOGO CECO'!$A$2:$H$550,5,FALSE),""))</f>
        <v/>
      </c>
      <c r="J433" s="8">
        <f>IF(B433="","",IFERROR(VLOOKUP(--B433,'CATALOGO CECO'!$A$2:$H$550,8,FALSE),""))</f>
        <v/>
      </c>
      <c r="K433" s="8">
        <f>IF(COUNTA(A433:F433)=0,"",IF(OR(LEN(A433)&lt;&gt;7,MID(A433,5,1)&lt;&gt;"-",ISERROR(--LEFT(A433,4)),ISERROR(--RIGHT(A433,2))),"ERROR: PERIODO debe ser AAAA-MM",IF(B433="","ERROR: falta CODIGO CECO",IF(G433="CECO NO EXISTE","ERROR: CECO no existe en el catálogo",IF(C433="","ERROR: falta CUENTA",IF(ISERROR(--C433),"ERROR: CUENTA debe tener solo dígitos",IF(ISERROR(FIND(LEFT(C433,1),"567")),"ERROR: CUENTA fuera de las clases de costo",IF(NOT(ISNUMBER(E433)),"ERROR: VALOR debe ser numérico",IF(E433=0,"AVISO: valor cero (no se carga)",IF(J433&lt;&gt;"ACTIVO","NO SE CARGA: CECO en estado "&amp;J433,"OK"))))))))))</f>
        <v/>
      </c>
    </row>
    <row r="434">
      <c r="A434" s="5" t="n"/>
      <c r="B434" s="6" t="n"/>
      <c r="C434" s="5" t="n"/>
      <c r="D434" s="6" t="n"/>
      <c r="E434" s="7" t="n"/>
      <c r="F434" s="6" t="n"/>
      <c r="G434" s="8">
        <f>IF(B434="","",IFERROR(VLOOKUP(--B434,'CATALOGO CECO'!$A$2:$H$550,2,FALSE),"CECO NO EXISTE"))</f>
        <v/>
      </c>
      <c r="H434" s="8">
        <f>IF(B434="","",IFERROR(VLOOKUP(--B434,'CATALOGO CECO'!$A$2:$H$550,3,FALSE),""))</f>
        <v/>
      </c>
      <c r="I434" s="8">
        <f>IF(B434="","",IFERROR(VLOOKUP(--B434,'CATALOGO CECO'!$A$2:$H$550,5,FALSE),""))</f>
        <v/>
      </c>
      <c r="J434" s="8">
        <f>IF(B434="","",IFERROR(VLOOKUP(--B434,'CATALOGO CECO'!$A$2:$H$550,8,FALSE),""))</f>
        <v/>
      </c>
      <c r="K434" s="8">
        <f>IF(COUNTA(A434:F434)=0,"",IF(OR(LEN(A434)&lt;&gt;7,MID(A434,5,1)&lt;&gt;"-",ISERROR(--LEFT(A434,4)),ISERROR(--RIGHT(A434,2))),"ERROR: PERIODO debe ser AAAA-MM",IF(B434="","ERROR: falta CODIGO CECO",IF(G434="CECO NO EXISTE","ERROR: CECO no existe en el catálogo",IF(C434="","ERROR: falta CUENTA",IF(ISERROR(--C434),"ERROR: CUENTA debe tener solo dígitos",IF(ISERROR(FIND(LEFT(C434,1),"567")),"ERROR: CUENTA fuera de las clases de costo",IF(NOT(ISNUMBER(E434)),"ERROR: VALOR debe ser numérico",IF(E434=0,"AVISO: valor cero (no se carga)",IF(J434&lt;&gt;"ACTIVO","NO SE CARGA: CECO en estado "&amp;J434,"OK"))))))))))</f>
        <v/>
      </c>
    </row>
    <row r="435">
      <c r="A435" s="5" t="n"/>
      <c r="B435" s="6" t="n"/>
      <c r="C435" s="5" t="n"/>
      <c r="D435" s="6" t="n"/>
      <c r="E435" s="7" t="n"/>
      <c r="F435" s="6" t="n"/>
      <c r="G435" s="8">
        <f>IF(B435="","",IFERROR(VLOOKUP(--B435,'CATALOGO CECO'!$A$2:$H$550,2,FALSE),"CECO NO EXISTE"))</f>
        <v/>
      </c>
      <c r="H435" s="8">
        <f>IF(B435="","",IFERROR(VLOOKUP(--B435,'CATALOGO CECO'!$A$2:$H$550,3,FALSE),""))</f>
        <v/>
      </c>
      <c r="I435" s="8">
        <f>IF(B435="","",IFERROR(VLOOKUP(--B435,'CATALOGO CECO'!$A$2:$H$550,5,FALSE),""))</f>
        <v/>
      </c>
      <c r="J435" s="8">
        <f>IF(B435="","",IFERROR(VLOOKUP(--B435,'CATALOGO CECO'!$A$2:$H$550,8,FALSE),""))</f>
        <v/>
      </c>
      <c r="K435" s="8">
        <f>IF(COUNTA(A435:F435)=0,"",IF(OR(LEN(A435)&lt;&gt;7,MID(A435,5,1)&lt;&gt;"-",ISERROR(--LEFT(A435,4)),ISERROR(--RIGHT(A435,2))),"ERROR: PERIODO debe ser AAAA-MM",IF(B435="","ERROR: falta CODIGO CECO",IF(G435="CECO NO EXISTE","ERROR: CECO no existe en el catálogo",IF(C435="","ERROR: falta CUENTA",IF(ISERROR(--C435),"ERROR: CUENTA debe tener solo dígitos",IF(ISERROR(FIND(LEFT(C435,1),"567")),"ERROR: CUENTA fuera de las clases de costo",IF(NOT(ISNUMBER(E435)),"ERROR: VALOR debe ser numérico",IF(E435=0,"AVISO: valor cero (no se carga)",IF(J435&lt;&gt;"ACTIVO","NO SE CARGA: CECO en estado "&amp;J435,"OK"))))))))))</f>
        <v/>
      </c>
    </row>
    <row r="436">
      <c r="A436" s="5" t="n"/>
      <c r="B436" s="6" t="n"/>
      <c r="C436" s="5" t="n"/>
      <c r="D436" s="6" t="n"/>
      <c r="E436" s="7" t="n"/>
      <c r="F436" s="6" t="n"/>
      <c r="G436" s="8">
        <f>IF(B436="","",IFERROR(VLOOKUP(--B436,'CATALOGO CECO'!$A$2:$H$550,2,FALSE),"CECO NO EXISTE"))</f>
        <v/>
      </c>
      <c r="H436" s="8">
        <f>IF(B436="","",IFERROR(VLOOKUP(--B436,'CATALOGO CECO'!$A$2:$H$550,3,FALSE),""))</f>
        <v/>
      </c>
      <c r="I436" s="8">
        <f>IF(B436="","",IFERROR(VLOOKUP(--B436,'CATALOGO CECO'!$A$2:$H$550,5,FALSE),""))</f>
        <v/>
      </c>
      <c r="J436" s="8">
        <f>IF(B436="","",IFERROR(VLOOKUP(--B436,'CATALOGO CECO'!$A$2:$H$550,8,FALSE),""))</f>
        <v/>
      </c>
      <c r="K436" s="8">
        <f>IF(COUNTA(A436:F436)=0,"",IF(OR(LEN(A436)&lt;&gt;7,MID(A436,5,1)&lt;&gt;"-",ISERROR(--LEFT(A436,4)),ISERROR(--RIGHT(A436,2))),"ERROR: PERIODO debe ser AAAA-MM",IF(B436="","ERROR: falta CODIGO CECO",IF(G436="CECO NO EXISTE","ERROR: CECO no existe en el catálogo",IF(C436="","ERROR: falta CUENTA",IF(ISERROR(--C436),"ERROR: CUENTA debe tener solo dígitos",IF(ISERROR(FIND(LEFT(C436,1),"567")),"ERROR: CUENTA fuera de las clases de costo",IF(NOT(ISNUMBER(E436)),"ERROR: VALOR debe ser numérico",IF(E436=0,"AVISO: valor cero (no se carga)",IF(J436&lt;&gt;"ACTIVO","NO SE CARGA: CECO en estado "&amp;J436,"OK"))))))))))</f>
        <v/>
      </c>
    </row>
    <row r="437">
      <c r="A437" s="5" t="n"/>
      <c r="B437" s="6" t="n"/>
      <c r="C437" s="5" t="n"/>
      <c r="D437" s="6" t="n"/>
      <c r="E437" s="7" t="n"/>
      <c r="F437" s="6" t="n"/>
      <c r="G437" s="8">
        <f>IF(B437="","",IFERROR(VLOOKUP(--B437,'CATALOGO CECO'!$A$2:$H$550,2,FALSE),"CECO NO EXISTE"))</f>
        <v/>
      </c>
      <c r="H437" s="8">
        <f>IF(B437="","",IFERROR(VLOOKUP(--B437,'CATALOGO CECO'!$A$2:$H$550,3,FALSE),""))</f>
        <v/>
      </c>
      <c r="I437" s="8">
        <f>IF(B437="","",IFERROR(VLOOKUP(--B437,'CATALOGO CECO'!$A$2:$H$550,5,FALSE),""))</f>
        <v/>
      </c>
      <c r="J437" s="8">
        <f>IF(B437="","",IFERROR(VLOOKUP(--B437,'CATALOGO CECO'!$A$2:$H$550,8,FALSE),""))</f>
        <v/>
      </c>
      <c r="K437" s="8">
        <f>IF(COUNTA(A437:F437)=0,"",IF(OR(LEN(A437)&lt;&gt;7,MID(A437,5,1)&lt;&gt;"-",ISERROR(--LEFT(A437,4)),ISERROR(--RIGHT(A437,2))),"ERROR: PERIODO debe ser AAAA-MM",IF(B437="","ERROR: falta CODIGO CECO",IF(G437="CECO NO EXISTE","ERROR: CECO no existe en el catálogo",IF(C437="","ERROR: falta CUENTA",IF(ISERROR(--C437),"ERROR: CUENTA debe tener solo dígitos",IF(ISERROR(FIND(LEFT(C437,1),"567")),"ERROR: CUENTA fuera de las clases de costo",IF(NOT(ISNUMBER(E437)),"ERROR: VALOR debe ser numérico",IF(E437=0,"AVISO: valor cero (no se carga)",IF(J437&lt;&gt;"ACTIVO","NO SE CARGA: CECO en estado "&amp;J437,"OK"))))))))))</f>
        <v/>
      </c>
    </row>
    <row r="438">
      <c r="A438" s="5" t="n"/>
      <c r="B438" s="6" t="n"/>
      <c r="C438" s="5" t="n"/>
      <c r="D438" s="6" t="n"/>
      <c r="E438" s="7" t="n"/>
      <c r="F438" s="6" t="n"/>
      <c r="G438" s="8">
        <f>IF(B438="","",IFERROR(VLOOKUP(--B438,'CATALOGO CECO'!$A$2:$H$550,2,FALSE),"CECO NO EXISTE"))</f>
        <v/>
      </c>
      <c r="H438" s="8">
        <f>IF(B438="","",IFERROR(VLOOKUP(--B438,'CATALOGO CECO'!$A$2:$H$550,3,FALSE),""))</f>
        <v/>
      </c>
      <c r="I438" s="8">
        <f>IF(B438="","",IFERROR(VLOOKUP(--B438,'CATALOGO CECO'!$A$2:$H$550,5,FALSE),""))</f>
        <v/>
      </c>
      <c r="J438" s="8">
        <f>IF(B438="","",IFERROR(VLOOKUP(--B438,'CATALOGO CECO'!$A$2:$H$550,8,FALSE),""))</f>
        <v/>
      </c>
      <c r="K438" s="8">
        <f>IF(COUNTA(A438:F438)=0,"",IF(OR(LEN(A438)&lt;&gt;7,MID(A438,5,1)&lt;&gt;"-",ISERROR(--LEFT(A438,4)),ISERROR(--RIGHT(A438,2))),"ERROR: PERIODO debe ser AAAA-MM",IF(B438="","ERROR: falta CODIGO CECO",IF(G438="CECO NO EXISTE","ERROR: CECO no existe en el catálogo",IF(C438="","ERROR: falta CUENTA",IF(ISERROR(--C438),"ERROR: CUENTA debe tener solo dígitos",IF(ISERROR(FIND(LEFT(C438,1),"567")),"ERROR: CUENTA fuera de las clases de costo",IF(NOT(ISNUMBER(E438)),"ERROR: VALOR debe ser numérico",IF(E438=0,"AVISO: valor cero (no se carga)",IF(J438&lt;&gt;"ACTIVO","NO SE CARGA: CECO en estado "&amp;J438,"OK"))))))))))</f>
        <v/>
      </c>
    </row>
    <row r="439">
      <c r="A439" s="5" t="n"/>
      <c r="B439" s="6" t="n"/>
      <c r="C439" s="5" t="n"/>
      <c r="D439" s="6" t="n"/>
      <c r="E439" s="7" t="n"/>
      <c r="F439" s="6" t="n"/>
      <c r="G439" s="8">
        <f>IF(B439="","",IFERROR(VLOOKUP(--B439,'CATALOGO CECO'!$A$2:$H$550,2,FALSE),"CECO NO EXISTE"))</f>
        <v/>
      </c>
      <c r="H439" s="8">
        <f>IF(B439="","",IFERROR(VLOOKUP(--B439,'CATALOGO CECO'!$A$2:$H$550,3,FALSE),""))</f>
        <v/>
      </c>
      <c r="I439" s="8">
        <f>IF(B439="","",IFERROR(VLOOKUP(--B439,'CATALOGO CECO'!$A$2:$H$550,5,FALSE),""))</f>
        <v/>
      </c>
      <c r="J439" s="8">
        <f>IF(B439="","",IFERROR(VLOOKUP(--B439,'CATALOGO CECO'!$A$2:$H$550,8,FALSE),""))</f>
        <v/>
      </c>
      <c r="K439" s="8">
        <f>IF(COUNTA(A439:F439)=0,"",IF(OR(LEN(A439)&lt;&gt;7,MID(A439,5,1)&lt;&gt;"-",ISERROR(--LEFT(A439,4)),ISERROR(--RIGHT(A439,2))),"ERROR: PERIODO debe ser AAAA-MM",IF(B439="","ERROR: falta CODIGO CECO",IF(G439="CECO NO EXISTE","ERROR: CECO no existe en el catálogo",IF(C439="","ERROR: falta CUENTA",IF(ISERROR(--C439),"ERROR: CUENTA debe tener solo dígitos",IF(ISERROR(FIND(LEFT(C439,1),"567")),"ERROR: CUENTA fuera de las clases de costo",IF(NOT(ISNUMBER(E439)),"ERROR: VALOR debe ser numérico",IF(E439=0,"AVISO: valor cero (no se carga)",IF(J439&lt;&gt;"ACTIVO","NO SE CARGA: CECO en estado "&amp;J439,"OK"))))))))))</f>
        <v/>
      </c>
    </row>
    <row r="440">
      <c r="A440" s="5" t="n"/>
      <c r="B440" s="6" t="n"/>
      <c r="C440" s="5" t="n"/>
      <c r="D440" s="6" t="n"/>
      <c r="E440" s="7" t="n"/>
      <c r="F440" s="6" t="n"/>
      <c r="G440" s="8">
        <f>IF(B440="","",IFERROR(VLOOKUP(--B440,'CATALOGO CECO'!$A$2:$H$550,2,FALSE),"CECO NO EXISTE"))</f>
        <v/>
      </c>
      <c r="H440" s="8">
        <f>IF(B440="","",IFERROR(VLOOKUP(--B440,'CATALOGO CECO'!$A$2:$H$550,3,FALSE),""))</f>
        <v/>
      </c>
      <c r="I440" s="8">
        <f>IF(B440="","",IFERROR(VLOOKUP(--B440,'CATALOGO CECO'!$A$2:$H$550,5,FALSE),""))</f>
        <v/>
      </c>
      <c r="J440" s="8">
        <f>IF(B440="","",IFERROR(VLOOKUP(--B440,'CATALOGO CECO'!$A$2:$H$550,8,FALSE),""))</f>
        <v/>
      </c>
      <c r="K440" s="8">
        <f>IF(COUNTA(A440:F440)=0,"",IF(OR(LEN(A440)&lt;&gt;7,MID(A440,5,1)&lt;&gt;"-",ISERROR(--LEFT(A440,4)),ISERROR(--RIGHT(A440,2))),"ERROR: PERIODO debe ser AAAA-MM",IF(B440="","ERROR: falta CODIGO CECO",IF(G440="CECO NO EXISTE","ERROR: CECO no existe en el catálogo",IF(C440="","ERROR: falta CUENTA",IF(ISERROR(--C440),"ERROR: CUENTA debe tener solo dígitos",IF(ISERROR(FIND(LEFT(C440,1),"567")),"ERROR: CUENTA fuera de las clases de costo",IF(NOT(ISNUMBER(E440)),"ERROR: VALOR debe ser numérico",IF(E440=0,"AVISO: valor cero (no se carga)",IF(J440&lt;&gt;"ACTIVO","NO SE CARGA: CECO en estado "&amp;J440,"OK"))))))))))</f>
        <v/>
      </c>
    </row>
    <row r="441">
      <c r="A441" s="5" t="n"/>
      <c r="B441" s="6" t="n"/>
      <c r="C441" s="5" t="n"/>
      <c r="D441" s="6" t="n"/>
      <c r="E441" s="7" t="n"/>
      <c r="F441" s="6" t="n"/>
      <c r="G441" s="8">
        <f>IF(B441="","",IFERROR(VLOOKUP(--B441,'CATALOGO CECO'!$A$2:$H$550,2,FALSE),"CECO NO EXISTE"))</f>
        <v/>
      </c>
      <c r="H441" s="8">
        <f>IF(B441="","",IFERROR(VLOOKUP(--B441,'CATALOGO CECO'!$A$2:$H$550,3,FALSE),""))</f>
        <v/>
      </c>
      <c r="I441" s="8">
        <f>IF(B441="","",IFERROR(VLOOKUP(--B441,'CATALOGO CECO'!$A$2:$H$550,5,FALSE),""))</f>
        <v/>
      </c>
      <c r="J441" s="8">
        <f>IF(B441="","",IFERROR(VLOOKUP(--B441,'CATALOGO CECO'!$A$2:$H$550,8,FALSE),""))</f>
        <v/>
      </c>
      <c r="K441" s="8">
        <f>IF(COUNTA(A441:F441)=0,"",IF(OR(LEN(A441)&lt;&gt;7,MID(A441,5,1)&lt;&gt;"-",ISERROR(--LEFT(A441,4)),ISERROR(--RIGHT(A441,2))),"ERROR: PERIODO debe ser AAAA-MM",IF(B441="","ERROR: falta CODIGO CECO",IF(G441="CECO NO EXISTE","ERROR: CECO no existe en el catálogo",IF(C441="","ERROR: falta CUENTA",IF(ISERROR(--C441),"ERROR: CUENTA debe tener solo dígitos",IF(ISERROR(FIND(LEFT(C441,1),"567")),"ERROR: CUENTA fuera de las clases de costo",IF(NOT(ISNUMBER(E441)),"ERROR: VALOR debe ser numérico",IF(E441=0,"AVISO: valor cero (no se carga)",IF(J441&lt;&gt;"ACTIVO","NO SE CARGA: CECO en estado "&amp;J441,"OK"))))))))))</f>
        <v/>
      </c>
    </row>
    <row r="442">
      <c r="A442" s="5" t="n"/>
      <c r="B442" s="6" t="n"/>
      <c r="C442" s="5" t="n"/>
      <c r="D442" s="6" t="n"/>
      <c r="E442" s="7" t="n"/>
      <c r="F442" s="6" t="n"/>
      <c r="G442" s="8">
        <f>IF(B442="","",IFERROR(VLOOKUP(--B442,'CATALOGO CECO'!$A$2:$H$550,2,FALSE),"CECO NO EXISTE"))</f>
        <v/>
      </c>
      <c r="H442" s="8">
        <f>IF(B442="","",IFERROR(VLOOKUP(--B442,'CATALOGO CECO'!$A$2:$H$550,3,FALSE),""))</f>
        <v/>
      </c>
      <c r="I442" s="8">
        <f>IF(B442="","",IFERROR(VLOOKUP(--B442,'CATALOGO CECO'!$A$2:$H$550,5,FALSE),""))</f>
        <v/>
      </c>
      <c r="J442" s="8">
        <f>IF(B442="","",IFERROR(VLOOKUP(--B442,'CATALOGO CECO'!$A$2:$H$550,8,FALSE),""))</f>
        <v/>
      </c>
      <c r="K442" s="8">
        <f>IF(COUNTA(A442:F442)=0,"",IF(OR(LEN(A442)&lt;&gt;7,MID(A442,5,1)&lt;&gt;"-",ISERROR(--LEFT(A442,4)),ISERROR(--RIGHT(A442,2))),"ERROR: PERIODO debe ser AAAA-MM",IF(B442="","ERROR: falta CODIGO CECO",IF(G442="CECO NO EXISTE","ERROR: CECO no existe en el catálogo",IF(C442="","ERROR: falta CUENTA",IF(ISERROR(--C442),"ERROR: CUENTA debe tener solo dígitos",IF(ISERROR(FIND(LEFT(C442,1),"567")),"ERROR: CUENTA fuera de las clases de costo",IF(NOT(ISNUMBER(E442)),"ERROR: VALOR debe ser numérico",IF(E442=0,"AVISO: valor cero (no se carga)",IF(J442&lt;&gt;"ACTIVO","NO SE CARGA: CECO en estado "&amp;J442,"OK"))))))))))</f>
        <v/>
      </c>
    </row>
    <row r="443">
      <c r="A443" s="5" t="n"/>
      <c r="B443" s="6" t="n"/>
      <c r="C443" s="5" t="n"/>
      <c r="D443" s="6" t="n"/>
      <c r="E443" s="7" t="n"/>
      <c r="F443" s="6" t="n"/>
      <c r="G443" s="8">
        <f>IF(B443="","",IFERROR(VLOOKUP(--B443,'CATALOGO CECO'!$A$2:$H$550,2,FALSE),"CECO NO EXISTE"))</f>
        <v/>
      </c>
      <c r="H443" s="8">
        <f>IF(B443="","",IFERROR(VLOOKUP(--B443,'CATALOGO CECO'!$A$2:$H$550,3,FALSE),""))</f>
        <v/>
      </c>
      <c r="I443" s="8">
        <f>IF(B443="","",IFERROR(VLOOKUP(--B443,'CATALOGO CECO'!$A$2:$H$550,5,FALSE),""))</f>
        <v/>
      </c>
      <c r="J443" s="8">
        <f>IF(B443="","",IFERROR(VLOOKUP(--B443,'CATALOGO CECO'!$A$2:$H$550,8,FALSE),""))</f>
        <v/>
      </c>
      <c r="K443" s="8">
        <f>IF(COUNTA(A443:F443)=0,"",IF(OR(LEN(A443)&lt;&gt;7,MID(A443,5,1)&lt;&gt;"-",ISERROR(--LEFT(A443,4)),ISERROR(--RIGHT(A443,2))),"ERROR: PERIODO debe ser AAAA-MM",IF(B443="","ERROR: falta CODIGO CECO",IF(G443="CECO NO EXISTE","ERROR: CECO no existe en el catálogo",IF(C443="","ERROR: falta CUENTA",IF(ISERROR(--C443),"ERROR: CUENTA debe tener solo dígitos",IF(ISERROR(FIND(LEFT(C443,1),"567")),"ERROR: CUENTA fuera de las clases de costo",IF(NOT(ISNUMBER(E443)),"ERROR: VALOR debe ser numérico",IF(E443=0,"AVISO: valor cero (no se carga)",IF(J443&lt;&gt;"ACTIVO","NO SE CARGA: CECO en estado "&amp;J443,"OK"))))))))))</f>
        <v/>
      </c>
    </row>
    <row r="444">
      <c r="A444" s="5" t="n"/>
      <c r="B444" s="6" t="n"/>
      <c r="C444" s="5" t="n"/>
      <c r="D444" s="6" t="n"/>
      <c r="E444" s="7" t="n"/>
      <c r="F444" s="6" t="n"/>
      <c r="G444" s="8">
        <f>IF(B444="","",IFERROR(VLOOKUP(--B444,'CATALOGO CECO'!$A$2:$H$550,2,FALSE),"CECO NO EXISTE"))</f>
        <v/>
      </c>
      <c r="H444" s="8">
        <f>IF(B444="","",IFERROR(VLOOKUP(--B444,'CATALOGO CECO'!$A$2:$H$550,3,FALSE),""))</f>
        <v/>
      </c>
      <c r="I444" s="8">
        <f>IF(B444="","",IFERROR(VLOOKUP(--B444,'CATALOGO CECO'!$A$2:$H$550,5,FALSE),""))</f>
        <v/>
      </c>
      <c r="J444" s="8">
        <f>IF(B444="","",IFERROR(VLOOKUP(--B444,'CATALOGO CECO'!$A$2:$H$550,8,FALSE),""))</f>
        <v/>
      </c>
      <c r="K444" s="8">
        <f>IF(COUNTA(A444:F444)=0,"",IF(OR(LEN(A444)&lt;&gt;7,MID(A444,5,1)&lt;&gt;"-",ISERROR(--LEFT(A444,4)),ISERROR(--RIGHT(A444,2))),"ERROR: PERIODO debe ser AAAA-MM",IF(B444="","ERROR: falta CODIGO CECO",IF(G444="CECO NO EXISTE","ERROR: CECO no existe en el catálogo",IF(C444="","ERROR: falta CUENTA",IF(ISERROR(--C444),"ERROR: CUENTA debe tener solo dígitos",IF(ISERROR(FIND(LEFT(C444,1),"567")),"ERROR: CUENTA fuera de las clases de costo",IF(NOT(ISNUMBER(E444)),"ERROR: VALOR debe ser numérico",IF(E444=0,"AVISO: valor cero (no se carga)",IF(J444&lt;&gt;"ACTIVO","NO SE CARGA: CECO en estado "&amp;J444,"OK"))))))))))</f>
        <v/>
      </c>
    </row>
    <row r="445">
      <c r="A445" s="5" t="n"/>
      <c r="B445" s="6" t="n"/>
      <c r="C445" s="5" t="n"/>
      <c r="D445" s="6" t="n"/>
      <c r="E445" s="7" t="n"/>
      <c r="F445" s="6" t="n"/>
      <c r="G445" s="8">
        <f>IF(B445="","",IFERROR(VLOOKUP(--B445,'CATALOGO CECO'!$A$2:$H$550,2,FALSE),"CECO NO EXISTE"))</f>
        <v/>
      </c>
      <c r="H445" s="8">
        <f>IF(B445="","",IFERROR(VLOOKUP(--B445,'CATALOGO CECO'!$A$2:$H$550,3,FALSE),""))</f>
        <v/>
      </c>
      <c r="I445" s="8">
        <f>IF(B445="","",IFERROR(VLOOKUP(--B445,'CATALOGO CECO'!$A$2:$H$550,5,FALSE),""))</f>
        <v/>
      </c>
      <c r="J445" s="8">
        <f>IF(B445="","",IFERROR(VLOOKUP(--B445,'CATALOGO CECO'!$A$2:$H$550,8,FALSE),""))</f>
        <v/>
      </c>
      <c r="K445" s="8">
        <f>IF(COUNTA(A445:F445)=0,"",IF(OR(LEN(A445)&lt;&gt;7,MID(A445,5,1)&lt;&gt;"-",ISERROR(--LEFT(A445,4)),ISERROR(--RIGHT(A445,2))),"ERROR: PERIODO debe ser AAAA-MM",IF(B445="","ERROR: falta CODIGO CECO",IF(G445="CECO NO EXISTE","ERROR: CECO no existe en el catálogo",IF(C445="","ERROR: falta CUENTA",IF(ISERROR(--C445),"ERROR: CUENTA debe tener solo dígitos",IF(ISERROR(FIND(LEFT(C445,1),"567")),"ERROR: CUENTA fuera de las clases de costo",IF(NOT(ISNUMBER(E445)),"ERROR: VALOR debe ser numérico",IF(E445=0,"AVISO: valor cero (no se carga)",IF(J445&lt;&gt;"ACTIVO","NO SE CARGA: CECO en estado "&amp;J445,"OK"))))))))))</f>
        <v/>
      </c>
    </row>
    <row r="446">
      <c r="A446" s="5" t="n"/>
      <c r="B446" s="6" t="n"/>
      <c r="C446" s="5" t="n"/>
      <c r="D446" s="6" t="n"/>
      <c r="E446" s="7" t="n"/>
      <c r="F446" s="6" t="n"/>
      <c r="G446" s="8">
        <f>IF(B446="","",IFERROR(VLOOKUP(--B446,'CATALOGO CECO'!$A$2:$H$550,2,FALSE),"CECO NO EXISTE"))</f>
        <v/>
      </c>
      <c r="H446" s="8">
        <f>IF(B446="","",IFERROR(VLOOKUP(--B446,'CATALOGO CECO'!$A$2:$H$550,3,FALSE),""))</f>
        <v/>
      </c>
      <c r="I446" s="8">
        <f>IF(B446="","",IFERROR(VLOOKUP(--B446,'CATALOGO CECO'!$A$2:$H$550,5,FALSE),""))</f>
        <v/>
      </c>
      <c r="J446" s="8">
        <f>IF(B446="","",IFERROR(VLOOKUP(--B446,'CATALOGO CECO'!$A$2:$H$550,8,FALSE),""))</f>
        <v/>
      </c>
      <c r="K446" s="8">
        <f>IF(COUNTA(A446:F446)=0,"",IF(OR(LEN(A446)&lt;&gt;7,MID(A446,5,1)&lt;&gt;"-",ISERROR(--LEFT(A446,4)),ISERROR(--RIGHT(A446,2))),"ERROR: PERIODO debe ser AAAA-MM",IF(B446="","ERROR: falta CODIGO CECO",IF(G446="CECO NO EXISTE","ERROR: CECO no existe en el catálogo",IF(C446="","ERROR: falta CUENTA",IF(ISERROR(--C446),"ERROR: CUENTA debe tener solo dígitos",IF(ISERROR(FIND(LEFT(C446,1),"567")),"ERROR: CUENTA fuera de las clases de costo",IF(NOT(ISNUMBER(E446)),"ERROR: VALOR debe ser numérico",IF(E446=0,"AVISO: valor cero (no se carga)",IF(J446&lt;&gt;"ACTIVO","NO SE CARGA: CECO en estado "&amp;J446,"OK"))))))))))</f>
        <v/>
      </c>
    </row>
    <row r="447">
      <c r="A447" s="5" t="n"/>
      <c r="B447" s="6" t="n"/>
      <c r="C447" s="5" t="n"/>
      <c r="D447" s="6" t="n"/>
      <c r="E447" s="7" t="n"/>
      <c r="F447" s="6" t="n"/>
      <c r="G447" s="8">
        <f>IF(B447="","",IFERROR(VLOOKUP(--B447,'CATALOGO CECO'!$A$2:$H$550,2,FALSE),"CECO NO EXISTE"))</f>
        <v/>
      </c>
      <c r="H447" s="8">
        <f>IF(B447="","",IFERROR(VLOOKUP(--B447,'CATALOGO CECO'!$A$2:$H$550,3,FALSE),""))</f>
        <v/>
      </c>
      <c r="I447" s="8">
        <f>IF(B447="","",IFERROR(VLOOKUP(--B447,'CATALOGO CECO'!$A$2:$H$550,5,FALSE),""))</f>
        <v/>
      </c>
      <c r="J447" s="8">
        <f>IF(B447="","",IFERROR(VLOOKUP(--B447,'CATALOGO CECO'!$A$2:$H$550,8,FALSE),""))</f>
        <v/>
      </c>
      <c r="K447" s="8">
        <f>IF(COUNTA(A447:F447)=0,"",IF(OR(LEN(A447)&lt;&gt;7,MID(A447,5,1)&lt;&gt;"-",ISERROR(--LEFT(A447,4)),ISERROR(--RIGHT(A447,2))),"ERROR: PERIODO debe ser AAAA-MM",IF(B447="","ERROR: falta CODIGO CECO",IF(G447="CECO NO EXISTE","ERROR: CECO no existe en el catálogo",IF(C447="","ERROR: falta CUENTA",IF(ISERROR(--C447),"ERROR: CUENTA debe tener solo dígitos",IF(ISERROR(FIND(LEFT(C447,1),"567")),"ERROR: CUENTA fuera de las clases de costo",IF(NOT(ISNUMBER(E447)),"ERROR: VALOR debe ser numérico",IF(E447=0,"AVISO: valor cero (no se carga)",IF(J447&lt;&gt;"ACTIVO","NO SE CARGA: CECO en estado "&amp;J447,"OK"))))))))))</f>
        <v/>
      </c>
    </row>
    <row r="448">
      <c r="A448" s="5" t="n"/>
      <c r="B448" s="6" t="n"/>
      <c r="C448" s="5" t="n"/>
      <c r="D448" s="6" t="n"/>
      <c r="E448" s="7" t="n"/>
      <c r="F448" s="6" t="n"/>
      <c r="G448" s="8">
        <f>IF(B448="","",IFERROR(VLOOKUP(--B448,'CATALOGO CECO'!$A$2:$H$550,2,FALSE),"CECO NO EXISTE"))</f>
        <v/>
      </c>
      <c r="H448" s="8">
        <f>IF(B448="","",IFERROR(VLOOKUP(--B448,'CATALOGO CECO'!$A$2:$H$550,3,FALSE),""))</f>
        <v/>
      </c>
      <c r="I448" s="8">
        <f>IF(B448="","",IFERROR(VLOOKUP(--B448,'CATALOGO CECO'!$A$2:$H$550,5,FALSE),""))</f>
        <v/>
      </c>
      <c r="J448" s="8">
        <f>IF(B448="","",IFERROR(VLOOKUP(--B448,'CATALOGO CECO'!$A$2:$H$550,8,FALSE),""))</f>
        <v/>
      </c>
      <c r="K448" s="8">
        <f>IF(COUNTA(A448:F448)=0,"",IF(OR(LEN(A448)&lt;&gt;7,MID(A448,5,1)&lt;&gt;"-",ISERROR(--LEFT(A448,4)),ISERROR(--RIGHT(A448,2))),"ERROR: PERIODO debe ser AAAA-MM",IF(B448="","ERROR: falta CODIGO CECO",IF(G448="CECO NO EXISTE","ERROR: CECO no existe en el catálogo",IF(C448="","ERROR: falta CUENTA",IF(ISERROR(--C448),"ERROR: CUENTA debe tener solo dígitos",IF(ISERROR(FIND(LEFT(C448,1),"567")),"ERROR: CUENTA fuera de las clases de costo",IF(NOT(ISNUMBER(E448)),"ERROR: VALOR debe ser numérico",IF(E448=0,"AVISO: valor cero (no se carga)",IF(J448&lt;&gt;"ACTIVO","NO SE CARGA: CECO en estado "&amp;J448,"OK"))))))))))</f>
        <v/>
      </c>
    </row>
    <row r="449">
      <c r="A449" s="5" t="n"/>
      <c r="B449" s="6" t="n"/>
      <c r="C449" s="5" t="n"/>
      <c r="D449" s="6" t="n"/>
      <c r="E449" s="7" t="n"/>
      <c r="F449" s="6" t="n"/>
      <c r="G449" s="8">
        <f>IF(B449="","",IFERROR(VLOOKUP(--B449,'CATALOGO CECO'!$A$2:$H$550,2,FALSE),"CECO NO EXISTE"))</f>
        <v/>
      </c>
      <c r="H449" s="8">
        <f>IF(B449="","",IFERROR(VLOOKUP(--B449,'CATALOGO CECO'!$A$2:$H$550,3,FALSE),""))</f>
        <v/>
      </c>
      <c r="I449" s="8">
        <f>IF(B449="","",IFERROR(VLOOKUP(--B449,'CATALOGO CECO'!$A$2:$H$550,5,FALSE),""))</f>
        <v/>
      </c>
      <c r="J449" s="8">
        <f>IF(B449="","",IFERROR(VLOOKUP(--B449,'CATALOGO CECO'!$A$2:$H$550,8,FALSE),""))</f>
        <v/>
      </c>
      <c r="K449" s="8">
        <f>IF(COUNTA(A449:F449)=0,"",IF(OR(LEN(A449)&lt;&gt;7,MID(A449,5,1)&lt;&gt;"-",ISERROR(--LEFT(A449,4)),ISERROR(--RIGHT(A449,2))),"ERROR: PERIODO debe ser AAAA-MM",IF(B449="","ERROR: falta CODIGO CECO",IF(G449="CECO NO EXISTE","ERROR: CECO no existe en el catálogo",IF(C449="","ERROR: falta CUENTA",IF(ISERROR(--C449),"ERROR: CUENTA debe tener solo dígitos",IF(ISERROR(FIND(LEFT(C449,1),"567")),"ERROR: CUENTA fuera de las clases de costo",IF(NOT(ISNUMBER(E449)),"ERROR: VALOR debe ser numérico",IF(E449=0,"AVISO: valor cero (no se carga)",IF(J449&lt;&gt;"ACTIVO","NO SE CARGA: CECO en estado "&amp;J449,"OK"))))))))))</f>
        <v/>
      </c>
    </row>
    <row r="450">
      <c r="A450" s="5" t="n"/>
      <c r="B450" s="6" t="n"/>
      <c r="C450" s="5" t="n"/>
      <c r="D450" s="6" t="n"/>
      <c r="E450" s="7" t="n"/>
      <c r="F450" s="6" t="n"/>
      <c r="G450" s="8">
        <f>IF(B450="","",IFERROR(VLOOKUP(--B450,'CATALOGO CECO'!$A$2:$H$550,2,FALSE),"CECO NO EXISTE"))</f>
        <v/>
      </c>
      <c r="H450" s="8">
        <f>IF(B450="","",IFERROR(VLOOKUP(--B450,'CATALOGO CECO'!$A$2:$H$550,3,FALSE),""))</f>
        <v/>
      </c>
      <c r="I450" s="8">
        <f>IF(B450="","",IFERROR(VLOOKUP(--B450,'CATALOGO CECO'!$A$2:$H$550,5,FALSE),""))</f>
        <v/>
      </c>
      <c r="J450" s="8">
        <f>IF(B450="","",IFERROR(VLOOKUP(--B450,'CATALOGO CECO'!$A$2:$H$550,8,FALSE),""))</f>
        <v/>
      </c>
      <c r="K450" s="8">
        <f>IF(COUNTA(A450:F450)=0,"",IF(OR(LEN(A450)&lt;&gt;7,MID(A450,5,1)&lt;&gt;"-",ISERROR(--LEFT(A450,4)),ISERROR(--RIGHT(A450,2))),"ERROR: PERIODO debe ser AAAA-MM",IF(B450="","ERROR: falta CODIGO CECO",IF(G450="CECO NO EXISTE","ERROR: CECO no existe en el catálogo",IF(C450="","ERROR: falta CUENTA",IF(ISERROR(--C450),"ERROR: CUENTA debe tener solo dígitos",IF(ISERROR(FIND(LEFT(C450,1),"567")),"ERROR: CUENTA fuera de las clases de costo",IF(NOT(ISNUMBER(E450)),"ERROR: VALOR debe ser numérico",IF(E450=0,"AVISO: valor cero (no se carga)",IF(J450&lt;&gt;"ACTIVO","NO SE CARGA: CECO en estado "&amp;J450,"OK"))))))))))</f>
        <v/>
      </c>
    </row>
    <row r="451">
      <c r="A451" s="5" t="n"/>
      <c r="B451" s="6" t="n"/>
      <c r="C451" s="5" t="n"/>
      <c r="D451" s="6" t="n"/>
      <c r="E451" s="7" t="n"/>
      <c r="F451" s="6" t="n"/>
      <c r="G451" s="8">
        <f>IF(B451="","",IFERROR(VLOOKUP(--B451,'CATALOGO CECO'!$A$2:$H$550,2,FALSE),"CECO NO EXISTE"))</f>
        <v/>
      </c>
      <c r="H451" s="8">
        <f>IF(B451="","",IFERROR(VLOOKUP(--B451,'CATALOGO CECO'!$A$2:$H$550,3,FALSE),""))</f>
        <v/>
      </c>
      <c r="I451" s="8">
        <f>IF(B451="","",IFERROR(VLOOKUP(--B451,'CATALOGO CECO'!$A$2:$H$550,5,FALSE),""))</f>
        <v/>
      </c>
      <c r="J451" s="8">
        <f>IF(B451="","",IFERROR(VLOOKUP(--B451,'CATALOGO CECO'!$A$2:$H$550,8,FALSE),""))</f>
        <v/>
      </c>
      <c r="K451" s="8">
        <f>IF(COUNTA(A451:F451)=0,"",IF(OR(LEN(A451)&lt;&gt;7,MID(A451,5,1)&lt;&gt;"-",ISERROR(--LEFT(A451,4)),ISERROR(--RIGHT(A451,2))),"ERROR: PERIODO debe ser AAAA-MM",IF(B451="","ERROR: falta CODIGO CECO",IF(G451="CECO NO EXISTE","ERROR: CECO no existe en el catálogo",IF(C451="","ERROR: falta CUENTA",IF(ISERROR(--C451),"ERROR: CUENTA debe tener solo dígitos",IF(ISERROR(FIND(LEFT(C451,1),"567")),"ERROR: CUENTA fuera de las clases de costo",IF(NOT(ISNUMBER(E451)),"ERROR: VALOR debe ser numérico",IF(E451=0,"AVISO: valor cero (no se carga)",IF(J451&lt;&gt;"ACTIVO","NO SE CARGA: CECO en estado "&amp;J451,"OK"))))))))))</f>
        <v/>
      </c>
    </row>
    <row r="452">
      <c r="A452" s="5" t="n"/>
      <c r="B452" s="6" t="n"/>
      <c r="C452" s="5" t="n"/>
      <c r="D452" s="6" t="n"/>
      <c r="E452" s="7" t="n"/>
      <c r="F452" s="6" t="n"/>
      <c r="G452" s="8">
        <f>IF(B452="","",IFERROR(VLOOKUP(--B452,'CATALOGO CECO'!$A$2:$H$550,2,FALSE),"CECO NO EXISTE"))</f>
        <v/>
      </c>
      <c r="H452" s="8">
        <f>IF(B452="","",IFERROR(VLOOKUP(--B452,'CATALOGO CECO'!$A$2:$H$550,3,FALSE),""))</f>
        <v/>
      </c>
      <c r="I452" s="8">
        <f>IF(B452="","",IFERROR(VLOOKUP(--B452,'CATALOGO CECO'!$A$2:$H$550,5,FALSE),""))</f>
        <v/>
      </c>
      <c r="J452" s="8">
        <f>IF(B452="","",IFERROR(VLOOKUP(--B452,'CATALOGO CECO'!$A$2:$H$550,8,FALSE),""))</f>
        <v/>
      </c>
      <c r="K452" s="8">
        <f>IF(COUNTA(A452:F452)=0,"",IF(OR(LEN(A452)&lt;&gt;7,MID(A452,5,1)&lt;&gt;"-",ISERROR(--LEFT(A452,4)),ISERROR(--RIGHT(A452,2))),"ERROR: PERIODO debe ser AAAA-MM",IF(B452="","ERROR: falta CODIGO CECO",IF(G452="CECO NO EXISTE","ERROR: CECO no existe en el catálogo",IF(C452="","ERROR: falta CUENTA",IF(ISERROR(--C452),"ERROR: CUENTA debe tener solo dígitos",IF(ISERROR(FIND(LEFT(C452,1),"567")),"ERROR: CUENTA fuera de las clases de costo",IF(NOT(ISNUMBER(E452)),"ERROR: VALOR debe ser numérico",IF(E452=0,"AVISO: valor cero (no se carga)",IF(J452&lt;&gt;"ACTIVO","NO SE CARGA: CECO en estado "&amp;J452,"OK"))))))))))</f>
        <v/>
      </c>
    </row>
    <row r="453">
      <c r="A453" s="5" t="n"/>
      <c r="B453" s="6" t="n"/>
      <c r="C453" s="5" t="n"/>
      <c r="D453" s="6" t="n"/>
      <c r="E453" s="7" t="n"/>
      <c r="F453" s="6" t="n"/>
      <c r="G453" s="8">
        <f>IF(B453="","",IFERROR(VLOOKUP(--B453,'CATALOGO CECO'!$A$2:$H$550,2,FALSE),"CECO NO EXISTE"))</f>
        <v/>
      </c>
      <c r="H453" s="8">
        <f>IF(B453="","",IFERROR(VLOOKUP(--B453,'CATALOGO CECO'!$A$2:$H$550,3,FALSE),""))</f>
        <v/>
      </c>
      <c r="I453" s="8">
        <f>IF(B453="","",IFERROR(VLOOKUP(--B453,'CATALOGO CECO'!$A$2:$H$550,5,FALSE),""))</f>
        <v/>
      </c>
      <c r="J453" s="8">
        <f>IF(B453="","",IFERROR(VLOOKUP(--B453,'CATALOGO CECO'!$A$2:$H$550,8,FALSE),""))</f>
        <v/>
      </c>
      <c r="K453" s="8">
        <f>IF(COUNTA(A453:F453)=0,"",IF(OR(LEN(A453)&lt;&gt;7,MID(A453,5,1)&lt;&gt;"-",ISERROR(--LEFT(A453,4)),ISERROR(--RIGHT(A453,2))),"ERROR: PERIODO debe ser AAAA-MM",IF(B453="","ERROR: falta CODIGO CECO",IF(G453="CECO NO EXISTE","ERROR: CECO no existe en el catálogo",IF(C453="","ERROR: falta CUENTA",IF(ISERROR(--C453),"ERROR: CUENTA debe tener solo dígitos",IF(ISERROR(FIND(LEFT(C453,1),"567")),"ERROR: CUENTA fuera de las clases de costo",IF(NOT(ISNUMBER(E453)),"ERROR: VALOR debe ser numérico",IF(E453=0,"AVISO: valor cero (no se carga)",IF(J453&lt;&gt;"ACTIVO","NO SE CARGA: CECO en estado "&amp;J453,"OK"))))))))))</f>
        <v/>
      </c>
    </row>
    <row r="454">
      <c r="A454" s="5" t="n"/>
      <c r="B454" s="6" t="n"/>
      <c r="C454" s="5" t="n"/>
      <c r="D454" s="6" t="n"/>
      <c r="E454" s="7" t="n"/>
      <c r="F454" s="6" t="n"/>
      <c r="G454" s="8">
        <f>IF(B454="","",IFERROR(VLOOKUP(--B454,'CATALOGO CECO'!$A$2:$H$550,2,FALSE),"CECO NO EXISTE"))</f>
        <v/>
      </c>
      <c r="H454" s="8">
        <f>IF(B454="","",IFERROR(VLOOKUP(--B454,'CATALOGO CECO'!$A$2:$H$550,3,FALSE),""))</f>
        <v/>
      </c>
      <c r="I454" s="8">
        <f>IF(B454="","",IFERROR(VLOOKUP(--B454,'CATALOGO CECO'!$A$2:$H$550,5,FALSE),""))</f>
        <v/>
      </c>
      <c r="J454" s="8">
        <f>IF(B454="","",IFERROR(VLOOKUP(--B454,'CATALOGO CECO'!$A$2:$H$550,8,FALSE),""))</f>
        <v/>
      </c>
      <c r="K454" s="8">
        <f>IF(COUNTA(A454:F454)=0,"",IF(OR(LEN(A454)&lt;&gt;7,MID(A454,5,1)&lt;&gt;"-",ISERROR(--LEFT(A454,4)),ISERROR(--RIGHT(A454,2))),"ERROR: PERIODO debe ser AAAA-MM",IF(B454="","ERROR: falta CODIGO CECO",IF(G454="CECO NO EXISTE","ERROR: CECO no existe en el catálogo",IF(C454="","ERROR: falta CUENTA",IF(ISERROR(--C454),"ERROR: CUENTA debe tener solo dígitos",IF(ISERROR(FIND(LEFT(C454,1),"567")),"ERROR: CUENTA fuera de las clases de costo",IF(NOT(ISNUMBER(E454)),"ERROR: VALOR debe ser numérico",IF(E454=0,"AVISO: valor cero (no se carga)",IF(J454&lt;&gt;"ACTIVO","NO SE CARGA: CECO en estado "&amp;J454,"OK"))))))))))</f>
        <v/>
      </c>
    </row>
    <row r="455">
      <c r="A455" s="5" t="n"/>
      <c r="B455" s="6" t="n"/>
      <c r="C455" s="5" t="n"/>
      <c r="D455" s="6" t="n"/>
      <c r="E455" s="7" t="n"/>
      <c r="F455" s="6" t="n"/>
      <c r="G455" s="8">
        <f>IF(B455="","",IFERROR(VLOOKUP(--B455,'CATALOGO CECO'!$A$2:$H$550,2,FALSE),"CECO NO EXISTE"))</f>
        <v/>
      </c>
      <c r="H455" s="8">
        <f>IF(B455="","",IFERROR(VLOOKUP(--B455,'CATALOGO CECO'!$A$2:$H$550,3,FALSE),""))</f>
        <v/>
      </c>
      <c r="I455" s="8">
        <f>IF(B455="","",IFERROR(VLOOKUP(--B455,'CATALOGO CECO'!$A$2:$H$550,5,FALSE),""))</f>
        <v/>
      </c>
      <c r="J455" s="8">
        <f>IF(B455="","",IFERROR(VLOOKUP(--B455,'CATALOGO CECO'!$A$2:$H$550,8,FALSE),""))</f>
        <v/>
      </c>
      <c r="K455" s="8">
        <f>IF(COUNTA(A455:F455)=0,"",IF(OR(LEN(A455)&lt;&gt;7,MID(A455,5,1)&lt;&gt;"-",ISERROR(--LEFT(A455,4)),ISERROR(--RIGHT(A455,2))),"ERROR: PERIODO debe ser AAAA-MM",IF(B455="","ERROR: falta CODIGO CECO",IF(G455="CECO NO EXISTE","ERROR: CECO no existe en el catálogo",IF(C455="","ERROR: falta CUENTA",IF(ISERROR(--C455),"ERROR: CUENTA debe tener solo dígitos",IF(ISERROR(FIND(LEFT(C455,1),"567")),"ERROR: CUENTA fuera de las clases de costo",IF(NOT(ISNUMBER(E455)),"ERROR: VALOR debe ser numérico",IF(E455=0,"AVISO: valor cero (no se carga)",IF(J455&lt;&gt;"ACTIVO","NO SE CARGA: CECO en estado "&amp;J455,"OK"))))))))))</f>
        <v/>
      </c>
    </row>
    <row r="456">
      <c r="A456" s="5" t="n"/>
      <c r="B456" s="6" t="n"/>
      <c r="C456" s="5" t="n"/>
      <c r="D456" s="6" t="n"/>
      <c r="E456" s="7" t="n"/>
      <c r="F456" s="6" t="n"/>
      <c r="G456" s="8">
        <f>IF(B456="","",IFERROR(VLOOKUP(--B456,'CATALOGO CECO'!$A$2:$H$550,2,FALSE),"CECO NO EXISTE"))</f>
        <v/>
      </c>
      <c r="H456" s="8">
        <f>IF(B456="","",IFERROR(VLOOKUP(--B456,'CATALOGO CECO'!$A$2:$H$550,3,FALSE),""))</f>
        <v/>
      </c>
      <c r="I456" s="8">
        <f>IF(B456="","",IFERROR(VLOOKUP(--B456,'CATALOGO CECO'!$A$2:$H$550,5,FALSE),""))</f>
        <v/>
      </c>
      <c r="J456" s="8">
        <f>IF(B456="","",IFERROR(VLOOKUP(--B456,'CATALOGO CECO'!$A$2:$H$550,8,FALSE),""))</f>
        <v/>
      </c>
      <c r="K456" s="8">
        <f>IF(COUNTA(A456:F456)=0,"",IF(OR(LEN(A456)&lt;&gt;7,MID(A456,5,1)&lt;&gt;"-",ISERROR(--LEFT(A456,4)),ISERROR(--RIGHT(A456,2))),"ERROR: PERIODO debe ser AAAA-MM",IF(B456="","ERROR: falta CODIGO CECO",IF(G456="CECO NO EXISTE","ERROR: CECO no existe en el catálogo",IF(C456="","ERROR: falta CUENTA",IF(ISERROR(--C456),"ERROR: CUENTA debe tener solo dígitos",IF(ISERROR(FIND(LEFT(C456,1),"567")),"ERROR: CUENTA fuera de las clases de costo",IF(NOT(ISNUMBER(E456)),"ERROR: VALOR debe ser numérico",IF(E456=0,"AVISO: valor cero (no se carga)",IF(J456&lt;&gt;"ACTIVO","NO SE CARGA: CECO en estado "&amp;J456,"OK"))))))))))</f>
        <v/>
      </c>
    </row>
    <row r="457">
      <c r="A457" s="5" t="n"/>
      <c r="B457" s="6" t="n"/>
      <c r="C457" s="5" t="n"/>
      <c r="D457" s="6" t="n"/>
      <c r="E457" s="7" t="n"/>
      <c r="F457" s="6" t="n"/>
      <c r="G457" s="8">
        <f>IF(B457="","",IFERROR(VLOOKUP(--B457,'CATALOGO CECO'!$A$2:$H$550,2,FALSE),"CECO NO EXISTE"))</f>
        <v/>
      </c>
      <c r="H457" s="8">
        <f>IF(B457="","",IFERROR(VLOOKUP(--B457,'CATALOGO CECO'!$A$2:$H$550,3,FALSE),""))</f>
        <v/>
      </c>
      <c r="I457" s="8">
        <f>IF(B457="","",IFERROR(VLOOKUP(--B457,'CATALOGO CECO'!$A$2:$H$550,5,FALSE),""))</f>
        <v/>
      </c>
      <c r="J457" s="8">
        <f>IF(B457="","",IFERROR(VLOOKUP(--B457,'CATALOGO CECO'!$A$2:$H$550,8,FALSE),""))</f>
        <v/>
      </c>
      <c r="K457" s="8">
        <f>IF(COUNTA(A457:F457)=0,"",IF(OR(LEN(A457)&lt;&gt;7,MID(A457,5,1)&lt;&gt;"-",ISERROR(--LEFT(A457,4)),ISERROR(--RIGHT(A457,2))),"ERROR: PERIODO debe ser AAAA-MM",IF(B457="","ERROR: falta CODIGO CECO",IF(G457="CECO NO EXISTE","ERROR: CECO no existe en el catálogo",IF(C457="","ERROR: falta CUENTA",IF(ISERROR(--C457),"ERROR: CUENTA debe tener solo dígitos",IF(ISERROR(FIND(LEFT(C457,1),"567")),"ERROR: CUENTA fuera de las clases de costo",IF(NOT(ISNUMBER(E457)),"ERROR: VALOR debe ser numérico",IF(E457=0,"AVISO: valor cero (no se carga)",IF(J457&lt;&gt;"ACTIVO","NO SE CARGA: CECO en estado "&amp;J457,"OK"))))))))))</f>
        <v/>
      </c>
    </row>
    <row r="458">
      <c r="A458" s="5" t="n"/>
      <c r="B458" s="6" t="n"/>
      <c r="C458" s="5" t="n"/>
      <c r="D458" s="6" t="n"/>
      <c r="E458" s="7" t="n"/>
      <c r="F458" s="6" t="n"/>
      <c r="G458" s="8">
        <f>IF(B458="","",IFERROR(VLOOKUP(--B458,'CATALOGO CECO'!$A$2:$H$550,2,FALSE),"CECO NO EXISTE"))</f>
        <v/>
      </c>
      <c r="H458" s="8">
        <f>IF(B458="","",IFERROR(VLOOKUP(--B458,'CATALOGO CECO'!$A$2:$H$550,3,FALSE),""))</f>
        <v/>
      </c>
      <c r="I458" s="8">
        <f>IF(B458="","",IFERROR(VLOOKUP(--B458,'CATALOGO CECO'!$A$2:$H$550,5,FALSE),""))</f>
        <v/>
      </c>
      <c r="J458" s="8">
        <f>IF(B458="","",IFERROR(VLOOKUP(--B458,'CATALOGO CECO'!$A$2:$H$550,8,FALSE),""))</f>
        <v/>
      </c>
      <c r="K458" s="8">
        <f>IF(COUNTA(A458:F458)=0,"",IF(OR(LEN(A458)&lt;&gt;7,MID(A458,5,1)&lt;&gt;"-",ISERROR(--LEFT(A458,4)),ISERROR(--RIGHT(A458,2))),"ERROR: PERIODO debe ser AAAA-MM",IF(B458="","ERROR: falta CODIGO CECO",IF(G458="CECO NO EXISTE","ERROR: CECO no existe en el catálogo",IF(C458="","ERROR: falta CUENTA",IF(ISERROR(--C458),"ERROR: CUENTA debe tener solo dígitos",IF(ISERROR(FIND(LEFT(C458,1),"567")),"ERROR: CUENTA fuera de las clases de costo",IF(NOT(ISNUMBER(E458)),"ERROR: VALOR debe ser numérico",IF(E458=0,"AVISO: valor cero (no se carga)",IF(J458&lt;&gt;"ACTIVO","NO SE CARGA: CECO en estado "&amp;J458,"OK"))))))))))</f>
        <v/>
      </c>
    </row>
    <row r="459">
      <c r="A459" s="5" t="n"/>
      <c r="B459" s="6" t="n"/>
      <c r="C459" s="5" t="n"/>
      <c r="D459" s="6" t="n"/>
      <c r="E459" s="7" t="n"/>
      <c r="F459" s="6" t="n"/>
      <c r="G459" s="8">
        <f>IF(B459="","",IFERROR(VLOOKUP(--B459,'CATALOGO CECO'!$A$2:$H$550,2,FALSE),"CECO NO EXISTE"))</f>
        <v/>
      </c>
      <c r="H459" s="8">
        <f>IF(B459="","",IFERROR(VLOOKUP(--B459,'CATALOGO CECO'!$A$2:$H$550,3,FALSE),""))</f>
        <v/>
      </c>
      <c r="I459" s="8">
        <f>IF(B459="","",IFERROR(VLOOKUP(--B459,'CATALOGO CECO'!$A$2:$H$550,5,FALSE),""))</f>
        <v/>
      </c>
      <c r="J459" s="8">
        <f>IF(B459="","",IFERROR(VLOOKUP(--B459,'CATALOGO CECO'!$A$2:$H$550,8,FALSE),""))</f>
        <v/>
      </c>
      <c r="K459" s="8">
        <f>IF(COUNTA(A459:F459)=0,"",IF(OR(LEN(A459)&lt;&gt;7,MID(A459,5,1)&lt;&gt;"-",ISERROR(--LEFT(A459,4)),ISERROR(--RIGHT(A459,2))),"ERROR: PERIODO debe ser AAAA-MM",IF(B459="","ERROR: falta CODIGO CECO",IF(G459="CECO NO EXISTE","ERROR: CECO no existe en el catálogo",IF(C459="","ERROR: falta CUENTA",IF(ISERROR(--C459),"ERROR: CUENTA debe tener solo dígitos",IF(ISERROR(FIND(LEFT(C459,1),"567")),"ERROR: CUENTA fuera de las clases de costo",IF(NOT(ISNUMBER(E459)),"ERROR: VALOR debe ser numérico",IF(E459=0,"AVISO: valor cero (no se carga)",IF(J459&lt;&gt;"ACTIVO","NO SE CARGA: CECO en estado "&amp;J459,"OK"))))))))))</f>
        <v/>
      </c>
    </row>
    <row r="460">
      <c r="A460" s="5" t="n"/>
      <c r="B460" s="6" t="n"/>
      <c r="C460" s="5" t="n"/>
      <c r="D460" s="6" t="n"/>
      <c r="E460" s="7" t="n"/>
      <c r="F460" s="6" t="n"/>
      <c r="G460" s="8">
        <f>IF(B460="","",IFERROR(VLOOKUP(--B460,'CATALOGO CECO'!$A$2:$H$550,2,FALSE),"CECO NO EXISTE"))</f>
        <v/>
      </c>
      <c r="H460" s="8">
        <f>IF(B460="","",IFERROR(VLOOKUP(--B460,'CATALOGO CECO'!$A$2:$H$550,3,FALSE),""))</f>
        <v/>
      </c>
      <c r="I460" s="8">
        <f>IF(B460="","",IFERROR(VLOOKUP(--B460,'CATALOGO CECO'!$A$2:$H$550,5,FALSE),""))</f>
        <v/>
      </c>
      <c r="J460" s="8">
        <f>IF(B460="","",IFERROR(VLOOKUP(--B460,'CATALOGO CECO'!$A$2:$H$550,8,FALSE),""))</f>
        <v/>
      </c>
      <c r="K460" s="8">
        <f>IF(COUNTA(A460:F460)=0,"",IF(OR(LEN(A460)&lt;&gt;7,MID(A460,5,1)&lt;&gt;"-",ISERROR(--LEFT(A460,4)),ISERROR(--RIGHT(A460,2))),"ERROR: PERIODO debe ser AAAA-MM",IF(B460="","ERROR: falta CODIGO CECO",IF(G460="CECO NO EXISTE","ERROR: CECO no existe en el catálogo",IF(C460="","ERROR: falta CUENTA",IF(ISERROR(--C460),"ERROR: CUENTA debe tener solo dígitos",IF(ISERROR(FIND(LEFT(C460,1),"567")),"ERROR: CUENTA fuera de las clases de costo",IF(NOT(ISNUMBER(E460)),"ERROR: VALOR debe ser numérico",IF(E460=0,"AVISO: valor cero (no se carga)",IF(J460&lt;&gt;"ACTIVO","NO SE CARGA: CECO en estado "&amp;J460,"OK"))))))))))</f>
        <v/>
      </c>
    </row>
    <row r="461">
      <c r="A461" s="5" t="n"/>
      <c r="B461" s="6" t="n"/>
      <c r="C461" s="5" t="n"/>
      <c r="D461" s="6" t="n"/>
      <c r="E461" s="7" t="n"/>
      <c r="F461" s="6" t="n"/>
      <c r="G461" s="8">
        <f>IF(B461="","",IFERROR(VLOOKUP(--B461,'CATALOGO CECO'!$A$2:$H$550,2,FALSE),"CECO NO EXISTE"))</f>
        <v/>
      </c>
      <c r="H461" s="8">
        <f>IF(B461="","",IFERROR(VLOOKUP(--B461,'CATALOGO CECO'!$A$2:$H$550,3,FALSE),""))</f>
        <v/>
      </c>
      <c r="I461" s="8">
        <f>IF(B461="","",IFERROR(VLOOKUP(--B461,'CATALOGO CECO'!$A$2:$H$550,5,FALSE),""))</f>
        <v/>
      </c>
      <c r="J461" s="8">
        <f>IF(B461="","",IFERROR(VLOOKUP(--B461,'CATALOGO CECO'!$A$2:$H$550,8,FALSE),""))</f>
        <v/>
      </c>
      <c r="K461" s="8">
        <f>IF(COUNTA(A461:F461)=0,"",IF(OR(LEN(A461)&lt;&gt;7,MID(A461,5,1)&lt;&gt;"-",ISERROR(--LEFT(A461,4)),ISERROR(--RIGHT(A461,2))),"ERROR: PERIODO debe ser AAAA-MM",IF(B461="","ERROR: falta CODIGO CECO",IF(G461="CECO NO EXISTE","ERROR: CECO no existe en el catálogo",IF(C461="","ERROR: falta CUENTA",IF(ISERROR(--C461),"ERROR: CUENTA debe tener solo dígitos",IF(ISERROR(FIND(LEFT(C461,1),"567")),"ERROR: CUENTA fuera de las clases de costo",IF(NOT(ISNUMBER(E461)),"ERROR: VALOR debe ser numérico",IF(E461=0,"AVISO: valor cero (no se carga)",IF(J461&lt;&gt;"ACTIVO","NO SE CARGA: CECO en estado "&amp;J461,"OK"))))))))))</f>
        <v/>
      </c>
    </row>
    <row r="462">
      <c r="A462" s="5" t="n"/>
      <c r="B462" s="6" t="n"/>
      <c r="C462" s="5" t="n"/>
      <c r="D462" s="6" t="n"/>
      <c r="E462" s="7" t="n"/>
      <c r="F462" s="6" t="n"/>
      <c r="G462" s="8">
        <f>IF(B462="","",IFERROR(VLOOKUP(--B462,'CATALOGO CECO'!$A$2:$H$550,2,FALSE),"CECO NO EXISTE"))</f>
        <v/>
      </c>
      <c r="H462" s="8">
        <f>IF(B462="","",IFERROR(VLOOKUP(--B462,'CATALOGO CECO'!$A$2:$H$550,3,FALSE),""))</f>
        <v/>
      </c>
      <c r="I462" s="8">
        <f>IF(B462="","",IFERROR(VLOOKUP(--B462,'CATALOGO CECO'!$A$2:$H$550,5,FALSE),""))</f>
        <v/>
      </c>
      <c r="J462" s="8">
        <f>IF(B462="","",IFERROR(VLOOKUP(--B462,'CATALOGO CECO'!$A$2:$H$550,8,FALSE),""))</f>
        <v/>
      </c>
      <c r="K462" s="8">
        <f>IF(COUNTA(A462:F462)=0,"",IF(OR(LEN(A462)&lt;&gt;7,MID(A462,5,1)&lt;&gt;"-",ISERROR(--LEFT(A462,4)),ISERROR(--RIGHT(A462,2))),"ERROR: PERIODO debe ser AAAA-MM",IF(B462="","ERROR: falta CODIGO CECO",IF(G462="CECO NO EXISTE","ERROR: CECO no existe en el catálogo",IF(C462="","ERROR: falta CUENTA",IF(ISERROR(--C462),"ERROR: CUENTA debe tener solo dígitos",IF(ISERROR(FIND(LEFT(C462,1),"567")),"ERROR: CUENTA fuera de las clases de costo",IF(NOT(ISNUMBER(E462)),"ERROR: VALOR debe ser numérico",IF(E462=0,"AVISO: valor cero (no se carga)",IF(J462&lt;&gt;"ACTIVO","NO SE CARGA: CECO en estado "&amp;J462,"OK"))))))))))</f>
        <v/>
      </c>
    </row>
    <row r="463">
      <c r="A463" s="5" t="n"/>
      <c r="B463" s="6" t="n"/>
      <c r="C463" s="5" t="n"/>
      <c r="D463" s="6" t="n"/>
      <c r="E463" s="7" t="n"/>
      <c r="F463" s="6" t="n"/>
      <c r="G463" s="8">
        <f>IF(B463="","",IFERROR(VLOOKUP(--B463,'CATALOGO CECO'!$A$2:$H$550,2,FALSE),"CECO NO EXISTE"))</f>
        <v/>
      </c>
      <c r="H463" s="8">
        <f>IF(B463="","",IFERROR(VLOOKUP(--B463,'CATALOGO CECO'!$A$2:$H$550,3,FALSE),""))</f>
        <v/>
      </c>
      <c r="I463" s="8">
        <f>IF(B463="","",IFERROR(VLOOKUP(--B463,'CATALOGO CECO'!$A$2:$H$550,5,FALSE),""))</f>
        <v/>
      </c>
      <c r="J463" s="8">
        <f>IF(B463="","",IFERROR(VLOOKUP(--B463,'CATALOGO CECO'!$A$2:$H$550,8,FALSE),""))</f>
        <v/>
      </c>
      <c r="K463" s="8">
        <f>IF(COUNTA(A463:F463)=0,"",IF(OR(LEN(A463)&lt;&gt;7,MID(A463,5,1)&lt;&gt;"-",ISERROR(--LEFT(A463,4)),ISERROR(--RIGHT(A463,2))),"ERROR: PERIODO debe ser AAAA-MM",IF(B463="","ERROR: falta CODIGO CECO",IF(G463="CECO NO EXISTE","ERROR: CECO no existe en el catálogo",IF(C463="","ERROR: falta CUENTA",IF(ISERROR(--C463),"ERROR: CUENTA debe tener solo dígitos",IF(ISERROR(FIND(LEFT(C463,1),"567")),"ERROR: CUENTA fuera de las clases de costo",IF(NOT(ISNUMBER(E463)),"ERROR: VALOR debe ser numérico",IF(E463=0,"AVISO: valor cero (no se carga)",IF(J463&lt;&gt;"ACTIVO","NO SE CARGA: CECO en estado "&amp;J463,"OK"))))))))))</f>
        <v/>
      </c>
    </row>
    <row r="464">
      <c r="A464" s="5" t="n"/>
      <c r="B464" s="6" t="n"/>
      <c r="C464" s="5" t="n"/>
      <c r="D464" s="6" t="n"/>
      <c r="E464" s="7" t="n"/>
      <c r="F464" s="6" t="n"/>
      <c r="G464" s="8">
        <f>IF(B464="","",IFERROR(VLOOKUP(--B464,'CATALOGO CECO'!$A$2:$H$550,2,FALSE),"CECO NO EXISTE"))</f>
        <v/>
      </c>
      <c r="H464" s="8">
        <f>IF(B464="","",IFERROR(VLOOKUP(--B464,'CATALOGO CECO'!$A$2:$H$550,3,FALSE),""))</f>
        <v/>
      </c>
      <c r="I464" s="8">
        <f>IF(B464="","",IFERROR(VLOOKUP(--B464,'CATALOGO CECO'!$A$2:$H$550,5,FALSE),""))</f>
        <v/>
      </c>
      <c r="J464" s="8">
        <f>IF(B464="","",IFERROR(VLOOKUP(--B464,'CATALOGO CECO'!$A$2:$H$550,8,FALSE),""))</f>
        <v/>
      </c>
      <c r="K464" s="8">
        <f>IF(COUNTA(A464:F464)=0,"",IF(OR(LEN(A464)&lt;&gt;7,MID(A464,5,1)&lt;&gt;"-",ISERROR(--LEFT(A464,4)),ISERROR(--RIGHT(A464,2))),"ERROR: PERIODO debe ser AAAA-MM",IF(B464="","ERROR: falta CODIGO CECO",IF(G464="CECO NO EXISTE","ERROR: CECO no existe en el catálogo",IF(C464="","ERROR: falta CUENTA",IF(ISERROR(--C464),"ERROR: CUENTA debe tener solo dígitos",IF(ISERROR(FIND(LEFT(C464,1),"567")),"ERROR: CUENTA fuera de las clases de costo",IF(NOT(ISNUMBER(E464)),"ERROR: VALOR debe ser numérico",IF(E464=0,"AVISO: valor cero (no se carga)",IF(J464&lt;&gt;"ACTIVO","NO SE CARGA: CECO en estado "&amp;J464,"OK"))))))))))</f>
        <v/>
      </c>
    </row>
    <row r="465">
      <c r="A465" s="5" t="n"/>
      <c r="B465" s="6" t="n"/>
      <c r="C465" s="5" t="n"/>
      <c r="D465" s="6" t="n"/>
      <c r="E465" s="7" t="n"/>
      <c r="F465" s="6" t="n"/>
      <c r="G465" s="8">
        <f>IF(B465="","",IFERROR(VLOOKUP(--B465,'CATALOGO CECO'!$A$2:$H$550,2,FALSE),"CECO NO EXISTE"))</f>
        <v/>
      </c>
      <c r="H465" s="8">
        <f>IF(B465="","",IFERROR(VLOOKUP(--B465,'CATALOGO CECO'!$A$2:$H$550,3,FALSE),""))</f>
        <v/>
      </c>
      <c r="I465" s="8">
        <f>IF(B465="","",IFERROR(VLOOKUP(--B465,'CATALOGO CECO'!$A$2:$H$550,5,FALSE),""))</f>
        <v/>
      </c>
      <c r="J465" s="8">
        <f>IF(B465="","",IFERROR(VLOOKUP(--B465,'CATALOGO CECO'!$A$2:$H$550,8,FALSE),""))</f>
        <v/>
      </c>
      <c r="K465" s="8">
        <f>IF(COUNTA(A465:F465)=0,"",IF(OR(LEN(A465)&lt;&gt;7,MID(A465,5,1)&lt;&gt;"-",ISERROR(--LEFT(A465,4)),ISERROR(--RIGHT(A465,2))),"ERROR: PERIODO debe ser AAAA-MM",IF(B465="","ERROR: falta CODIGO CECO",IF(G465="CECO NO EXISTE","ERROR: CECO no existe en el catálogo",IF(C465="","ERROR: falta CUENTA",IF(ISERROR(--C465),"ERROR: CUENTA debe tener solo dígitos",IF(ISERROR(FIND(LEFT(C465,1),"567")),"ERROR: CUENTA fuera de las clases de costo",IF(NOT(ISNUMBER(E465)),"ERROR: VALOR debe ser numérico",IF(E465=0,"AVISO: valor cero (no se carga)",IF(J465&lt;&gt;"ACTIVO","NO SE CARGA: CECO en estado "&amp;J465,"OK"))))))))))</f>
        <v/>
      </c>
    </row>
    <row r="466">
      <c r="A466" s="5" t="n"/>
      <c r="B466" s="6" t="n"/>
      <c r="C466" s="5" t="n"/>
      <c r="D466" s="6" t="n"/>
      <c r="E466" s="7" t="n"/>
      <c r="F466" s="6" t="n"/>
      <c r="G466" s="8">
        <f>IF(B466="","",IFERROR(VLOOKUP(--B466,'CATALOGO CECO'!$A$2:$H$550,2,FALSE),"CECO NO EXISTE"))</f>
        <v/>
      </c>
      <c r="H466" s="8">
        <f>IF(B466="","",IFERROR(VLOOKUP(--B466,'CATALOGO CECO'!$A$2:$H$550,3,FALSE),""))</f>
        <v/>
      </c>
      <c r="I466" s="8">
        <f>IF(B466="","",IFERROR(VLOOKUP(--B466,'CATALOGO CECO'!$A$2:$H$550,5,FALSE),""))</f>
        <v/>
      </c>
      <c r="J466" s="8">
        <f>IF(B466="","",IFERROR(VLOOKUP(--B466,'CATALOGO CECO'!$A$2:$H$550,8,FALSE),""))</f>
        <v/>
      </c>
      <c r="K466" s="8">
        <f>IF(COUNTA(A466:F466)=0,"",IF(OR(LEN(A466)&lt;&gt;7,MID(A466,5,1)&lt;&gt;"-",ISERROR(--LEFT(A466,4)),ISERROR(--RIGHT(A466,2))),"ERROR: PERIODO debe ser AAAA-MM",IF(B466="","ERROR: falta CODIGO CECO",IF(G466="CECO NO EXISTE","ERROR: CECO no existe en el catálogo",IF(C466="","ERROR: falta CUENTA",IF(ISERROR(--C466),"ERROR: CUENTA debe tener solo dígitos",IF(ISERROR(FIND(LEFT(C466,1),"567")),"ERROR: CUENTA fuera de las clases de costo",IF(NOT(ISNUMBER(E466)),"ERROR: VALOR debe ser numérico",IF(E466=0,"AVISO: valor cero (no se carga)",IF(J466&lt;&gt;"ACTIVO","NO SE CARGA: CECO en estado "&amp;J466,"OK"))))))))))</f>
        <v/>
      </c>
    </row>
    <row r="467">
      <c r="A467" s="5" t="n"/>
      <c r="B467" s="6" t="n"/>
      <c r="C467" s="5" t="n"/>
      <c r="D467" s="6" t="n"/>
      <c r="E467" s="7" t="n"/>
      <c r="F467" s="6" t="n"/>
      <c r="G467" s="8">
        <f>IF(B467="","",IFERROR(VLOOKUP(--B467,'CATALOGO CECO'!$A$2:$H$550,2,FALSE),"CECO NO EXISTE"))</f>
        <v/>
      </c>
      <c r="H467" s="8">
        <f>IF(B467="","",IFERROR(VLOOKUP(--B467,'CATALOGO CECO'!$A$2:$H$550,3,FALSE),""))</f>
        <v/>
      </c>
      <c r="I467" s="8">
        <f>IF(B467="","",IFERROR(VLOOKUP(--B467,'CATALOGO CECO'!$A$2:$H$550,5,FALSE),""))</f>
        <v/>
      </c>
      <c r="J467" s="8">
        <f>IF(B467="","",IFERROR(VLOOKUP(--B467,'CATALOGO CECO'!$A$2:$H$550,8,FALSE),""))</f>
        <v/>
      </c>
      <c r="K467" s="8">
        <f>IF(COUNTA(A467:F467)=0,"",IF(OR(LEN(A467)&lt;&gt;7,MID(A467,5,1)&lt;&gt;"-",ISERROR(--LEFT(A467,4)),ISERROR(--RIGHT(A467,2))),"ERROR: PERIODO debe ser AAAA-MM",IF(B467="","ERROR: falta CODIGO CECO",IF(G467="CECO NO EXISTE","ERROR: CECO no existe en el catálogo",IF(C467="","ERROR: falta CUENTA",IF(ISERROR(--C467),"ERROR: CUENTA debe tener solo dígitos",IF(ISERROR(FIND(LEFT(C467,1),"567")),"ERROR: CUENTA fuera de las clases de costo",IF(NOT(ISNUMBER(E467)),"ERROR: VALOR debe ser numérico",IF(E467=0,"AVISO: valor cero (no se carga)",IF(J467&lt;&gt;"ACTIVO","NO SE CARGA: CECO en estado "&amp;J467,"OK"))))))))))</f>
        <v/>
      </c>
    </row>
    <row r="468">
      <c r="A468" s="5" t="n"/>
      <c r="B468" s="6" t="n"/>
      <c r="C468" s="5" t="n"/>
      <c r="D468" s="6" t="n"/>
      <c r="E468" s="7" t="n"/>
      <c r="F468" s="6" t="n"/>
      <c r="G468" s="8">
        <f>IF(B468="","",IFERROR(VLOOKUP(--B468,'CATALOGO CECO'!$A$2:$H$550,2,FALSE),"CECO NO EXISTE"))</f>
        <v/>
      </c>
      <c r="H468" s="8">
        <f>IF(B468="","",IFERROR(VLOOKUP(--B468,'CATALOGO CECO'!$A$2:$H$550,3,FALSE),""))</f>
        <v/>
      </c>
      <c r="I468" s="8">
        <f>IF(B468="","",IFERROR(VLOOKUP(--B468,'CATALOGO CECO'!$A$2:$H$550,5,FALSE),""))</f>
        <v/>
      </c>
      <c r="J468" s="8">
        <f>IF(B468="","",IFERROR(VLOOKUP(--B468,'CATALOGO CECO'!$A$2:$H$550,8,FALSE),""))</f>
        <v/>
      </c>
      <c r="K468" s="8">
        <f>IF(COUNTA(A468:F468)=0,"",IF(OR(LEN(A468)&lt;&gt;7,MID(A468,5,1)&lt;&gt;"-",ISERROR(--LEFT(A468,4)),ISERROR(--RIGHT(A468,2))),"ERROR: PERIODO debe ser AAAA-MM",IF(B468="","ERROR: falta CODIGO CECO",IF(G468="CECO NO EXISTE","ERROR: CECO no existe en el catálogo",IF(C468="","ERROR: falta CUENTA",IF(ISERROR(--C468),"ERROR: CUENTA debe tener solo dígitos",IF(ISERROR(FIND(LEFT(C468,1),"567")),"ERROR: CUENTA fuera de las clases de costo",IF(NOT(ISNUMBER(E468)),"ERROR: VALOR debe ser numérico",IF(E468=0,"AVISO: valor cero (no se carga)",IF(J468&lt;&gt;"ACTIVO","NO SE CARGA: CECO en estado "&amp;J468,"OK"))))))))))</f>
        <v/>
      </c>
    </row>
    <row r="469">
      <c r="A469" s="5" t="n"/>
      <c r="B469" s="6" t="n"/>
      <c r="C469" s="5" t="n"/>
      <c r="D469" s="6" t="n"/>
      <c r="E469" s="7" t="n"/>
      <c r="F469" s="6" t="n"/>
      <c r="G469" s="8">
        <f>IF(B469="","",IFERROR(VLOOKUP(--B469,'CATALOGO CECO'!$A$2:$H$550,2,FALSE),"CECO NO EXISTE"))</f>
        <v/>
      </c>
      <c r="H469" s="8">
        <f>IF(B469="","",IFERROR(VLOOKUP(--B469,'CATALOGO CECO'!$A$2:$H$550,3,FALSE),""))</f>
        <v/>
      </c>
      <c r="I469" s="8">
        <f>IF(B469="","",IFERROR(VLOOKUP(--B469,'CATALOGO CECO'!$A$2:$H$550,5,FALSE),""))</f>
        <v/>
      </c>
      <c r="J469" s="8">
        <f>IF(B469="","",IFERROR(VLOOKUP(--B469,'CATALOGO CECO'!$A$2:$H$550,8,FALSE),""))</f>
        <v/>
      </c>
      <c r="K469" s="8">
        <f>IF(COUNTA(A469:F469)=0,"",IF(OR(LEN(A469)&lt;&gt;7,MID(A469,5,1)&lt;&gt;"-",ISERROR(--LEFT(A469,4)),ISERROR(--RIGHT(A469,2))),"ERROR: PERIODO debe ser AAAA-MM",IF(B469="","ERROR: falta CODIGO CECO",IF(G469="CECO NO EXISTE","ERROR: CECO no existe en el catálogo",IF(C469="","ERROR: falta CUENTA",IF(ISERROR(--C469),"ERROR: CUENTA debe tener solo dígitos",IF(ISERROR(FIND(LEFT(C469,1),"567")),"ERROR: CUENTA fuera de las clases de costo",IF(NOT(ISNUMBER(E469)),"ERROR: VALOR debe ser numérico",IF(E469=0,"AVISO: valor cero (no se carga)",IF(J469&lt;&gt;"ACTIVO","NO SE CARGA: CECO en estado "&amp;J469,"OK"))))))))))</f>
        <v/>
      </c>
    </row>
    <row r="470">
      <c r="A470" s="5" t="n"/>
      <c r="B470" s="6" t="n"/>
      <c r="C470" s="5" t="n"/>
      <c r="D470" s="6" t="n"/>
      <c r="E470" s="7" t="n"/>
      <c r="F470" s="6" t="n"/>
      <c r="G470" s="8">
        <f>IF(B470="","",IFERROR(VLOOKUP(--B470,'CATALOGO CECO'!$A$2:$H$550,2,FALSE),"CECO NO EXISTE"))</f>
        <v/>
      </c>
      <c r="H470" s="8">
        <f>IF(B470="","",IFERROR(VLOOKUP(--B470,'CATALOGO CECO'!$A$2:$H$550,3,FALSE),""))</f>
        <v/>
      </c>
      <c r="I470" s="8">
        <f>IF(B470="","",IFERROR(VLOOKUP(--B470,'CATALOGO CECO'!$A$2:$H$550,5,FALSE),""))</f>
        <v/>
      </c>
      <c r="J470" s="8">
        <f>IF(B470="","",IFERROR(VLOOKUP(--B470,'CATALOGO CECO'!$A$2:$H$550,8,FALSE),""))</f>
        <v/>
      </c>
      <c r="K470" s="8">
        <f>IF(COUNTA(A470:F470)=0,"",IF(OR(LEN(A470)&lt;&gt;7,MID(A470,5,1)&lt;&gt;"-",ISERROR(--LEFT(A470,4)),ISERROR(--RIGHT(A470,2))),"ERROR: PERIODO debe ser AAAA-MM",IF(B470="","ERROR: falta CODIGO CECO",IF(G470="CECO NO EXISTE","ERROR: CECO no existe en el catálogo",IF(C470="","ERROR: falta CUENTA",IF(ISERROR(--C470),"ERROR: CUENTA debe tener solo dígitos",IF(ISERROR(FIND(LEFT(C470,1),"567")),"ERROR: CUENTA fuera de las clases de costo",IF(NOT(ISNUMBER(E470)),"ERROR: VALOR debe ser numérico",IF(E470=0,"AVISO: valor cero (no se carga)",IF(J470&lt;&gt;"ACTIVO","NO SE CARGA: CECO en estado "&amp;J470,"OK"))))))))))</f>
        <v/>
      </c>
    </row>
    <row r="471">
      <c r="A471" s="5" t="n"/>
      <c r="B471" s="6" t="n"/>
      <c r="C471" s="5" t="n"/>
      <c r="D471" s="6" t="n"/>
      <c r="E471" s="7" t="n"/>
      <c r="F471" s="6" t="n"/>
      <c r="G471" s="8">
        <f>IF(B471="","",IFERROR(VLOOKUP(--B471,'CATALOGO CECO'!$A$2:$H$550,2,FALSE),"CECO NO EXISTE"))</f>
        <v/>
      </c>
      <c r="H471" s="8">
        <f>IF(B471="","",IFERROR(VLOOKUP(--B471,'CATALOGO CECO'!$A$2:$H$550,3,FALSE),""))</f>
        <v/>
      </c>
      <c r="I471" s="8">
        <f>IF(B471="","",IFERROR(VLOOKUP(--B471,'CATALOGO CECO'!$A$2:$H$550,5,FALSE),""))</f>
        <v/>
      </c>
      <c r="J471" s="8">
        <f>IF(B471="","",IFERROR(VLOOKUP(--B471,'CATALOGO CECO'!$A$2:$H$550,8,FALSE),""))</f>
        <v/>
      </c>
      <c r="K471" s="8">
        <f>IF(COUNTA(A471:F471)=0,"",IF(OR(LEN(A471)&lt;&gt;7,MID(A471,5,1)&lt;&gt;"-",ISERROR(--LEFT(A471,4)),ISERROR(--RIGHT(A471,2))),"ERROR: PERIODO debe ser AAAA-MM",IF(B471="","ERROR: falta CODIGO CECO",IF(G471="CECO NO EXISTE","ERROR: CECO no existe en el catálogo",IF(C471="","ERROR: falta CUENTA",IF(ISERROR(--C471),"ERROR: CUENTA debe tener solo dígitos",IF(ISERROR(FIND(LEFT(C471,1),"567")),"ERROR: CUENTA fuera de las clases de costo",IF(NOT(ISNUMBER(E471)),"ERROR: VALOR debe ser numérico",IF(E471=0,"AVISO: valor cero (no se carga)",IF(J471&lt;&gt;"ACTIVO","NO SE CARGA: CECO en estado "&amp;J471,"OK"))))))))))</f>
        <v/>
      </c>
    </row>
    <row r="472">
      <c r="A472" s="5" t="n"/>
      <c r="B472" s="6" t="n"/>
      <c r="C472" s="5" t="n"/>
      <c r="D472" s="6" t="n"/>
      <c r="E472" s="7" t="n"/>
      <c r="F472" s="6" t="n"/>
      <c r="G472" s="8">
        <f>IF(B472="","",IFERROR(VLOOKUP(--B472,'CATALOGO CECO'!$A$2:$H$550,2,FALSE),"CECO NO EXISTE"))</f>
        <v/>
      </c>
      <c r="H472" s="8">
        <f>IF(B472="","",IFERROR(VLOOKUP(--B472,'CATALOGO CECO'!$A$2:$H$550,3,FALSE),""))</f>
        <v/>
      </c>
      <c r="I472" s="8">
        <f>IF(B472="","",IFERROR(VLOOKUP(--B472,'CATALOGO CECO'!$A$2:$H$550,5,FALSE),""))</f>
        <v/>
      </c>
      <c r="J472" s="8">
        <f>IF(B472="","",IFERROR(VLOOKUP(--B472,'CATALOGO CECO'!$A$2:$H$550,8,FALSE),""))</f>
        <v/>
      </c>
      <c r="K472" s="8">
        <f>IF(COUNTA(A472:F472)=0,"",IF(OR(LEN(A472)&lt;&gt;7,MID(A472,5,1)&lt;&gt;"-",ISERROR(--LEFT(A472,4)),ISERROR(--RIGHT(A472,2))),"ERROR: PERIODO debe ser AAAA-MM",IF(B472="","ERROR: falta CODIGO CECO",IF(G472="CECO NO EXISTE","ERROR: CECO no existe en el catálogo",IF(C472="","ERROR: falta CUENTA",IF(ISERROR(--C472),"ERROR: CUENTA debe tener solo dígitos",IF(ISERROR(FIND(LEFT(C472,1),"567")),"ERROR: CUENTA fuera de las clases de costo",IF(NOT(ISNUMBER(E472)),"ERROR: VALOR debe ser numérico",IF(E472=0,"AVISO: valor cero (no se carga)",IF(J472&lt;&gt;"ACTIVO","NO SE CARGA: CECO en estado "&amp;J472,"OK"))))))))))</f>
        <v/>
      </c>
    </row>
    <row r="473">
      <c r="A473" s="5" t="n"/>
      <c r="B473" s="6" t="n"/>
      <c r="C473" s="5" t="n"/>
      <c r="D473" s="6" t="n"/>
      <c r="E473" s="7" t="n"/>
      <c r="F473" s="6" t="n"/>
      <c r="G473" s="8">
        <f>IF(B473="","",IFERROR(VLOOKUP(--B473,'CATALOGO CECO'!$A$2:$H$550,2,FALSE),"CECO NO EXISTE"))</f>
        <v/>
      </c>
      <c r="H473" s="8">
        <f>IF(B473="","",IFERROR(VLOOKUP(--B473,'CATALOGO CECO'!$A$2:$H$550,3,FALSE),""))</f>
        <v/>
      </c>
      <c r="I473" s="8">
        <f>IF(B473="","",IFERROR(VLOOKUP(--B473,'CATALOGO CECO'!$A$2:$H$550,5,FALSE),""))</f>
        <v/>
      </c>
      <c r="J473" s="8">
        <f>IF(B473="","",IFERROR(VLOOKUP(--B473,'CATALOGO CECO'!$A$2:$H$550,8,FALSE),""))</f>
        <v/>
      </c>
      <c r="K473" s="8">
        <f>IF(COUNTA(A473:F473)=0,"",IF(OR(LEN(A473)&lt;&gt;7,MID(A473,5,1)&lt;&gt;"-",ISERROR(--LEFT(A473,4)),ISERROR(--RIGHT(A473,2))),"ERROR: PERIODO debe ser AAAA-MM",IF(B473="","ERROR: falta CODIGO CECO",IF(G473="CECO NO EXISTE","ERROR: CECO no existe en el catálogo",IF(C473="","ERROR: falta CUENTA",IF(ISERROR(--C473),"ERROR: CUENTA debe tener solo dígitos",IF(ISERROR(FIND(LEFT(C473,1),"567")),"ERROR: CUENTA fuera de las clases de costo",IF(NOT(ISNUMBER(E473)),"ERROR: VALOR debe ser numérico",IF(E473=0,"AVISO: valor cero (no se carga)",IF(J473&lt;&gt;"ACTIVO","NO SE CARGA: CECO en estado "&amp;J473,"OK"))))))))))</f>
        <v/>
      </c>
    </row>
    <row r="474">
      <c r="A474" s="5" t="n"/>
      <c r="B474" s="6" t="n"/>
      <c r="C474" s="5" t="n"/>
      <c r="D474" s="6" t="n"/>
      <c r="E474" s="7" t="n"/>
      <c r="F474" s="6" t="n"/>
      <c r="G474" s="8">
        <f>IF(B474="","",IFERROR(VLOOKUP(--B474,'CATALOGO CECO'!$A$2:$H$550,2,FALSE),"CECO NO EXISTE"))</f>
        <v/>
      </c>
      <c r="H474" s="8">
        <f>IF(B474="","",IFERROR(VLOOKUP(--B474,'CATALOGO CECO'!$A$2:$H$550,3,FALSE),""))</f>
        <v/>
      </c>
      <c r="I474" s="8">
        <f>IF(B474="","",IFERROR(VLOOKUP(--B474,'CATALOGO CECO'!$A$2:$H$550,5,FALSE),""))</f>
        <v/>
      </c>
      <c r="J474" s="8">
        <f>IF(B474="","",IFERROR(VLOOKUP(--B474,'CATALOGO CECO'!$A$2:$H$550,8,FALSE),""))</f>
        <v/>
      </c>
      <c r="K474" s="8">
        <f>IF(COUNTA(A474:F474)=0,"",IF(OR(LEN(A474)&lt;&gt;7,MID(A474,5,1)&lt;&gt;"-",ISERROR(--LEFT(A474,4)),ISERROR(--RIGHT(A474,2))),"ERROR: PERIODO debe ser AAAA-MM",IF(B474="","ERROR: falta CODIGO CECO",IF(G474="CECO NO EXISTE","ERROR: CECO no existe en el catálogo",IF(C474="","ERROR: falta CUENTA",IF(ISERROR(--C474),"ERROR: CUENTA debe tener solo dígitos",IF(ISERROR(FIND(LEFT(C474,1),"567")),"ERROR: CUENTA fuera de las clases de costo",IF(NOT(ISNUMBER(E474)),"ERROR: VALOR debe ser numérico",IF(E474=0,"AVISO: valor cero (no se carga)",IF(J474&lt;&gt;"ACTIVO","NO SE CARGA: CECO en estado "&amp;J474,"OK"))))))))))</f>
        <v/>
      </c>
    </row>
    <row r="475">
      <c r="A475" s="5" t="n"/>
      <c r="B475" s="6" t="n"/>
      <c r="C475" s="5" t="n"/>
      <c r="D475" s="6" t="n"/>
      <c r="E475" s="7" t="n"/>
      <c r="F475" s="6" t="n"/>
      <c r="G475" s="8">
        <f>IF(B475="","",IFERROR(VLOOKUP(--B475,'CATALOGO CECO'!$A$2:$H$550,2,FALSE),"CECO NO EXISTE"))</f>
        <v/>
      </c>
      <c r="H475" s="8">
        <f>IF(B475="","",IFERROR(VLOOKUP(--B475,'CATALOGO CECO'!$A$2:$H$550,3,FALSE),""))</f>
        <v/>
      </c>
      <c r="I475" s="8">
        <f>IF(B475="","",IFERROR(VLOOKUP(--B475,'CATALOGO CECO'!$A$2:$H$550,5,FALSE),""))</f>
        <v/>
      </c>
      <c r="J475" s="8">
        <f>IF(B475="","",IFERROR(VLOOKUP(--B475,'CATALOGO CECO'!$A$2:$H$550,8,FALSE),""))</f>
        <v/>
      </c>
      <c r="K475" s="8">
        <f>IF(COUNTA(A475:F475)=0,"",IF(OR(LEN(A475)&lt;&gt;7,MID(A475,5,1)&lt;&gt;"-",ISERROR(--LEFT(A475,4)),ISERROR(--RIGHT(A475,2))),"ERROR: PERIODO debe ser AAAA-MM",IF(B475="","ERROR: falta CODIGO CECO",IF(G475="CECO NO EXISTE","ERROR: CECO no existe en el catálogo",IF(C475="","ERROR: falta CUENTA",IF(ISERROR(--C475),"ERROR: CUENTA debe tener solo dígitos",IF(ISERROR(FIND(LEFT(C475,1),"567")),"ERROR: CUENTA fuera de las clases de costo",IF(NOT(ISNUMBER(E475)),"ERROR: VALOR debe ser numérico",IF(E475=0,"AVISO: valor cero (no se carga)",IF(J475&lt;&gt;"ACTIVO","NO SE CARGA: CECO en estado "&amp;J475,"OK"))))))))))</f>
        <v/>
      </c>
    </row>
    <row r="476">
      <c r="A476" s="5" t="n"/>
      <c r="B476" s="6" t="n"/>
      <c r="C476" s="5" t="n"/>
      <c r="D476" s="6" t="n"/>
      <c r="E476" s="7" t="n"/>
      <c r="F476" s="6" t="n"/>
      <c r="G476" s="8">
        <f>IF(B476="","",IFERROR(VLOOKUP(--B476,'CATALOGO CECO'!$A$2:$H$550,2,FALSE),"CECO NO EXISTE"))</f>
        <v/>
      </c>
      <c r="H476" s="8">
        <f>IF(B476="","",IFERROR(VLOOKUP(--B476,'CATALOGO CECO'!$A$2:$H$550,3,FALSE),""))</f>
        <v/>
      </c>
      <c r="I476" s="8">
        <f>IF(B476="","",IFERROR(VLOOKUP(--B476,'CATALOGO CECO'!$A$2:$H$550,5,FALSE),""))</f>
        <v/>
      </c>
      <c r="J476" s="8">
        <f>IF(B476="","",IFERROR(VLOOKUP(--B476,'CATALOGO CECO'!$A$2:$H$550,8,FALSE),""))</f>
        <v/>
      </c>
      <c r="K476" s="8">
        <f>IF(COUNTA(A476:F476)=0,"",IF(OR(LEN(A476)&lt;&gt;7,MID(A476,5,1)&lt;&gt;"-",ISERROR(--LEFT(A476,4)),ISERROR(--RIGHT(A476,2))),"ERROR: PERIODO debe ser AAAA-MM",IF(B476="","ERROR: falta CODIGO CECO",IF(G476="CECO NO EXISTE","ERROR: CECO no existe en el catálogo",IF(C476="","ERROR: falta CUENTA",IF(ISERROR(--C476),"ERROR: CUENTA debe tener solo dígitos",IF(ISERROR(FIND(LEFT(C476,1),"567")),"ERROR: CUENTA fuera de las clases de costo",IF(NOT(ISNUMBER(E476)),"ERROR: VALOR debe ser numérico",IF(E476=0,"AVISO: valor cero (no se carga)",IF(J476&lt;&gt;"ACTIVO","NO SE CARGA: CECO en estado "&amp;J476,"OK"))))))))))</f>
        <v/>
      </c>
    </row>
    <row r="477">
      <c r="A477" s="5" t="n"/>
      <c r="B477" s="6" t="n"/>
      <c r="C477" s="5" t="n"/>
      <c r="D477" s="6" t="n"/>
      <c r="E477" s="7" t="n"/>
      <c r="F477" s="6" t="n"/>
      <c r="G477" s="8">
        <f>IF(B477="","",IFERROR(VLOOKUP(--B477,'CATALOGO CECO'!$A$2:$H$550,2,FALSE),"CECO NO EXISTE"))</f>
        <v/>
      </c>
      <c r="H477" s="8">
        <f>IF(B477="","",IFERROR(VLOOKUP(--B477,'CATALOGO CECO'!$A$2:$H$550,3,FALSE),""))</f>
        <v/>
      </c>
      <c r="I477" s="8">
        <f>IF(B477="","",IFERROR(VLOOKUP(--B477,'CATALOGO CECO'!$A$2:$H$550,5,FALSE),""))</f>
        <v/>
      </c>
      <c r="J477" s="8">
        <f>IF(B477="","",IFERROR(VLOOKUP(--B477,'CATALOGO CECO'!$A$2:$H$550,8,FALSE),""))</f>
        <v/>
      </c>
      <c r="K477" s="8">
        <f>IF(COUNTA(A477:F477)=0,"",IF(OR(LEN(A477)&lt;&gt;7,MID(A477,5,1)&lt;&gt;"-",ISERROR(--LEFT(A477,4)),ISERROR(--RIGHT(A477,2))),"ERROR: PERIODO debe ser AAAA-MM",IF(B477="","ERROR: falta CODIGO CECO",IF(G477="CECO NO EXISTE","ERROR: CECO no existe en el catálogo",IF(C477="","ERROR: falta CUENTA",IF(ISERROR(--C477),"ERROR: CUENTA debe tener solo dígitos",IF(ISERROR(FIND(LEFT(C477,1),"567")),"ERROR: CUENTA fuera de las clases de costo",IF(NOT(ISNUMBER(E477)),"ERROR: VALOR debe ser numérico",IF(E477=0,"AVISO: valor cero (no se carga)",IF(J477&lt;&gt;"ACTIVO","NO SE CARGA: CECO en estado "&amp;J477,"OK"))))))))))</f>
        <v/>
      </c>
    </row>
    <row r="478">
      <c r="A478" s="5" t="n"/>
      <c r="B478" s="6" t="n"/>
      <c r="C478" s="5" t="n"/>
      <c r="D478" s="6" t="n"/>
      <c r="E478" s="7" t="n"/>
      <c r="F478" s="6" t="n"/>
      <c r="G478" s="8">
        <f>IF(B478="","",IFERROR(VLOOKUP(--B478,'CATALOGO CECO'!$A$2:$H$550,2,FALSE),"CECO NO EXISTE"))</f>
        <v/>
      </c>
      <c r="H478" s="8">
        <f>IF(B478="","",IFERROR(VLOOKUP(--B478,'CATALOGO CECO'!$A$2:$H$550,3,FALSE),""))</f>
        <v/>
      </c>
      <c r="I478" s="8">
        <f>IF(B478="","",IFERROR(VLOOKUP(--B478,'CATALOGO CECO'!$A$2:$H$550,5,FALSE),""))</f>
        <v/>
      </c>
      <c r="J478" s="8">
        <f>IF(B478="","",IFERROR(VLOOKUP(--B478,'CATALOGO CECO'!$A$2:$H$550,8,FALSE),""))</f>
        <v/>
      </c>
      <c r="K478" s="8">
        <f>IF(COUNTA(A478:F478)=0,"",IF(OR(LEN(A478)&lt;&gt;7,MID(A478,5,1)&lt;&gt;"-",ISERROR(--LEFT(A478,4)),ISERROR(--RIGHT(A478,2))),"ERROR: PERIODO debe ser AAAA-MM",IF(B478="","ERROR: falta CODIGO CECO",IF(G478="CECO NO EXISTE","ERROR: CECO no existe en el catálogo",IF(C478="","ERROR: falta CUENTA",IF(ISERROR(--C478),"ERROR: CUENTA debe tener solo dígitos",IF(ISERROR(FIND(LEFT(C478,1),"567")),"ERROR: CUENTA fuera de las clases de costo",IF(NOT(ISNUMBER(E478)),"ERROR: VALOR debe ser numérico",IF(E478=0,"AVISO: valor cero (no se carga)",IF(J478&lt;&gt;"ACTIVO","NO SE CARGA: CECO en estado "&amp;J478,"OK"))))))))))</f>
        <v/>
      </c>
    </row>
    <row r="479">
      <c r="A479" s="5" t="n"/>
      <c r="B479" s="6" t="n"/>
      <c r="C479" s="5" t="n"/>
      <c r="D479" s="6" t="n"/>
      <c r="E479" s="7" t="n"/>
      <c r="F479" s="6" t="n"/>
      <c r="G479" s="8">
        <f>IF(B479="","",IFERROR(VLOOKUP(--B479,'CATALOGO CECO'!$A$2:$H$550,2,FALSE),"CECO NO EXISTE"))</f>
        <v/>
      </c>
      <c r="H479" s="8">
        <f>IF(B479="","",IFERROR(VLOOKUP(--B479,'CATALOGO CECO'!$A$2:$H$550,3,FALSE),""))</f>
        <v/>
      </c>
      <c r="I479" s="8">
        <f>IF(B479="","",IFERROR(VLOOKUP(--B479,'CATALOGO CECO'!$A$2:$H$550,5,FALSE),""))</f>
        <v/>
      </c>
      <c r="J479" s="8">
        <f>IF(B479="","",IFERROR(VLOOKUP(--B479,'CATALOGO CECO'!$A$2:$H$550,8,FALSE),""))</f>
        <v/>
      </c>
      <c r="K479" s="8">
        <f>IF(COUNTA(A479:F479)=0,"",IF(OR(LEN(A479)&lt;&gt;7,MID(A479,5,1)&lt;&gt;"-",ISERROR(--LEFT(A479,4)),ISERROR(--RIGHT(A479,2))),"ERROR: PERIODO debe ser AAAA-MM",IF(B479="","ERROR: falta CODIGO CECO",IF(G479="CECO NO EXISTE","ERROR: CECO no existe en el catálogo",IF(C479="","ERROR: falta CUENTA",IF(ISERROR(--C479),"ERROR: CUENTA debe tener solo dígitos",IF(ISERROR(FIND(LEFT(C479,1),"567")),"ERROR: CUENTA fuera de las clases de costo",IF(NOT(ISNUMBER(E479)),"ERROR: VALOR debe ser numérico",IF(E479=0,"AVISO: valor cero (no se carga)",IF(J479&lt;&gt;"ACTIVO","NO SE CARGA: CECO en estado "&amp;J479,"OK"))))))))))</f>
        <v/>
      </c>
    </row>
    <row r="480">
      <c r="A480" s="5" t="n"/>
      <c r="B480" s="6" t="n"/>
      <c r="C480" s="5" t="n"/>
      <c r="D480" s="6" t="n"/>
      <c r="E480" s="7" t="n"/>
      <c r="F480" s="6" t="n"/>
      <c r="G480" s="8">
        <f>IF(B480="","",IFERROR(VLOOKUP(--B480,'CATALOGO CECO'!$A$2:$H$550,2,FALSE),"CECO NO EXISTE"))</f>
        <v/>
      </c>
      <c r="H480" s="8">
        <f>IF(B480="","",IFERROR(VLOOKUP(--B480,'CATALOGO CECO'!$A$2:$H$550,3,FALSE),""))</f>
        <v/>
      </c>
      <c r="I480" s="8">
        <f>IF(B480="","",IFERROR(VLOOKUP(--B480,'CATALOGO CECO'!$A$2:$H$550,5,FALSE),""))</f>
        <v/>
      </c>
      <c r="J480" s="8">
        <f>IF(B480="","",IFERROR(VLOOKUP(--B480,'CATALOGO CECO'!$A$2:$H$550,8,FALSE),""))</f>
        <v/>
      </c>
      <c r="K480" s="8">
        <f>IF(COUNTA(A480:F480)=0,"",IF(OR(LEN(A480)&lt;&gt;7,MID(A480,5,1)&lt;&gt;"-",ISERROR(--LEFT(A480,4)),ISERROR(--RIGHT(A480,2))),"ERROR: PERIODO debe ser AAAA-MM",IF(B480="","ERROR: falta CODIGO CECO",IF(G480="CECO NO EXISTE","ERROR: CECO no existe en el catálogo",IF(C480="","ERROR: falta CUENTA",IF(ISERROR(--C480),"ERROR: CUENTA debe tener solo dígitos",IF(ISERROR(FIND(LEFT(C480,1),"567")),"ERROR: CUENTA fuera de las clases de costo",IF(NOT(ISNUMBER(E480)),"ERROR: VALOR debe ser numérico",IF(E480=0,"AVISO: valor cero (no se carga)",IF(J480&lt;&gt;"ACTIVO","NO SE CARGA: CECO en estado "&amp;J480,"OK"))))))))))</f>
        <v/>
      </c>
    </row>
    <row r="481">
      <c r="A481" s="5" t="n"/>
      <c r="B481" s="6" t="n"/>
      <c r="C481" s="5" t="n"/>
      <c r="D481" s="6" t="n"/>
      <c r="E481" s="7" t="n"/>
      <c r="F481" s="6" t="n"/>
      <c r="G481" s="8">
        <f>IF(B481="","",IFERROR(VLOOKUP(--B481,'CATALOGO CECO'!$A$2:$H$550,2,FALSE),"CECO NO EXISTE"))</f>
        <v/>
      </c>
      <c r="H481" s="8">
        <f>IF(B481="","",IFERROR(VLOOKUP(--B481,'CATALOGO CECO'!$A$2:$H$550,3,FALSE),""))</f>
        <v/>
      </c>
      <c r="I481" s="8">
        <f>IF(B481="","",IFERROR(VLOOKUP(--B481,'CATALOGO CECO'!$A$2:$H$550,5,FALSE),""))</f>
        <v/>
      </c>
      <c r="J481" s="8">
        <f>IF(B481="","",IFERROR(VLOOKUP(--B481,'CATALOGO CECO'!$A$2:$H$550,8,FALSE),""))</f>
        <v/>
      </c>
      <c r="K481" s="8">
        <f>IF(COUNTA(A481:F481)=0,"",IF(OR(LEN(A481)&lt;&gt;7,MID(A481,5,1)&lt;&gt;"-",ISERROR(--LEFT(A481,4)),ISERROR(--RIGHT(A481,2))),"ERROR: PERIODO debe ser AAAA-MM",IF(B481="","ERROR: falta CODIGO CECO",IF(G481="CECO NO EXISTE","ERROR: CECO no existe en el catálogo",IF(C481="","ERROR: falta CUENTA",IF(ISERROR(--C481),"ERROR: CUENTA debe tener solo dígitos",IF(ISERROR(FIND(LEFT(C481,1),"567")),"ERROR: CUENTA fuera de las clases de costo",IF(NOT(ISNUMBER(E481)),"ERROR: VALOR debe ser numérico",IF(E481=0,"AVISO: valor cero (no se carga)",IF(J481&lt;&gt;"ACTIVO","NO SE CARGA: CECO en estado "&amp;J481,"OK"))))))))))</f>
        <v/>
      </c>
    </row>
    <row r="482">
      <c r="A482" s="5" t="n"/>
      <c r="B482" s="6" t="n"/>
      <c r="C482" s="5" t="n"/>
      <c r="D482" s="6" t="n"/>
      <c r="E482" s="7" t="n"/>
      <c r="F482" s="6" t="n"/>
      <c r="G482" s="8">
        <f>IF(B482="","",IFERROR(VLOOKUP(--B482,'CATALOGO CECO'!$A$2:$H$550,2,FALSE),"CECO NO EXISTE"))</f>
        <v/>
      </c>
      <c r="H482" s="8">
        <f>IF(B482="","",IFERROR(VLOOKUP(--B482,'CATALOGO CECO'!$A$2:$H$550,3,FALSE),""))</f>
        <v/>
      </c>
      <c r="I482" s="8">
        <f>IF(B482="","",IFERROR(VLOOKUP(--B482,'CATALOGO CECO'!$A$2:$H$550,5,FALSE),""))</f>
        <v/>
      </c>
      <c r="J482" s="8">
        <f>IF(B482="","",IFERROR(VLOOKUP(--B482,'CATALOGO CECO'!$A$2:$H$550,8,FALSE),""))</f>
        <v/>
      </c>
      <c r="K482" s="8">
        <f>IF(COUNTA(A482:F482)=0,"",IF(OR(LEN(A482)&lt;&gt;7,MID(A482,5,1)&lt;&gt;"-",ISERROR(--LEFT(A482,4)),ISERROR(--RIGHT(A482,2))),"ERROR: PERIODO debe ser AAAA-MM",IF(B482="","ERROR: falta CODIGO CECO",IF(G482="CECO NO EXISTE","ERROR: CECO no existe en el catálogo",IF(C482="","ERROR: falta CUENTA",IF(ISERROR(--C482),"ERROR: CUENTA debe tener solo dígitos",IF(ISERROR(FIND(LEFT(C482,1),"567")),"ERROR: CUENTA fuera de las clases de costo",IF(NOT(ISNUMBER(E482)),"ERROR: VALOR debe ser numérico",IF(E482=0,"AVISO: valor cero (no se carga)",IF(J482&lt;&gt;"ACTIVO","NO SE CARGA: CECO en estado "&amp;J482,"OK"))))))))))</f>
        <v/>
      </c>
    </row>
    <row r="483">
      <c r="A483" s="5" t="n"/>
      <c r="B483" s="6" t="n"/>
      <c r="C483" s="5" t="n"/>
      <c r="D483" s="6" t="n"/>
      <c r="E483" s="7" t="n"/>
      <c r="F483" s="6" t="n"/>
      <c r="G483" s="8">
        <f>IF(B483="","",IFERROR(VLOOKUP(--B483,'CATALOGO CECO'!$A$2:$H$550,2,FALSE),"CECO NO EXISTE"))</f>
        <v/>
      </c>
      <c r="H483" s="8">
        <f>IF(B483="","",IFERROR(VLOOKUP(--B483,'CATALOGO CECO'!$A$2:$H$550,3,FALSE),""))</f>
        <v/>
      </c>
      <c r="I483" s="8">
        <f>IF(B483="","",IFERROR(VLOOKUP(--B483,'CATALOGO CECO'!$A$2:$H$550,5,FALSE),""))</f>
        <v/>
      </c>
      <c r="J483" s="8">
        <f>IF(B483="","",IFERROR(VLOOKUP(--B483,'CATALOGO CECO'!$A$2:$H$550,8,FALSE),""))</f>
        <v/>
      </c>
      <c r="K483" s="8">
        <f>IF(COUNTA(A483:F483)=0,"",IF(OR(LEN(A483)&lt;&gt;7,MID(A483,5,1)&lt;&gt;"-",ISERROR(--LEFT(A483,4)),ISERROR(--RIGHT(A483,2))),"ERROR: PERIODO debe ser AAAA-MM",IF(B483="","ERROR: falta CODIGO CECO",IF(G483="CECO NO EXISTE","ERROR: CECO no existe en el catálogo",IF(C483="","ERROR: falta CUENTA",IF(ISERROR(--C483),"ERROR: CUENTA debe tener solo dígitos",IF(ISERROR(FIND(LEFT(C483,1),"567")),"ERROR: CUENTA fuera de las clases de costo",IF(NOT(ISNUMBER(E483)),"ERROR: VALOR debe ser numérico",IF(E483=0,"AVISO: valor cero (no se carga)",IF(J483&lt;&gt;"ACTIVO","NO SE CARGA: CECO en estado "&amp;J483,"OK"))))))))))</f>
        <v/>
      </c>
    </row>
    <row r="484">
      <c r="A484" s="5" t="n"/>
      <c r="B484" s="6" t="n"/>
      <c r="C484" s="5" t="n"/>
      <c r="D484" s="6" t="n"/>
      <c r="E484" s="7" t="n"/>
      <c r="F484" s="6" t="n"/>
      <c r="G484" s="8">
        <f>IF(B484="","",IFERROR(VLOOKUP(--B484,'CATALOGO CECO'!$A$2:$H$550,2,FALSE),"CECO NO EXISTE"))</f>
        <v/>
      </c>
      <c r="H484" s="8">
        <f>IF(B484="","",IFERROR(VLOOKUP(--B484,'CATALOGO CECO'!$A$2:$H$550,3,FALSE),""))</f>
        <v/>
      </c>
      <c r="I484" s="8">
        <f>IF(B484="","",IFERROR(VLOOKUP(--B484,'CATALOGO CECO'!$A$2:$H$550,5,FALSE),""))</f>
        <v/>
      </c>
      <c r="J484" s="8">
        <f>IF(B484="","",IFERROR(VLOOKUP(--B484,'CATALOGO CECO'!$A$2:$H$550,8,FALSE),""))</f>
        <v/>
      </c>
      <c r="K484" s="8">
        <f>IF(COUNTA(A484:F484)=0,"",IF(OR(LEN(A484)&lt;&gt;7,MID(A484,5,1)&lt;&gt;"-",ISERROR(--LEFT(A484,4)),ISERROR(--RIGHT(A484,2))),"ERROR: PERIODO debe ser AAAA-MM",IF(B484="","ERROR: falta CODIGO CECO",IF(G484="CECO NO EXISTE","ERROR: CECO no existe en el catálogo",IF(C484="","ERROR: falta CUENTA",IF(ISERROR(--C484),"ERROR: CUENTA debe tener solo dígitos",IF(ISERROR(FIND(LEFT(C484,1),"567")),"ERROR: CUENTA fuera de las clases de costo",IF(NOT(ISNUMBER(E484)),"ERROR: VALOR debe ser numérico",IF(E484=0,"AVISO: valor cero (no se carga)",IF(J484&lt;&gt;"ACTIVO","NO SE CARGA: CECO en estado "&amp;J484,"OK"))))))))))</f>
        <v/>
      </c>
    </row>
    <row r="485">
      <c r="A485" s="5" t="n"/>
      <c r="B485" s="6" t="n"/>
      <c r="C485" s="5" t="n"/>
      <c r="D485" s="6" t="n"/>
      <c r="E485" s="7" t="n"/>
      <c r="F485" s="6" t="n"/>
      <c r="G485" s="8">
        <f>IF(B485="","",IFERROR(VLOOKUP(--B485,'CATALOGO CECO'!$A$2:$H$550,2,FALSE),"CECO NO EXISTE"))</f>
        <v/>
      </c>
      <c r="H485" s="8">
        <f>IF(B485="","",IFERROR(VLOOKUP(--B485,'CATALOGO CECO'!$A$2:$H$550,3,FALSE),""))</f>
        <v/>
      </c>
      <c r="I485" s="8">
        <f>IF(B485="","",IFERROR(VLOOKUP(--B485,'CATALOGO CECO'!$A$2:$H$550,5,FALSE),""))</f>
        <v/>
      </c>
      <c r="J485" s="8">
        <f>IF(B485="","",IFERROR(VLOOKUP(--B485,'CATALOGO CECO'!$A$2:$H$550,8,FALSE),""))</f>
        <v/>
      </c>
      <c r="K485" s="8">
        <f>IF(COUNTA(A485:F485)=0,"",IF(OR(LEN(A485)&lt;&gt;7,MID(A485,5,1)&lt;&gt;"-",ISERROR(--LEFT(A485,4)),ISERROR(--RIGHT(A485,2))),"ERROR: PERIODO debe ser AAAA-MM",IF(B485="","ERROR: falta CODIGO CECO",IF(G485="CECO NO EXISTE","ERROR: CECO no existe en el catálogo",IF(C485="","ERROR: falta CUENTA",IF(ISERROR(--C485),"ERROR: CUENTA debe tener solo dígitos",IF(ISERROR(FIND(LEFT(C485,1),"567")),"ERROR: CUENTA fuera de las clases de costo",IF(NOT(ISNUMBER(E485)),"ERROR: VALOR debe ser numérico",IF(E485=0,"AVISO: valor cero (no se carga)",IF(J485&lt;&gt;"ACTIVO","NO SE CARGA: CECO en estado "&amp;J485,"OK"))))))))))</f>
        <v/>
      </c>
    </row>
    <row r="486">
      <c r="A486" s="5" t="n"/>
      <c r="B486" s="6" t="n"/>
      <c r="C486" s="5" t="n"/>
      <c r="D486" s="6" t="n"/>
      <c r="E486" s="7" t="n"/>
      <c r="F486" s="6" t="n"/>
      <c r="G486" s="8">
        <f>IF(B486="","",IFERROR(VLOOKUP(--B486,'CATALOGO CECO'!$A$2:$H$550,2,FALSE),"CECO NO EXISTE"))</f>
        <v/>
      </c>
      <c r="H486" s="8">
        <f>IF(B486="","",IFERROR(VLOOKUP(--B486,'CATALOGO CECO'!$A$2:$H$550,3,FALSE),""))</f>
        <v/>
      </c>
      <c r="I486" s="8">
        <f>IF(B486="","",IFERROR(VLOOKUP(--B486,'CATALOGO CECO'!$A$2:$H$550,5,FALSE),""))</f>
        <v/>
      </c>
      <c r="J486" s="8">
        <f>IF(B486="","",IFERROR(VLOOKUP(--B486,'CATALOGO CECO'!$A$2:$H$550,8,FALSE),""))</f>
        <v/>
      </c>
      <c r="K486" s="8">
        <f>IF(COUNTA(A486:F486)=0,"",IF(OR(LEN(A486)&lt;&gt;7,MID(A486,5,1)&lt;&gt;"-",ISERROR(--LEFT(A486,4)),ISERROR(--RIGHT(A486,2))),"ERROR: PERIODO debe ser AAAA-MM",IF(B486="","ERROR: falta CODIGO CECO",IF(G486="CECO NO EXISTE","ERROR: CECO no existe en el catálogo",IF(C486="","ERROR: falta CUENTA",IF(ISERROR(--C486),"ERROR: CUENTA debe tener solo dígitos",IF(ISERROR(FIND(LEFT(C486,1),"567")),"ERROR: CUENTA fuera de las clases de costo",IF(NOT(ISNUMBER(E486)),"ERROR: VALOR debe ser numérico",IF(E486=0,"AVISO: valor cero (no se carga)",IF(J486&lt;&gt;"ACTIVO","NO SE CARGA: CECO en estado "&amp;J486,"OK"))))))))))</f>
        <v/>
      </c>
    </row>
    <row r="487">
      <c r="A487" s="5" t="n"/>
      <c r="B487" s="6" t="n"/>
      <c r="C487" s="5" t="n"/>
      <c r="D487" s="6" t="n"/>
      <c r="E487" s="7" t="n"/>
      <c r="F487" s="6" t="n"/>
      <c r="G487" s="8">
        <f>IF(B487="","",IFERROR(VLOOKUP(--B487,'CATALOGO CECO'!$A$2:$H$550,2,FALSE),"CECO NO EXISTE"))</f>
        <v/>
      </c>
      <c r="H487" s="8">
        <f>IF(B487="","",IFERROR(VLOOKUP(--B487,'CATALOGO CECO'!$A$2:$H$550,3,FALSE),""))</f>
        <v/>
      </c>
      <c r="I487" s="8">
        <f>IF(B487="","",IFERROR(VLOOKUP(--B487,'CATALOGO CECO'!$A$2:$H$550,5,FALSE),""))</f>
        <v/>
      </c>
      <c r="J487" s="8">
        <f>IF(B487="","",IFERROR(VLOOKUP(--B487,'CATALOGO CECO'!$A$2:$H$550,8,FALSE),""))</f>
        <v/>
      </c>
      <c r="K487" s="8">
        <f>IF(COUNTA(A487:F487)=0,"",IF(OR(LEN(A487)&lt;&gt;7,MID(A487,5,1)&lt;&gt;"-",ISERROR(--LEFT(A487,4)),ISERROR(--RIGHT(A487,2))),"ERROR: PERIODO debe ser AAAA-MM",IF(B487="","ERROR: falta CODIGO CECO",IF(G487="CECO NO EXISTE","ERROR: CECO no existe en el catálogo",IF(C487="","ERROR: falta CUENTA",IF(ISERROR(--C487),"ERROR: CUENTA debe tener solo dígitos",IF(ISERROR(FIND(LEFT(C487,1),"567")),"ERROR: CUENTA fuera de las clases de costo",IF(NOT(ISNUMBER(E487)),"ERROR: VALOR debe ser numérico",IF(E487=0,"AVISO: valor cero (no se carga)",IF(J487&lt;&gt;"ACTIVO","NO SE CARGA: CECO en estado "&amp;J487,"OK"))))))))))</f>
        <v/>
      </c>
    </row>
    <row r="488">
      <c r="A488" s="5" t="n"/>
      <c r="B488" s="6" t="n"/>
      <c r="C488" s="5" t="n"/>
      <c r="D488" s="6" t="n"/>
      <c r="E488" s="7" t="n"/>
      <c r="F488" s="6" t="n"/>
      <c r="G488" s="8">
        <f>IF(B488="","",IFERROR(VLOOKUP(--B488,'CATALOGO CECO'!$A$2:$H$550,2,FALSE),"CECO NO EXISTE"))</f>
        <v/>
      </c>
      <c r="H488" s="8">
        <f>IF(B488="","",IFERROR(VLOOKUP(--B488,'CATALOGO CECO'!$A$2:$H$550,3,FALSE),""))</f>
        <v/>
      </c>
      <c r="I488" s="8">
        <f>IF(B488="","",IFERROR(VLOOKUP(--B488,'CATALOGO CECO'!$A$2:$H$550,5,FALSE),""))</f>
        <v/>
      </c>
      <c r="J488" s="8">
        <f>IF(B488="","",IFERROR(VLOOKUP(--B488,'CATALOGO CECO'!$A$2:$H$550,8,FALSE),""))</f>
        <v/>
      </c>
      <c r="K488" s="8">
        <f>IF(COUNTA(A488:F488)=0,"",IF(OR(LEN(A488)&lt;&gt;7,MID(A488,5,1)&lt;&gt;"-",ISERROR(--LEFT(A488,4)),ISERROR(--RIGHT(A488,2))),"ERROR: PERIODO debe ser AAAA-MM",IF(B488="","ERROR: falta CODIGO CECO",IF(G488="CECO NO EXISTE","ERROR: CECO no existe en el catálogo",IF(C488="","ERROR: falta CUENTA",IF(ISERROR(--C488),"ERROR: CUENTA debe tener solo dígitos",IF(ISERROR(FIND(LEFT(C488,1),"567")),"ERROR: CUENTA fuera de las clases de costo",IF(NOT(ISNUMBER(E488)),"ERROR: VALOR debe ser numérico",IF(E488=0,"AVISO: valor cero (no se carga)",IF(J488&lt;&gt;"ACTIVO","NO SE CARGA: CECO en estado "&amp;J488,"OK"))))))))))</f>
        <v/>
      </c>
    </row>
    <row r="489">
      <c r="A489" s="5" t="n"/>
      <c r="B489" s="6" t="n"/>
      <c r="C489" s="5" t="n"/>
      <c r="D489" s="6" t="n"/>
      <c r="E489" s="7" t="n"/>
      <c r="F489" s="6" t="n"/>
      <c r="G489" s="8">
        <f>IF(B489="","",IFERROR(VLOOKUP(--B489,'CATALOGO CECO'!$A$2:$H$550,2,FALSE),"CECO NO EXISTE"))</f>
        <v/>
      </c>
      <c r="H489" s="8">
        <f>IF(B489="","",IFERROR(VLOOKUP(--B489,'CATALOGO CECO'!$A$2:$H$550,3,FALSE),""))</f>
        <v/>
      </c>
      <c r="I489" s="8">
        <f>IF(B489="","",IFERROR(VLOOKUP(--B489,'CATALOGO CECO'!$A$2:$H$550,5,FALSE),""))</f>
        <v/>
      </c>
      <c r="J489" s="8">
        <f>IF(B489="","",IFERROR(VLOOKUP(--B489,'CATALOGO CECO'!$A$2:$H$550,8,FALSE),""))</f>
        <v/>
      </c>
      <c r="K489" s="8">
        <f>IF(COUNTA(A489:F489)=0,"",IF(OR(LEN(A489)&lt;&gt;7,MID(A489,5,1)&lt;&gt;"-",ISERROR(--LEFT(A489,4)),ISERROR(--RIGHT(A489,2))),"ERROR: PERIODO debe ser AAAA-MM",IF(B489="","ERROR: falta CODIGO CECO",IF(G489="CECO NO EXISTE","ERROR: CECO no existe en el catálogo",IF(C489="","ERROR: falta CUENTA",IF(ISERROR(--C489),"ERROR: CUENTA debe tener solo dígitos",IF(ISERROR(FIND(LEFT(C489,1),"567")),"ERROR: CUENTA fuera de las clases de costo",IF(NOT(ISNUMBER(E489)),"ERROR: VALOR debe ser numérico",IF(E489=0,"AVISO: valor cero (no se carga)",IF(J489&lt;&gt;"ACTIVO","NO SE CARGA: CECO en estado "&amp;J489,"OK"))))))))))</f>
        <v/>
      </c>
    </row>
    <row r="490">
      <c r="A490" s="5" t="n"/>
      <c r="B490" s="6" t="n"/>
      <c r="C490" s="5" t="n"/>
      <c r="D490" s="6" t="n"/>
      <c r="E490" s="7" t="n"/>
      <c r="F490" s="6" t="n"/>
      <c r="G490" s="8">
        <f>IF(B490="","",IFERROR(VLOOKUP(--B490,'CATALOGO CECO'!$A$2:$H$550,2,FALSE),"CECO NO EXISTE"))</f>
        <v/>
      </c>
      <c r="H490" s="8">
        <f>IF(B490="","",IFERROR(VLOOKUP(--B490,'CATALOGO CECO'!$A$2:$H$550,3,FALSE),""))</f>
        <v/>
      </c>
      <c r="I490" s="8">
        <f>IF(B490="","",IFERROR(VLOOKUP(--B490,'CATALOGO CECO'!$A$2:$H$550,5,FALSE),""))</f>
        <v/>
      </c>
      <c r="J490" s="8">
        <f>IF(B490="","",IFERROR(VLOOKUP(--B490,'CATALOGO CECO'!$A$2:$H$550,8,FALSE),""))</f>
        <v/>
      </c>
      <c r="K490" s="8">
        <f>IF(COUNTA(A490:F490)=0,"",IF(OR(LEN(A490)&lt;&gt;7,MID(A490,5,1)&lt;&gt;"-",ISERROR(--LEFT(A490,4)),ISERROR(--RIGHT(A490,2))),"ERROR: PERIODO debe ser AAAA-MM",IF(B490="","ERROR: falta CODIGO CECO",IF(G490="CECO NO EXISTE","ERROR: CECO no existe en el catálogo",IF(C490="","ERROR: falta CUENTA",IF(ISERROR(--C490),"ERROR: CUENTA debe tener solo dígitos",IF(ISERROR(FIND(LEFT(C490,1),"567")),"ERROR: CUENTA fuera de las clases de costo",IF(NOT(ISNUMBER(E490)),"ERROR: VALOR debe ser numérico",IF(E490=0,"AVISO: valor cero (no se carga)",IF(J490&lt;&gt;"ACTIVO","NO SE CARGA: CECO en estado "&amp;J490,"OK"))))))))))</f>
        <v/>
      </c>
    </row>
    <row r="491">
      <c r="A491" s="5" t="n"/>
      <c r="B491" s="6" t="n"/>
      <c r="C491" s="5" t="n"/>
      <c r="D491" s="6" t="n"/>
      <c r="E491" s="7" t="n"/>
      <c r="F491" s="6" t="n"/>
      <c r="G491" s="8">
        <f>IF(B491="","",IFERROR(VLOOKUP(--B491,'CATALOGO CECO'!$A$2:$H$550,2,FALSE),"CECO NO EXISTE"))</f>
        <v/>
      </c>
      <c r="H491" s="8">
        <f>IF(B491="","",IFERROR(VLOOKUP(--B491,'CATALOGO CECO'!$A$2:$H$550,3,FALSE),""))</f>
        <v/>
      </c>
      <c r="I491" s="8">
        <f>IF(B491="","",IFERROR(VLOOKUP(--B491,'CATALOGO CECO'!$A$2:$H$550,5,FALSE),""))</f>
        <v/>
      </c>
      <c r="J491" s="8">
        <f>IF(B491="","",IFERROR(VLOOKUP(--B491,'CATALOGO CECO'!$A$2:$H$550,8,FALSE),""))</f>
        <v/>
      </c>
      <c r="K491" s="8">
        <f>IF(COUNTA(A491:F491)=0,"",IF(OR(LEN(A491)&lt;&gt;7,MID(A491,5,1)&lt;&gt;"-",ISERROR(--LEFT(A491,4)),ISERROR(--RIGHT(A491,2))),"ERROR: PERIODO debe ser AAAA-MM",IF(B491="","ERROR: falta CODIGO CECO",IF(G491="CECO NO EXISTE","ERROR: CECO no existe en el catálogo",IF(C491="","ERROR: falta CUENTA",IF(ISERROR(--C491),"ERROR: CUENTA debe tener solo dígitos",IF(ISERROR(FIND(LEFT(C491,1),"567")),"ERROR: CUENTA fuera de las clases de costo",IF(NOT(ISNUMBER(E491)),"ERROR: VALOR debe ser numérico",IF(E491=0,"AVISO: valor cero (no se carga)",IF(J491&lt;&gt;"ACTIVO","NO SE CARGA: CECO en estado "&amp;J491,"OK"))))))))))</f>
        <v/>
      </c>
    </row>
    <row r="492">
      <c r="A492" s="5" t="n"/>
      <c r="B492" s="6" t="n"/>
      <c r="C492" s="5" t="n"/>
      <c r="D492" s="6" t="n"/>
      <c r="E492" s="7" t="n"/>
      <c r="F492" s="6" t="n"/>
      <c r="G492" s="8">
        <f>IF(B492="","",IFERROR(VLOOKUP(--B492,'CATALOGO CECO'!$A$2:$H$550,2,FALSE),"CECO NO EXISTE"))</f>
        <v/>
      </c>
      <c r="H492" s="8">
        <f>IF(B492="","",IFERROR(VLOOKUP(--B492,'CATALOGO CECO'!$A$2:$H$550,3,FALSE),""))</f>
        <v/>
      </c>
      <c r="I492" s="8">
        <f>IF(B492="","",IFERROR(VLOOKUP(--B492,'CATALOGO CECO'!$A$2:$H$550,5,FALSE),""))</f>
        <v/>
      </c>
      <c r="J492" s="8">
        <f>IF(B492="","",IFERROR(VLOOKUP(--B492,'CATALOGO CECO'!$A$2:$H$550,8,FALSE),""))</f>
        <v/>
      </c>
      <c r="K492" s="8">
        <f>IF(COUNTA(A492:F492)=0,"",IF(OR(LEN(A492)&lt;&gt;7,MID(A492,5,1)&lt;&gt;"-",ISERROR(--LEFT(A492,4)),ISERROR(--RIGHT(A492,2))),"ERROR: PERIODO debe ser AAAA-MM",IF(B492="","ERROR: falta CODIGO CECO",IF(G492="CECO NO EXISTE","ERROR: CECO no existe en el catálogo",IF(C492="","ERROR: falta CUENTA",IF(ISERROR(--C492),"ERROR: CUENTA debe tener solo dígitos",IF(ISERROR(FIND(LEFT(C492,1),"567")),"ERROR: CUENTA fuera de las clases de costo",IF(NOT(ISNUMBER(E492)),"ERROR: VALOR debe ser numérico",IF(E492=0,"AVISO: valor cero (no se carga)",IF(J492&lt;&gt;"ACTIVO","NO SE CARGA: CECO en estado "&amp;J492,"OK"))))))))))</f>
        <v/>
      </c>
    </row>
    <row r="493">
      <c r="A493" s="5" t="n"/>
      <c r="B493" s="6" t="n"/>
      <c r="C493" s="5" t="n"/>
      <c r="D493" s="6" t="n"/>
      <c r="E493" s="7" t="n"/>
      <c r="F493" s="6" t="n"/>
      <c r="G493" s="8">
        <f>IF(B493="","",IFERROR(VLOOKUP(--B493,'CATALOGO CECO'!$A$2:$H$550,2,FALSE),"CECO NO EXISTE"))</f>
        <v/>
      </c>
      <c r="H493" s="8">
        <f>IF(B493="","",IFERROR(VLOOKUP(--B493,'CATALOGO CECO'!$A$2:$H$550,3,FALSE),""))</f>
        <v/>
      </c>
      <c r="I493" s="8">
        <f>IF(B493="","",IFERROR(VLOOKUP(--B493,'CATALOGO CECO'!$A$2:$H$550,5,FALSE),""))</f>
        <v/>
      </c>
      <c r="J493" s="8">
        <f>IF(B493="","",IFERROR(VLOOKUP(--B493,'CATALOGO CECO'!$A$2:$H$550,8,FALSE),""))</f>
        <v/>
      </c>
      <c r="K493" s="8">
        <f>IF(COUNTA(A493:F493)=0,"",IF(OR(LEN(A493)&lt;&gt;7,MID(A493,5,1)&lt;&gt;"-",ISERROR(--LEFT(A493,4)),ISERROR(--RIGHT(A493,2))),"ERROR: PERIODO debe ser AAAA-MM",IF(B493="","ERROR: falta CODIGO CECO",IF(G493="CECO NO EXISTE","ERROR: CECO no existe en el catálogo",IF(C493="","ERROR: falta CUENTA",IF(ISERROR(--C493),"ERROR: CUENTA debe tener solo dígitos",IF(ISERROR(FIND(LEFT(C493,1),"567")),"ERROR: CUENTA fuera de las clases de costo",IF(NOT(ISNUMBER(E493)),"ERROR: VALOR debe ser numérico",IF(E493=0,"AVISO: valor cero (no se carga)",IF(J493&lt;&gt;"ACTIVO","NO SE CARGA: CECO en estado "&amp;J493,"OK"))))))))))</f>
        <v/>
      </c>
    </row>
    <row r="494">
      <c r="A494" s="5" t="n"/>
      <c r="B494" s="6" t="n"/>
      <c r="C494" s="5" t="n"/>
      <c r="D494" s="6" t="n"/>
      <c r="E494" s="7" t="n"/>
      <c r="F494" s="6" t="n"/>
      <c r="G494" s="8">
        <f>IF(B494="","",IFERROR(VLOOKUP(--B494,'CATALOGO CECO'!$A$2:$H$550,2,FALSE),"CECO NO EXISTE"))</f>
        <v/>
      </c>
      <c r="H494" s="8">
        <f>IF(B494="","",IFERROR(VLOOKUP(--B494,'CATALOGO CECO'!$A$2:$H$550,3,FALSE),""))</f>
        <v/>
      </c>
      <c r="I494" s="8">
        <f>IF(B494="","",IFERROR(VLOOKUP(--B494,'CATALOGO CECO'!$A$2:$H$550,5,FALSE),""))</f>
        <v/>
      </c>
      <c r="J494" s="8">
        <f>IF(B494="","",IFERROR(VLOOKUP(--B494,'CATALOGO CECO'!$A$2:$H$550,8,FALSE),""))</f>
        <v/>
      </c>
      <c r="K494" s="8">
        <f>IF(COUNTA(A494:F494)=0,"",IF(OR(LEN(A494)&lt;&gt;7,MID(A494,5,1)&lt;&gt;"-",ISERROR(--LEFT(A494,4)),ISERROR(--RIGHT(A494,2))),"ERROR: PERIODO debe ser AAAA-MM",IF(B494="","ERROR: falta CODIGO CECO",IF(G494="CECO NO EXISTE","ERROR: CECO no existe en el catálogo",IF(C494="","ERROR: falta CUENTA",IF(ISERROR(--C494),"ERROR: CUENTA debe tener solo dígitos",IF(ISERROR(FIND(LEFT(C494,1),"567")),"ERROR: CUENTA fuera de las clases de costo",IF(NOT(ISNUMBER(E494)),"ERROR: VALOR debe ser numérico",IF(E494=0,"AVISO: valor cero (no se carga)",IF(J494&lt;&gt;"ACTIVO","NO SE CARGA: CECO en estado "&amp;J494,"OK"))))))))))</f>
        <v/>
      </c>
    </row>
    <row r="495">
      <c r="A495" s="5" t="n"/>
      <c r="B495" s="6" t="n"/>
      <c r="C495" s="5" t="n"/>
      <c r="D495" s="6" t="n"/>
      <c r="E495" s="7" t="n"/>
      <c r="F495" s="6" t="n"/>
      <c r="G495" s="8">
        <f>IF(B495="","",IFERROR(VLOOKUP(--B495,'CATALOGO CECO'!$A$2:$H$550,2,FALSE),"CECO NO EXISTE"))</f>
        <v/>
      </c>
      <c r="H495" s="8">
        <f>IF(B495="","",IFERROR(VLOOKUP(--B495,'CATALOGO CECO'!$A$2:$H$550,3,FALSE),""))</f>
        <v/>
      </c>
      <c r="I495" s="8">
        <f>IF(B495="","",IFERROR(VLOOKUP(--B495,'CATALOGO CECO'!$A$2:$H$550,5,FALSE),""))</f>
        <v/>
      </c>
      <c r="J495" s="8">
        <f>IF(B495="","",IFERROR(VLOOKUP(--B495,'CATALOGO CECO'!$A$2:$H$550,8,FALSE),""))</f>
        <v/>
      </c>
      <c r="K495" s="8">
        <f>IF(COUNTA(A495:F495)=0,"",IF(OR(LEN(A495)&lt;&gt;7,MID(A495,5,1)&lt;&gt;"-",ISERROR(--LEFT(A495,4)),ISERROR(--RIGHT(A495,2))),"ERROR: PERIODO debe ser AAAA-MM",IF(B495="","ERROR: falta CODIGO CECO",IF(G495="CECO NO EXISTE","ERROR: CECO no existe en el catálogo",IF(C495="","ERROR: falta CUENTA",IF(ISERROR(--C495),"ERROR: CUENTA debe tener solo dígitos",IF(ISERROR(FIND(LEFT(C495,1),"567")),"ERROR: CUENTA fuera de las clases de costo",IF(NOT(ISNUMBER(E495)),"ERROR: VALOR debe ser numérico",IF(E495=0,"AVISO: valor cero (no se carga)",IF(J495&lt;&gt;"ACTIVO","NO SE CARGA: CECO en estado "&amp;J495,"OK"))))))))))</f>
        <v/>
      </c>
    </row>
    <row r="496">
      <c r="A496" s="5" t="n"/>
      <c r="B496" s="6" t="n"/>
      <c r="C496" s="5" t="n"/>
      <c r="D496" s="6" t="n"/>
      <c r="E496" s="7" t="n"/>
      <c r="F496" s="6" t="n"/>
      <c r="G496" s="8">
        <f>IF(B496="","",IFERROR(VLOOKUP(--B496,'CATALOGO CECO'!$A$2:$H$550,2,FALSE),"CECO NO EXISTE"))</f>
        <v/>
      </c>
      <c r="H496" s="8">
        <f>IF(B496="","",IFERROR(VLOOKUP(--B496,'CATALOGO CECO'!$A$2:$H$550,3,FALSE),""))</f>
        <v/>
      </c>
      <c r="I496" s="8">
        <f>IF(B496="","",IFERROR(VLOOKUP(--B496,'CATALOGO CECO'!$A$2:$H$550,5,FALSE),""))</f>
        <v/>
      </c>
      <c r="J496" s="8">
        <f>IF(B496="","",IFERROR(VLOOKUP(--B496,'CATALOGO CECO'!$A$2:$H$550,8,FALSE),""))</f>
        <v/>
      </c>
      <c r="K496" s="8">
        <f>IF(COUNTA(A496:F496)=0,"",IF(OR(LEN(A496)&lt;&gt;7,MID(A496,5,1)&lt;&gt;"-",ISERROR(--LEFT(A496,4)),ISERROR(--RIGHT(A496,2))),"ERROR: PERIODO debe ser AAAA-MM",IF(B496="","ERROR: falta CODIGO CECO",IF(G496="CECO NO EXISTE","ERROR: CECO no existe en el catálogo",IF(C496="","ERROR: falta CUENTA",IF(ISERROR(--C496),"ERROR: CUENTA debe tener solo dígitos",IF(ISERROR(FIND(LEFT(C496,1),"567")),"ERROR: CUENTA fuera de las clases de costo",IF(NOT(ISNUMBER(E496)),"ERROR: VALOR debe ser numérico",IF(E496=0,"AVISO: valor cero (no se carga)",IF(J496&lt;&gt;"ACTIVO","NO SE CARGA: CECO en estado "&amp;J496,"OK"))))))))))</f>
        <v/>
      </c>
    </row>
    <row r="497">
      <c r="A497" s="5" t="n"/>
      <c r="B497" s="6" t="n"/>
      <c r="C497" s="5" t="n"/>
      <c r="D497" s="6" t="n"/>
      <c r="E497" s="7" t="n"/>
      <c r="F497" s="6" t="n"/>
      <c r="G497" s="8">
        <f>IF(B497="","",IFERROR(VLOOKUP(--B497,'CATALOGO CECO'!$A$2:$H$550,2,FALSE),"CECO NO EXISTE"))</f>
        <v/>
      </c>
      <c r="H497" s="8">
        <f>IF(B497="","",IFERROR(VLOOKUP(--B497,'CATALOGO CECO'!$A$2:$H$550,3,FALSE),""))</f>
        <v/>
      </c>
      <c r="I497" s="8">
        <f>IF(B497="","",IFERROR(VLOOKUP(--B497,'CATALOGO CECO'!$A$2:$H$550,5,FALSE),""))</f>
        <v/>
      </c>
      <c r="J497" s="8">
        <f>IF(B497="","",IFERROR(VLOOKUP(--B497,'CATALOGO CECO'!$A$2:$H$550,8,FALSE),""))</f>
        <v/>
      </c>
      <c r="K497" s="8">
        <f>IF(COUNTA(A497:F497)=0,"",IF(OR(LEN(A497)&lt;&gt;7,MID(A497,5,1)&lt;&gt;"-",ISERROR(--LEFT(A497,4)),ISERROR(--RIGHT(A497,2))),"ERROR: PERIODO debe ser AAAA-MM",IF(B497="","ERROR: falta CODIGO CECO",IF(G497="CECO NO EXISTE","ERROR: CECO no existe en el catálogo",IF(C497="","ERROR: falta CUENTA",IF(ISERROR(--C497),"ERROR: CUENTA debe tener solo dígitos",IF(ISERROR(FIND(LEFT(C497,1),"567")),"ERROR: CUENTA fuera de las clases de costo",IF(NOT(ISNUMBER(E497)),"ERROR: VALOR debe ser numérico",IF(E497=0,"AVISO: valor cero (no se carga)",IF(J497&lt;&gt;"ACTIVO","NO SE CARGA: CECO en estado "&amp;J497,"OK"))))))))))</f>
        <v/>
      </c>
    </row>
    <row r="498">
      <c r="A498" s="5" t="n"/>
      <c r="B498" s="6" t="n"/>
      <c r="C498" s="5" t="n"/>
      <c r="D498" s="6" t="n"/>
      <c r="E498" s="7" t="n"/>
      <c r="F498" s="6" t="n"/>
      <c r="G498" s="8">
        <f>IF(B498="","",IFERROR(VLOOKUP(--B498,'CATALOGO CECO'!$A$2:$H$550,2,FALSE),"CECO NO EXISTE"))</f>
        <v/>
      </c>
      <c r="H498" s="8">
        <f>IF(B498="","",IFERROR(VLOOKUP(--B498,'CATALOGO CECO'!$A$2:$H$550,3,FALSE),""))</f>
        <v/>
      </c>
      <c r="I498" s="8">
        <f>IF(B498="","",IFERROR(VLOOKUP(--B498,'CATALOGO CECO'!$A$2:$H$550,5,FALSE),""))</f>
        <v/>
      </c>
      <c r="J498" s="8">
        <f>IF(B498="","",IFERROR(VLOOKUP(--B498,'CATALOGO CECO'!$A$2:$H$550,8,FALSE),""))</f>
        <v/>
      </c>
      <c r="K498" s="8">
        <f>IF(COUNTA(A498:F498)=0,"",IF(OR(LEN(A498)&lt;&gt;7,MID(A498,5,1)&lt;&gt;"-",ISERROR(--LEFT(A498,4)),ISERROR(--RIGHT(A498,2))),"ERROR: PERIODO debe ser AAAA-MM",IF(B498="","ERROR: falta CODIGO CECO",IF(G498="CECO NO EXISTE","ERROR: CECO no existe en el catálogo",IF(C498="","ERROR: falta CUENTA",IF(ISERROR(--C498),"ERROR: CUENTA debe tener solo dígitos",IF(ISERROR(FIND(LEFT(C498,1),"567")),"ERROR: CUENTA fuera de las clases de costo",IF(NOT(ISNUMBER(E498)),"ERROR: VALOR debe ser numérico",IF(E498=0,"AVISO: valor cero (no se carga)",IF(J498&lt;&gt;"ACTIVO","NO SE CARGA: CECO en estado "&amp;J498,"OK"))))))))))</f>
        <v/>
      </c>
    </row>
    <row r="499">
      <c r="A499" s="5" t="n"/>
      <c r="B499" s="6" t="n"/>
      <c r="C499" s="5" t="n"/>
      <c r="D499" s="6" t="n"/>
      <c r="E499" s="7" t="n"/>
      <c r="F499" s="6" t="n"/>
      <c r="G499" s="8">
        <f>IF(B499="","",IFERROR(VLOOKUP(--B499,'CATALOGO CECO'!$A$2:$H$550,2,FALSE),"CECO NO EXISTE"))</f>
        <v/>
      </c>
      <c r="H499" s="8">
        <f>IF(B499="","",IFERROR(VLOOKUP(--B499,'CATALOGO CECO'!$A$2:$H$550,3,FALSE),""))</f>
        <v/>
      </c>
      <c r="I499" s="8">
        <f>IF(B499="","",IFERROR(VLOOKUP(--B499,'CATALOGO CECO'!$A$2:$H$550,5,FALSE),""))</f>
        <v/>
      </c>
      <c r="J499" s="8">
        <f>IF(B499="","",IFERROR(VLOOKUP(--B499,'CATALOGO CECO'!$A$2:$H$550,8,FALSE),""))</f>
        <v/>
      </c>
      <c r="K499" s="8">
        <f>IF(COUNTA(A499:F499)=0,"",IF(OR(LEN(A499)&lt;&gt;7,MID(A499,5,1)&lt;&gt;"-",ISERROR(--LEFT(A499,4)),ISERROR(--RIGHT(A499,2))),"ERROR: PERIODO debe ser AAAA-MM",IF(B499="","ERROR: falta CODIGO CECO",IF(G499="CECO NO EXISTE","ERROR: CECO no existe en el catálogo",IF(C499="","ERROR: falta CUENTA",IF(ISERROR(--C499),"ERROR: CUENTA debe tener solo dígitos",IF(ISERROR(FIND(LEFT(C499,1),"567")),"ERROR: CUENTA fuera de las clases de costo",IF(NOT(ISNUMBER(E499)),"ERROR: VALOR debe ser numérico",IF(E499=0,"AVISO: valor cero (no se carga)",IF(J499&lt;&gt;"ACTIVO","NO SE CARGA: CECO en estado "&amp;J499,"OK"))))))))))</f>
        <v/>
      </c>
    </row>
    <row r="500">
      <c r="A500" s="5" t="n"/>
      <c r="B500" s="6" t="n"/>
      <c r="C500" s="5" t="n"/>
      <c r="D500" s="6" t="n"/>
      <c r="E500" s="7" t="n"/>
      <c r="F500" s="6" t="n"/>
      <c r="G500" s="8">
        <f>IF(B500="","",IFERROR(VLOOKUP(--B500,'CATALOGO CECO'!$A$2:$H$550,2,FALSE),"CECO NO EXISTE"))</f>
        <v/>
      </c>
      <c r="H500" s="8">
        <f>IF(B500="","",IFERROR(VLOOKUP(--B500,'CATALOGO CECO'!$A$2:$H$550,3,FALSE),""))</f>
        <v/>
      </c>
      <c r="I500" s="8">
        <f>IF(B500="","",IFERROR(VLOOKUP(--B500,'CATALOGO CECO'!$A$2:$H$550,5,FALSE),""))</f>
        <v/>
      </c>
      <c r="J500" s="8">
        <f>IF(B500="","",IFERROR(VLOOKUP(--B500,'CATALOGO CECO'!$A$2:$H$550,8,FALSE),""))</f>
        <v/>
      </c>
      <c r="K500" s="8">
        <f>IF(COUNTA(A500:F500)=0,"",IF(OR(LEN(A500)&lt;&gt;7,MID(A500,5,1)&lt;&gt;"-",ISERROR(--LEFT(A500,4)),ISERROR(--RIGHT(A500,2))),"ERROR: PERIODO debe ser AAAA-MM",IF(B500="","ERROR: falta CODIGO CECO",IF(G500="CECO NO EXISTE","ERROR: CECO no existe en el catálogo",IF(C500="","ERROR: falta CUENTA",IF(ISERROR(--C500),"ERROR: CUENTA debe tener solo dígitos",IF(ISERROR(FIND(LEFT(C500,1),"567")),"ERROR: CUENTA fuera de las clases de costo",IF(NOT(ISNUMBER(E500)),"ERROR: VALOR debe ser numérico",IF(E500=0,"AVISO: valor cero (no se carga)",IF(J500&lt;&gt;"ACTIVO","NO SE CARGA: CECO en estado "&amp;J500,"OK"))))))))))</f>
        <v/>
      </c>
    </row>
    <row r="501">
      <c r="A501" s="5" t="n"/>
      <c r="B501" s="6" t="n"/>
      <c r="C501" s="5" t="n"/>
      <c r="D501" s="6" t="n"/>
      <c r="E501" s="7" t="n"/>
      <c r="F501" s="6" t="n"/>
      <c r="G501" s="8">
        <f>IF(B501="","",IFERROR(VLOOKUP(--B501,'CATALOGO CECO'!$A$2:$H$550,2,FALSE),"CECO NO EXISTE"))</f>
        <v/>
      </c>
      <c r="H501" s="8">
        <f>IF(B501="","",IFERROR(VLOOKUP(--B501,'CATALOGO CECO'!$A$2:$H$550,3,FALSE),""))</f>
        <v/>
      </c>
      <c r="I501" s="8">
        <f>IF(B501="","",IFERROR(VLOOKUP(--B501,'CATALOGO CECO'!$A$2:$H$550,5,FALSE),""))</f>
        <v/>
      </c>
      <c r="J501" s="8">
        <f>IF(B501="","",IFERROR(VLOOKUP(--B501,'CATALOGO CECO'!$A$2:$H$550,8,FALSE),""))</f>
        <v/>
      </c>
      <c r="K501" s="8">
        <f>IF(COUNTA(A501:F501)=0,"",IF(OR(LEN(A501)&lt;&gt;7,MID(A501,5,1)&lt;&gt;"-",ISERROR(--LEFT(A501,4)),ISERROR(--RIGHT(A501,2))),"ERROR: PERIODO debe ser AAAA-MM",IF(B501="","ERROR: falta CODIGO CECO",IF(G501="CECO NO EXISTE","ERROR: CECO no existe en el catálogo",IF(C501="","ERROR: falta CUENTA",IF(ISERROR(--C501),"ERROR: CUENTA debe tener solo dígitos",IF(ISERROR(FIND(LEFT(C501,1),"567")),"ERROR: CUENTA fuera de las clases de costo",IF(NOT(ISNUMBER(E501)),"ERROR: VALOR debe ser numérico",IF(E501=0,"AVISO: valor cero (no se carga)",IF(J501&lt;&gt;"ACTIVO","NO SE CARGA: CECO en estado "&amp;J501,"OK"))))))))))</f>
        <v/>
      </c>
    </row>
    <row r="502">
      <c r="A502" s="5" t="n"/>
      <c r="B502" s="6" t="n"/>
      <c r="C502" s="5" t="n"/>
      <c r="D502" s="6" t="n"/>
      <c r="E502" s="7" t="n"/>
      <c r="F502" s="6" t="n"/>
      <c r="G502" s="8">
        <f>IF(B502="","",IFERROR(VLOOKUP(--B502,'CATALOGO CECO'!$A$2:$H$550,2,FALSE),"CECO NO EXISTE"))</f>
        <v/>
      </c>
      <c r="H502" s="8">
        <f>IF(B502="","",IFERROR(VLOOKUP(--B502,'CATALOGO CECO'!$A$2:$H$550,3,FALSE),""))</f>
        <v/>
      </c>
      <c r="I502" s="8">
        <f>IF(B502="","",IFERROR(VLOOKUP(--B502,'CATALOGO CECO'!$A$2:$H$550,5,FALSE),""))</f>
        <v/>
      </c>
      <c r="J502" s="8">
        <f>IF(B502="","",IFERROR(VLOOKUP(--B502,'CATALOGO CECO'!$A$2:$H$550,8,FALSE),""))</f>
        <v/>
      </c>
      <c r="K502" s="8">
        <f>IF(COUNTA(A502:F502)=0,"",IF(OR(LEN(A502)&lt;&gt;7,MID(A502,5,1)&lt;&gt;"-",ISERROR(--LEFT(A502,4)),ISERROR(--RIGHT(A502,2))),"ERROR: PERIODO debe ser AAAA-MM",IF(B502="","ERROR: falta CODIGO CECO",IF(G502="CECO NO EXISTE","ERROR: CECO no existe en el catálogo",IF(C502="","ERROR: falta CUENTA",IF(ISERROR(--C502),"ERROR: CUENTA debe tener solo dígitos",IF(ISERROR(FIND(LEFT(C502,1),"567")),"ERROR: CUENTA fuera de las clases de costo",IF(NOT(ISNUMBER(E502)),"ERROR: VALOR debe ser numérico",IF(E502=0,"AVISO: valor cero (no se carga)",IF(J502&lt;&gt;"ACTIVO","NO SE CARGA: CECO en estado "&amp;J502,"OK"))))))))))</f>
        <v/>
      </c>
    </row>
    <row r="503">
      <c r="A503" s="5" t="n"/>
      <c r="B503" s="6" t="n"/>
      <c r="C503" s="5" t="n"/>
      <c r="D503" s="6" t="n"/>
      <c r="E503" s="7" t="n"/>
      <c r="F503" s="6" t="n"/>
      <c r="G503" s="8">
        <f>IF(B503="","",IFERROR(VLOOKUP(--B503,'CATALOGO CECO'!$A$2:$H$550,2,FALSE),"CECO NO EXISTE"))</f>
        <v/>
      </c>
      <c r="H503" s="8">
        <f>IF(B503="","",IFERROR(VLOOKUP(--B503,'CATALOGO CECO'!$A$2:$H$550,3,FALSE),""))</f>
        <v/>
      </c>
      <c r="I503" s="8">
        <f>IF(B503="","",IFERROR(VLOOKUP(--B503,'CATALOGO CECO'!$A$2:$H$550,5,FALSE),""))</f>
        <v/>
      </c>
      <c r="J503" s="8">
        <f>IF(B503="","",IFERROR(VLOOKUP(--B503,'CATALOGO CECO'!$A$2:$H$550,8,FALSE),""))</f>
        <v/>
      </c>
      <c r="K503" s="8">
        <f>IF(COUNTA(A503:F503)=0,"",IF(OR(LEN(A503)&lt;&gt;7,MID(A503,5,1)&lt;&gt;"-",ISERROR(--LEFT(A503,4)),ISERROR(--RIGHT(A503,2))),"ERROR: PERIODO debe ser AAAA-MM",IF(B503="","ERROR: falta CODIGO CECO",IF(G503="CECO NO EXISTE","ERROR: CECO no existe en el catálogo",IF(C503="","ERROR: falta CUENTA",IF(ISERROR(--C503),"ERROR: CUENTA debe tener solo dígitos",IF(ISERROR(FIND(LEFT(C503,1),"567")),"ERROR: CUENTA fuera de las clases de costo",IF(NOT(ISNUMBER(E503)),"ERROR: VALOR debe ser numérico",IF(E503=0,"AVISO: valor cero (no se carga)",IF(J503&lt;&gt;"ACTIVO","NO SE CARGA: CECO en estado "&amp;J503,"OK"))))))))))</f>
        <v/>
      </c>
    </row>
    <row r="504">
      <c r="A504" s="5" t="n"/>
      <c r="B504" s="6" t="n"/>
      <c r="C504" s="5" t="n"/>
      <c r="D504" s="6" t="n"/>
      <c r="E504" s="7" t="n"/>
      <c r="F504" s="6" t="n"/>
      <c r="G504" s="8">
        <f>IF(B504="","",IFERROR(VLOOKUP(--B504,'CATALOGO CECO'!$A$2:$H$550,2,FALSE),"CECO NO EXISTE"))</f>
        <v/>
      </c>
      <c r="H504" s="8">
        <f>IF(B504="","",IFERROR(VLOOKUP(--B504,'CATALOGO CECO'!$A$2:$H$550,3,FALSE),""))</f>
        <v/>
      </c>
      <c r="I504" s="8">
        <f>IF(B504="","",IFERROR(VLOOKUP(--B504,'CATALOGO CECO'!$A$2:$H$550,5,FALSE),""))</f>
        <v/>
      </c>
      <c r="J504" s="8">
        <f>IF(B504="","",IFERROR(VLOOKUP(--B504,'CATALOGO CECO'!$A$2:$H$550,8,FALSE),""))</f>
        <v/>
      </c>
      <c r="K504" s="8">
        <f>IF(COUNTA(A504:F504)=0,"",IF(OR(LEN(A504)&lt;&gt;7,MID(A504,5,1)&lt;&gt;"-",ISERROR(--LEFT(A504,4)),ISERROR(--RIGHT(A504,2))),"ERROR: PERIODO debe ser AAAA-MM",IF(B504="","ERROR: falta CODIGO CECO",IF(G504="CECO NO EXISTE","ERROR: CECO no existe en el catálogo",IF(C504="","ERROR: falta CUENTA",IF(ISERROR(--C504),"ERROR: CUENTA debe tener solo dígitos",IF(ISERROR(FIND(LEFT(C504,1),"567")),"ERROR: CUENTA fuera de las clases de costo",IF(NOT(ISNUMBER(E504)),"ERROR: VALOR debe ser numérico",IF(E504=0,"AVISO: valor cero (no se carga)",IF(J504&lt;&gt;"ACTIVO","NO SE CARGA: CECO en estado "&amp;J504,"OK"))))))))))</f>
        <v/>
      </c>
    </row>
    <row r="505">
      <c r="A505" s="5" t="n"/>
      <c r="B505" s="6" t="n"/>
      <c r="C505" s="5" t="n"/>
      <c r="D505" s="6" t="n"/>
      <c r="E505" s="7" t="n"/>
      <c r="F505" s="6" t="n"/>
      <c r="G505" s="8">
        <f>IF(B505="","",IFERROR(VLOOKUP(--B505,'CATALOGO CECO'!$A$2:$H$550,2,FALSE),"CECO NO EXISTE"))</f>
        <v/>
      </c>
      <c r="H505" s="8">
        <f>IF(B505="","",IFERROR(VLOOKUP(--B505,'CATALOGO CECO'!$A$2:$H$550,3,FALSE),""))</f>
        <v/>
      </c>
      <c r="I505" s="8">
        <f>IF(B505="","",IFERROR(VLOOKUP(--B505,'CATALOGO CECO'!$A$2:$H$550,5,FALSE),""))</f>
        <v/>
      </c>
      <c r="J505" s="8">
        <f>IF(B505="","",IFERROR(VLOOKUP(--B505,'CATALOGO CECO'!$A$2:$H$550,8,FALSE),""))</f>
        <v/>
      </c>
      <c r="K505" s="8">
        <f>IF(COUNTA(A505:F505)=0,"",IF(OR(LEN(A505)&lt;&gt;7,MID(A505,5,1)&lt;&gt;"-",ISERROR(--LEFT(A505,4)),ISERROR(--RIGHT(A505,2))),"ERROR: PERIODO debe ser AAAA-MM",IF(B505="","ERROR: falta CODIGO CECO",IF(G505="CECO NO EXISTE","ERROR: CECO no existe en el catálogo",IF(C505="","ERROR: falta CUENTA",IF(ISERROR(--C505),"ERROR: CUENTA debe tener solo dígitos",IF(ISERROR(FIND(LEFT(C505,1),"567")),"ERROR: CUENTA fuera de las clases de costo",IF(NOT(ISNUMBER(E505)),"ERROR: VALOR debe ser numérico",IF(E505=0,"AVISO: valor cero (no se carga)",IF(J505&lt;&gt;"ACTIVO","NO SE CARGA: CECO en estado "&amp;J505,"OK"))))))))))</f>
        <v/>
      </c>
    </row>
    <row r="506">
      <c r="A506" s="5" t="n"/>
      <c r="B506" s="6" t="n"/>
      <c r="C506" s="5" t="n"/>
      <c r="D506" s="6" t="n"/>
      <c r="E506" s="7" t="n"/>
      <c r="F506" s="6" t="n"/>
      <c r="G506" s="8">
        <f>IF(B506="","",IFERROR(VLOOKUP(--B506,'CATALOGO CECO'!$A$2:$H$550,2,FALSE),"CECO NO EXISTE"))</f>
        <v/>
      </c>
      <c r="H506" s="8">
        <f>IF(B506="","",IFERROR(VLOOKUP(--B506,'CATALOGO CECO'!$A$2:$H$550,3,FALSE),""))</f>
        <v/>
      </c>
      <c r="I506" s="8">
        <f>IF(B506="","",IFERROR(VLOOKUP(--B506,'CATALOGO CECO'!$A$2:$H$550,5,FALSE),""))</f>
        <v/>
      </c>
      <c r="J506" s="8">
        <f>IF(B506="","",IFERROR(VLOOKUP(--B506,'CATALOGO CECO'!$A$2:$H$550,8,FALSE),""))</f>
        <v/>
      </c>
      <c r="K506" s="8">
        <f>IF(COUNTA(A506:F506)=0,"",IF(OR(LEN(A506)&lt;&gt;7,MID(A506,5,1)&lt;&gt;"-",ISERROR(--LEFT(A506,4)),ISERROR(--RIGHT(A506,2))),"ERROR: PERIODO debe ser AAAA-MM",IF(B506="","ERROR: falta CODIGO CECO",IF(G506="CECO NO EXISTE","ERROR: CECO no existe en el catálogo",IF(C506="","ERROR: falta CUENTA",IF(ISERROR(--C506),"ERROR: CUENTA debe tener solo dígitos",IF(ISERROR(FIND(LEFT(C506,1),"567")),"ERROR: CUENTA fuera de las clases de costo",IF(NOT(ISNUMBER(E506)),"ERROR: VALOR debe ser numérico",IF(E506=0,"AVISO: valor cero (no se carga)",IF(J506&lt;&gt;"ACTIVO","NO SE CARGA: CECO en estado "&amp;J506,"OK"))))))))))</f>
        <v/>
      </c>
    </row>
    <row r="507">
      <c r="A507" s="5" t="n"/>
      <c r="B507" s="6" t="n"/>
      <c r="C507" s="5" t="n"/>
      <c r="D507" s="6" t="n"/>
      <c r="E507" s="7" t="n"/>
      <c r="F507" s="6" t="n"/>
      <c r="G507" s="8">
        <f>IF(B507="","",IFERROR(VLOOKUP(--B507,'CATALOGO CECO'!$A$2:$H$550,2,FALSE),"CECO NO EXISTE"))</f>
        <v/>
      </c>
      <c r="H507" s="8">
        <f>IF(B507="","",IFERROR(VLOOKUP(--B507,'CATALOGO CECO'!$A$2:$H$550,3,FALSE),""))</f>
        <v/>
      </c>
      <c r="I507" s="8">
        <f>IF(B507="","",IFERROR(VLOOKUP(--B507,'CATALOGO CECO'!$A$2:$H$550,5,FALSE),""))</f>
        <v/>
      </c>
      <c r="J507" s="8">
        <f>IF(B507="","",IFERROR(VLOOKUP(--B507,'CATALOGO CECO'!$A$2:$H$550,8,FALSE),""))</f>
        <v/>
      </c>
      <c r="K507" s="8">
        <f>IF(COUNTA(A507:F507)=0,"",IF(OR(LEN(A507)&lt;&gt;7,MID(A507,5,1)&lt;&gt;"-",ISERROR(--LEFT(A507,4)),ISERROR(--RIGHT(A507,2))),"ERROR: PERIODO debe ser AAAA-MM",IF(B507="","ERROR: falta CODIGO CECO",IF(G507="CECO NO EXISTE","ERROR: CECO no existe en el catálogo",IF(C507="","ERROR: falta CUENTA",IF(ISERROR(--C507),"ERROR: CUENTA debe tener solo dígitos",IF(ISERROR(FIND(LEFT(C507,1),"567")),"ERROR: CUENTA fuera de las clases de costo",IF(NOT(ISNUMBER(E507)),"ERROR: VALOR debe ser numérico",IF(E507=0,"AVISO: valor cero (no se carga)",IF(J507&lt;&gt;"ACTIVO","NO SE CARGA: CECO en estado "&amp;J507,"OK"))))))))))</f>
        <v/>
      </c>
    </row>
    <row r="508">
      <c r="A508" s="5" t="n"/>
      <c r="B508" s="6" t="n"/>
      <c r="C508" s="5" t="n"/>
      <c r="D508" s="6" t="n"/>
      <c r="E508" s="7" t="n"/>
      <c r="F508" s="6" t="n"/>
      <c r="G508" s="8">
        <f>IF(B508="","",IFERROR(VLOOKUP(--B508,'CATALOGO CECO'!$A$2:$H$550,2,FALSE),"CECO NO EXISTE"))</f>
        <v/>
      </c>
      <c r="H508" s="8">
        <f>IF(B508="","",IFERROR(VLOOKUP(--B508,'CATALOGO CECO'!$A$2:$H$550,3,FALSE),""))</f>
        <v/>
      </c>
      <c r="I508" s="8">
        <f>IF(B508="","",IFERROR(VLOOKUP(--B508,'CATALOGO CECO'!$A$2:$H$550,5,FALSE),""))</f>
        <v/>
      </c>
      <c r="J508" s="8">
        <f>IF(B508="","",IFERROR(VLOOKUP(--B508,'CATALOGO CECO'!$A$2:$H$550,8,FALSE),""))</f>
        <v/>
      </c>
      <c r="K508" s="8">
        <f>IF(COUNTA(A508:F508)=0,"",IF(OR(LEN(A508)&lt;&gt;7,MID(A508,5,1)&lt;&gt;"-",ISERROR(--LEFT(A508,4)),ISERROR(--RIGHT(A508,2))),"ERROR: PERIODO debe ser AAAA-MM",IF(B508="","ERROR: falta CODIGO CECO",IF(G508="CECO NO EXISTE","ERROR: CECO no existe en el catálogo",IF(C508="","ERROR: falta CUENTA",IF(ISERROR(--C508),"ERROR: CUENTA debe tener solo dígitos",IF(ISERROR(FIND(LEFT(C508,1),"567")),"ERROR: CUENTA fuera de las clases de costo",IF(NOT(ISNUMBER(E508)),"ERROR: VALOR debe ser numérico",IF(E508=0,"AVISO: valor cero (no se carga)",IF(J508&lt;&gt;"ACTIVO","NO SE CARGA: CECO en estado "&amp;J508,"OK"))))))))))</f>
        <v/>
      </c>
    </row>
    <row r="509">
      <c r="A509" s="5" t="n"/>
      <c r="B509" s="6" t="n"/>
      <c r="C509" s="5" t="n"/>
      <c r="D509" s="6" t="n"/>
      <c r="E509" s="7" t="n"/>
      <c r="F509" s="6" t="n"/>
      <c r="G509" s="8">
        <f>IF(B509="","",IFERROR(VLOOKUP(--B509,'CATALOGO CECO'!$A$2:$H$550,2,FALSE),"CECO NO EXISTE"))</f>
        <v/>
      </c>
      <c r="H509" s="8">
        <f>IF(B509="","",IFERROR(VLOOKUP(--B509,'CATALOGO CECO'!$A$2:$H$550,3,FALSE),""))</f>
        <v/>
      </c>
      <c r="I509" s="8">
        <f>IF(B509="","",IFERROR(VLOOKUP(--B509,'CATALOGO CECO'!$A$2:$H$550,5,FALSE),""))</f>
        <v/>
      </c>
      <c r="J509" s="8">
        <f>IF(B509="","",IFERROR(VLOOKUP(--B509,'CATALOGO CECO'!$A$2:$H$550,8,FALSE),""))</f>
        <v/>
      </c>
      <c r="K509" s="8">
        <f>IF(COUNTA(A509:F509)=0,"",IF(OR(LEN(A509)&lt;&gt;7,MID(A509,5,1)&lt;&gt;"-",ISERROR(--LEFT(A509,4)),ISERROR(--RIGHT(A509,2))),"ERROR: PERIODO debe ser AAAA-MM",IF(B509="","ERROR: falta CODIGO CECO",IF(G509="CECO NO EXISTE","ERROR: CECO no existe en el catálogo",IF(C509="","ERROR: falta CUENTA",IF(ISERROR(--C509),"ERROR: CUENTA debe tener solo dígitos",IF(ISERROR(FIND(LEFT(C509,1),"567")),"ERROR: CUENTA fuera de las clases de costo",IF(NOT(ISNUMBER(E509)),"ERROR: VALOR debe ser numérico",IF(E509=0,"AVISO: valor cero (no se carga)",IF(J509&lt;&gt;"ACTIVO","NO SE CARGA: CECO en estado "&amp;J509,"OK"))))))))))</f>
        <v/>
      </c>
    </row>
    <row r="510">
      <c r="A510" s="5" t="n"/>
      <c r="B510" s="6" t="n"/>
      <c r="C510" s="5" t="n"/>
      <c r="D510" s="6" t="n"/>
      <c r="E510" s="7" t="n"/>
      <c r="F510" s="6" t="n"/>
      <c r="G510" s="8">
        <f>IF(B510="","",IFERROR(VLOOKUP(--B510,'CATALOGO CECO'!$A$2:$H$550,2,FALSE),"CECO NO EXISTE"))</f>
        <v/>
      </c>
      <c r="H510" s="8">
        <f>IF(B510="","",IFERROR(VLOOKUP(--B510,'CATALOGO CECO'!$A$2:$H$550,3,FALSE),""))</f>
        <v/>
      </c>
      <c r="I510" s="8">
        <f>IF(B510="","",IFERROR(VLOOKUP(--B510,'CATALOGO CECO'!$A$2:$H$550,5,FALSE),""))</f>
        <v/>
      </c>
      <c r="J510" s="8">
        <f>IF(B510="","",IFERROR(VLOOKUP(--B510,'CATALOGO CECO'!$A$2:$H$550,8,FALSE),""))</f>
        <v/>
      </c>
      <c r="K510" s="8">
        <f>IF(COUNTA(A510:F510)=0,"",IF(OR(LEN(A510)&lt;&gt;7,MID(A510,5,1)&lt;&gt;"-",ISERROR(--LEFT(A510,4)),ISERROR(--RIGHT(A510,2))),"ERROR: PERIODO debe ser AAAA-MM",IF(B510="","ERROR: falta CODIGO CECO",IF(G510="CECO NO EXISTE","ERROR: CECO no existe en el catálogo",IF(C510="","ERROR: falta CUENTA",IF(ISERROR(--C510),"ERROR: CUENTA debe tener solo dígitos",IF(ISERROR(FIND(LEFT(C510,1),"567")),"ERROR: CUENTA fuera de las clases de costo",IF(NOT(ISNUMBER(E510)),"ERROR: VALOR debe ser numérico",IF(E510=0,"AVISO: valor cero (no se carga)",IF(J510&lt;&gt;"ACTIVO","NO SE CARGA: CECO en estado "&amp;J510,"OK"))))))))))</f>
        <v/>
      </c>
    </row>
    <row r="511">
      <c r="A511" s="5" t="n"/>
      <c r="B511" s="6" t="n"/>
      <c r="C511" s="5" t="n"/>
      <c r="D511" s="6" t="n"/>
      <c r="E511" s="7" t="n"/>
      <c r="F511" s="6" t="n"/>
      <c r="G511" s="8">
        <f>IF(B511="","",IFERROR(VLOOKUP(--B511,'CATALOGO CECO'!$A$2:$H$550,2,FALSE),"CECO NO EXISTE"))</f>
        <v/>
      </c>
      <c r="H511" s="8">
        <f>IF(B511="","",IFERROR(VLOOKUP(--B511,'CATALOGO CECO'!$A$2:$H$550,3,FALSE),""))</f>
        <v/>
      </c>
      <c r="I511" s="8">
        <f>IF(B511="","",IFERROR(VLOOKUP(--B511,'CATALOGO CECO'!$A$2:$H$550,5,FALSE),""))</f>
        <v/>
      </c>
      <c r="J511" s="8">
        <f>IF(B511="","",IFERROR(VLOOKUP(--B511,'CATALOGO CECO'!$A$2:$H$550,8,FALSE),""))</f>
        <v/>
      </c>
      <c r="K511" s="8">
        <f>IF(COUNTA(A511:F511)=0,"",IF(OR(LEN(A511)&lt;&gt;7,MID(A511,5,1)&lt;&gt;"-",ISERROR(--LEFT(A511,4)),ISERROR(--RIGHT(A511,2))),"ERROR: PERIODO debe ser AAAA-MM",IF(B511="","ERROR: falta CODIGO CECO",IF(G511="CECO NO EXISTE","ERROR: CECO no existe en el catálogo",IF(C511="","ERROR: falta CUENTA",IF(ISERROR(--C511),"ERROR: CUENTA debe tener solo dígitos",IF(ISERROR(FIND(LEFT(C511,1),"567")),"ERROR: CUENTA fuera de las clases de costo",IF(NOT(ISNUMBER(E511)),"ERROR: VALOR debe ser numérico",IF(E511=0,"AVISO: valor cero (no se carga)",IF(J511&lt;&gt;"ACTIVO","NO SE CARGA: CECO en estado "&amp;J511,"OK"))))))))))</f>
        <v/>
      </c>
    </row>
    <row r="512">
      <c r="A512" s="5" t="n"/>
      <c r="B512" s="6" t="n"/>
      <c r="C512" s="5" t="n"/>
      <c r="D512" s="6" t="n"/>
      <c r="E512" s="7" t="n"/>
      <c r="F512" s="6" t="n"/>
      <c r="G512" s="8">
        <f>IF(B512="","",IFERROR(VLOOKUP(--B512,'CATALOGO CECO'!$A$2:$H$550,2,FALSE),"CECO NO EXISTE"))</f>
        <v/>
      </c>
      <c r="H512" s="8">
        <f>IF(B512="","",IFERROR(VLOOKUP(--B512,'CATALOGO CECO'!$A$2:$H$550,3,FALSE),""))</f>
        <v/>
      </c>
      <c r="I512" s="8">
        <f>IF(B512="","",IFERROR(VLOOKUP(--B512,'CATALOGO CECO'!$A$2:$H$550,5,FALSE),""))</f>
        <v/>
      </c>
      <c r="J512" s="8">
        <f>IF(B512="","",IFERROR(VLOOKUP(--B512,'CATALOGO CECO'!$A$2:$H$550,8,FALSE),""))</f>
        <v/>
      </c>
      <c r="K512" s="8">
        <f>IF(COUNTA(A512:F512)=0,"",IF(OR(LEN(A512)&lt;&gt;7,MID(A512,5,1)&lt;&gt;"-",ISERROR(--LEFT(A512,4)),ISERROR(--RIGHT(A512,2))),"ERROR: PERIODO debe ser AAAA-MM",IF(B512="","ERROR: falta CODIGO CECO",IF(G512="CECO NO EXISTE","ERROR: CECO no existe en el catálogo",IF(C512="","ERROR: falta CUENTA",IF(ISERROR(--C512),"ERROR: CUENTA debe tener solo dígitos",IF(ISERROR(FIND(LEFT(C512,1),"567")),"ERROR: CUENTA fuera de las clases de costo",IF(NOT(ISNUMBER(E512)),"ERROR: VALOR debe ser numérico",IF(E512=0,"AVISO: valor cero (no se carga)",IF(J512&lt;&gt;"ACTIVO","NO SE CARGA: CECO en estado "&amp;J512,"OK"))))))))))</f>
        <v/>
      </c>
    </row>
    <row r="513">
      <c r="A513" s="5" t="n"/>
      <c r="B513" s="6" t="n"/>
      <c r="C513" s="5" t="n"/>
      <c r="D513" s="6" t="n"/>
      <c r="E513" s="7" t="n"/>
      <c r="F513" s="6" t="n"/>
      <c r="G513" s="8">
        <f>IF(B513="","",IFERROR(VLOOKUP(--B513,'CATALOGO CECO'!$A$2:$H$550,2,FALSE),"CECO NO EXISTE"))</f>
        <v/>
      </c>
      <c r="H513" s="8">
        <f>IF(B513="","",IFERROR(VLOOKUP(--B513,'CATALOGO CECO'!$A$2:$H$550,3,FALSE),""))</f>
        <v/>
      </c>
      <c r="I513" s="8">
        <f>IF(B513="","",IFERROR(VLOOKUP(--B513,'CATALOGO CECO'!$A$2:$H$550,5,FALSE),""))</f>
        <v/>
      </c>
      <c r="J513" s="8">
        <f>IF(B513="","",IFERROR(VLOOKUP(--B513,'CATALOGO CECO'!$A$2:$H$550,8,FALSE),""))</f>
        <v/>
      </c>
      <c r="K513" s="8">
        <f>IF(COUNTA(A513:F513)=0,"",IF(OR(LEN(A513)&lt;&gt;7,MID(A513,5,1)&lt;&gt;"-",ISERROR(--LEFT(A513,4)),ISERROR(--RIGHT(A513,2))),"ERROR: PERIODO debe ser AAAA-MM",IF(B513="","ERROR: falta CODIGO CECO",IF(G513="CECO NO EXISTE","ERROR: CECO no existe en el catálogo",IF(C513="","ERROR: falta CUENTA",IF(ISERROR(--C513),"ERROR: CUENTA debe tener solo dígitos",IF(ISERROR(FIND(LEFT(C513,1),"567")),"ERROR: CUENTA fuera de las clases de costo",IF(NOT(ISNUMBER(E513)),"ERROR: VALOR debe ser numérico",IF(E513=0,"AVISO: valor cero (no se carga)",IF(J513&lt;&gt;"ACTIVO","NO SE CARGA: CECO en estado "&amp;J513,"OK"))))))))))</f>
        <v/>
      </c>
    </row>
    <row r="514">
      <c r="A514" s="5" t="n"/>
      <c r="B514" s="6" t="n"/>
      <c r="C514" s="5" t="n"/>
      <c r="D514" s="6" t="n"/>
      <c r="E514" s="7" t="n"/>
      <c r="F514" s="6" t="n"/>
      <c r="G514" s="8">
        <f>IF(B514="","",IFERROR(VLOOKUP(--B514,'CATALOGO CECO'!$A$2:$H$550,2,FALSE),"CECO NO EXISTE"))</f>
        <v/>
      </c>
      <c r="H514" s="8">
        <f>IF(B514="","",IFERROR(VLOOKUP(--B514,'CATALOGO CECO'!$A$2:$H$550,3,FALSE),""))</f>
        <v/>
      </c>
      <c r="I514" s="8">
        <f>IF(B514="","",IFERROR(VLOOKUP(--B514,'CATALOGO CECO'!$A$2:$H$550,5,FALSE),""))</f>
        <v/>
      </c>
      <c r="J514" s="8">
        <f>IF(B514="","",IFERROR(VLOOKUP(--B514,'CATALOGO CECO'!$A$2:$H$550,8,FALSE),""))</f>
        <v/>
      </c>
      <c r="K514" s="8">
        <f>IF(COUNTA(A514:F514)=0,"",IF(OR(LEN(A514)&lt;&gt;7,MID(A514,5,1)&lt;&gt;"-",ISERROR(--LEFT(A514,4)),ISERROR(--RIGHT(A514,2))),"ERROR: PERIODO debe ser AAAA-MM",IF(B514="","ERROR: falta CODIGO CECO",IF(G514="CECO NO EXISTE","ERROR: CECO no existe en el catálogo",IF(C514="","ERROR: falta CUENTA",IF(ISERROR(--C514),"ERROR: CUENTA debe tener solo dígitos",IF(ISERROR(FIND(LEFT(C514,1),"567")),"ERROR: CUENTA fuera de las clases de costo",IF(NOT(ISNUMBER(E514)),"ERROR: VALOR debe ser numérico",IF(E514=0,"AVISO: valor cero (no se carga)",IF(J514&lt;&gt;"ACTIVO","NO SE CARGA: CECO en estado "&amp;J514,"OK"))))))))))</f>
        <v/>
      </c>
    </row>
    <row r="515">
      <c r="A515" s="5" t="n"/>
      <c r="B515" s="6" t="n"/>
      <c r="C515" s="5" t="n"/>
      <c r="D515" s="6" t="n"/>
      <c r="E515" s="7" t="n"/>
      <c r="F515" s="6" t="n"/>
      <c r="G515" s="8">
        <f>IF(B515="","",IFERROR(VLOOKUP(--B515,'CATALOGO CECO'!$A$2:$H$550,2,FALSE),"CECO NO EXISTE"))</f>
        <v/>
      </c>
      <c r="H515" s="8">
        <f>IF(B515="","",IFERROR(VLOOKUP(--B515,'CATALOGO CECO'!$A$2:$H$550,3,FALSE),""))</f>
        <v/>
      </c>
      <c r="I515" s="8">
        <f>IF(B515="","",IFERROR(VLOOKUP(--B515,'CATALOGO CECO'!$A$2:$H$550,5,FALSE),""))</f>
        <v/>
      </c>
      <c r="J515" s="8">
        <f>IF(B515="","",IFERROR(VLOOKUP(--B515,'CATALOGO CECO'!$A$2:$H$550,8,FALSE),""))</f>
        <v/>
      </c>
      <c r="K515" s="8">
        <f>IF(COUNTA(A515:F515)=0,"",IF(OR(LEN(A515)&lt;&gt;7,MID(A515,5,1)&lt;&gt;"-",ISERROR(--LEFT(A515,4)),ISERROR(--RIGHT(A515,2))),"ERROR: PERIODO debe ser AAAA-MM",IF(B515="","ERROR: falta CODIGO CECO",IF(G515="CECO NO EXISTE","ERROR: CECO no existe en el catálogo",IF(C515="","ERROR: falta CUENTA",IF(ISERROR(--C515),"ERROR: CUENTA debe tener solo dígitos",IF(ISERROR(FIND(LEFT(C515,1),"567")),"ERROR: CUENTA fuera de las clases de costo",IF(NOT(ISNUMBER(E515)),"ERROR: VALOR debe ser numérico",IF(E515=0,"AVISO: valor cero (no se carga)",IF(J515&lt;&gt;"ACTIVO","NO SE CARGA: CECO en estado "&amp;J515,"OK"))))))))))</f>
        <v/>
      </c>
    </row>
    <row r="516">
      <c r="A516" s="5" t="n"/>
      <c r="B516" s="6" t="n"/>
      <c r="C516" s="5" t="n"/>
      <c r="D516" s="6" t="n"/>
      <c r="E516" s="7" t="n"/>
      <c r="F516" s="6" t="n"/>
      <c r="G516" s="8">
        <f>IF(B516="","",IFERROR(VLOOKUP(--B516,'CATALOGO CECO'!$A$2:$H$550,2,FALSE),"CECO NO EXISTE"))</f>
        <v/>
      </c>
      <c r="H516" s="8">
        <f>IF(B516="","",IFERROR(VLOOKUP(--B516,'CATALOGO CECO'!$A$2:$H$550,3,FALSE),""))</f>
        <v/>
      </c>
      <c r="I516" s="8">
        <f>IF(B516="","",IFERROR(VLOOKUP(--B516,'CATALOGO CECO'!$A$2:$H$550,5,FALSE),""))</f>
        <v/>
      </c>
      <c r="J516" s="8">
        <f>IF(B516="","",IFERROR(VLOOKUP(--B516,'CATALOGO CECO'!$A$2:$H$550,8,FALSE),""))</f>
        <v/>
      </c>
      <c r="K516" s="8">
        <f>IF(COUNTA(A516:F516)=0,"",IF(OR(LEN(A516)&lt;&gt;7,MID(A516,5,1)&lt;&gt;"-",ISERROR(--LEFT(A516,4)),ISERROR(--RIGHT(A516,2))),"ERROR: PERIODO debe ser AAAA-MM",IF(B516="","ERROR: falta CODIGO CECO",IF(G516="CECO NO EXISTE","ERROR: CECO no existe en el catálogo",IF(C516="","ERROR: falta CUENTA",IF(ISERROR(--C516),"ERROR: CUENTA debe tener solo dígitos",IF(ISERROR(FIND(LEFT(C516,1),"567")),"ERROR: CUENTA fuera de las clases de costo",IF(NOT(ISNUMBER(E516)),"ERROR: VALOR debe ser numérico",IF(E516=0,"AVISO: valor cero (no se carga)",IF(J516&lt;&gt;"ACTIVO","NO SE CARGA: CECO en estado "&amp;J516,"OK"))))))))))</f>
        <v/>
      </c>
    </row>
    <row r="517">
      <c r="A517" s="5" t="n"/>
      <c r="B517" s="6" t="n"/>
      <c r="C517" s="5" t="n"/>
      <c r="D517" s="6" t="n"/>
      <c r="E517" s="7" t="n"/>
      <c r="F517" s="6" t="n"/>
      <c r="G517" s="8">
        <f>IF(B517="","",IFERROR(VLOOKUP(--B517,'CATALOGO CECO'!$A$2:$H$550,2,FALSE),"CECO NO EXISTE"))</f>
        <v/>
      </c>
      <c r="H517" s="8">
        <f>IF(B517="","",IFERROR(VLOOKUP(--B517,'CATALOGO CECO'!$A$2:$H$550,3,FALSE),""))</f>
        <v/>
      </c>
      <c r="I517" s="8">
        <f>IF(B517="","",IFERROR(VLOOKUP(--B517,'CATALOGO CECO'!$A$2:$H$550,5,FALSE),""))</f>
        <v/>
      </c>
      <c r="J517" s="8">
        <f>IF(B517="","",IFERROR(VLOOKUP(--B517,'CATALOGO CECO'!$A$2:$H$550,8,FALSE),""))</f>
        <v/>
      </c>
      <c r="K517" s="8">
        <f>IF(COUNTA(A517:F517)=0,"",IF(OR(LEN(A517)&lt;&gt;7,MID(A517,5,1)&lt;&gt;"-",ISERROR(--LEFT(A517,4)),ISERROR(--RIGHT(A517,2))),"ERROR: PERIODO debe ser AAAA-MM",IF(B517="","ERROR: falta CODIGO CECO",IF(G517="CECO NO EXISTE","ERROR: CECO no existe en el catálogo",IF(C517="","ERROR: falta CUENTA",IF(ISERROR(--C517),"ERROR: CUENTA debe tener solo dígitos",IF(ISERROR(FIND(LEFT(C517,1),"567")),"ERROR: CUENTA fuera de las clases de costo",IF(NOT(ISNUMBER(E517)),"ERROR: VALOR debe ser numérico",IF(E517=0,"AVISO: valor cero (no se carga)",IF(J517&lt;&gt;"ACTIVO","NO SE CARGA: CECO en estado "&amp;J517,"OK"))))))))))</f>
        <v/>
      </c>
    </row>
    <row r="518">
      <c r="A518" s="5" t="n"/>
      <c r="B518" s="6" t="n"/>
      <c r="C518" s="5" t="n"/>
      <c r="D518" s="6" t="n"/>
      <c r="E518" s="7" t="n"/>
      <c r="F518" s="6" t="n"/>
      <c r="G518" s="8">
        <f>IF(B518="","",IFERROR(VLOOKUP(--B518,'CATALOGO CECO'!$A$2:$H$550,2,FALSE),"CECO NO EXISTE"))</f>
        <v/>
      </c>
      <c r="H518" s="8">
        <f>IF(B518="","",IFERROR(VLOOKUP(--B518,'CATALOGO CECO'!$A$2:$H$550,3,FALSE),""))</f>
        <v/>
      </c>
      <c r="I518" s="8">
        <f>IF(B518="","",IFERROR(VLOOKUP(--B518,'CATALOGO CECO'!$A$2:$H$550,5,FALSE),""))</f>
        <v/>
      </c>
      <c r="J518" s="8">
        <f>IF(B518="","",IFERROR(VLOOKUP(--B518,'CATALOGO CECO'!$A$2:$H$550,8,FALSE),""))</f>
        <v/>
      </c>
      <c r="K518" s="8">
        <f>IF(COUNTA(A518:F518)=0,"",IF(OR(LEN(A518)&lt;&gt;7,MID(A518,5,1)&lt;&gt;"-",ISERROR(--LEFT(A518,4)),ISERROR(--RIGHT(A518,2))),"ERROR: PERIODO debe ser AAAA-MM",IF(B518="","ERROR: falta CODIGO CECO",IF(G518="CECO NO EXISTE","ERROR: CECO no existe en el catálogo",IF(C518="","ERROR: falta CUENTA",IF(ISERROR(--C518),"ERROR: CUENTA debe tener solo dígitos",IF(ISERROR(FIND(LEFT(C518,1),"567")),"ERROR: CUENTA fuera de las clases de costo",IF(NOT(ISNUMBER(E518)),"ERROR: VALOR debe ser numérico",IF(E518=0,"AVISO: valor cero (no se carga)",IF(J518&lt;&gt;"ACTIVO","NO SE CARGA: CECO en estado "&amp;J518,"OK"))))))))))</f>
        <v/>
      </c>
    </row>
    <row r="519">
      <c r="A519" s="5" t="n"/>
      <c r="B519" s="6" t="n"/>
      <c r="C519" s="5" t="n"/>
      <c r="D519" s="6" t="n"/>
      <c r="E519" s="7" t="n"/>
      <c r="F519" s="6" t="n"/>
      <c r="G519" s="8">
        <f>IF(B519="","",IFERROR(VLOOKUP(--B519,'CATALOGO CECO'!$A$2:$H$550,2,FALSE),"CECO NO EXISTE"))</f>
        <v/>
      </c>
      <c r="H519" s="8">
        <f>IF(B519="","",IFERROR(VLOOKUP(--B519,'CATALOGO CECO'!$A$2:$H$550,3,FALSE),""))</f>
        <v/>
      </c>
      <c r="I519" s="8">
        <f>IF(B519="","",IFERROR(VLOOKUP(--B519,'CATALOGO CECO'!$A$2:$H$550,5,FALSE),""))</f>
        <v/>
      </c>
      <c r="J519" s="8">
        <f>IF(B519="","",IFERROR(VLOOKUP(--B519,'CATALOGO CECO'!$A$2:$H$550,8,FALSE),""))</f>
        <v/>
      </c>
      <c r="K519" s="8">
        <f>IF(COUNTA(A519:F519)=0,"",IF(OR(LEN(A519)&lt;&gt;7,MID(A519,5,1)&lt;&gt;"-",ISERROR(--LEFT(A519,4)),ISERROR(--RIGHT(A519,2))),"ERROR: PERIODO debe ser AAAA-MM",IF(B519="","ERROR: falta CODIGO CECO",IF(G519="CECO NO EXISTE","ERROR: CECO no existe en el catálogo",IF(C519="","ERROR: falta CUENTA",IF(ISERROR(--C519),"ERROR: CUENTA debe tener solo dígitos",IF(ISERROR(FIND(LEFT(C519,1),"567")),"ERROR: CUENTA fuera de las clases de costo",IF(NOT(ISNUMBER(E519)),"ERROR: VALOR debe ser numérico",IF(E519=0,"AVISO: valor cero (no se carga)",IF(J519&lt;&gt;"ACTIVO","NO SE CARGA: CECO en estado "&amp;J519,"OK"))))))))))</f>
        <v/>
      </c>
    </row>
    <row r="520">
      <c r="A520" s="5" t="n"/>
      <c r="B520" s="6" t="n"/>
      <c r="C520" s="5" t="n"/>
      <c r="D520" s="6" t="n"/>
      <c r="E520" s="7" t="n"/>
      <c r="F520" s="6" t="n"/>
      <c r="G520" s="8">
        <f>IF(B520="","",IFERROR(VLOOKUP(--B520,'CATALOGO CECO'!$A$2:$H$550,2,FALSE),"CECO NO EXISTE"))</f>
        <v/>
      </c>
      <c r="H520" s="8">
        <f>IF(B520="","",IFERROR(VLOOKUP(--B520,'CATALOGO CECO'!$A$2:$H$550,3,FALSE),""))</f>
        <v/>
      </c>
      <c r="I520" s="8">
        <f>IF(B520="","",IFERROR(VLOOKUP(--B520,'CATALOGO CECO'!$A$2:$H$550,5,FALSE),""))</f>
        <v/>
      </c>
      <c r="J520" s="8">
        <f>IF(B520="","",IFERROR(VLOOKUP(--B520,'CATALOGO CECO'!$A$2:$H$550,8,FALSE),""))</f>
        <v/>
      </c>
      <c r="K520" s="8">
        <f>IF(COUNTA(A520:F520)=0,"",IF(OR(LEN(A520)&lt;&gt;7,MID(A520,5,1)&lt;&gt;"-",ISERROR(--LEFT(A520,4)),ISERROR(--RIGHT(A520,2))),"ERROR: PERIODO debe ser AAAA-MM",IF(B520="","ERROR: falta CODIGO CECO",IF(G520="CECO NO EXISTE","ERROR: CECO no existe en el catálogo",IF(C520="","ERROR: falta CUENTA",IF(ISERROR(--C520),"ERROR: CUENTA debe tener solo dígitos",IF(ISERROR(FIND(LEFT(C520,1),"567")),"ERROR: CUENTA fuera de las clases de costo",IF(NOT(ISNUMBER(E520)),"ERROR: VALOR debe ser numérico",IF(E520=0,"AVISO: valor cero (no se carga)",IF(J520&lt;&gt;"ACTIVO","NO SE CARGA: CECO en estado "&amp;J520,"OK"))))))))))</f>
        <v/>
      </c>
    </row>
    <row r="521">
      <c r="A521" s="5" t="n"/>
      <c r="B521" s="6" t="n"/>
      <c r="C521" s="5" t="n"/>
      <c r="D521" s="6" t="n"/>
      <c r="E521" s="7" t="n"/>
      <c r="F521" s="6" t="n"/>
      <c r="G521" s="8">
        <f>IF(B521="","",IFERROR(VLOOKUP(--B521,'CATALOGO CECO'!$A$2:$H$550,2,FALSE),"CECO NO EXISTE"))</f>
        <v/>
      </c>
      <c r="H521" s="8">
        <f>IF(B521="","",IFERROR(VLOOKUP(--B521,'CATALOGO CECO'!$A$2:$H$550,3,FALSE),""))</f>
        <v/>
      </c>
      <c r="I521" s="8">
        <f>IF(B521="","",IFERROR(VLOOKUP(--B521,'CATALOGO CECO'!$A$2:$H$550,5,FALSE),""))</f>
        <v/>
      </c>
      <c r="J521" s="8">
        <f>IF(B521="","",IFERROR(VLOOKUP(--B521,'CATALOGO CECO'!$A$2:$H$550,8,FALSE),""))</f>
        <v/>
      </c>
      <c r="K521" s="8">
        <f>IF(COUNTA(A521:F521)=0,"",IF(OR(LEN(A521)&lt;&gt;7,MID(A521,5,1)&lt;&gt;"-",ISERROR(--LEFT(A521,4)),ISERROR(--RIGHT(A521,2))),"ERROR: PERIODO debe ser AAAA-MM",IF(B521="","ERROR: falta CODIGO CECO",IF(G521="CECO NO EXISTE","ERROR: CECO no existe en el catálogo",IF(C521="","ERROR: falta CUENTA",IF(ISERROR(--C521),"ERROR: CUENTA debe tener solo dígitos",IF(ISERROR(FIND(LEFT(C521,1),"567")),"ERROR: CUENTA fuera de las clases de costo",IF(NOT(ISNUMBER(E521)),"ERROR: VALOR debe ser numérico",IF(E521=0,"AVISO: valor cero (no se carga)",IF(J521&lt;&gt;"ACTIVO","NO SE CARGA: CECO en estado "&amp;J521,"OK"))))))))))</f>
        <v/>
      </c>
    </row>
    <row r="522">
      <c r="A522" s="5" t="n"/>
      <c r="B522" s="6" t="n"/>
      <c r="C522" s="5" t="n"/>
      <c r="D522" s="6" t="n"/>
      <c r="E522" s="7" t="n"/>
      <c r="F522" s="6" t="n"/>
      <c r="G522" s="8">
        <f>IF(B522="","",IFERROR(VLOOKUP(--B522,'CATALOGO CECO'!$A$2:$H$550,2,FALSE),"CECO NO EXISTE"))</f>
        <v/>
      </c>
      <c r="H522" s="8">
        <f>IF(B522="","",IFERROR(VLOOKUP(--B522,'CATALOGO CECO'!$A$2:$H$550,3,FALSE),""))</f>
        <v/>
      </c>
      <c r="I522" s="8">
        <f>IF(B522="","",IFERROR(VLOOKUP(--B522,'CATALOGO CECO'!$A$2:$H$550,5,FALSE),""))</f>
        <v/>
      </c>
      <c r="J522" s="8">
        <f>IF(B522="","",IFERROR(VLOOKUP(--B522,'CATALOGO CECO'!$A$2:$H$550,8,FALSE),""))</f>
        <v/>
      </c>
      <c r="K522" s="8">
        <f>IF(COUNTA(A522:F522)=0,"",IF(OR(LEN(A522)&lt;&gt;7,MID(A522,5,1)&lt;&gt;"-",ISERROR(--LEFT(A522,4)),ISERROR(--RIGHT(A522,2))),"ERROR: PERIODO debe ser AAAA-MM",IF(B522="","ERROR: falta CODIGO CECO",IF(G522="CECO NO EXISTE","ERROR: CECO no existe en el catálogo",IF(C522="","ERROR: falta CUENTA",IF(ISERROR(--C522),"ERROR: CUENTA debe tener solo dígitos",IF(ISERROR(FIND(LEFT(C522,1),"567")),"ERROR: CUENTA fuera de las clases de costo",IF(NOT(ISNUMBER(E522)),"ERROR: VALOR debe ser numérico",IF(E522=0,"AVISO: valor cero (no se carga)",IF(J522&lt;&gt;"ACTIVO","NO SE CARGA: CECO en estado "&amp;J522,"OK"))))))))))</f>
        <v/>
      </c>
    </row>
    <row r="523">
      <c r="A523" s="5" t="n"/>
      <c r="B523" s="6" t="n"/>
      <c r="C523" s="5" t="n"/>
      <c r="D523" s="6" t="n"/>
      <c r="E523" s="7" t="n"/>
      <c r="F523" s="6" t="n"/>
      <c r="G523" s="8">
        <f>IF(B523="","",IFERROR(VLOOKUP(--B523,'CATALOGO CECO'!$A$2:$H$550,2,FALSE),"CECO NO EXISTE"))</f>
        <v/>
      </c>
      <c r="H523" s="8">
        <f>IF(B523="","",IFERROR(VLOOKUP(--B523,'CATALOGO CECO'!$A$2:$H$550,3,FALSE),""))</f>
        <v/>
      </c>
      <c r="I523" s="8">
        <f>IF(B523="","",IFERROR(VLOOKUP(--B523,'CATALOGO CECO'!$A$2:$H$550,5,FALSE),""))</f>
        <v/>
      </c>
      <c r="J523" s="8">
        <f>IF(B523="","",IFERROR(VLOOKUP(--B523,'CATALOGO CECO'!$A$2:$H$550,8,FALSE),""))</f>
        <v/>
      </c>
      <c r="K523" s="8">
        <f>IF(COUNTA(A523:F523)=0,"",IF(OR(LEN(A523)&lt;&gt;7,MID(A523,5,1)&lt;&gt;"-",ISERROR(--LEFT(A523,4)),ISERROR(--RIGHT(A523,2))),"ERROR: PERIODO debe ser AAAA-MM",IF(B523="","ERROR: falta CODIGO CECO",IF(G523="CECO NO EXISTE","ERROR: CECO no existe en el catálogo",IF(C523="","ERROR: falta CUENTA",IF(ISERROR(--C523),"ERROR: CUENTA debe tener solo dígitos",IF(ISERROR(FIND(LEFT(C523,1),"567")),"ERROR: CUENTA fuera de las clases de costo",IF(NOT(ISNUMBER(E523)),"ERROR: VALOR debe ser numérico",IF(E523=0,"AVISO: valor cero (no se carga)",IF(J523&lt;&gt;"ACTIVO","NO SE CARGA: CECO en estado "&amp;J523,"OK"))))))))))</f>
        <v/>
      </c>
    </row>
    <row r="524">
      <c r="A524" s="5" t="n"/>
      <c r="B524" s="6" t="n"/>
      <c r="C524" s="5" t="n"/>
      <c r="D524" s="6" t="n"/>
      <c r="E524" s="7" t="n"/>
      <c r="F524" s="6" t="n"/>
      <c r="G524" s="8">
        <f>IF(B524="","",IFERROR(VLOOKUP(--B524,'CATALOGO CECO'!$A$2:$H$550,2,FALSE),"CECO NO EXISTE"))</f>
        <v/>
      </c>
      <c r="H524" s="8">
        <f>IF(B524="","",IFERROR(VLOOKUP(--B524,'CATALOGO CECO'!$A$2:$H$550,3,FALSE),""))</f>
        <v/>
      </c>
      <c r="I524" s="8">
        <f>IF(B524="","",IFERROR(VLOOKUP(--B524,'CATALOGO CECO'!$A$2:$H$550,5,FALSE),""))</f>
        <v/>
      </c>
      <c r="J524" s="8">
        <f>IF(B524="","",IFERROR(VLOOKUP(--B524,'CATALOGO CECO'!$A$2:$H$550,8,FALSE),""))</f>
        <v/>
      </c>
      <c r="K524" s="8">
        <f>IF(COUNTA(A524:F524)=0,"",IF(OR(LEN(A524)&lt;&gt;7,MID(A524,5,1)&lt;&gt;"-",ISERROR(--LEFT(A524,4)),ISERROR(--RIGHT(A524,2))),"ERROR: PERIODO debe ser AAAA-MM",IF(B524="","ERROR: falta CODIGO CECO",IF(G524="CECO NO EXISTE","ERROR: CECO no existe en el catálogo",IF(C524="","ERROR: falta CUENTA",IF(ISERROR(--C524),"ERROR: CUENTA debe tener solo dígitos",IF(ISERROR(FIND(LEFT(C524,1),"567")),"ERROR: CUENTA fuera de las clases de costo",IF(NOT(ISNUMBER(E524)),"ERROR: VALOR debe ser numérico",IF(E524=0,"AVISO: valor cero (no se carga)",IF(J524&lt;&gt;"ACTIVO","NO SE CARGA: CECO en estado "&amp;J524,"OK"))))))))))</f>
        <v/>
      </c>
    </row>
    <row r="525">
      <c r="A525" s="5" t="n"/>
      <c r="B525" s="6" t="n"/>
      <c r="C525" s="5" t="n"/>
      <c r="D525" s="6" t="n"/>
      <c r="E525" s="7" t="n"/>
      <c r="F525" s="6" t="n"/>
      <c r="G525" s="8">
        <f>IF(B525="","",IFERROR(VLOOKUP(--B525,'CATALOGO CECO'!$A$2:$H$550,2,FALSE),"CECO NO EXISTE"))</f>
        <v/>
      </c>
      <c r="H525" s="8">
        <f>IF(B525="","",IFERROR(VLOOKUP(--B525,'CATALOGO CECO'!$A$2:$H$550,3,FALSE),""))</f>
        <v/>
      </c>
      <c r="I525" s="8">
        <f>IF(B525="","",IFERROR(VLOOKUP(--B525,'CATALOGO CECO'!$A$2:$H$550,5,FALSE),""))</f>
        <v/>
      </c>
      <c r="J525" s="8">
        <f>IF(B525="","",IFERROR(VLOOKUP(--B525,'CATALOGO CECO'!$A$2:$H$550,8,FALSE),""))</f>
        <v/>
      </c>
      <c r="K525" s="8">
        <f>IF(COUNTA(A525:F525)=0,"",IF(OR(LEN(A525)&lt;&gt;7,MID(A525,5,1)&lt;&gt;"-",ISERROR(--LEFT(A525,4)),ISERROR(--RIGHT(A525,2))),"ERROR: PERIODO debe ser AAAA-MM",IF(B525="","ERROR: falta CODIGO CECO",IF(G525="CECO NO EXISTE","ERROR: CECO no existe en el catálogo",IF(C525="","ERROR: falta CUENTA",IF(ISERROR(--C525),"ERROR: CUENTA debe tener solo dígitos",IF(ISERROR(FIND(LEFT(C525,1),"567")),"ERROR: CUENTA fuera de las clases de costo",IF(NOT(ISNUMBER(E525)),"ERROR: VALOR debe ser numérico",IF(E525=0,"AVISO: valor cero (no se carga)",IF(J525&lt;&gt;"ACTIVO","NO SE CARGA: CECO en estado "&amp;J525,"OK"))))))))))</f>
        <v/>
      </c>
    </row>
    <row r="526">
      <c r="A526" s="5" t="n"/>
      <c r="B526" s="6" t="n"/>
      <c r="C526" s="5" t="n"/>
      <c r="D526" s="6" t="n"/>
      <c r="E526" s="7" t="n"/>
      <c r="F526" s="6" t="n"/>
      <c r="G526" s="8">
        <f>IF(B526="","",IFERROR(VLOOKUP(--B526,'CATALOGO CECO'!$A$2:$H$550,2,FALSE),"CECO NO EXISTE"))</f>
        <v/>
      </c>
      <c r="H526" s="8">
        <f>IF(B526="","",IFERROR(VLOOKUP(--B526,'CATALOGO CECO'!$A$2:$H$550,3,FALSE),""))</f>
        <v/>
      </c>
      <c r="I526" s="8">
        <f>IF(B526="","",IFERROR(VLOOKUP(--B526,'CATALOGO CECO'!$A$2:$H$550,5,FALSE),""))</f>
        <v/>
      </c>
      <c r="J526" s="8">
        <f>IF(B526="","",IFERROR(VLOOKUP(--B526,'CATALOGO CECO'!$A$2:$H$550,8,FALSE),""))</f>
        <v/>
      </c>
      <c r="K526" s="8">
        <f>IF(COUNTA(A526:F526)=0,"",IF(OR(LEN(A526)&lt;&gt;7,MID(A526,5,1)&lt;&gt;"-",ISERROR(--LEFT(A526,4)),ISERROR(--RIGHT(A526,2))),"ERROR: PERIODO debe ser AAAA-MM",IF(B526="","ERROR: falta CODIGO CECO",IF(G526="CECO NO EXISTE","ERROR: CECO no existe en el catálogo",IF(C526="","ERROR: falta CUENTA",IF(ISERROR(--C526),"ERROR: CUENTA debe tener solo dígitos",IF(ISERROR(FIND(LEFT(C526,1),"567")),"ERROR: CUENTA fuera de las clases de costo",IF(NOT(ISNUMBER(E526)),"ERROR: VALOR debe ser numérico",IF(E526=0,"AVISO: valor cero (no se carga)",IF(J526&lt;&gt;"ACTIVO","NO SE CARGA: CECO en estado "&amp;J526,"OK"))))))))))</f>
        <v/>
      </c>
    </row>
    <row r="527">
      <c r="A527" s="5" t="n"/>
      <c r="B527" s="6" t="n"/>
      <c r="C527" s="5" t="n"/>
      <c r="D527" s="6" t="n"/>
      <c r="E527" s="7" t="n"/>
      <c r="F527" s="6" t="n"/>
      <c r="G527" s="8">
        <f>IF(B527="","",IFERROR(VLOOKUP(--B527,'CATALOGO CECO'!$A$2:$H$550,2,FALSE),"CECO NO EXISTE"))</f>
        <v/>
      </c>
      <c r="H527" s="8">
        <f>IF(B527="","",IFERROR(VLOOKUP(--B527,'CATALOGO CECO'!$A$2:$H$550,3,FALSE),""))</f>
        <v/>
      </c>
      <c r="I527" s="8">
        <f>IF(B527="","",IFERROR(VLOOKUP(--B527,'CATALOGO CECO'!$A$2:$H$550,5,FALSE),""))</f>
        <v/>
      </c>
      <c r="J527" s="8">
        <f>IF(B527="","",IFERROR(VLOOKUP(--B527,'CATALOGO CECO'!$A$2:$H$550,8,FALSE),""))</f>
        <v/>
      </c>
      <c r="K527" s="8">
        <f>IF(COUNTA(A527:F527)=0,"",IF(OR(LEN(A527)&lt;&gt;7,MID(A527,5,1)&lt;&gt;"-",ISERROR(--LEFT(A527,4)),ISERROR(--RIGHT(A527,2))),"ERROR: PERIODO debe ser AAAA-MM",IF(B527="","ERROR: falta CODIGO CECO",IF(G527="CECO NO EXISTE","ERROR: CECO no existe en el catálogo",IF(C527="","ERROR: falta CUENTA",IF(ISERROR(--C527),"ERROR: CUENTA debe tener solo dígitos",IF(ISERROR(FIND(LEFT(C527,1),"567")),"ERROR: CUENTA fuera de las clases de costo",IF(NOT(ISNUMBER(E527)),"ERROR: VALOR debe ser numérico",IF(E527=0,"AVISO: valor cero (no se carga)",IF(J527&lt;&gt;"ACTIVO","NO SE CARGA: CECO en estado "&amp;J527,"OK"))))))))))</f>
        <v/>
      </c>
    </row>
    <row r="528">
      <c r="A528" s="5" t="n"/>
      <c r="B528" s="6" t="n"/>
      <c r="C528" s="5" t="n"/>
      <c r="D528" s="6" t="n"/>
      <c r="E528" s="7" t="n"/>
      <c r="F528" s="6" t="n"/>
      <c r="G528" s="8">
        <f>IF(B528="","",IFERROR(VLOOKUP(--B528,'CATALOGO CECO'!$A$2:$H$550,2,FALSE),"CECO NO EXISTE"))</f>
        <v/>
      </c>
      <c r="H528" s="8">
        <f>IF(B528="","",IFERROR(VLOOKUP(--B528,'CATALOGO CECO'!$A$2:$H$550,3,FALSE),""))</f>
        <v/>
      </c>
      <c r="I528" s="8">
        <f>IF(B528="","",IFERROR(VLOOKUP(--B528,'CATALOGO CECO'!$A$2:$H$550,5,FALSE),""))</f>
        <v/>
      </c>
      <c r="J528" s="8">
        <f>IF(B528="","",IFERROR(VLOOKUP(--B528,'CATALOGO CECO'!$A$2:$H$550,8,FALSE),""))</f>
        <v/>
      </c>
      <c r="K528" s="8">
        <f>IF(COUNTA(A528:F528)=0,"",IF(OR(LEN(A528)&lt;&gt;7,MID(A528,5,1)&lt;&gt;"-",ISERROR(--LEFT(A528,4)),ISERROR(--RIGHT(A528,2))),"ERROR: PERIODO debe ser AAAA-MM",IF(B528="","ERROR: falta CODIGO CECO",IF(G528="CECO NO EXISTE","ERROR: CECO no existe en el catálogo",IF(C528="","ERROR: falta CUENTA",IF(ISERROR(--C528),"ERROR: CUENTA debe tener solo dígitos",IF(ISERROR(FIND(LEFT(C528,1),"567")),"ERROR: CUENTA fuera de las clases de costo",IF(NOT(ISNUMBER(E528)),"ERROR: VALOR debe ser numérico",IF(E528=0,"AVISO: valor cero (no se carga)",IF(J528&lt;&gt;"ACTIVO","NO SE CARGA: CECO en estado "&amp;J528,"OK"))))))))))</f>
        <v/>
      </c>
    </row>
    <row r="529">
      <c r="A529" s="5" t="n"/>
      <c r="B529" s="6" t="n"/>
      <c r="C529" s="5" t="n"/>
      <c r="D529" s="6" t="n"/>
      <c r="E529" s="7" t="n"/>
      <c r="F529" s="6" t="n"/>
      <c r="G529" s="8">
        <f>IF(B529="","",IFERROR(VLOOKUP(--B529,'CATALOGO CECO'!$A$2:$H$550,2,FALSE),"CECO NO EXISTE"))</f>
        <v/>
      </c>
      <c r="H529" s="8">
        <f>IF(B529="","",IFERROR(VLOOKUP(--B529,'CATALOGO CECO'!$A$2:$H$550,3,FALSE),""))</f>
        <v/>
      </c>
      <c r="I529" s="8">
        <f>IF(B529="","",IFERROR(VLOOKUP(--B529,'CATALOGO CECO'!$A$2:$H$550,5,FALSE),""))</f>
        <v/>
      </c>
      <c r="J529" s="8">
        <f>IF(B529="","",IFERROR(VLOOKUP(--B529,'CATALOGO CECO'!$A$2:$H$550,8,FALSE),""))</f>
        <v/>
      </c>
      <c r="K529" s="8">
        <f>IF(COUNTA(A529:F529)=0,"",IF(OR(LEN(A529)&lt;&gt;7,MID(A529,5,1)&lt;&gt;"-",ISERROR(--LEFT(A529,4)),ISERROR(--RIGHT(A529,2))),"ERROR: PERIODO debe ser AAAA-MM",IF(B529="","ERROR: falta CODIGO CECO",IF(G529="CECO NO EXISTE","ERROR: CECO no existe en el catálogo",IF(C529="","ERROR: falta CUENTA",IF(ISERROR(--C529),"ERROR: CUENTA debe tener solo dígitos",IF(ISERROR(FIND(LEFT(C529,1),"567")),"ERROR: CUENTA fuera de las clases de costo",IF(NOT(ISNUMBER(E529)),"ERROR: VALOR debe ser numérico",IF(E529=0,"AVISO: valor cero (no se carga)",IF(J529&lt;&gt;"ACTIVO","NO SE CARGA: CECO en estado "&amp;J529,"OK"))))))))))</f>
        <v/>
      </c>
    </row>
    <row r="530">
      <c r="A530" s="5" t="n"/>
      <c r="B530" s="6" t="n"/>
      <c r="C530" s="5" t="n"/>
      <c r="D530" s="6" t="n"/>
      <c r="E530" s="7" t="n"/>
      <c r="F530" s="6" t="n"/>
      <c r="G530" s="8">
        <f>IF(B530="","",IFERROR(VLOOKUP(--B530,'CATALOGO CECO'!$A$2:$H$550,2,FALSE),"CECO NO EXISTE"))</f>
        <v/>
      </c>
      <c r="H530" s="8">
        <f>IF(B530="","",IFERROR(VLOOKUP(--B530,'CATALOGO CECO'!$A$2:$H$550,3,FALSE),""))</f>
        <v/>
      </c>
      <c r="I530" s="8">
        <f>IF(B530="","",IFERROR(VLOOKUP(--B530,'CATALOGO CECO'!$A$2:$H$550,5,FALSE),""))</f>
        <v/>
      </c>
      <c r="J530" s="8">
        <f>IF(B530="","",IFERROR(VLOOKUP(--B530,'CATALOGO CECO'!$A$2:$H$550,8,FALSE),""))</f>
        <v/>
      </c>
      <c r="K530" s="8">
        <f>IF(COUNTA(A530:F530)=0,"",IF(OR(LEN(A530)&lt;&gt;7,MID(A530,5,1)&lt;&gt;"-",ISERROR(--LEFT(A530,4)),ISERROR(--RIGHT(A530,2))),"ERROR: PERIODO debe ser AAAA-MM",IF(B530="","ERROR: falta CODIGO CECO",IF(G530="CECO NO EXISTE","ERROR: CECO no existe en el catálogo",IF(C530="","ERROR: falta CUENTA",IF(ISERROR(--C530),"ERROR: CUENTA debe tener solo dígitos",IF(ISERROR(FIND(LEFT(C530,1),"567")),"ERROR: CUENTA fuera de las clases de costo",IF(NOT(ISNUMBER(E530)),"ERROR: VALOR debe ser numérico",IF(E530=0,"AVISO: valor cero (no se carga)",IF(J530&lt;&gt;"ACTIVO","NO SE CARGA: CECO en estado "&amp;J530,"OK"))))))))))</f>
        <v/>
      </c>
    </row>
    <row r="531">
      <c r="A531" s="5" t="n"/>
      <c r="B531" s="6" t="n"/>
      <c r="C531" s="5" t="n"/>
      <c r="D531" s="6" t="n"/>
      <c r="E531" s="7" t="n"/>
      <c r="F531" s="6" t="n"/>
      <c r="G531" s="8">
        <f>IF(B531="","",IFERROR(VLOOKUP(--B531,'CATALOGO CECO'!$A$2:$H$550,2,FALSE),"CECO NO EXISTE"))</f>
        <v/>
      </c>
      <c r="H531" s="8">
        <f>IF(B531="","",IFERROR(VLOOKUP(--B531,'CATALOGO CECO'!$A$2:$H$550,3,FALSE),""))</f>
        <v/>
      </c>
      <c r="I531" s="8">
        <f>IF(B531="","",IFERROR(VLOOKUP(--B531,'CATALOGO CECO'!$A$2:$H$550,5,FALSE),""))</f>
        <v/>
      </c>
      <c r="J531" s="8">
        <f>IF(B531="","",IFERROR(VLOOKUP(--B531,'CATALOGO CECO'!$A$2:$H$550,8,FALSE),""))</f>
        <v/>
      </c>
      <c r="K531" s="8">
        <f>IF(COUNTA(A531:F531)=0,"",IF(OR(LEN(A531)&lt;&gt;7,MID(A531,5,1)&lt;&gt;"-",ISERROR(--LEFT(A531,4)),ISERROR(--RIGHT(A531,2))),"ERROR: PERIODO debe ser AAAA-MM",IF(B531="","ERROR: falta CODIGO CECO",IF(G531="CECO NO EXISTE","ERROR: CECO no existe en el catálogo",IF(C531="","ERROR: falta CUENTA",IF(ISERROR(--C531),"ERROR: CUENTA debe tener solo dígitos",IF(ISERROR(FIND(LEFT(C531,1),"567")),"ERROR: CUENTA fuera de las clases de costo",IF(NOT(ISNUMBER(E531)),"ERROR: VALOR debe ser numérico",IF(E531=0,"AVISO: valor cero (no se carga)",IF(J531&lt;&gt;"ACTIVO","NO SE CARGA: CECO en estado "&amp;J531,"OK"))))))))))</f>
        <v/>
      </c>
    </row>
    <row r="532">
      <c r="A532" s="5" t="n"/>
      <c r="B532" s="6" t="n"/>
      <c r="C532" s="5" t="n"/>
      <c r="D532" s="6" t="n"/>
      <c r="E532" s="7" t="n"/>
      <c r="F532" s="6" t="n"/>
      <c r="G532" s="8">
        <f>IF(B532="","",IFERROR(VLOOKUP(--B532,'CATALOGO CECO'!$A$2:$H$550,2,FALSE),"CECO NO EXISTE"))</f>
        <v/>
      </c>
      <c r="H532" s="8">
        <f>IF(B532="","",IFERROR(VLOOKUP(--B532,'CATALOGO CECO'!$A$2:$H$550,3,FALSE),""))</f>
        <v/>
      </c>
      <c r="I532" s="8">
        <f>IF(B532="","",IFERROR(VLOOKUP(--B532,'CATALOGO CECO'!$A$2:$H$550,5,FALSE),""))</f>
        <v/>
      </c>
      <c r="J532" s="8">
        <f>IF(B532="","",IFERROR(VLOOKUP(--B532,'CATALOGO CECO'!$A$2:$H$550,8,FALSE),""))</f>
        <v/>
      </c>
      <c r="K532" s="8">
        <f>IF(COUNTA(A532:F532)=0,"",IF(OR(LEN(A532)&lt;&gt;7,MID(A532,5,1)&lt;&gt;"-",ISERROR(--LEFT(A532,4)),ISERROR(--RIGHT(A532,2))),"ERROR: PERIODO debe ser AAAA-MM",IF(B532="","ERROR: falta CODIGO CECO",IF(G532="CECO NO EXISTE","ERROR: CECO no existe en el catálogo",IF(C532="","ERROR: falta CUENTA",IF(ISERROR(--C532),"ERROR: CUENTA debe tener solo dígitos",IF(ISERROR(FIND(LEFT(C532,1),"567")),"ERROR: CUENTA fuera de las clases de costo",IF(NOT(ISNUMBER(E532)),"ERROR: VALOR debe ser numérico",IF(E532=0,"AVISO: valor cero (no se carga)",IF(J532&lt;&gt;"ACTIVO","NO SE CARGA: CECO en estado "&amp;J532,"OK"))))))))))</f>
        <v/>
      </c>
    </row>
    <row r="533">
      <c r="A533" s="5" t="n"/>
      <c r="B533" s="6" t="n"/>
      <c r="C533" s="5" t="n"/>
      <c r="D533" s="6" t="n"/>
      <c r="E533" s="7" t="n"/>
      <c r="F533" s="6" t="n"/>
      <c r="G533" s="8">
        <f>IF(B533="","",IFERROR(VLOOKUP(--B533,'CATALOGO CECO'!$A$2:$H$550,2,FALSE),"CECO NO EXISTE"))</f>
        <v/>
      </c>
      <c r="H533" s="8">
        <f>IF(B533="","",IFERROR(VLOOKUP(--B533,'CATALOGO CECO'!$A$2:$H$550,3,FALSE),""))</f>
        <v/>
      </c>
      <c r="I533" s="8">
        <f>IF(B533="","",IFERROR(VLOOKUP(--B533,'CATALOGO CECO'!$A$2:$H$550,5,FALSE),""))</f>
        <v/>
      </c>
      <c r="J533" s="8">
        <f>IF(B533="","",IFERROR(VLOOKUP(--B533,'CATALOGO CECO'!$A$2:$H$550,8,FALSE),""))</f>
        <v/>
      </c>
      <c r="K533" s="8">
        <f>IF(COUNTA(A533:F533)=0,"",IF(OR(LEN(A533)&lt;&gt;7,MID(A533,5,1)&lt;&gt;"-",ISERROR(--LEFT(A533,4)),ISERROR(--RIGHT(A533,2))),"ERROR: PERIODO debe ser AAAA-MM",IF(B533="","ERROR: falta CODIGO CECO",IF(G533="CECO NO EXISTE","ERROR: CECO no existe en el catálogo",IF(C533="","ERROR: falta CUENTA",IF(ISERROR(--C533),"ERROR: CUENTA debe tener solo dígitos",IF(ISERROR(FIND(LEFT(C533,1),"567")),"ERROR: CUENTA fuera de las clases de costo",IF(NOT(ISNUMBER(E533)),"ERROR: VALOR debe ser numérico",IF(E533=0,"AVISO: valor cero (no se carga)",IF(J533&lt;&gt;"ACTIVO","NO SE CARGA: CECO en estado "&amp;J533,"OK"))))))))))</f>
        <v/>
      </c>
    </row>
    <row r="534">
      <c r="A534" s="5" t="n"/>
      <c r="B534" s="6" t="n"/>
      <c r="C534" s="5" t="n"/>
      <c r="D534" s="6" t="n"/>
      <c r="E534" s="7" t="n"/>
      <c r="F534" s="6" t="n"/>
      <c r="G534" s="8">
        <f>IF(B534="","",IFERROR(VLOOKUP(--B534,'CATALOGO CECO'!$A$2:$H$550,2,FALSE),"CECO NO EXISTE"))</f>
        <v/>
      </c>
      <c r="H534" s="8">
        <f>IF(B534="","",IFERROR(VLOOKUP(--B534,'CATALOGO CECO'!$A$2:$H$550,3,FALSE),""))</f>
        <v/>
      </c>
      <c r="I534" s="8">
        <f>IF(B534="","",IFERROR(VLOOKUP(--B534,'CATALOGO CECO'!$A$2:$H$550,5,FALSE),""))</f>
        <v/>
      </c>
      <c r="J534" s="8">
        <f>IF(B534="","",IFERROR(VLOOKUP(--B534,'CATALOGO CECO'!$A$2:$H$550,8,FALSE),""))</f>
        <v/>
      </c>
      <c r="K534" s="8">
        <f>IF(COUNTA(A534:F534)=0,"",IF(OR(LEN(A534)&lt;&gt;7,MID(A534,5,1)&lt;&gt;"-",ISERROR(--LEFT(A534,4)),ISERROR(--RIGHT(A534,2))),"ERROR: PERIODO debe ser AAAA-MM",IF(B534="","ERROR: falta CODIGO CECO",IF(G534="CECO NO EXISTE","ERROR: CECO no existe en el catálogo",IF(C534="","ERROR: falta CUENTA",IF(ISERROR(--C534),"ERROR: CUENTA debe tener solo dígitos",IF(ISERROR(FIND(LEFT(C534,1),"567")),"ERROR: CUENTA fuera de las clases de costo",IF(NOT(ISNUMBER(E534)),"ERROR: VALOR debe ser numérico",IF(E534=0,"AVISO: valor cero (no se carga)",IF(J534&lt;&gt;"ACTIVO","NO SE CARGA: CECO en estado "&amp;J534,"OK"))))))))))</f>
        <v/>
      </c>
    </row>
    <row r="535">
      <c r="A535" s="5" t="n"/>
      <c r="B535" s="6" t="n"/>
      <c r="C535" s="5" t="n"/>
      <c r="D535" s="6" t="n"/>
      <c r="E535" s="7" t="n"/>
      <c r="F535" s="6" t="n"/>
      <c r="G535" s="8">
        <f>IF(B535="","",IFERROR(VLOOKUP(--B535,'CATALOGO CECO'!$A$2:$H$550,2,FALSE),"CECO NO EXISTE"))</f>
        <v/>
      </c>
      <c r="H535" s="8">
        <f>IF(B535="","",IFERROR(VLOOKUP(--B535,'CATALOGO CECO'!$A$2:$H$550,3,FALSE),""))</f>
        <v/>
      </c>
      <c r="I535" s="8">
        <f>IF(B535="","",IFERROR(VLOOKUP(--B535,'CATALOGO CECO'!$A$2:$H$550,5,FALSE),""))</f>
        <v/>
      </c>
      <c r="J535" s="8">
        <f>IF(B535="","",IFERROR(VLOOKUP(--B535,'CATALOGO CECO'!$A$2:$H$550,8,FALSE),""))</f>
        <v/>
      </c>
      <c r="K535" s="8">
        <f>IF(COUNTA(A535:F535)=0,"",IF(OR(LEN(A535)&lt;&gt;7,MID(A535,5,1)&lt;&gt;"-",ISERROR(--LEFT(A535,4)),ISERROR(--RIGHT(A535,2))),"ERROR: PERIODO debe ser AAAA-MM",IF(B535="","ERROR: falta CODIGO CECO",IF(G535="CECO NO EXISTE","ERROR: CECO no existe en el catálogo",IF(C535="","ERROR: falta CUENTA",IF(ISERROR(--C535),"ERROR: CUENTA debe tener solo dígitos",IF(ISERROR(FIND(LEFT(C535,1),"567")),"ERROR: CUENTA fuera de las clases de costo",IF(NOT(ISNUMBER(E535)),"ERROR: VALOR debe ser numérico",IF(E535=0,"AVISO: valor cero (no se carga)",IF(J535&lt;&gt;"ACTIVO","NO SE CARGA: CECO en estado "&amp;J535,"OK"))))))))))</f>
        <v/>
      </c>
    </row>
    <row r="536">
      <c r="A536" s="5" t="n"/>
      <c r="B536" s="6" t="n"/>
      <c r="C536" s="5" t="n"/>
      <c r="D536" s="6" t="n"/>
      <c r="E536" s="7" t="n"/>
      <c r="F536" s="6" t="n"/>
      <c r="G536" s="8">
        <f>IF(B536="","",IFERROR(VLOOKUP(--B536,'CATALOGO CECO'!$A$2:$H$550,2,FALSE),"CECO NO EXISTE"))</f>
        <v/>
      </c>
      <c r="H536" s="8">
        <f>IF(B536="","",IFERROR(VLOOKUP(--B536,'CATALOGO CECO'!$A$2:$H$550,3,FALSE),""))</f>
        <v/>
      </c>
      <c r="I536" s="8">
        <f>IF(B536="","",IFERROR(VLOOKUP(--B536,'CATALOGO CECO'!$A$2:$H$550,5,FALSE),""))</f>
        <v/>
      </c>
      <c r="J536" s="8">
        <f>IF(B536="","",IFERROR(VLOOKUP(--B536,'CATALOGO CECO'!$A$2:$H$550,8,FALSE),""))</f>
        <v/>
      </c>
      <c r="K536" s="8">
        <f>IF(COUNTA(A536:F536)=0,"",IF(OR(LEN(A536)&lt;&gt;7,MID(A536,5,1)&lt;&gt;"-",ISERROR(--LEFT(A536,4)),ISERROR(--RIGHT(A536,2))),"ERROR: PERIODO debe ser AAAA-MM",IF(B536="","ERROR: falta CODIGO CECO",IF(G536="CECO NO EXISTE","ERROR: CECO no existe en el catálogo",IF(C536="","ERROR: falta CUENTA",IF(ISERROR(--C536),"ERROR: CUENTA debe tener solo dígitos",IF(ISERROR(FIND(LEFT(C536,1),"567")),"ERROR: CUENTA fuera de las clases de costo",IF(NOT(ISNUMBER(E536)),"ERROR: VALOR debe ser numérico",IF(E536=0,"AVISO: valor cero (no se carga)",IF(J536&lt;&gt;"ACTIVO","NO SE CARGA: CECO en estado "&amp;J536,"OK"))))))))))</f>
        <v/>
      </c>
    </row>
    <row r="537">
      <c r="A537" s="5" t="n"/>
      <c r="B537" s="6" t="n"/>
      <c r="C537" s="5" t="n"/>
      <c r="D537" s="6" t="n"/>
      <c r="E537" s="7" t="n"/>
      <c r="F537" s="6" t="n"/>
      <c r="G537" s="8">
        <f>IF(B537="","",IFERROR(VLOOKUP(--B537,'CATALOGO CECO'!$A$2:$H$550,2,FALSE),"CECO NO EXISTE"))</f>
        <v/>
      </c>
      <c r="H537" s="8">
        <f>IF(B537="","",IFERROR(VLOOKUP(--B537,'CATALOGO CECO'!$A$2:$H$550,3,FALSE),""))</f>
        <v/>
      </c>
      <c r="I537" s="8">
        <f>IF(B537="","",IFERROR(VLOOKUP(--B537,'CATALOGO CECO'!$A$2:$H$550,5,FALSE),""))</f>
        <v/>
      </c>
      <c r="J537" s="8">
        <f>IF(B537="","",IFERROR(VLOOKUP(--B537,'CATALOGO CECO'!$A$2:$H$550,8,FALSE),""))</f>
        <v/>
      </c>
      <c r="K537" s="8">
        <f>IF(COUNTA(A537:F537)=0,"",IF(OR(LEN(A537)&lt;&gt;7,MID(A537,5,1)&lt;&gt;"-",ISERROR(--LEFT(A537,4)),ISERROR(--RIGHT(A537,2))),"ERROR: PERIODO debe ser AAAA-MM",IF(B537="","ERROR: falta CODIGO CECO",IF(G537="CECO NO EXISTE","ERROR: CECO no existe en el catálogo",IF(C537="","ERROR: falta CUENTA",IF(ISERROR(--C537),"ERROR: CUENTA debe tener solo dígitos",IF(ISERROR(FIND(LEFT(C537,1),"567")),"ERROR: CUENTA fuera de las clases de costo",IF(NOT(ISNUMBER(E537)),"ERROR: VALOR debe ser numérico",IF(E537=0,"AVISO: valor cero (no se carga)",IF(J537&lt;&gt;"ACTIVO","NO SE CARGA: CECO en estado "&amp;J537,"OK"))))))))))</f>
        <v/>
      </c>
    </row>
    <row r="538">
      <c r="A538" s="5" t="n"/>
      <c r="B538" s="6" t="n"/>
      <c r="C538" s="5" t="n"/>
      <c r="D538" s="6" t="n"/>
      <c r="E538" s="7" t="n"/>
      <c r="F538" s="6" t="n"/>
      <c r="G538" s="8">
        <f>IF(B538="","",IFERROR(VLOOKUP(--B538,'CATALOGO CECO'!$A$2:$H$550,2,FALSE),"CECO NO EXISTE"))</f>
        <v/>
      </c>
      <c r="H538" s="8">
        <f>IF(B538="","",IFERROR(VLOOKUP(--B538,'CATALOGO CECO'!$A$2:$H$550,3,FALSE),""))</f>
        <v/>
      </c>
      <c r="I538" s="8">
        <f>IF(B538="","",IFERROR(VLOOKUP(--B538,'CATALOGO CECO'!$A$2:$H$550,5,FALSE),""))</f>
        <v/>
      </c>
      <c r="J538" s="8">
        <f>IF(B538="","",IFERROR(VLOOKUP(--B538,'CATALOGO CECO'!$A$2:$H$550,8,FALSE),""))</f>
        <v/>
      </c>
      <c r="K538" s="8">
        <f>IF(COUNTA(A538:F538)=0,"",IF(OR(LEN(A538)&lt;&gt;7,MID(A538,5,1)&lt;&gt;"-",ISERROR(--LEFT(A538,4)),ISERROR(--RIGHT(A538,2))),"ERROR: PERIODO debe ser AAAA-MM",IF(B538="","ERROR: falta CODIGO CECO",IF(G538="CECO NO EXISTE","ERROR: CECO no existe en el catálogo",IF(C538="","ERROR: falta CUENTA",IF(ISERROR(--C538),"ERROR: CUENTA debe tener solo dígitos",IF(ISERROR(FIND(LEFT(C538,1),"567")),"ERROR: CUENTA fuera de las clases de costo",IF(NOT(ISNUMBER(E538)),"ERROR: VALOR debe ser numérico",IF(E538=0,"AVISO: valor cero (no se carga)",IF(J538&lt;&gt;"ACTIVO","NO SE CARGA: CECO en estado "&amp;J538,"OK"))))))))))</f>
        <v/>
      </c>
    </row>
    <row r="539">
      <c r="A539" s="5" t="n"/>
      <c r="B539" s="6" t="n"/>
      <c r="C539" s="5" t="n"/>
      <c r="D539" s="6" t="n"/>
      <c r="E539" s="7" t="n"/>
      <c r="F539" s="6" t="n"/>
      <c r="G539" s="8">
        <f>IF(B539="","",IFERROR(VLOOKUP(--B539,'CATALOGO CECO'!$A$2:$H$550,2,FALSE),"CECO NO EXISTE"))</f>
        <v/>
      </c>
      <c r="H539" s="8">
        <f>IF(B539="","",IFERROR(VLOOKUP(--B539,'CATALOGO CECO'!$A$2:$H$550,3,FALSE),""))</f>
        <v/>
      </c>
      <c r="I539" s="8">
        <f>IF(B539="","",IFERROR(VLOOKUP(--B539,'CATALOGO CECO'!$A$2:$H$550,5,FALSE),""))</f>
        <v/>
      </c>
      <c r="J539" s="8">
        <f>IF(B539="","",IFERROR(VLOOKUP(--B539,'CATALOGO CECO'!$A$2:$H$550,8,FALSE),""))</f>
        <v/>
      </c>
      <c r="K539" s="8">
        <f>IF(COUNTA(A539:F539)=0,"",IF(OR(LEN(A539)&lt;&gt;7,MID(A539,5,1)&lt;&gt;"-",ISERROR(--LEFT(A539,4)),ISERROR(--RIGHT(A539,2))),"ERROR: PERIODO debe ser AAAA-MM",IF(B539="","ERROR: falta CODIGO CECO",IF(G539="CECO NO EXISTE","ERROR: CECO no existe en el catálogo",IF(C539="","ERROR: falta CUENTA",IF(ISERROR(--C539),"ERROR: CUENTA debe tener solo dígitos",IF(ISERROR(FIND(LEFT(C539,1),"567")),"ERROR: CUENTA fuera de las clases de costo",IF(NOT(ISNUMBER(E539)),"ERROR: VALOR debe ser numérico",IF(E539=0,"AVISO: valor cero (no se carga)",IF(J539&lt;&gt;"ACTIVO","NO SE CARGA: CECO en estado "&amp;J539,"OK"))))))))))</f>
        <v/>
      </c>
    </row>
    <row r="540">
      <c r="A540" s="5" t="n"/>
      <c r="B540" s="6" t="n"/>
      <c r="C540" s="5" t="n"/>
      <c r="D540" s="6" t="n"/>
      <c r="E540" s="7" t="n"/>
      <c r="F540" s="6" t="n"/>
      <c r="G540" s="8">
        <f>IF(B540="","",IFERROR(VLOOKUP(--B540,'CATALOGO CECO'!$A$2:$H$550,2,FALSE),"CECO NO EXISTE"))</f>
        <v/>
      </c>
      <c r="H540" s="8">
        <f>IF(B540="","",IFERROR(VLOOKUP(--B540,'CATALOGO CECO'!$A$2:$H$550,3,FALSE),""))</f>
        <v/>
      </c>
      <c r="I540" s="8">
        <f>IF(B540="","",IFERROR(VLOOKUP(--B540,'CATALOGO CECO'!$A$2:$H$550,5,FALSE),""))</f>
        <v/>
      </c>
      <c r="J540" s="8">
        <f>IF(B540="","",IFERROR(VLOOKUP(--B540,'CATALOGO CECO'!$A$2:$H$550,8,FALSE),""))</f>
        <v/>
      </c>
      <c r="K540" s="8">
        <f>IF(COUNTA(A540:F540)=0,"",IF(OR(LEN(A540)&lt;&gt;7,MID(A540,5,1)&lt;&gt;"-",ISERROR(--LEFT(A540,4)),ISERROR(--RIGHT(A540,2))),"ERROR: PERIODO debe ser AAAA-MM",IF(B540="","ERROR: falta CODIGO CECO",IF(G540="CECO NO EXISTE","ERROR: CECO no existe en el catálogo",IF(C540="","ERROR: falta CUENTA",IF(ISERROR(--C540),"ERROR: CUENTA debe tener solo dígitos",IF(ISERROR(FIND(LEFT(C540,1),"567")),"ERROR: CUENTA fuera de las clases de costo",IF(NOT(ISNUMBER(E540)),"ERROR: VALOR debe ser numérico",IF(E540=0,"AVISO: valor cero (no se carga)",IF(J540&lt;&gt;"ACTIVO","NO SE CARGA: CECO en estado "&amp;J540,"OK"))))))))))</f>
        <v/>
      </c>
    </row>
    <row r="541">
      <c r="A541" s="5" t="n"/>
      <c r="B541" s="6" t="n"/>
      <c r="C541" s="5" t="n"/>
      <c r="D541" s="6" t="n"/>
      <c r="E541" s="7" t="n"/>
      <c r="F541" s="6" t="n"/>
      <c r="G541" s="8">
        <f>IF(B541="","",IFERROR(VLOOKUP(--B541,'CATALOGO CECO'!$A$2:$H$550,2,FALSE),"CECO NO EXISTE"))</f>
        <v/>
      </c>
      <c r="H541" s="8">
        <f>IF(B541="","",IFERROR(VLOOKUP(--B541,'CATALOGO CECO'!$A$2:$H$550,3,FALSE),""))</f>
        <v/>
      </c>
      <c r="I541" s="8">
        <f>IF(B541="","",IFERROR(VLOOKUP(--B541,'CATALOGO CECO'!$A$2:$H$550,5,FALSE),""))</f>
        <v/>
      </c>
      <c r="J541" s="8">
        <f>IF(B541="","",IFERROR(VLOOKUP(--B541,'CATALOGO CECO'!$A$2:$H$550,8,FALSE),""))</f>
        <v/>
      </c>
      <c r="K541" s="8">
        <f>IF(COUNTA(A541:F541)=0,"",IF(OR(LEN(A541)&lt;&gt;7,MID(A541,5,1)&lt;&gt;"-",ISERROR(--LEFT(A541,4)),ISERROR(--RIGHT(A541,2))),"ERROR: PERIODO debe ser AAAA-MM",IF(B541="","ERROR: falta CODIGO CECO",IF(G541="CECO NO EXISTE","ERROR: CECO no existe en el catálogo",IF(C541="","ERROR: falta CUENTA",IF(ISERROR(--C541),"ERROR: CUENTA debe tener solo dígitos",IF(ISERROR(FIND(LEFT(C541,1),"567")),"ERROR: CUENTA fuera de las clases de costo",IF(NOT(ISNUMBER(E541)),"ERROR: VALOR debe ser numérico",IF(E541=0,"AVISO: valor cero (no se carga)",IF(J541&lt;&gt;"ACTIVO","NO SE CARGA: CECO en estado "&amp;J541,"OK"))))))))))</f>
        <v/>
      </c>
    </row>
    <row r="542">
      <c r="A542" s="5" t="n"/>
      <c r="B542" s="6" t="n"/>
      <c r="C542" s="5" t="n"/>
      <c r="D542" s="6" t="n"/>
      <c r="E542" s="7" t="n"/>
      <c r="F542" s="6" t="n"/>
      <c r="G542" s="8">
        <f>IF(B542="","",IFERROR(VLOOKUP(--B542,'CATALOGO CECO'!$A$2:$H$550,2,FALSE),"CECO NO EXISTE"))</f>
        <v/>
      </c>
      <c r="H542" s="8">
        <f>IF(B542="","",IFERROR(VLOOKUP(--B542,'CATALOGO CECO'!$A$2:$H$550,3,FALSE),""))</f>
        <v/>
      </c>
      <c r="I542" s="8">
        <f>IF(B542="","",IFERROR(VLOOKUP(--B542,'CATALOGO CECO'!$A$2:$H$550,5,FALSE),""))</f>
        <v/>
      </c>
      <c r="J542" s="8">
        <f>IF(B542="","",IFERROR(VLOOKUP(--B542,'CATALOGO CECO'!$A$2:$H$550,8,FALSE),""))</f>
        <v/>
      </c>
      <c r="K542" s="8">
        <f>IF(COUNTA(A542:F542)=0,"",IF(OR(LEN(A542)&lt;&gt;7,MID(A542,5,1)&lt;&gt;"-",ISERROR(--LEFT(A542,4)),ISERROR(--RIGHT(A542,2))),"ERROR: PERIODO debe ser AAAA-MM",IF(B542="","ERROR: falta CODIGO CECO",IF(G542="CECO NO EXISTE","ERROR: CECO no existe en el catálogo",IF(C542="","ERROR: falta CUENTA",IF(ISERROR(--C542),"ERROR: CUENTA debe tener solo dígitos",IF(ISERROR(FIND(LEFT(C542,1),"567")),"ERROR: CUENTA fuera de las clases de costo",IF(NOT(ISNUMBER(E542)),"ERROR: VALOR debe ser numérico",IF(E542=0,"AVISO: valor cero (no se carga)",IF(J542&lt;&gt;"ACTIVO","NO SE CARGA: CECO en estado "&amp;J542,"OK"))))))))))</f>
        <v/>
      </c>
    </row>
    <row r="543">
      <c r="A543" s="5" t="n"/>
      <c r="B543" s="6" t="n"/>
      <c r="C543" s="5" t="n"/>
      <c r="D543" s="6" t="n"/>
      <c r="E543" s="7" t="n"/>
      <c r="F543" s="6" t="n"/>
      <c r="G543" s="8">
        <f>IF(B543="","",IFERROR(VLOOKUP(--B543,'CATALOGO CECO'!$A$2:$H$550,2,FALSE),"CECO NO EXISTE"))</f>
        <v/>
      </c>
      <c r="H543" s="8">
        <f>IF(B543="","",IFERROR(VLOOKUP(--B543,'CATALOGO CECO'!$A$2:$H$550,3,FALSE),""))</f>
        <v/>
      </c>
      <c r="I543" s="8">
        <f>IF(B543="","",IFERROR(VLOOKUP(--B543,'CATALOGO CECO'!$A$2:$H$550,5,FALSE),""))</f>
        <v/>
      </c>
      <c r="J543" s="8">
        <f>IF(B543="","",IFERROR(VLOOKUP(--B543,'CATALOGO CECO'!$A$2:$H$550,8,FALSE),""))</f>
        <v/>
      </c>
      <c r="K543" s="8">
        <f>IF(COUNTA(A543:F543)=0,"",IF(OR(LEN(A543)&lt;&gt;7,MID(A543,5,1)&lt;&gt;"-",ISERROR(--LEFT(A543,4)),ISERROR(--RIGHT(A543,2))),"ERROR: PERIODO debe ser AAAA-MM",IF(B543="","ERROR: falta CODIGO CECO",IF(G543="CECO NO EXISTE","ERROR: CECO no existe en el catálogo",IF(C543="","ERROR: falta CUENTA",IF(ISERROR(--C543),"ERROR: CUENTA debe tener solo dígitos",IF(ISERROR(FIND(LEFT(C543,1),"567")),"ERROR: CUENTA fuera de las clases de costo",IF(NOT(ISNUMBER(E543)),"ERROR: VALOR debe ser numérico",IF(E543=0,"AVISO: valor cero (no se carga)",IF(J543&lt;&gt;"ACTIVO","NO SE CARGA: CECO en estado "&amp;J543,"OK"))))))))))</f>
        <v/>
      </c>
    </row>
    <row r="544">
      <c r="A544" s="5" t="n"/>
      <c r="B544" s="6" t="n"/>
      <c r="C544" s="5" t="n"/>
      <c r="D544" s="6" t="n"/>
      <c r="E544" s="7" t="n"/>
      <c r="F544" s="6" t="n"/>
      <c r="G544" s="8">
        <f>IF(B544="","",IFERROR(VLOOKUP(--B544,'CATALOGO CECO'!$A$2:$H$550,2,FALSE),"CECO NO EXISTE"))</f>
        <v/>
      </c>
      <c r="H544" s="8">
        <f>IF(B544="","",IFERROR(VLOOKUP(--B544,'CATALOGO CECO'!$A$2:$H$550,3,FALSE),""))</f>
        <v/>
      </c>
      <c r="I544" s="8">
        <f>IF(B544="","",IFERROR(VLOOKUP(--B544,'CATALOGO CECO'!$A$2:$H$550,5,FALSE),""))</f>
        <v/>
      </c>
      <c r="J544" s="8">
        <f>IF(B544="","",IFERROR(VLOOKUP(--B544,'CATALOGO CECO'!$A$2:$H$550,8,FALSE),""))</f>
        <v/>
      </c>
      <c r="K544" s="8">
        <f>IF(COUNTA(A544:F544)=0,"",IF(OR(LEN(A544)&lt;&gt;7,MID(A544,5,1)&lt;&gt;"-",ISERROR(--LEFT(A544,4)),ISERROR(--RIGHT(A544,2))),"ERROR: PERIODO debe ser AAAA-MM",IF(B544="","ERROR: falta CODIGO CECO",IF(G544="CECO NO EXISTE","ERROR: CECO no existe en el catálogo",IF(C544="","ERROR: falta CUENTA",IF(ISERROR(--C544),"ERROR: CUENTA debe tener solo dígitos",IF(ISERROR(FIND(LEFT(C544,1),"567")),"ERROR: CUENTA fuera de las clases de costo",IF(NOT(ISNUMBER(E544)),"ERROR: VALOR debe ser numérico",IF(E544=0,"AVISO: valor cero (no se carga)",IF(J544&lt;&gt;"ACTIVO","NO SE CARGA: CECO en estado "&amp;J544,"OK"))))))))))</f>
        <v/>
      </c>
    </row>
    <row r="545">
      <c r="A545" s="5" t="n"/>
      <c r="B545" s="6" t="n"/>
      <c r="C545" s="5" t="n"/>
      <c r="D545" s="6" t="n"/>
      <c r="E545" s="7" t="n"/>
      <c r="F545" s="6" t="n"/>
      <c r="G545" s="8">
        <f>IF(B545="","",IFERROR(VLOOKUP(--B545,'CATALOGO CECO'!$A$2:$H$550,2,FALSE),"CECO NO EXISTE"))</f>
        <v/>
      </c>
      <c r="H545" s="8">
        <f>IF(B545="","",IFERROR(VLOOKUP(--B545,'CATALOGO CECO'!$A$2:$H$550,3,FALSE),""))</f>
        <v/>
      </c>
      <c r="I545" s="8">
        <f>IF(B545="","",IFERROR(VLOOKUP(--B545,'CATALOGO CECO'!$A$2:$H$550,5,FALSE),""))</f>
        <v/>
      </c>
      <c r="J545" s="8">
        <f>IF(B545="","",IFERROR(VLOOKUP(--B545,'CATALOGO CECO'!$A$2:$H$550,8,FALSE),""))</f>
        <v/>
      </c>
      <c r="K545" s="8">
        <f>IF(COUNTA(A545:F545)=0,"",IF(OR(LEN(A545)&lt;&gt;7,MID(A545,5,1)&lt;&gt;"-",ISERROR(--LEFT(A545,4)),ISERROR(--RIGHT(A545,2))),"ERROR: PERIODO debe ser AAAA-MM",IF(B545="","ERROR: falta CODIGO CECO",IF(G545="CECO NO EXISTE","ERROR: CECO no existe en el catálogo",IF(C545="","ERROR: falta CUENTA",IF(ISERROR(--C545),"ERROR: CUENTA debe tener solo dígitos",IF(ISERROR(FIND(LEFT(C545,1),"567")),"ERROR: CUENTA fuera de las clases de costo",IF(NOT(ISNUMBER(E545)),"ERROR: VALOR debe ser numérico",IF(E545=0,"AVISO: valor cero (no se carga)",IF(J545&lt;&gt;"ACTIVO","NO SE CARGA: CECO en estado "&amp;J545,"OK"))))))))))</f>
        <v/>
      </c>
    </row>
    <row r="546">
      <c r="A546" s="5" t="n"/>
      <c r="B546" s="6" t="n"/>
      <c r="C546" s="5" t="n"/>
      <c r="D546" s="6" t="n"/>
      <c r="E546" s="7" t="n"/>
      <c r="F546" s="6" t="n"/>
      <c r="G546" s="8">
        <f>IF(B546="","",IFERROR(VLOOKUP(--B546,'CATALOGO CECO'!$A$2:$H$550,2,FALSE),"CECO NO EXISTE"))</f>
        <v/>
      </c>
      <c r="H546" s="8">
        <f>IF(B546="","",IFERROR(VLOOKUP(--B546,'CATALOGO CECO'!$A$2:$H$550,3,FALSE),""))</f>
        <v/>
      </c>
      <c r="I546" s="8">
        <f>IF(B546="","",IFERROR(VLOOKUP(--B546,'CATALOGO CECO'!$A$2:$H$550,5,FALSE),""))</f>
        <v/>
      </c>
      <c r="J546" s="8">
        <f>IF(B546="","",IFERROR(VLOOKUP(--B546,'CATALOGO CECO'!$A$2:$H$550,8,FALSE),""))</f>
        <v/>
      </c>
      <c r="K546" s="8">
        <f>IF(COUNTA(A546:F546)=0,"",IF(OR(LEN(A546)&lt;&gt;7,MID(A546,5,1)&lt;&gt;"-",ISERROR(--LEFT(A546,4)),ISERROR(--RIGHT(A546,2))),"ERROR: PERIODO debe ser AAAA-MM",IF(B546="","ERROR: falta CODIGO CECO",IF(G546="CECO NO EXISTE","ERROR: CECO no existe en el catálogo",IF(C546="","ERROR: falta CUENTA",IF(ISERROR(--C546),"ERROR: CUENTA debe tener solo dígitos",IF(ISERROR(FIND(LEFT(C546,1),"567")),"ERROR: CUENTA fuera de las clases de costo",IF(NOT(ISNUMBER(E546)),"ERROR: VALOR debe ser numérico",IF(E546=0,"AVISO: valor cero (no se carga)",IF(J546&lt;&gt;"ACTIVO","NO SE CARGA: CECO en estado "&amp;J546,"OK"))))))))))</f>
        <v/>
      </c>
    </row>
    <row r="547">
      <c r="A547" s="5" t="n"/>
      <c r="B547" s="6" t="n"/>
      <c r="C547" s="5" t="n"/>
      <c r="D547" s="6" t="n"/>
      <c r="E547" s="7" t="n"/>
      <c r="F547" s="6" t="n"/>
      <c r="G547" s="8">
        <f>IF(B547="","",IFERROR(VLOOKUP(--B547,'CATALOGO CECO'!$A$2:$H$550,2,FALSE),"CECO NO EXISTE"))</f>
        <v/>
      </c>
      <c r="H547" s="8">
        <f>IF(B547="","",IFERROR(VLOOKUP(--B547,'CATALOGO CECO'!$A$2:$H$550,3,FALSE),""))</f>
        <v/>
      </c>
      <c r="I547" s="8">
        <f>IF(B547="","",IFERROR(VLOOKUP(--B547,'CATALOGO CECO'!$A$2:$H$550,5,FALSE),""))</f>
        <v/>
      </c>
      <c r="J547" s="8">
        <f>IF(B547="","",IFERROR(VLOOKUP(--B547,'CATALOGO CECO'!$A$2:$H$550,8,FALSE),""))</f>
        <v/>
      </c>
      <c r="K547" s="8">
        <f>IF(COUNTA(A547:F547)=0,"",IF(OR(LEN(A547)&lt;&gt;7,MID(A547,5,1)&lt;&gt;"-",ISERROR(--LEFT(A547,4)),ISERROR(--RIGHT(A547,2))),"ERROR: PERIODO debe ser AAAA-MM",IF(B547="","ERROR: falta CODIGO CECO",IF(G547="CECO NO EXISTE","ERROR: CECO no existe en el catálogo",IF(C547="","ERROR: falta CUENTA",IF(ISERROR(--C547),"ERROR: CUENTA debe tener solo dígitos",IF(ISERROR(FIND(LEFT(C547,1),"567")),"ERROR: CUENTA fuera de las clases de costo",IF(NOT(ISNUMBER(E547)),"ERROR: VALOR debe ser numérico",IF(E547=0,"AVISO: valor cero (no se carga)",IF(J547&lt;&gt;"ACTIVO","NO SE CARGA: CECO en estado "&amp;J547,"OK"))))))))))</f>
        <v/>
      </c>
    </row>
    <row r="548">
      <c r="A548" s="5" t="n"/>
      <c r="B548" s="6" t="n"/>
      <c r="C548" s="5" t="n"/>
      <c r="D548" s="6" t="n"/>
      <c r="E548" s="7" t="n"/>
      <c r="F548" s="6" t="n"/>
      <c r="G548" s="8">
        <f>IF(B548="","",IFERROR(VLOOKUP(--B548,'CATALOGO CECO'!$A$2:$H$550,2,FALSE),"CECO NO EXISTE"))</f>
        <v/>
      </c>
      <c r="H548" s="8">
        <f>IF(B548="","",IFERROR(VLOOKUP(--B548,'CATALOGO CECO'!$A$2:$H$550,3,FALSE),""))</f>
        <v/>
      </c>
      <c r="I548" s="8">
        <f>IF(B548="","",IFERROR(VLOOKUP(--B548,'CATALOGO CECO'!$A$2:$H$550,5,FALSE),""))</f>
        <v/>
      </c>
      <c r="J548" s="8">
        <f>IF(B548="","",IFERROR(VLOOKUP(--B548,'CATALOGO CECO'!$A$2:$H$550,8,FALSE),""))</f>
        <v/>
      </c>
      <c r="K548" s="8">
        <f>IF(COUNTA(A548:F548)=0,"",IF(OR(LEN(A548)&lt;&gt;7,MID(A548,5,1)&lt;&gt;"-",ISERROR(--LEFT(A548,4)),ISERROR(--RIGHT(A548,2))),"ERROR: PERIODO debe ser AAAA-MM",IF(B548="","ERROR: falta CODIGO CECO",IF(G548="CECO NO EXISTE","ERROR: CECO no existe en el catálogo",IF(C548="","ERROR: falta CUENTA",IF(ISERROR(--C548),"ERROR: CUENTA debe tener solo dígitos",IF(ISERROR(FIND(LEFT(C548,1),"567")),"ERROR: CUENTA fuera de las clases de costo",IF(NOT(ISNUMBER(E548)),"ERROR: VALOR debe ser numérico",IF(E548=0,"AVISO: valor cero (no se carga)",IF(J548&lt;&gt;"ACTIVO","NO SE CARGA: CECO en estado "&amp;J548,"OK"))))))))))</f>
        <v/>
      </c>
    </row>
    <row r="549">
      <c r="A549" s="5" t="n"/>
      <c r="B549" s="6" t="n"/>
      <c r="C549" s="5" t="n"/>
      <c r="D549" s="6" t="n"/>
      <c r="E549" s="7" t="n"/>
      <c r="F549" s="6" t="n"/>
      <c r="G549" s="8">
        <f>IF(B549="","",IFERROR(VLOOKUP(--B549,'CATALOGO CECO'!$A$2:$H$550,2,FALSE),"CECO NO EXISTE"))</f>
        <v/>
      </c>
      <c r="H549" s="8">
        <f>IF(B549="","",IFERROR(VLOOKUP(--B549,'CATALOGO CECO'!$A$2:$H$550,3,FALSE),""))</f>
        <v/>
      </c>
      <c r="I549" s="8">
        <f>IF(B549="","",IFERROR(VLOOKUP(--B549,'CATALOGO CECO'!$A$2:$H$550,5,FALSE),""))</f>
        <v/>
      </c>
      <c r="J549" s="8">
        <f>IF(B549="","",IFERROR(VLOOKUP(--B549,'CATALOGO CECO'!$A$2:$H$550,8,FALSE),""))</f>
        <v/>
      </c>
      <c r="K549" s="8">
        <f>IF(COUNTA(A549:F549)=0,"",IF(OR(LEN(A549)&lt;&gt;7,MID(A549,5,1)&lt;&gt;"-",ISERROR(--LEFT(A549,4)),ISERROR(--RIGHT(A549,2))),"ERROR: PERIODO debe ser AAAA-MM",IF(B549="","ERROR: falta CODIGO CECO",IF(G549="CECO NO EXISTE","ERROR: CECO no existe en el catálogo",IF(C549="","ERROR: falta CUENTA",IF(ISERROR(--C549),"ERROR: CUENTA debe tener solo dígitos",IF(ISERROR(FIND(LEFT(C549,1),"567")),"ERROR: CUENTA fuera de las clases de costo",IF(NOT(ISNUMBER(E549)),"ERROR: VALOR debe ser numérico",IF(E549=0,"AVISO: valor cero (no se carga)",IF(J549&lt;&gt;"ACTIVO","NO SE CARGA: CECO en estado "&amp;J549,"OK"))))))))))</f>
        <v/>
      </c>
    </row>
    <row r="550">
      <c r="A550" s="5" t="n"/>
      <c r="B550" s="6" t="n"/>
      <c r="C550" s="5" t="n"/>
      <c r="D550" s="6" t="n"/>
      <c r="E550" s="7" t="n"/>
      <c r="F550" s="6" t="n"/>
      <c r="G550" s="8">
        <f>IF(B550="","",IFERROR(VLOOKUP(--B550,'CATALOGO CECO'!$A$2:$H$550,2,FALSE),"CECO NO EXISTE"))</f>
        <v/>
      </c>
      <c r="H550" s="8">
        <f>IF(B550="","",IFERROR(VLOOKUP(--B550,'CATALOGO CECO'!$A$2:$H$550,3,FALSE),""))</f>
        <v/>
      </c>
      <c r="I550" s="8">
        <f>IF(B550="","",IFERROR(VLOOKUP(--B550,'CATALOGO CECO'!$A$2:$H$550,5,FALSE),""))</f>
        <v/>
      </c>
      <c r="J550" s="8">
        <f>IF(B550="","",IFERROR(VLOOKUP(--B550,'CATALOGO CECO'!$A$2:$H$550,8,FALSE),""))</f>
        <v/>
      </c>
      <c r="K550" s="8">
        <f>IF(COUNTA(A550:F550)=0,"",IF(OR(LEN(A550)&lt;&gt;7,MID(A550,5,1)&lt;&gt;"-",ISERROR(--LEFT(A550,4)),ISERROR(--RIGHT(A550,2))),"ERROR: PERIODO debe ser AAAA-MM",IF(B550="","ERROR: falta CODIGO CECO",IF(G550="CECO NO EXISTE","ERROR: CECO no existe en el catálogo",IF(C550="","ERROR: falta CUENTA",IF(ISERROR(--C550),"ERROR: CUENTA debe tener solo dígitos",IF(ISERROR(FIND(LEFT(C550,1),"567")),"ERROR: CUENTA fuera de las clases de costo",IF(NOT(ISNUMBER(E550)),"ERROR: VALOR debe ser numérico",IF(E550=0,"AVISO: valor cero (no se carga)",IF(J550&lt;&gt;"ACTIVO","NO SE CARGA: CECO en estado "&amp;J550,"OK"))))))))))</f>
        <v/>
      </c>
    </row>
    <row r="551">
      <c r="A551" s="5" t="n"/>
      <c r="B551" s="6" t="n"/>
      <c r="C551" s="5" t="n"/>
      <c r="D551" s="6" t="n"/>
      <c r="E551" s="7" t="n"/>
      <c r="F551" s="6" t="n"/>
      <c r="G551" s="8">
        <f>IF(B551="","",IFERROR(VLOOKUP(--B551,'CATALOGO CECO'!$A$2:$H$550,2,FALSE),"CECO NO EXISTE"))</f>
        <v/>
      </c>
      <c r="H551" s="8">
        <f>IF(B551="","",IFERROR(VLOOKUP(--B551,'CATALOGO CECO'!$A$2:$H$550,3,FALSE),""))</f>
        <v/>
      </c>
      <c r="I551" s="8">
        <f>IF(B551="","",IFERROR(VLOOKUP(--B551,'CATALOGO CECO'!$A$2:$H$550,5,FALSE),""))</f>
        <v/>
      </c>
      <c r="J551" s="8">
        <f>IF(B551="","",IFERROR(VLOOKUP(--B551,'CATALOGO CECO'!$A$2:$H$550,8,FALSE),""))</f>
        <v/>
      </c>
      <c r="K551" s="8">
        <f>IF(COUNTA(A551:F551)=0,"",IF(OR(LEN(A551)&lt;&gt;7,MID(A551,5,1)&lt;&gt;"-",ISERROR(--LEFT(A551,4)),ISERROR(--RIGHT(A551,2))),"ERROR: PERIODO debe ser AAAA-MM",IF(B551="","ERROR: falta CODIGO CECO",IF(G551="CECO NO EXISTE","ERROR: CECO no existe en el catálogo",IF(C551="","ERROR: falta CUENTA",IF(ISERROR(--C551),"ERROR: CUENTA debe tener solo dígitos",IF(ISERROR(FIND(LEFT(C551,1),"567")),"ERROR: CUENTA fuera de las clases de costo",IF(NOT(ISNUMBER(E551)),"ERROR: VALOR debe ser numérico",IF(E551=0,"AVISO: valor cero (no se carga)",IF(J551&lt;&gt;"ACTIVO","NO SE CARGA: CECO en estado "&amp;J551,"OK"))))))))))</f>
        <v/>
      </c>
    </row>
    <row r="552">
      <c r="A552" s="5" t="n"/>
      <c r="B552" s="6" t="n"/>
      <c r="C552" s="5" t="n"/>
      <c r="D552" s="6" t="n"/>
      <c r="E552" s="7" t="n"/>
      <c r="F552" s="6" t="n"/>
      <c r="G552" s="8">
        <f>IF(B552="","",IFERROR(VLOOKUP(--B552,'CATALOGO CECO'!$A$2:$H$550,2,FALSE),"CECO NO EXISTE"))</f>
        <v/>
      </c>
      <c r="H552" s="8">
        <f>IF(B552="","",IFERROR(VLOOKUP(--B552,'CATALOGO CECO'!$A$2:$H$550,3,FALSE),""))</f>
        <v/>
      </c>
      <c r="I552" s="8">
        <f>IF(B552="","",IFERROR(VLOOKUP(--B552,'CATALOGO CECO'!$A$2:$H$550,5,FALSE),""))</f>
        <v/>
      </c>
      <c r="J552" s="8">
        <f>IF(B552="","",IFERROR(VLOOKUP(--B552,'CATALOGO CECO'!$A$2:$H$550,8,FALSE),""))</f>
        <v/>
      </c>
      <c r="K552" s="8">
        <f>IF(COUNTA(A552:F552)=0,"",IF(OR(LEN(A552)&lt;&gt;7,MID(A552,5,1)&lt;&gt;"-",ISERROR(--LEFT(A552,4)),ISERROR(--RIGHT(A552,2))),"ERROR: PERIODO debe ser AAAA-MM",IF(B552="","ERROR: falta CODIGO CECO",IF(G552="CECO NO EXISTE","ERROR: CECO no existe en el catálogo",IF(C552="","ERROR: falta CUENTA",IF(ISERROR(--C552),"ERROR: CUENTA debe tener solo dígitos",IF(ISERROR(FIND(LEFT(C552,1),"567")),"ERROR: CUENTA fuera de las clases de costo",IF(NOT(ISNUMBER(E552)),"ERROR: VALOR debe ser numérico",IF(E552=0,"AVISO: valor cero (no se carga)",IF(J552&lt;&gt;"ACTIVO","NO SE CARGA: CECO en estado "&amp;J552,"OK"))))))))))</f>
        <v/>
      </c>
    </row>
    <row r="553">
      <c r="A553" s="5" t="n"/>
      <c r="B553" s="6" t="n"/>
      <c r="C553" s="5" t="n"/>
      <c r="D553" s="6" t="n"/>
      <c r="E553" s="7" t="n"/>
      <c r="F553" s="6" t="n"/>
      <c r="G553" s="8">
        <f>IF(B553="","",IFERROR(VLOOKUP(--B553,'CATALOGO CECO'!$A$2:$H$550,2,FALSE),"CECO NO EXISTE"))</f>
        <v/>
      </c>
      <c r="H553" s="8">
        <f>IF(B553="","",IFERROR(VLOOKUP(--B553,'CATALOGO CECO'!$A$2:$H$550,3,FALSE),""))</f>
        <v/>
      </c>
      <c r="I553" s="8">
        <f>IF(B553="","",IFERROR(VLOOKUP(--B553,'CATALOGO CECO'!$A$2:$H$550,5,FALSE),""))</f>
        <v/>
      </c>
      <c r="J553" s="8">
        <f>IF(B553="","",IFERROR(VLOOKUP(--B553,'CATALOGO CECO'!$A$2:$H$550,8,FALSE),""))</f>
        <v/>
      </c>
      <c r="K553" s="8">
        <f>IF(COUNTA(A553:F553)=0,"",IF(OR(LEN(A553)&lt;&gt;7,MID(A553,5,1)&lt;&gt;"-",ISERROR(--LEFT(A553,4)),ISERROR(--RIGHT(A553,2))),"ERROR: PERIODO debe ser AAAA-MM",IF(B553="","ERROR: falta CODIGO CECO",IF(G553="CECO NO EXISTE","ERROR: CECO no existe en el catálogo",IF(C553="","ERROR: falta CUENTA",IF(ISERROR(--C553),"ERROR: CUENTA debe tener solo dígitos",IF(ISERROR(FIND(LEFT(C553,1),"567")),"ERROR: CUENTA fuera de las clases de costo",IF(NOT(ISNUMBER(E553)),"ERROR: VALOR debe ser numérico",IF(E553=0,"AVISO: valor cero (no se carga)",IF(J553&lt;&gt;"ACTIVO","NO SE CARGA: CECO en estado "&amp;J553,"OK"))))))))))</f>
        <v/>
      </c>
    </row>
    <row r="554">
      <c r="A554" s="5" t="n"/>
      <c r="B554" s="6" t="n"/>
      <c r="C554" s="5" t="n"/>
      <c r="D554" s="6" t="n"/>
      <c r="E554" s="7" t="n"/>
      <c r="F554" s="6" t="n"/>
      <c r="G554" s="8">
        <f>IF(B554="","",IFERROR(VLOOKUP(--B554,'CATALOGO CECO'!$A$2:$H$550,2,FALSE),"CECO NO EXISTE"))</f>
        <v/>
      </c>
      <c r="H554" s="8">
        <f>IF(B554="","",IFERROR(VLOOKUP(--B554,'CATALOGO CECO'!$A$2:$H$550,3,FALSE),""))</f>
        <v/>
      </c>
      <c r="I554" s="8">
        <f>IF(B554="","",IFERROR(VLOOKUP(--B554,'CATALOGO CECO'!$A$2:$H$550,5,FALSE),""))</f>
        <v/>
      </c>
      <c r="J554" s="8">
        <f>IF(B554="","",IFERROR(VLOOKUP(--B554,'CATALOGO CECO'!$A$2:$H$550,8,FALSE),""))</f>
        <v/>
      </c>
      <c r="K554" s="8">
        <f>IF(COUNTA(A554:F554)=0,"",IF(OR(LEN(A554)&lt;&gt;7,MID(A554,5,1)&lt;&gt;"-",ISERROR(--LEFT(A554,4)),ISERROR(--RIGHT(A554,2))),"ERROR: PERIODO debe ser AAAA-MM",IF(B554="","ERROR: falta CODIGO CECO",IF(G554="CECO NO EXISTE","ERROR: CECO no existe en el catálogo",IF(C554="","ERROR: falta CUENTA",IF(ISERROR(--C554),"ERROR: CUENTA debe tener solo dígitos",IF(ISERROR(FIND(LEFT(C554,1),"567")),"ERROR: CUENTA fuera de las clases de costo",IF(NOT(ISNUMBER(E554)),"ERROR: VALOR debe ser numérico",IF(E554=0,"AVISO: valor cero (no se carga)",IF(J554&lt;&gt;"ACTIVO","NO SE CARGA: CECO en estado "&amp;J554,"OK"))))))))))</f>
        <v/>
      </c>
    </row>
    <row r="555">
      <c r="A555" s="5" t="n"/>
      <c r="B555" s="6" t="n"/>
      <c r="C555" s="5" t="n"/>
      <c r="D555" s="6" t="n"/>
      <c r="E555" s="7" t="n"/>
      <c r="F555" s="6" t="n"/>
      <c r="G555" s="8">
        <f>IF(B555="","",IFERROR(VLOOKUP(--B555,'CATALOGO CECO'!$A$2:$H$550,2,FALSE),"CECO NO EXISTE"))</f>
        <v/>
      </c>
      <c r="H555" s="8">
        <f>IF(B555="","",IFERROR(VLOOKUP(--B555,'CATALOGO CECO'!$A$2:$H$550,3,FALSE),""))</f>
        <v/>
      </c>
      <c r="I555" s="8">
        <f>IF(B555="","",IFERROR(VLOOKUP(--B555,'CATALOGO CECO'!$A$2:$H$550,5,FALSE),""))</f>
        <v/>
      </c>
      <c r="J555" s="8">
        <f>IF(B555="","",IFERROR(VLOOKUP(--B555,'CATALOGO CECO'!$A$2:$H$550,8,FALSE),""))</f>
        <v/>
      </c>
      <c r="K555" s="8">
        <f>IF(COUNTA(A555:F555)=0,"",IF(OR(LEN(A555)&lt;&gt;7,MID(A555,5,1)&lt;&gt;"-",ISERROR(--LEFT(A555,4)),ISERROR(--RIGHT(A555,2))),"ERROR: PERIODO debe ser AAAA-MM",IF(B555="","ERROR: falta CODIGO CECO",IF(G555="CECO NO EXISTE","ERROR: CECO no existe en el catálogo",IF(C555="","ERROR: falta CUENTA",IF(ISERROR(--C555),"ERROR: CUENTA debe tener solo dígitos",IF(ISERROR(FIND(LEFT(C555,1),"567")),"ERROR: CUENTA fuera de las clases de costo",IF(NOT(ISNUMBER(E555)),"ERROR: VALOR debe ser numérico",IF(E555=0,"AVISO: valor cero (no se carga)",IF(J555&lt;&gt;"ACTIVO","NO SE CARGA: CECO en estado "&amp;J555,"OK"))))))))))</f>
        <v/>
      </c>
    </row>
    <row r="556">
      <c r="A556" s="5" t="n"/>
      <c r="B556" s="6" t="n"/>
      <c r="C556" s="5" t="n"/>
      <c r="D556" s="6" t="n"/>
      <c r="E556" s="7" t="n"/>
      <c r="F556" s="6" t="n"/>
      <c r="G556" s="8">
        <f>IF(B556="","",IFERROR(VLOOKUP(--B556,'CATALOGO CECO'!$A$2:$H$550,2,FALSE),"CECO NO EXISTE"))</f>
        <v/>
      </c>
      <c r="H556" s="8">
        <f>IF(B556="","",IFERROR(VLOOKUP(--B556,'CATALOGO CECO'!$A$2:$H$550,3,FALSE),""))</f>
        <v/>
      </c>
      <c r="I556" s="8">
        <f>IF(B556="","",IFERROR(VLOOKUP(--B556,'CATALOGO CECO'!$A$2:$H$550,5,FALSE),""))</f>
        <v/>
      </c>
      <c r="J556" s="8">
        <f>IF(B556="","",IFERROR(VLOOKUP(--B556,'CATALOGO CECO'!$A$2:$H$550,8,FALSE),""))</f>
        <v/>
      </c>
      <c r="K556" s="8">
        <f>IF(COUNTA(A556:F556)=0,"",IF(OR(LEN(A556)&lt;&gt;7,MID(A556,5,1)&lt;&gt;"-",ISERROR(--LEFT(A556,4)),ISERROR(--RIGHT(A556,2))),"ERROR: PERIODO debe ser AAAA-MM",IF(B556="","ERROR: falta CODIGO CECO",IF(G556="CECO NO EXISTE","ERROR: CECO no existe en el catálogo",IF(C556="","ERROR: falta CUENTA",IF(ISERROR(--C556),"ERROR: CUENTA debe tener solo dígitos",IF(ISERROR(FIND(LEFT(C556,1),"567")),"ERROR: CUENTA fuera de las clases de costo",IF(NOT(ISNUMBER(E556)),"ERROR: VALOR debe ser numérico",IF(E556=0,"AVISO: valor cero (no se carga)",IF(J556&lt;&gt;"ACTIVO","NO SE CARGA: CECO en estado "&amp;J556,"OK"))))))))))</f>
        <v/>
      </c>
    </row>
    <row r="557">
      <c r="A557" s="5" t="n"/>
      <c r="B557" s="6" t="n"/>
      <c r="C557" s="5" t="n"/>
      <c r="D557" s="6" t="n"/>
      <c r="E557" s="7" t="n"/>
      <c r="F557" s="6" t="n"/>
      <c r="G557" s="8">
        <f>IF(B557="","",IFERROR(VLOOKUP(--B557,'CATALOGO CECO'!$A$2:$H$550,2,FALSE),"CECO NO EXISTE"))</f>
        <v/>
      </c>
      <c r="H557" s="8">
        <f>IF(B557="","",IFERROR(VLOOKUP(--B557,'CATALOGO CECO'!$A$2:$H$550,3,FALSE),""))</f>
        <v/>
      </c>
      <c r="I557" s="8">
        <f>IF(B557="","",IFERROR(VLOOKUP(--B557,'CATALOGO CECO'!$A$2:$H$550,5,FALSE),""))</f>
        <v/>
      </c>
      <c r="J557" s="8">
        <f>IF(B557="","",IFERROR(VLOOKUP(--B557,'CATALOGO CECO'!$A$2:$H$550,8,FALSE),""))</f>
        <v/>
      </c>
      <c r="K557" s="8">
        <f>IF(COUNTA(A557:F557)=0,"",IF(OR(LEN(A557)&lt;&gt;7,MID(A557,5,1)&lt;&gt;"-",ISERROR(--LEFT(A557,4)),ISERROR(--RIGHT(A557,2))),"ERROR: PERIODO debe ser AAAA-MM",IF(B557="","ERROR: falta CODIGO CECO",IF(G557="CECO NO EXISTE","ERROR: CECO no existe en el catálogo",IF(C557="","ERROR: falta CUENTA",IF(ISERROR(--C557),"ERROR: CUENTA debe tener solo dígitos",IF(ISERROR(FIND(LEFT(C557,1),"567")),"ERROR: CUENTA fuera de las clases de costo",IF(NOT(ISNUMBER(E557)),"ERROR: VALOR debe ser numérico",IF(E557=0,"AVISO: valor cero (no se carga)",IF(J557&lt;&gt;"ACTIVO","NO SE CARGA: CECO en estado "&amp;J557,"OK"))))))))))</f>
        <v/>
      </c>
    </row>
    <row r="558">
      <c r="A558" s="5" t="n"/>
      <c r="B558" s="6" t="n"/>
      <c r="C558" s="5" t="n"/>
      <c r="D558" s="6" t="n"/>
      <c r="E558" s="7" t="n"/>
      <c r="F558" s="6" t="n"/>
      <c r="G558" s="8">
        <f>IF(B558="","",IFERROR(VLOOKUP(--B558,'CATALOGO CECO'!$A$2:$H$550,2,FALSE),"CECO NO EXISTE"))</f>
        <v/>
      </c>
      <c r="H558" s="8">
        <f>IF(B558="","",IFERROR(VLOOKUP(--B558,'CATALOGO CECO'!$A$2:$H$550,3,FALSE),""))</f>
        <v/>
      </c>
      <c r="I558" s="8">
        <f>IF(B558="","",IFERROR(VLOOKUP(--B558,'CATALOGO CECO'!$A$2:$H$550,5,FALSE),""))</f>
        <v/>
      </c>
      <c r="J558" s="8">
        <f>IF(B558="","",IFERROR(VLOOKUP(--B558,'CATALOGO CECO'!$A$2:$H$550,8,FALSE),""))</f>
        <v/>
      </c>
      <c r="K558" s="8">
        <f>IF(COUNTA(A558:F558)=0,"",IF(OR(LEN(A558)&lt;&gt;7,MID(A558,5,1)&lt;&gt;"-",ISERROR(--LEFT(A558,4)),ISERROR(--RIGHT(A558,2))),"ERROR: PERIODO debe ser AAAA-MM",IF(B558="","ERROR: falta CODIGO CECO",IF(G558="CECO NO EXISTE","ERROR: CECO no existe en el catálogo",IF(C558="","ERROR: falta CUENTA",IF(ISERROR(--C558),"ERROR: CUENTA debe tener solo dígitos",IF(ISERROR(FIND(LEFT(C558,1),"567")),"ERROR: CUENTA fuera de las clases de costo",IF(NOT(ISNUMBER(E558)),"ERROR: VALOR debe ser numérico",IF(E558=0,"AVISO: valor cero (no se carga)",IF(J558&lt;&gt;"ACTIVO","NO SE CARGA: CECO en estado "&amp;J558,"OK"))))))))))</f>
        <v/>
      </c>
    </row>
    <row r="559">
      <c r="A559" s="5" t="n"/>
      <c r="B559" s="6" t="n"/>
      <c r="C559" s="5" t="n"/>
      <c r="D559" s="6" t="n"/>
      <c r="E559" s="7" t="n"/>
      <c r="F559" s="6" t="n"/>
      <c r="G559" s="8">
        <f>IF(B559="","",IFERROR(VLOOKUP(--B559,'CATALOGO CECO'!$A$2:$H$550,2,FALSE),"CECO NO EXISTE"))</f>
        <v/>
      </c>
      <c r="H559" s="8">
        <f>IF(B559="","",IFERROR(VLOOKUP(--B559,'CATALOGO CECO'!$A$2:$H$550,3,FALSE),""))</f>
        <v/>
      </c>
      <c r="I559" s="8">
        <f>IF(B559="","",IFERROR(VLOOKUP(--B559,'CATALOGO CECO'!$A$2:$H$550,5,FALSE),""))</f>
        <v/>
      </c>
      <c r="J559" s="8">
        <f>IF(B559="","",IFERROR(VLOOKUP(--B559,'CATALOGO CECO'!$A$2:$H$550,8,FALSE),""))</f>
        <v/>
      </c>
      <c r="K559" s="8">
        <f>IF(COUNTA(A559:F559)=0,"",IF(OR(LEN(A559)&lt;&gt;7,MID(A559,5,1)&lt;&gt;"-",ISERROR(--LEFT(A559,4)),ISERROR(--RIGHT(A559,2))),"ERROR: PERIODO debe ser AAAA-MM",IF(B559="","ERROR: falta CODIGO CECO",IF(G559="CECO NO EXISTE","ERROR: CECO no existe en el catálogo",IF(C559="","ERROR: falta CUENTA",IF(ISERROR(--C559),"ERROR: CUENTA debe tener solo dígitos",IF(ISERROR(FIND(LEFT(C559,1),"567")),"ERROR: CUENTA fuera de las clases de costo",IF(NOT(ISNUMBER(E559)),"ERROR: VALOR debe ser numérico",IF(E559=0,"AVISO: valor cero (no se carga)",IF(J559&lt;&gt;"ACTIVO","NO SE CARGA: CECO en estado "&amp;J559,"OK"))))))))))</f>
        <v/>
      </c>
    </row>
    <row r="560">
      <c r="A560" s="5" t="n"/>
      <c r="B560" s="6" t="n"/>
      <c r="C560" s="5" t="n"/>
      <c r="D560" s="6" t="n"/>
      <c r="E560" s="7" t="n"/>
      <c r="F560" s="6" t="n"/>
      <c r="G560" s="8">
        <f>IF(B560="","",IFERROR(VLOOKUP(--B560,'CATALOGO CECO'!$A$2:$H$550,2,FALSE),"CECO NO EXISTE"))</f>
        <v/>
      </c>
      <c r="H560" s="8">
        <f>IF(B560="","",IFERROR(VLOOKUP(--B560,'CATALOGO CECO'!$A$2:$H$550,3,FALSE),""))</f>
        <v/>
      </c>
      <c r="I560" s="8">
        <f>IF(B560="","",IFERROR(VLOOKUP(--B560,'CATALOGO CECO'!$A$2:$H$550,5,FALSE),""))</f>
        <v/>
      </c>
      <c r="J560" s="8">
        <f>IF(B560="","",IFERROR(VLOOKUP(--B560,'CATALOGO CECO'!$A$2:$H$550,8,FALSE),""))</f>
        <v/>
      </c>
      <c r="K560" s="8">
        <f>IF(COUNTA(A560:F560)=0,"",IF(OR(LEN(A560)&lt;&gt;7,MID(A560,5,1)&lt;&gt;"-",ISERROR(--LEFT(A560,4)),ISERROR(--RIGHT(A560,2))),"ERROR: PERIODO debe ser AAAA-MM",IF(B560="","ERROR: falta CODIGO CECO",IF(G560="CECO NO EXISTE","ERROR: CECO no existe en el catálogo",IF(C560="","ERROR: falta CUENTA",IF(ISERROR(--C560),"ERROR: CUENTA debe tener solo dígitos",IF(ISERROR(FIND(LEFT(C560,1),"567")),"ERROR: CUENTA fuera de las clases de costo",IF(NOT(ISNUMBER(E560)),"ERROR: VALOR debe ser numérico",IF(E560=0,"AVISO: valor cero (no se carga)",IF(J560&lt;&gt;"ACTIVO","NO SE CARGA: CECO en estado "&amp;J560,"OK"))))))))))</f>
        <v/>
      </c>
    </row>
    <row r="561">
      <c r="A561" s="5" t="n"/>
      <c r="B561" s="6" t="n"/>
      <c r="C561" s="5" t="n"/>
      <c r="D561" s="6" t="n"/>
      <c r="E561" s="7" t="n"/>
      <c r="F561" s="6" t="n"/>
      <c r="G561" s="8">
        <f>IF(B561="","",IFERROR(VLOOKUP(--B561,'CATALOGO CECO'!$A$2:$H$550,2,FALSE),"CECO NO EXISTE"))</f>
        <v/>
      </c>
      <c r="H561" s="8">
        <f>IF(B561="","",IFERROR(VLOOKUP(--B561,'CATALOGO CECO'!$A$2:$H$550,3,FALSE),""))</f>
        <v/>
      </c>
      <c r="I561" s="8">
        <f>IF(B561="","",IFERROR(VLOOKUP(--B561,'CATALOGO CECO'!$A$2:$H$550,5,FALSE),""))</f>
        <v/>
      </c>
      <c r="J561" s="8">
        <f>IF(B561="","",IFERROR(VLOOKUP(--B561,'CATALOGO CECO'!$A$2:$H$550,8,FALSE),""))</f>
        <v/>
      </c>
      <c r="K561" s="8">
        <f>IF(COUNTA(A561:F561)=0,"",IF(OR(LEN(A561)&lt;&gt;7,MID(A561,5,1)&lt;&gt;"-",ISERROR(--LEFT(A561,4)),ISERROR(--RIGHT(A561,2))),"ERROR: PERIODO debe ser AAAA-MM",IF(B561="","ERROR: falta CODIGO CECO",IF(G561="CECO NO EXISTE","ERROR: CECO no existe en el catálogo",IF(C561="","ERROR: falta CUENTA",IF(ISERROR(--C561),"ERROR: CUENTA debe tener solo dígitos",IF(ISERROR(FIND(LEFT(C561,1),"567")),"ERROR: CUENTA fuera de las clases de costo",IF(NOT(ISNUMBER(E561)),"ERROR: VALOR debe ser numérico",IF(E561=0,"AVISO: valor cero (no se carga)",IF(J561&lt;&gt;"ACTIVO","NO SE CARGA: CECO en estado "&amp;J561,"OK"))))))))))</f>
        <v/>
      </c>
    </row>
    <row r="562">
      <c r="A562" s="5" t="n"/>
      <c r="B562" s="6" t="n"/>
      <c r="C562" s="5" t="n"/>
      <c r="D562" s="6" t="n"/>
      <c r="E562" s="7" t="n"/>
      <c r="F562" s="6" t="n"/>
      <c r="G562" s="8">
        <f>IF(B562="","",IFERROR(VLOOKUP(--B562,'CATALOGO CECO'!$A$2:$H$550,2,FALSE),"CECO NO EXISTE"))</f>
        <v/>
      </c>
      <c r="H562" s="8">
        <f>IF(B562="","",IFERROR(VLOOKUP(--B562,'CATALOGO CECO'!$A$2:$H$550,3,FALSE),""))</f>
        <v/>
      </c>
      <c r="I562" s="8">
        <f>IF(B562="","",IFERROR(VLOOKUP(--B562,'CATALOGO CECO'!$A$2:$H$550,5,FALSE),""))</f>
        <v/>
      </c>
      <c r="J562" s="8">
        <f>IF(B562="","",IFERROR(VLOOKUP(--B562,'CATALOGO CECO'!$A$2:$H$550,8,FALSE),""))</f>
        <v/>
      </c>
      <c r="K562" s="8">
        <f>IF(COUNTA(A562:F562)=0,"",IF(OR(LEN(A562)&lt;&gt;7,MID(A562,5,1)&lt;&gt;"-",ISERROR(--LEFT(A562,4)),ISERROR(--RIGHT(A562,2))),"ERROR: PERIODO debe ser AAAA-MM",IF(B562="","ERROR: falta CODIGO CECO",IF(G562="CECO NO EXISTE","ERROR: CECO no existe en el catálogo",IF(C562="","ERROR: falta CUENTA",IF(ISERROR(--C562),"ERROR: CUENTA debe tener solo dígitos",IF(ISERROR(FIND(LEFT(C562,1),"567")),"ERROR: CUENTA fuera de las clases de costo",IF(NOT(ISNUMBER(E562)),"ERROR: VALOR debe ser numérico",IF(E562=0,"AVISO: valor cero (no se carga)",IF(J562&lt;&gt;"ACTIVO","NO SE CARGA: CECO en estado "&amp;J562,"OK"))))))))))</f>
        <v/>
      </c>
    </row>
    <row r="563">
      <c r="A563" s="5" t="n"/>
      <c r="B563" s="6" t="n"/>
      <c r="C563" s="5" t="n"/>
      <c r="D563" s="6" t="n"/>
      <c r="E563" s="7" t="n"/>
      <c r="F563" s="6" t="n"/>
      <c r="G563" s="8">
        <f>IF(B563="","",IFERROR(VLOOKUP(--B563,'CATALOGO CECO'!$A$2:$H$550,2,FALSE),"CECO NO EXISTE"))</f>
        <v/>
      </c>
      <c r="H563" s="8">
        <f>IF(B563="","",IFERROR(VLOOKUP(--B563,'CATALOGO CECO'!$A$2:$H$550,3,FALSE),""))</f>
        <v/>
      </c>
      <c r="I563" s="8">
        <f>IF(B563="","",IFERROR(VLOOKUP(--B563,'CATALOGO CECO'!$A$2:$H$550,5,FALSE),""))</f>
        <v/>
      </c>
      <c r="J563" s="8">
        <f>IF(B563="","",IFERROR(VLOOKUP(--B563,'CATALOGO CECO'!$A$2:$H$550,8,FALSE),""))</f>
        <v/>
      </c>
      <c r="K563" s="8">
        <f>IF(COUNTA(A563:F563)=0,"",IF(OR(LEN(A563)&lt;&gt;7,MID(A563,5,1)&lt;&gt;"-",ISERROR(--LEFT(A563,4)),ISERROR(--RIGHT(A563,2))),"ERROR: PERIODO debe ser AAAA-MM",IF(B563="","ERROR: falta CODIGO CECO",IF(G563="CECO NO EXISTE","ERROR: CECO no existe en el catálogo",IF(C563="","ERROR: falta CUENTA",IF(ISERROR(--C563),"ERROR: CUENTA debe tener solo dígitos",IF(ISERROR(FIND(LEFT(C563,1),"567")),"ERROR: CUENTA fuera de las clases de costo",IF(NOT(ISNUMBER(E563)),"ERROR: VALOR debe ser numérico",IF(E563=0,"AVISO: valor cero (no se carga)",IF(J563&lt;&gt;"ACTIVO","NO SE CARGA: CECO en estado "&amp;J563,"OK"))))))))))</f>
        <v/>
      </c>
    </row>
    <row r="564">
      <c r="A564" s="5" t="n"/>
      <c r="B564" s="6" t="n"/>
      <c r="C564" s="5" t="n"/>
      <c r="D564" s="6" t="n"/>
      <c r="E564" s="7" t="n"/>
      <c r="F564" s="6" t="n"/>
      <c r="G564" s="8">
        <f>IF(B564="","",IFERROR(VLOOKUP(--B564,'CATALOGO CECO'!$A$2:$H$550,2,FALSE),"CECO NO EXISTE"))</f>
        <v/>
      </c>
      <c r="H564" s="8">
        <f>IF(B564="","",IFERROR(VLOOKUP(--B564,'CATALOGO CECO'!$A$2:$H$550,3,FALSE),""))</f>
        <v/>
      </c>
      <c r="I564" s="8">
        <f>IF(B564="","",IFERROR(VLOOKUP(--B564,'CATALOGO CECO'!$A$2:$H$550,5,FALSE),""))</f>
        <v/>
      </c>
      <c r="J564" s="8">
        <f>IF(B564="","",IFERROR(VLOOKUP(--B564,'CATALOGO CECO'!$A$2:$H$550,8,FALSE),""))</f>
        <v/>
      </c>
      <c r="K564" s="8">
        <f>IF(COUNTA(A564:F564)=0,"",IF(OR(LEN(A564)&lt;&gt;7,MID(A564,5,1)&lt;&gt;"-",ISERROR(--LEFT(A564,4)),ISERROR(--RIGHT(A564,2))),"ERROR: PERIODO debe ser AAAA-MM",IF(B564="","ERROR: falta CODIGO CECO",IF(G564="CECO NO EXISTE","ERROR: CECO no existe en el catálogo",IF(C564="","ERROR: falta CUENTA",IF(ISERROR(--C564),"ERROR: CUENTA debe tener solo dígitos",IF(ISERROR(FIND(LEFT(C564,1),"567")),"ERROR: CUENTA fuera de las clases de costo",IF(NOT(ISNUMBER(E564)),"ERROR: VALOR debe ser numérico",IF(E564=0,"AVISO: valor cero (no se carga)",IF(J564&lt;&gt;"ACTIVO","NO SE CARGA: CECO en estado "&amp;J564,"OK"))))))))))</f>
        <v/>
      </c>
    </row>
    <row r="565">
      <c r="A565" s="5" t="n"/>
      <c r="B565" s="6" t="n"/>
      <c r="C565" s="5" t="n"/>
      <c r="D565" s="6" t="n"/>
      <c r="E565" s="7" t="n"/>
      <c r="F565" s="6" t="n"/>
      <c r="G565" s="8">
        <f>IF(B565="","",IFERROR(VLOOKUP(--B565,'CATALOGO CECO'!$A$2:$H$550,2,FALSE),"CECO NO EXISTE"))</f>
        <v/>
      </c>
      <c r="H565" s="8">
        <f>IF(B565="","",IFERROR(VLOOKUP(--B565,'CATALOGO CECO'!$A$2:$H$550,3,FALSE),""))</f>
        <v/>
      </c>
      <c r="I565" s="8">
        <f>IF(B565="","",IFERROR(VLOOKUP(--B565,'CATALOGO CECO'!$A$2:$H$550,5,FALSE),""))</f>
        <v/>
      </c>
      <c r="J565" s="8">
        <f>IF(B565="","",IFERROR(VLOOKUP(--B565,'CATALOGO CECO'!$A$2:$H$550,8,FALSE),""))</f>
        <v/>
      </c>
      <c r="K565" s="8">
        <f>IF(COUNTA(A565:F565)=0,"",IF(OR(LEN(A565)&lt;&gt;7,MID(A565,5,1)&lt;&gt;"-",ISERROR(--LEFT(A565,4)),ISERROR(--RIGHT(A565,2))),"ERROR: PERIODO debe ser AAAA-MM",IF(B565="","ERROR: falta CODIGO CECO",IF(G565="CECO NO EXISTE","ERROR: CECO no existe en el catálogo",IF(C565="","ERROR: falta CUENTA",IF(ISERROR(--C565),"ERROR: CUENTA debe tener solo dígitos",IF(ISERROR(FIND(LEFT(C565,1),"567")),"ERROR: CUENTA fuera de las clases de costo",IF(NOT(ISNUMBER(E565)),"ERROR: VALOR debe ser numérico",IF(E565=0,"AVISO: valor cero (no se carga)",IF(J565&lt;&gt;"ACTIVO","NO SE CARGA: CECO en estado "&amp;J565,"OK"))))))))))</f>
        <v/>
      </c>
    </row>
    <row r="566">
      <c r="A566" s="5" t="n"/>
      <c r="B566" s="6" t="n"/>
      <c r="C566" s="5" t="n"/>
      <c r="D566" s="6" t="n"/>
      <c r="E566" s="7" t="n"/>
      <c r="F566" s="6" t="n"/>
      <c r="G566" s="8">
        <f>IF(B566="","",IFERROR(VLOOKUP(--B566,'CATALOGO CECO'!$A$2:$H$550,2,FALSE),"CECO NO EXISTE"))</f>
        <v/>
      </c>
      <c r="H566" s="8">
        <f>IF(B566="","",IFERROR(VLOOKUP(--B566,'CATALOGO CECO'!$A$2:$H$550,3,FALSE),""))</f>
        <v/>
      </c>
      <c r="I566" s="8">
        <f>IF(B566="","",IFERROR(VLOOKUP(--B566,'CATALOGO CECO'!$A$2:$H$550,5,FALSE),""))</f>
        <v/>
      </c>
      <c r="J566" s="8">
        <f>IF(B566="","",IFERROR(VLOOKUP(--B566,'CATALOGO CECO'!$A$2:$H$550,8,FALSE),""))</f>
        <v/>
      </c>
      <c r="K566" s="8">
        <f>IF(COUNTA(A566:F566)=0,"",IF(OR(LEN(A566)&lt;&gt;7,MID(A566,5,1)&lt;&gt;"-",ISERROR(--LEFT(A566,4)),ISERROR(--RIGHT(A566,2))),"ERROR: PERIODO debe ser AAAA-MM",IF(B566="","ERROR: falta CODIGO CECO",IF(G566="CECO NO EXISTE","ERROR: CECO no existe en el catálogo",IF(C566="","ERROR: falta CUENTA",IF(ISERROR(--C566),"ERROR: CUENTA debe tener solo dígitos",IF(ISERROR(FIND(LEFT(C566,1),"567")),"ERROR: CUENTA fuera de las clases de costo",IF(NOT(ISNUMBER(E566)),"ERROR: VALOR debe ser numérico",IF(E566=0,"AVISO: valor cero (no se carga)",IF(J566&lt;&gt;"ACTIVO","NO SE CARGA: CECO en estado "&amp;J566,"OK"))))))))))</f>
        <v/>
      </c>
    </row>
    <row r="567">
      <c r="A567" s="5" t="n"/>
      <c r="B567" s="6" t="n"/>
      <c r="C567" s="5" t="n"/>
      <c r="D567" s="6" t="n"/>
      <c r="E567" s="7" t="n"/>
      <c r="F567" s="6" t="n"/>
      <c r="G567" s="8">
        <f>IF(B567="","",IFERROR(VLOOKUP(--B567,'CATALOGO CECO'!$A$2:$H$550,2,FALSE),"CECO NO EXISTE"))</f>
        <v/>
      </c>
      <c r="H567" s="8">
        <f>IF(B567="","",IFERROR(VLOOKUP(--B567,'CATALOGO CECO'!$A$2:$H$550,3,FALSE),""))</f>
        <v/>
      </c>
      <c r="I567" s="8">
        <f>IF(B567="","",IFERROR(VLOOKUP(--B567,'CATALOGO CECO'!$A$2:$H$550,5,FALSE),""))</f>
        <v/>
      </c>
      <c r="J567" s="8">
        <f>IF(B567="","",IFERROR(VLOOKUP(--B567,'CATALOGO CECO'!$A$2:$H$550,8,FALSE),""))</f>
        <v/>
      </c>
      <c r="K567" s="8">
        <f>IF(COUNTA(A567:F567)=0,"",IF(OR(LEN(A567)&lt;&gt;7,MID(A567,5,1)&lt;&gt;"-",ISERROR(--LEFT(A567,4)),ISERROR(--RIGHT(A567,2))),"ERROR: PERIODO debe ser AAAA-MM",IF(B567="","ERROR: falta CODIGO CECO",IF(G567="CECO NO EXISTE","ERROR: CECO no existe en el catálogo",IF(C567="","ERROR: falta CUENTA",IF(ISERROR(--C567),"ERROR: CUENTA debe tener solo dígitos",IF(ISERROR(FIND(LEFT(C567,1),"567")),"ERROR: CUENTA fuera de las clases de costo",IF(NOT(ISNUMBER(E567)),"ERROR: VALOR debe ser numérico",IF(E567=0,"AVISO: valor cero (no se carga)",IF(J567&lt;&gt;"ACTIVO","NO SE CARGA: CECO en estado "&amp;J567,"OK"))))))))))</f>
        <v/>
      </c>
    </row>
    <row r="568">
      <c r="A568" s="5" t="n"/>
      <c r="B568" s="6" t="n"/>
      <c r="C568" s="5" t="n"/>
      <c r="D568" s="6" t="n"/>
      <c r="E568" s="7" t="n"/>
      <c r="F568" s="6" t="n"/>
      <c r="G568" s="8">
        <f>IF(B568="","",IFERROR(VLOOKUP(--B568,'CATALOGO CECO'!$A$2:$H$550,2,FALSE),"CECO NO EXISTE"))</f>
        <v/>
      </c>
      <c r="H568" s="8">
        <f>IF(B568="","",IFERROR(VLOOKUP(--B568,'CATALOGO CECO'!$A$2:$H$550,3,FALSE),""))</f>
        <v/>
      </c>
      <c r="I568" s="8">
        <f>IF(B568="","",IFERROR(VLOOKUP(--B568,'CATALOGO CECO'!$A$2:$H$550,5,FALSE),""))</f>
        <v/>
      </c>
      <c r="J568" s="8">
        <f>IF(B568="","",IFERROR(VLOOKUP(--B568,'CATALOGO CECO'!$A$2:$H$550,8,FALSE),""))</f>
        <v/>
      </c>
      <c r="K568" s="8">
        <f>IF(COUNTA(A568:F568)=0,"",IF(OR(LEN(A568)&lt;&gt;7,MID(A568,5,1)&lt;&gt;"-",ISERROR(--LEFT(A568,4)),ISERROR(--RIGHT(A568,2))),"ERROR: PERIODO debe ser AAAA-MM",IF(B568="","ERROR: falta CODIGO CECO",IF(G568="CECO NO EXISTE","ERROR: CECO no existe en el catálogo",IF(C568="","ERROR: falta CUENTA",IF(ISERROR(--C568),"ERROR: CUENTA debe tener solo dígitos",IF(ISERROR(FIND(LEFT(C568,1),"567")),"ERROR: CUENTA fuera de las clases de costo",IF(NOT(ISNUMBER(E568)),"ERROR: VALOR debe ser numérico",IF(E568=0,"AVISO: valor cero (no se carga)",IF(J568&lt;&gt;"ACTIVO","NO SE CARGA: CECO en estado "&amp;J568,"OK"))))))))))</f>
        <v/>
      </c>
    </row>
    <row r="569">
      <c r="A569" s="5" t="n"/>
      <c r="B569" s="6" t="n"/>
      <c r="C569" s="5" t="n"/>
      <c r="D569" s="6" t="n"/>
      <c r="E569" s="7" t="n"/>
      <c r="F569" s="6" t="n"/>
      <c r="G569" s="8">
        <f>IF(B569="","",IFERROR(VLOOKUP(--B569,'CATALOGO CECO'!$A$2:$H$550,2,FALSE),"CECO NO EXISTE"))</f>
        <v/>
      </c>
      <c r="H569" s="8">
        <f>IF(B569="","",IFERROR(VLOOKUP(--B569,'CATALOGO CECO'!$A$2:$H$550,3,FALSE),""))</f>
        <v/>
      </c>
      <c r="I569" s="8">
        <f>IF(B569="","",IFERROR(VLOOKUP(--B569,'CATALOGO CECO'!$A$2:$H$550,5,FALSE),""))</f>
        <v/>
      </c>
      <c r="J569" s="8">
        <f>IF(B569="","",IFERROR(VLOOKUP(--B569,'CATALOGO CECO'!$A$2:$H$550,8,FALSE),""))</f>
        <v/>
      </c>
      <c r="K569" s="8">
        <f>IF(COUNTA(A569:F569)=0,"",IF(OR(LEN(A569)&lt;&gt;7,MID(A569,5,1)&lt;&gt;"-",ISERROR(--LEFT(A569,4)),ISERROR(--RIGHT(A569,2))),"ERROR: PERIODO debe ser AAAA-MM",IF(B569="","ERROR: falta CODIGO CECO",IF(G569="CECO NO EXISTE","ERROR: CECO no existe en el catálogo",IF(C569="","ERROR: falta CUENTA",IF(ISERROR(--C569),"ERROR: CUENTA debe tener solo dígitos",IF(ISERROR(FIND(LEFT(C569,1),"567")),"ERROR: CUENTA fuera de las clases de costo",IF(NOT(ISNUMBER(E569)),"ERROR: VALOR debe ser numérico",IF(E569=0,"AVISO: valor cero (no se carga)",IF(J569&lt;&gt;"ACTIVO","NO SE CARGA: CECO en estado "&amp;J569,"OK"))))))))))</f>
        <v/>
      </c>
    </row>
    <row r="570">
      <c r="A570" s="5" t="n"/>
      <c r="B570" s="6" t="n"/>
      <c r="C570" s="5" t="n"/>
      <c r="D570" s="6" t="n"/>
      <c r="E570" s="7" t="n"/>
      <c r="F570" s="6" t="n"/>
      <c r="G570" s="8">
        <f>IF(B570="","",IFERROR(VLOOKUP(--B570,'CATALOGO CECO'!$A$2:$H$550,2,FALSE),"CECO NO EXISTE"))</f>
        <v/>
      </c>
      <c r="H570" s="8">
        <f>IF(B570="","",IFERROR(VLOOKUP(--B570,'CATALOGO CECO'!$A$2:$H$550,3,FALSE),""))</f>
        <v/>
      </c>
      <c r="I570" s="8">
        <f>IF(B570="","",IFERROR(VLOOKUP(--B570,'CATALOGO CECO'!$A$2:$H$550,5,FALSE),""))</f>
        <v/>
      </c>
      <c r="J570" s="8">
        <f>IF(B570="","",IFERROR(VLOOKUP(--B570,'CATALOGO CECO'!$A$2:$H$550,8,FALSE),""))</f>
        <v/>
      </c>
      <c r="K570" s="8">
        <f>IF(COUNTA(A570:F570)=0,"",IF(OR(LEN(A570)&lt;&gt;7,MID(A570,5,1)&lt;&gt;"-",ISERROR(--LEFT(A570,4)),ISERROR(--RIGHT(A570,2))),"ERROR: PERIODO debe ser AAAA-MM",IF(B570="","ERROR: falta CODIGO CECO",IF(G570="CECO NO EXISTE","ERROR: CECO no existe en el catálogo",IF(C570="","ERROR: falta CUENTA",IF(ISERROR(--C570),"ERROR: CUENTA debe tener solo dígitos",IF(ISERROR(FIND(LEFT(C570,1),"567")),"ERROR: CUENTA fuera de las clases de costo",IF(NOT(ISNUMBER(E570)),"ERROR: VALOR debe ser numérico",IF(E570=0,"AVISO: valor cero (no se carga)",IF(J570&lt;&gt;"ACTIVO","NO SE CARGA: CECO en estado "&amp;J570,"OK"))))))))))</f>
        <v/>
      </c>
    </row>
    <row r="571">
      <c r="A571" s="5" t="n"/>
      <c r="B571" s="6" t="n"/>
      <c r="C571" s="5" t="n"/>
      <c r="D571" s="6" t="n"/>
      <c r="E571" s="7" t="n"/>
      <c r="F571" s="6" t="n"/>
      <c r="G571" s="8">
        <f>IF(B571="","",IFERROR(VLOOKUP(--B571,'CATALOGO CECO'!$A$2:$H$550,2,FALSE),"CECO NO EXISTE"))</f>
        <v/>
      </c>
      <c r="H571" s="8">
        <f>IF(B571="","",IFERROR(VLOOKUP(--B571,'CATALOGO CECO'!$A$2:$H$550,3,FALSE),""))</f>
        <v/>
      </c>
      <c r="I571" s="8">
        <f>IF(B571="","",IFERROR(VLOOKUP(--B571,'CATALOGO CECO'!$A$2:$H$550,5,FALSE),""))</f>
        <v/>
      </c>
      <c r="J571" s="8">
        <f>IF(B571="","",IFERROR(VLOOKUP(--B571,'CATALOGO CECO'!$A$2:$H$550,8,FALSE),""))</f>
        <v/>
      </c>
      <c r="K571" s="8">
        <f>IF(COUNTA(A571:F571)=0,"",IF(OR(LEN(A571)&lt;&gt;7,MID(A571,5,1)&lt;&gt;"-",ISERROR(--LEFT(A571,4)),ISERROR(--RIGHT(A571,2))),"ERROR: PERIODO debe ser AAAA-MM",IF(B571="","ERROR: falta CODIGO CECO",IF(G571="CECO NO EXISTE","ERROR: CECO no existe en el catálogo",IF(C571="","ERROR: falta CUENTA",IF(ISERROR(--C571),"ERROR: CUENTA debe tener solo dígitos",IF(ISERROR(FIND(LEFT(C571,1),"567")),"ERROR: CUENTA fuera de las clases de costo",IF(NOT(ISNUMBER(E571)),"ERROR: VALOR debe ser numérico",IF(E571=0,"AVISO: valor cero (no se carga)",IF(J571&lt;&gt;"ACTIVO","NO SE CARGA: CECO en estado "&amp;J571,"OK"))))))))))</f>
        <v/>
      </c>
    </row>
    <row r="572">
      <c r="A572" s="5" t="n"/>
      <c r="B572" s="6" t="n"/>
      <c r="C572" s="5" t="n"/>
      <c r="D572" s="6" t="n"/>
      <c r="E572" s="7" t="n"/>
      <c r="F572" s="6" t="n"/>
      <c r="G572" s="8">
        <f>IF(B572="","",IFERROR(VLOOKUP(--B572,'CATALOGO CECO'!$A$2:$H$550,2,FALSE),"CECO NO EXISTE"))</f>
        <v/>
      </c>
      <c r="H572" s="8">
        <f>IF(B572="","",IFERROR(VLOOKUP(--B572,'CATALOGO CECO'!$A$2:$H$550,3,FALSE),""))</f>
        <v/>
      </c>
      <c r="I572" s="8">
        <f>IF(B572="","",IFERROR(VLOOKUP(--B572,'CATALOGO CECO'!$A$2:$H$550,5,FALSE),""))</f>
        <v/>
      </c>
      <c r="J572" s="8">
        <f>IF(B572="","",IFERROR(VLOOKUP(--B572,'CATALOGO CECO'!$A$2:$H$550,8,FALSE),""))</f>
        <v/>
      </c>
      <c r="K572" s="8">
        <f>IF(COUNTA(A572:F572)=0,"",IF(OR(LEN(A572)&lt;&gt;7,MID(A572,5,1)&lt;&gt;"-",ISERROR(--LEFT(A572,4)),ISERROR(--RIGHT(A572,2))),"ERROR: PERIODO debe ser AAAA-MM",IF(B572="","ERROR: falta CODIGO CECO",IF(G572="CECO NO EXISTE","ERROR: CECO no existe en el catálogo",IF(C572="","ERROR: falta CUENTA",IF(ISERROR(--C572),"ERROR: CUENTA debe tener solo dígitos",IF(ISERROR(FIND(LEFT(C572,1),"567")),"ERROR: CUENTA fuera de las clases de costo",IF(NOT(ISNUMBER(E572)),"ERROR: VALOR debe ser numérico",IF(E572=0,"AVISO: valor cero (no se carga)",IF(J572&lt;&gt;"ACTIVO","NO SE CARGA: CECO en estado "&amp;J572,"OK"))))))))))</f>
        <v/>
      </c>
    </row>
    <row r="573">
      <c r="A573" s="5" t="n"/>
      <c r="B573" s="6" t="n"/>
      <c r="C573" s="5" t="n"/>
      <c r="D573" s="6" t="n"/>
      <c r="E573" s="7" t="n"/>
      <c r="F573" s="6" t="n"/>
      <c r="G573" s="8">
        <f>IF(B573="","",IFERROR(VLOOKUP(--B573,'CATALOGO CECO'!$A$2:$H$550,2,FALSE),"CECO NO EXISTE"))</f>
        <v/>
      </c>
      <c r="H573" s="8">
        <f>IF(B573="","",IFERROR(VLOOKUP(--B573,'CATALOGO CECO'!$A$2:$H$550,3,FALSE),""))</f>
        <v/>
      </c>
      <c r="I573" s="8">
        <f>IF(B573="","",IFERROR(VLOOKUP(--B573,'CATALOGO CECO'!$A$2:$H$550,5,FALSE),""))</f>
        <v/>
      </c>
      <c r="J573" s="8">
        <f>IF(B573="","",IFERROR(VLOOKUP(--B573,'CATALOGO CECO'!$A$2:$H$550,8,FALSE),""))</f>
        <v/>
      </c>
      <c r="K573" s="8">
        <f>IF(COUNTA(A573:F573)=0,"",IF(OR(LEN(A573)&lt;&gt;7,MID(A573,5,1)&lt;&gt;"-",ISERROR(--LEFT(A573,4)),ISERROR(--RIGHT(A573,2))),"ERROR: PERIODO debe ser AAAA-MM",IF(B573="","ERROR: falta CODIGO CECO",IF(G573="CECO NO EXISTE","ERROR: CECO no existe en el catálogo",IF(C573="","ERROR: falta CUENTA",IF(ISERROR(--C573),"ERROR: CUENTA debe tener solo dígitos",IF(ISERROR(FIND(LEFT(C573,1),"567")),"ERROR: CUENTA fuera de las clases de costo",IF(NOT(ISNUMBER(E573)),"ERROR: VALOR debe ser numérico",IF(E573=0,"AVISO: valor cero (no se carga)",IF(J573&lt;&gt;"ACTIVO","NO SE CARGA: CECO en estado "&amp;J573,"OK"))))))))))</f>
        <v/>
      </c>
    </row>
    <row r="574">
      <c r="A574" s="5" t="n"/>
      <c r="B574" s="6" t="n"/>
      <c r="C574" s="5" t="n"/>
      <c r="D574" s="6" t="n"/>
      <c r="E574" s="7" t="n"/>
      <c r="F574" s="6" t="n"/>
      <c r="G574" s="8">
        <f>IF(B574="","",IFERROR(VLOOKUP(--B574,'CATALOGO CECO'!$A$2:$H$550,2,FALSE),"CECO NO EXISTE"))</f>
        <v/>
      </c>
      <c r="H574" s="8">
        <f>IF(B574="","",IFERROR(VLOOKUP(--B574,'CATALOGO CECO'!$A$2:$H$550,3,FALSE),""))</f>
        <v/>
      </c>
      <c r="I574" s="8">
        <f>IF(B574="","",IFERROR(VLOOKUP(--B574,'CATALOGO CECO'!$A$2:$H$550,5,FALSE),""))</f>
        <v/>
      </c>
      <c r="J574" s="8">
        <f>IF(B574="","",IFERROR(VLOOKUP(--B574,'CATALOGO CECO'!$A$2:$H$550,8,FALSE),""))</f>
        <v/>
      </c>
      <c r="K574" s="8">
        <f>IF(COUNTA(A574:F574)=0,"",IF(OR(LEN(A574)&lt;&gt;7,MID(A574,5,1)&lt;&gt;"-",ISERROR(--LEFT(A574,4)),ISERROR(--RIGHT(A574,2))),"ERROR: PERIODO debe ser AAAA-MM",IF(B574="","ERROR: falta CODIGO CECO",IF(G574="CECO NO EXISTE","ERROR: CECO no existe en el catálogo",IF(C574="","ERROR: falta CUENTA",IF(ISERROR(--C574),"ERROR: CUENTA debe tener solo dígitos",IF(ISERROR(FIND(LEFT(C574,1),"567")),"ERROR: CUENTA fuera de las clases de costo",IF(NOT(ISNUMBER(E574)),"ERROR: VALOR debe ser numérico",IF(E574=0,"AVISO: valor cero (no se carga)",IF(J574&lt;&gt;"ACTIVO","NO SE CARGA: CECO en estado "&amp;J574,"OK"))))))))))</f>
        <v/>
      </c>
    </row>
    <row r="575">
      <c r="A575" s="5" t="n"/>
      <c r="B575" s="6" t="n"/>
      <c r="C575" s="5" t="n"/>
      <c r="D575" s="6" t="n"/>
      <c r="E575" s="7" t="n"/>
      <c r="F575" s="6" t="n"/>
      <c r="G575" s="8">
        <f>IF(B575="","",IFERROR(VLOOKUP(--B575,'CATALOGO CECO'!$A$2:$H$550,2,FALSE),"CECO NO EXISTE"))</f>
        <v/>
      </c>
      <c r="H575" s="8">
        <f>IF(B575="","",IFERROR(VLOOKUP(--B575,'CATALOGO CECO'!$A$2:$H$550,3,FALSE),""))</f>
        <v/>
      </c>
      <c r="I575" s="8">
        <f>IF(B575="","",IFERROR(VLOOKUP(--B575,'CATALOGO CECO'!$A$2:$H$550,5,FALSE),""))</f>
        <v/>
      </c>
      <c r="J575" s="8">
        <f>IF(B575="","",IFERROR(VLOOKUP(--B575,'CATALOGO CECO'!$A$2:$H$550,8,FALSE),""))</f>
        <v/>
      </c>
      <c r="K575" s="8">
        <f>IF(COUNTA(A575:F575)=0,"",IF(OR(LEN(A575)&lt;&gt;7,MID(A575,5,1)&lt;&gt;"-",ISERROR(--LEFT(A575,4)),ISERROR(--RIGHT(A575,2))),"ERROR: PERIODO debe ser AAAA-MM",IF(B575="","ERROR: falta CODIGO CECO",IF(G575="CECO NO EXISTE","ERROR: CECO no existe en el catálogo",IF(C575="","ERROR: falta CUENTA",IF(ISERROR(--C575),"ERROR: CUENTA debe tener solo dígitos",IF(ISERROR(FIND(LEFT(C575,1),"567")),"ERROR: CUENTA fuera de las clases de costo",IF(NOT(ISNUMBER(E575)),"ERROR: VALOR debe ser numérico",IF(E575=0,"AVISO: valor cero (no se carga)",IF(J575&lt;&gt;"ACTIVO","NO SE CARGA: CECO en estado "&amp;J575,"OK"))))))))))</f>
        <v/>
      </c>
    </row>
    <row r="576">
      <c r="A576" s="5" t="n"/>
      <c r="B576" s="6" t="n"/>
      <c r="C576" s="5" t="n"/>
      <c r="D576" s="6" t="n"/>
      <c r="E576" s="7" t="n"/>
      <c r="F576" s="6" t="n"/>
      <c r="G576" s="8">
        <f>IF(B576="","",IFERROR(VLOOKUP(--B576,'CATALOGO CECO'!$A$2:$H$550,2,FALSE),"CECO NO EXISTE"))</f>
        <v/>
      </c>
      <c r="H576" s="8">
        <f>IF(B576="","",IFERROR(VLOOKUP(--B576,'CATALOGO CECO'!$A$2:$H$550,3,FALSE),""))</f>
        <v/>
      </c>
      <c r="I576" s="8">
        <f>IF(B576="","",IFERROR(VLOOKUP(--B576,'CATALOGO CECO'!$A$2:$H$550,5,FALSE),""))</f>
        <v/>
      </c>
      <c r="J576" s="8">
        <f>IF(B576="","",IFERROR(VLOOKUP(--B576,'CATALOGO CECO'!$A$2:$H$550,8,FALSE),""))</f>
        <v/>
      </c>
      <c r="K576" s="8">
        <f>IF(COUNTA(A576:F576)=0,"",IF(OR(LEN(A576)&lt;&gt;7,MID(A576,5,1)&lt;&gt;"-",ISERROR(--LEFT(A576,4)),ISERROR(--RIGHT(A576,2))),"ERROR: PERIODO debe ser AAAA-MM",IF(B576="","ERROR: falta CODIGO CECO",IF(G576="CECO NO EXISTE","ERROR: CECO no existe en el catálogo",IF(C576="","ERROR: falta CUENTA",IF(ISERROR(--C576),"ERROR: CUENTA debe tener solo dígitos",IF(ISERROR(FIND(LEFT(C576,1),"567")),"ERROR: CUENTA fuera de las clases de costo",IF(NOT(ISNUMBER(E576)),"ERROR: VALOR debe ser numérico",IF(E576=0,"AVISO: valor cero (no se carga)",IF(J576&lt;&gt;"ACTIVO","NO SE CARGA: CECO en estado "&amp;J576,"OK"))))))))))</f>
        <v/>
      </c>
    </row>
    <row r="577">
      <c r="A577" s="5" t="n"/>
      <c r="B577" s="6" t="n"/>
      <c r="C577" s="5" t="n"/>
      <c r="D577" s="6" t="n"/>
      <c r="E577" s="7" t="n"/>
      <c r="F577" s="6" t="n"/>
      <c r="G577" s="8">
        <f>IF(B577="","",IFERROR(VLOOKUP(--B577,'CATALOGO CECO'!$A$2:$H$550,2,FALSE),"CECO NO EXISTE"))</f>
        <v/>
      </c>
      <c r="H577" s="8">
        <f>IF(B577="","",IFERROR(VLOOKUP(--B577,'CATALOGO CECO'!$A$2:$H$550,3,FALSE),""))</f>
        <v/>
      </c>
      <c r="I577" s="8">
        <f>IF(B577="","",IFERROR(VLOOKUP(--B577,'CATALOGO CECO'!$A$2:$H$550,5,FALSE),""))</f>
        <v/>
      </c>
      <c r="J577" s="8">
        <f>IF(B577="","",IFERROR(VLOOKUP(--B577,'CATALOGO CECO'!$A$2:$H$550,8,FALSE),""))</f>
        <v/>
      </c>
      <c r="K577" s="8">
        <f>IF(COUNTA(A577:F577)=0,"",IF(OR(LEN(A577)&lt;&gt;7,MID(A577,5,1)&lt;&gt;"-",ISERROR(--LEFT(A577,4)),ISERROR(--RIGHT(A577,2))),"ERROR: PERIODO debe ser AAAA-MM",IF(B577="","ERROR: falta CODIGO CECO",IF(G577="CECO NO EXISTE","ERROR: CECO no existe en el catálogo",IF(C577="","ERROR: falta CUENTA",IF(ISERROR(--C577),"ERROR: CUENTA debe tener solo dígitos",IF(ISERROR(FIND(LEFT(C577,1),"567")),"ERROR: CUENTA fuera de las clases de costo",IF(NOT(ISNUMBER(E577)),"ERROR: VALOR debe ser numérico",IF(E577=0,"AVISO: valor cero (no se carga)",IF(J577&lt;&gt;"ACTIVO","NO SE CARGA: CECO en estado "&amp;J577,"OK"))))))))))</f>
        <v/>
      </c>
    </row>
    <row r="578">
      <c r="A578" s="5" t="n"/>
      <c r="B578" s="6" t="n"/>
      <c r="C578" s="5" t="n"/>
      <c r="D578" s="6" t="n"/>
      <c r="E578" s="7" t="n"/>
      <c r="F578" s="6" t="n"/>
      <c r="G578" s="8">
        <f>IF(B578="","",IFERROR(VLOOKUP(--B578,'CATALOGO CECO'!$A$2:$H$550,2,FALSE),"CECO NO EXISTE"))</f>
        <v/>
      </c>
      <c r="H578" s="8">
        <f>IF(B578="","",IFERROR(VLOOKUP(--B578,'CATALOGO CECO'!$A$2:$H$550,3,FALSE),""))</f>
        <v/>
      </c>
      <c r="I578" s="8">
        <f>IF(B578="","",IFERROR(VLOOKUP(--B578,'CATALOGO CECO'!$A$2:$H$550,5,FALSE),""))</f>
        <v/>
      </c>
      <c r="J578" s="8">
        <f>IF(B578="","",IFERROR(VLOOKUP(--B578,'CATALOGO CECO'!$A$2:$H$550,8,FALSE),""))</f>
        <v/>
      </c>
      <c r="K578" s="8">
        <f>IF(COUNTA(A578:F578)=0,"",IF(OR(LEN(A578)&lt;&gt;7,MID(A578,5,1)&lt;&gt;"-",ISERROR(--LEFT(A578,4)),ISERROR(--RIGHT(A578,2))),"ERROR: PERIODO debe ser AAAA-MM",IF(B578="","ERROR: falta CODIGO CECO",IF(G578="CECO NO EXISTE","ERROR: CECO no existe en el catálogo",IF(C578="","ERROR: falta CUENTA",IF(ISERROR(--C578),"ERROR: CUENTA debe tener solo dígitos",IF(ISERROR(FIND(LEFT(C578,1),"567")),"ERROR: CUENTA fuera de las clases de costo",IF(NOT(ISNUMBER(E578)),"ERROR: VALOR debe ser numérico",IF(E578=0,"AVISO: valor cero (no se carga)",IF(J578&lt;&gt;"ACTIVO","NO SE CARGA: CECO en estado "&amp;J578,"OK"))))))))))</f>
        <v/>
      </c>
    </row>
    <row r="579">
      <c r="A579" s="5" t="n"/>
      <c r="B579" s="6" t="n"/>
      <c r="C579" s="5" t="n"/>
      <c r="D579" s="6" t="n"/>
      <c r="E579" s="7" t="n"/>
      <c r="F579" s="6" t="n"/>
      <c r="G579" s="8">
        <f>IF(B579="","",IFERROR(VLOOKUP(--B579,'CATALOGO CECO'!$A$2:$H$550,2,FALSE),"CECO NO EXISTE"))</f>
        <v/>
      </c>
      <c r="H579" s="8">
        <f>IF(B579="","",IFERROR(VLOOKUP(--B579,'CATALOGO CECO'!$A$2:$H$550,3,FALSE),""))</f>
        <v/>
      </c>
      <c r="I579" s="8">
        <f>IF(B579="","",IFERROR(VLOOKUP(--B579,'CATALOGO CECO'!$A$2:$H$550,5,FALSE),""))</f>
        <v/>
      </c>
      <c r="J579" s="8">
        <f>IF(B579="","",IFERROR(VLOOKUP(--B579,'CATALOGO CECO'!$A$2:$H$550,8,FALSE),""))</f>
        <v/>
      </c>
      <c r="K579" s="8">
        <f>IF(COUNTA(A579:F579)=0,"",IF(OR(LEN(A579)&lt;&gt;7,MID(A579,5,1)&lt;&gt;"-",ISERROR(--LEFT(A579,4)),ISERROR(--RIGHT(A579,2))),"ERROR: PERIODO debe ser AAAA-MM",IF(B579="","ERROR: falta CODIGO CECO",IF(G579="CECO NO EXISTE","ERROR: CECO no existe en el catálogo",IF(C579="","ERROR: falta CUENTA",IF(ISERROR(--C579),"ERROR: CUENTA debe tener solo dígitos",IF(ISERROR(FIND(LEFT(C579,1),"567")),"ERROR: CUENTA fuera de las clases de costo",IF(NOT(ISNUMBER(E579)),"ERROR: VALOR debe ser numérico",IF(E579=0,"AVISO: valor cero (no se carga)",IF(J579&lt;&gt;"ACTIVO","NO SE CARGA: CECO en estado "&amp;J579,"OK"))))))))))</f>
        <v/>
      </c>
    </row>
    <row r="580">
      <c r="A580" s="5" t="n"/>
      <c r="B580" s="6" t="n"/>
      <c r="C580" s="5" t="n"/>
      <c r="D580" s="6" t="n"/>
      <c r="E580" s="7" t="n"/>
      <c r="F580" s="6" t="n"/>
      <c r="G580" s="8">
        <f>IF(B580="","",IFERROR(VLOOKUP(--B580,'CATALOGO CECO'!$A$2:$H$550,2,FALSE),"CECO NO EXISTE"))</f>
        <v/>
      </c>
      <c r="H580" s="8">
        <f>IF(B580="","",IFERROR(VLOOKUP(--B580,'CATALOGO CECO'!$A$2:$H$550,3,FALSE),""))</f>
        <v/>
      </c>
      <c r="I580" s="8">
        <f>IF(B580="","",IFERROR(VLOOKUP(--B580,'CATALOGO CECO'!$A$2:$H$550,5,FALSE),""))</f>
        <v/>
      </c>
      <c r="J580" s="8">
        <f>IF(B580="","",IFERROR(VLOOKUP(--B580,'CATALOGO CECO'!$A$2:$H$550,8,FALSE),""))</f>
        <v/>
      </c>
      <c r="K580" s="8">
        <f>IF(COUNTA(A580:F580)=0,"",IF(OR(LEN(A580)&lt;&gt;7,MID(A580,5,1)&lt;&gt;"-",ISERROR(--LEFT(A580,4)),ISERROR(--RIGHT(A580,2))),"ERROR: PERIODO debe ser AAAA-MM",IF(B580="","ERROR: falta CODIGO CECO",IF(G580="CECO NO EXISTE","ERROR: CECO no existe en el catálogo",IF(C580="","ERROR: falta CUENTA",IF(ISERROR(--C580),"ERROR: CUENTA debe tener solo dígitos",IF(ISERROR(FIND(LEFT(C580,1),"567")),"ERROR: CUENTA fuera de las clases de costo",IF(NOT(ISNUMBER(E580)),"ERROR: VALOR debe ser numérico",IF(E580=0,"AVISO: valor cero (no se carga)",IF(J580&lt;&gt;"ACTIVO","NO SE CARGA: CECO en estado "&amp;J580,"OK"))))))))))</f>
        <v/>
      </c>
    </row>
    <row r="581">
      <c r="A581" s="5" t="n"/>
      <c r="B581" s="6" t="n"/>
      <c r="C581" s="5" t="n"/>
      <c r="D581" s="6" t="n"/>
      <c r="E581" s="7" t="n"/>
      <c r="F581" s="6" t="n"/>
      <c r="G581" s="8">
        <f>IF(B581="","",IFERROR(VLOOKUP(--B581,'CATALOGO CECO'!$A$2:$H$550,2,FALSE),"CECO NO EXISTE"))</f>
        <v/>
      </c>
      <c r="H581" s="8">
        <f>IF(B581="","",IFERROR(VLOOKUP(--B581,'CATALOGO CECO'!$A$2:$H$550,3,FALSE),""))</f>
        <v/>
      </c>
      <c r="I581" s="8">
        <f>IF(B581="","",IFERROR(VLOOKUP(--B581,'CATALOGO CECO'!$A$2:$H$550,5,FALSE),""))</f>
        <v/>
      </c>
      <c r="J581" s="8">
        <f>IF(B581="","",IFERROR(VLOOKUP(--B581,'CATALOGO CECO'!$A$2:$H$550,8,FALSE),""))</f>
        <v/>
      </c>
      <c r="K581" s="8">
        <f>IF(COUNTA(A581:F581)=0,"",IF(OR(LEN(A581)&lt;&gt;7,MID(A581,5,1)&lt;&gt;"-",ISERROR(--LEFT(A581,4)),ISERROR(--RIGHT(A581,2))),"ERROR: PERIODO debe ser AAAA-MM",IF(B581="","ERROR: falta CODIGO CECO",IF(G581="CECO NO EXISTE","ERROR: CECO no existe en el catálogo",IF(C581="","ERROR: falta CUENTA",IF(ISERROR(--C581),"ERROR: CUENTA debe tener solo dígitos",IF(ISERROR(FIND(LEFT(C581,1),"567")),"ERROR: CUENTA fuera de las clases de costo",IF(NOT(ISNUMBER(E581)),"ERROR: VALOR debe ser numérico",IF(E581=0,"AVISO: valor cero (no se carga)",IF(J581&lt;&gt;"ACTIVO","NO SE CARGA: CECO en estado "&amp;J581,"OK"))))))))))</f>
        <v/>
      </c>
    </row>
    <row r="582">
      <c r="A582" s="5" t="n"/>
      <c r="B582" s="6" t="n"/>
      <c r="C582" s="5" t="n"/>
      <c r="D582" s="6" t="n"/>
      <c r="E582" s="7" t="n"/>
      <c r="F582" s="6" t="n"/>
      <c r="G582" s="8">
        <f>IF(B582="","",IFERROR(VLOOKUP(--B582,'CATALOGO CECO'!$A$2:$H$550,2,FALSE),"CECO NO EXISTE"))</f>
        <v/>
      </c>
      <c r="H582" s="8">
        <f>IF(B582="","",IFERROR(VLOOKUP(--B582,'CATALOGO CECO'!$A$2:$H$550,3,FALSE),""))</f>
        <v/>
      </c>
      <c r="I582" s="8">
        <f>IF(B582="","",IFERROR(VLOOKUP(--B582,'CATALOGO CECO'!$A$2:$H$550,5,FALSE),""))</f>
        <v/>
      </c>
      <c r="J582" s="8">
        <f>IF(B582="","",IFERROR(VLOOKUP(--B582,'CATALOGO CECO'!$A$2:$H$550,8,FALSE),""))</f>
        <v/>
      </c>
      <c r="K582" s="8">
        <f>IF(COUNTA(A582:F582)=0,"",IF(OR(LEN(A582)&lt;&gt;7,MID(A582,5,1)&lt;&gt;"-",ISERROR(--LEFT(A582,4)),ISERROR(--RIGHT(A582,2))),"ERROR: PERIODO debe ser AAAA-MM",IF(B582="","ERROR: falta CODIGO CECO",IF(G582="CECO NO EXISTE","ERROR: CECO no existe en el catálogo",IF(C582="","ERROR: falta CUENTA",IF(ISERROR(--C582),"ERROR: CUENTA debe tener solo dígitos",IF(ISERROR(FIND(LEFT(C582,1),"567")),"ERROR: CUENTA fuera de las clases de costo",IF(NOT(ISNUMBER(E582)),"ERROR: VALOR debe ser numérico",IF(E582=0,"AVISO: valor cero (no se carga)",IF(J582&lt;&gt;"ACTIVO","NO SE CARGA: CECO en estado "&amp;J582,"OK"))))))))))</f>
        <v/>
      </c>
    </row>
    <row r="583">
      <c r="A583" s="5" t="n"/>
      <c r="B583" s="6" t="n"/>
      <c r="C583" s="5" t="n"/>
      <c r="D583" s="6" t="n"/>
      <c r="E583" s="7" t="n"/>
      <c r="F583" s="6" t="n"/>
      <c r="G583" s="8">
        <f>IF(B583="","",IFERROR(VLOOKUP(--B583,'CATALOGO CECO'!$A$2:$H$550,2,FALSE),"CECO NO EXISTE"))</f>
        <v/>
      </c>
      <c r="H583" s="8">
        <f>IF(B583="","",IFERROR(VLOOKUP(--B583,'CATALOGO CECO'!$A$2:$H$550,3,FALSE),""))</f>
        <v/>
      </c>
      <c r="I583" s="8">
        <f>IF(B583="","",IFERROR(VLOOKUP(--B583,'CATALOGO CECO'!$A$2:$H$550,5,FALSE),""))</f>
        <v/>
      </c>
      <c r="J583" s="8">
        <f>IF(B583="","",IFERROR(VLOOKUP(--B583,'CATALOGO CECO'!$A$2:$H$550,8,FALSE),""))</f>
        <v/>
      </c>
      <c r="K583" s="8">
        <f>IF(COUNTA(A583:F583)=0,"",IF(OR(LEN(A583)&lt;&gt;7,MID(A583,5,1)&lt;&gt;"-",ISERROR(--LEFT(A583,4)),ISERROR(--RIGHT(A583,2))),"ERROR: PERIODO debe ser AAAA-MM",IF(B583="","ERROR: falta CODIGO CECO",IF(G583="CECO NO EXISTE","ERROR: CECO no existe en el catálogo",IF(C583="","ERROR: falta CUENTA",IF(ISERROR(--C583),"ERROR: CUENTA debe tener solo dígitos",IF(ISERROR(FIND(LEFT(C583,1),"567")),"ERROR: CUENTA fuera de las clases de costo",IF(NOT(ISNUMBER(E583)),"ERROR: VALOR debe ser numérico",IF(E583=0,"AVISO: valor cero (no se carga)",IF(J583&lt;&gt;"ACTIVO","NO SE CARGA: CECO en estado "&amp;J583,"OK"))))))))))</f>
        <v/>
      </c>
    </row>
    <row r="584">
      <c r="A584" s="5" t="n"/>
      <c r="B584" s="6" t="n"/>
      <c r="C584" s="5" t="n"/>
      <c r="D584" s="6" t="n"/>
      <c r="E584" s="7" t="n"/>
      <c r="F584" s="6" t="n"/>
      <c r="G584" s="8">
        <f>IF(B584="","",IFERROR(VLOOKUP(--B584,'CATALOGO CECO'!$A$2:$H$550,2,FALSE),"CECO NO EXISTE"))</f>
        <v/>
      </c>
      <c r="H584" s="8">
        <f>IF(B584="","",IFERROR(VLOOKUP(--B584,'CATALOGO CECO'!$A$2:$H$550,3,FALSE),""))</f>
        <v/>
      </c>
      <c r="I584" s="8">
        <f>IF(B584="","",IFERROR(VLOOKUP(--B584,'CATALOGO CECO'!$A$2:$H$550,5,FALSE),""))</f>
        <v/>
      </c>
      <c r="J584" s="8">
        <f>IF(B584="","",IFERROR(VLOOKUP(--B584,'CATALOGO CECO'!$A$2:$H$550,8,FALSE),""))</f>
        <v/>
      </c>
      <c r="K584" s="8">
        <f>IF(COUNTA(A584:F584)=0,"",IF(OR(LEN(A584)&lt;&gt;7,MID(A584,5,1)&lt;&gt;"-",ISERROR(--LEFT(A584,4)),ISERROR(--RIGHT(A584,2))),"ERROR: PERIODO debe ser AAAA-MM",IF(B584="","ERROR: falta CODIGO CECO",IF(G584="CECO NO EXISTE","ERROR: CECO no existe en el catálogo",IF(C584="","ERROR: falta CUENTA",IF(ISERROR(--C584),"ERROR: CUENTA debe tener solo dígitos",IF(ISERROR(FIND(LEFT(C584,1),"567")),"ERROR: CUENTA fuera de las clases de costo",IF(NOT(ISNUMBER(E584)),"ERROR: VALOR debe ser numérico",IF(E584=0,"AVISO: valor cero (no se carga)",IF(J584&lt;&gt;"ACTIVO","NO SE CARGA: CECO en estado "&amp;J584,"OK"))))))))))</f>
        <v/>
      </c>
    </row>
    <row r="585">
      <c r="A585" s="5" t="n"/>
      <c r="B585" s="6" t="n"/>
      <c r="C585" s="5" t="n"/>
      <c r="D585" s="6" t="n"/>
      <c r="E585" s="7" t="n"/>
      <c r="F585" s="6" t="n"/>
      <c r="G585" s="8">
        <f>IF(B585="","",IFERROR(VLOOKUP(--B585,'CATALOGO CECO'!$A$2:$H$550,2,FALSE),"CECO NO EXISTE"))</f>
        <v/>
      </c>
      <c r="H585" s="8">
        <f>IF(B585="","",IFERROR(VLOOKUP(--B585,'CATALOGO CECO'!$A$2:$H$550,3,FALSE),""))</f>
        <v/>
      </c>
      <c r="I585" s="8">
        <f>IF(B585="","",IFERROR(VLOOKUP(--B585,'CATALOGO CECO'!$A$2:$H$550,5,FALSE),""))</f>
        <v/>
      </c>
      <c r="J585" s="8">
        <f>IF(B585="","",IFERROR(VLOOKUP(--B585,'CATALOGO CECO'!$A$2:$H$550,8,FALSE),""))</f>
        <v/>
      </c>
      <c r="K585" s="8">
        <f>IF(COUNTA(A585:F585)=0,"",IF(OR(LEN(A585)&lt;&gt;7,MID(A585,5,1)&lt;&gt;"-",ISERROR(--LEFT(A585,4)),ISERROR(--RIGHT(A585,2))),"ERROR: PERIODO debe ser AAAA-MM",IF(B585="","ERROR: falta CODIGO CECO",IF(G585="CECO NO EXISTE","ERROR: CECO no existe en el catálogo",IF(C585="","ERROR: falta CUENTA",IF(ISERROR(--C585),"ERROR: CUENTA debe tener solo dígitos",IF(ISERROR(FIND(LEFT(C585,1),"567")),"ERROR: CUENTA fuera de las clases de costo",IF(NOT(ISNUMBER(E585)),"ERROR: VALOR debe ser numérico",IF(E585=0,"AVISO: valor cero (no se carga)",IF(J585&lt;&gt;"ACTIVO","NO SE CARGA: CECO en estado "&amp;J585,"OK"))))))))))</f>
        <v/>
      </c>
    </row>
    <row r="586">
      <c r="A586" s="5" t="n"/>
      <c r="B586" s="6" t="n"/>
      <c r="C586" s="5" t="n"/>
      <c r="D586" s="6" t="n"/>
      <c r="E586" s="7" t="n"/>
      <c r="F586" s="6" t="n"/>
      <c r="G586" s="8">
        <f>IF(B586="","",IFERROR(VLOOKUP(--B586,'CATALOGO CECO'!$A$2:$H$550,2,FALSE),"CECO NO EXISTE"))</f>
        <v/>
      </c>
      <c r="H586" s="8">
        <f>IF(B586="","",IFERROR(VLOOKUP(--B586,'CATALOGO CECO'!$A$2:$H$550,3,FALSE),""))</f>
        <v/>
      </c>
      <c r="I586" s="8">
        <f>IF(B586="","",IFERROR(VLOOKUP(--B586,'CATALOGO CECO'!$A$2:$H$550,5,FALSE),""))</f>
        <v/>
      </c>
      <c r="J586" s="8">
        <f>IF(B586="","",IFERROR(VLOOKUP(--B586,'CATALOGO CECO'!$A$2:$H$550,8,FALSE),""))</f>
        <v/>
      </c>
      <c r="K586" s="8">
        <f>IF(COUNTA(A586:F586)=0,"",IF(OR(LEN(A586)&lt;&gt;7,MID(A586,5,1)&lt;&gt;"-",ISERROR(--LEFT(A586,4)),ISERROR(--RIGHT(A586,2))),"ERROR: PERIODO debe ser AAAA-MM",IF(B586="","ERROR: falta CODIGO CECO",IF(G586="CECO NO EXISTE","ERROR: CECO no existe en el catálogo",IF(C586="","ERROR: falta CUENTA",IF(ISERROR(--C586),"ERROR: CUENTA debe tener solo dígitos",IF(ISERROR(FIND(LEFT(C586,1),"567")),"ERROR: CUENTA fuera de las clases de costo",IF(NOT(ISNUMBER(E586)),"ERROR: VALOR debe ser numérico",IF(E586=0,"AVISO: valor cero (no se carga)",IF(J586&lt;&gt;"ACTIVO","NO SE CARGA: CECO en estado "&amp;J586,"OK"))))))))))</f>
        <v/>
      </c>
    </row>
    <row r="587">
      <c r="A587" s="5" t="n"/>
      <c r="B587" s="6" t="n"/>
      <c r="C587" s="5" t="n"/>
      <c r="D587" s="6" t="n"/>
      <c r="E587" s="7" t="n"/>
      <c r="F587" s="6" t="n"/>
      <c r="G587" s="8">
        <f>IF(B587="","",IFERROR(VLOOKUP(--B587,'CATALOGO CECO'!$A$2:$H$550,2,FALSE),"CECO NO EXISTE"))</f>
        <v/>
      </c>
      <c r="H587" s="8">
        <f>IF(B587="","",IFERROR(VLOOKUP(--B587,'CATALOGO CECO'!$A$2:$H$550,3,FALSE),""))</f>
        <v/>
      </c>
      <c r="I587" s="8">
        <f>IF(B587="","",IFERROR(VLOOKUP(--B587,'CATALOGO CECO'!$A$2:$H$550,5,FALSE),""))</f>
        <v/>
      </c>
      <c r="J587" s="8">
        <f>IF(B587="","",IFERROR(VLOOKUP(--B587,'CATALOGO CECO'!$A$2:$H$550,8,FALSE),""))</f>
        <v/>
      </c>
      <c r="K587" s="8">
        <f>IF(COUNTA(A587:F587)=0,"",IF(OR(LEN(A587)&lt;&gt;7,MID(A587,5,1)&lt;&gt;"-",ISERROR(--LEFT(A587,4)),ISERROR(--RIGHT(A587,2))),"ERROR: PERIODO debe ser AAAA-MM",IF(B587="","ERROR: falta CODIGO CECO",IF(G587="CECO NO EXISTE","ERROR: CECO no existe en el catálogo",IF(C587="","ERROR: falta CUENTA",IF(ISERROR(--C587),"ERROR: CUENTA debe tener solo dígitos",IF(ISERROR(FIND(LEFT(C587,1),"567")),"ERROR: CUENTA fuera de las clases de costo",IF(NOT(ISNUMBER(E587)),"ERROR: VALOR debe ser numérico",IF(E587=0,"AVISO: valor cero (no se carga)",IF(J587&lt;&gt;"ACTIVO","NO SE CARGA: CECO en estado "&amp;J587,"OK"))))))))))</f>
        <v/>
      </c>
    </row>
    <row r="588">
      <c r="A588" s="5" t="n"/>
      <c r="B588" s="6" t="n"/>
      <c r="C588" s="5" t="n"/>
      <c r="D588" s="6" t="n"/>
      <c r="E588" s="7" t="n"/>
      <c r="F588" s="6" t="n"/>
      <c r="G588" s="8">
        <f>IF(B588="","",IFERROR(VLOOKUP(--B588,'CATALOGO CECO'!$A$2:$H$550,2,FALSE),"CECO NO EXISTE"))</f>
        <v/>
      </c>
      <c r="H588" s="8">
        <f>IF(B588="","",IFERROR(VLOOKUP(--B588,'CATALOGO CECO'!$A$2:$H$550,3,FALSE),""))</f>
        <v/>
      </c>
      <c r="I588" s="8">
        <f>IF(B588="","",IFERROR(VLOOKUP(--B588,'CATALOGO CECO'!$A$2:$H$550,5,FALSE),""))</f>
        <v/>
      </c>
      <c r="J588" s="8">
        <f>IF(B588="","",IFERROR(VLOOKUP(--B588,'CATALOGO CECO'!$A$2:$H$550,8,FALSE),""))</f>
        <v/>
      </c>
      <c r="K588" s="8">
        <f>IF(COUNTA(A588:F588)=0,"",IF(OR(LEN(A588)&lt;&gt;7,MID(A588,5,1)&lt;&gt;"-",ISERROR(--LEFT(A588,4)),ISERROR(--RIGHT(A588,2))),"ERROR: PERIODO debe ser AAAA-MM",IF(B588="","ERROR: falta CODIGO CECO",IF(G588="CECO NO EXISTE","ERROR: CECO no existe en el catálogo",IF(C588="","ERROR: falta CUENTA",IF(ISERROR(--C588),"ERROR: CUENTA debe tener solo dígitos",IF(ISERROR(FIND(LEFT(C588,1),"567")),"ERROR: CUENTA fuera de las clases de costo",IF(NOT(ISNUMBER(E588)),"ERROR: VALOR debe ser numérico",IF(E588=0,"AVISO: valor cero (no se carga)",IF(J588&lt;&gt;"ACTIVO","NO SE CARGA: CECO en estado "&amp;J588,"OK"))))))))))</f>
        <v/>
      </c>
    </row>
    <row r="589">
      <c r="A589" s="5" t="n"/>
      <c r="B589" s="6" t="n"/>
      <c r="C589" s="5" t="n"/>
      <c r="D589" s="6" t="n"/>
      <c r="E589" s="7" t="n"/>
      <c r="F589" s="6" t="n"/>
      <c r="G589" s="8">
        <f>IF(B589="","",IFERROR(VLOOKUP(--B589,'CATALOGO CECO'!$A$2:$H$550,2,FALSE),"CECO NO EXISTE"))</f>
        <v/>
      </c>
      <c r="H589" s="8">
        <f>IF(B589="","",IFERROR(VLOOKUP(--B589,'CATALOGO CECO'!$A$2:$H$550,3,FALSE),""))</f>
        <v/>
      </c>
      <c r="I589" s="8">
        <f>IF(B589="","",IFERROR(VLOOKUP(--B589,'CATALOGO CECO'!$A$2:$H$550,5,FALSE),""))</f>
        <v/>
      </c>
      <c r="J589" s="8">
        <f>IF(B589="","",IFERROR(VLOOKUP(--B589,'CATALOGO CECO'!$A$2:$H$550,8,FALSE),""))</f>
        <v/>
      </c>
      <c r="K589" s="8">
        <f>IF(COUNTA(A589:F589)=0,"",IF(OR(LEN(A589)&lt;&gt;7,MID(A589,5,1)&lt;&gt;"-",ISERROR(--LEFT(A589,4)),ISERROR(--RIGHT(A589,2))),"ERROR: PERIODO debe ser AAAA-MM",IF(B589="","ERROR: falta CODIGO CECO",IF(G589="CECO NO EXISTE","ERROR: CECO no existe en el catálogo",IF(C589="","ERROR: falta CUENTA",IF(ISERROR(--C589),"ERROR: CUENTA debe tener solo dígitos",IF(ISERROR(FIND(LEFT(C589,1),"567")),"ERROR: CUENTA fuera de las clases de costo",IF(NOT(ISNUMBER(E589)),"ERROR: VALOR debe ser numérico",IF(E589=0,"AVISO: valor cero (no se carga)",IF(J589&lt;&gt;"ACTIVO","NO SE CARGA: CECO en estado "&amp;J589,"OK"))))))))))</f>
        <v/>
      </c>
    </row>
    <row r="590">
      <c r="A590" s="5" t="n"/>
      <c r="B590" s="6" t="n"/>
      <c r="C590" s="5" t="n"/>
      <c r="D590" s="6" t="n"/>
      <c r="E590" s="7" t="n"/>
      <c r="F590" s="6" t="n"/>
      <c r="G590" s="8">
        <f>IF(B590="","",IFERROR(VLOOKUP(--B590,'CATALOGO CECO'!$A$2:$H$550,2,FALSE),"CECO NO EXISTE"))</f>
        <v/>
      </c>
      <c r="H590" s="8">
        <f>IF(B590="","",IFERROR(VLOOKUP(--B590,'CATALOGO CECO'!$A$2:$H$550,3,FALSE),""))</f>
        <v/>
      </c>
      <c r="I590" s="8">
        <f>IF(B590="","",IFERROR(VLOOKUP(--B590,'CATALOGO CECO'!$A$2:$H$550,5,FALSE),""))</f>
        <v/>
      </c>
      <c r="J590" s="8">
        <f>IF(B590="","",IFERROR(VLOOKUP(--B590,'CATALOGO CECO'!$A$2:$H$550,8,FALSE),""))</f>
        <v/>
      </c>
      <c r="K590" s="8">
        <f>IF(COUNTA(A590:F590)=0,"",IF(OR(LEN(A590)&lt;&gt;7,MID(A590,5,1)&lt;&gt;"-",ISERROR(--LEFT(A590,4)),ISERROR(--RIGHT(A590,2))),"ERROR: PERIODO debe ser AAAA-MM",IF(B590="","ERROR: falta CODIGO CECO",IF(G590="CECO NO EXISTE","ERROR: CECO no existe en el catálogo",IF(C590="","ERROR: falta CUENTA",IF(ISERROR(--C590),"ERROR: CUENTA debe tener solo dígitos",IF(ISERROR(FIND(LEFT(C590,1),"567")),"ERROR: CUENTA fuera de las clases de costo",IF(NOT(ISNUMBER(E590)),"ERROR: VALOR debe ser numérico",IF(E590=0,"AVISO: valor cero (no se carga)",IF(J590&lt;&gt;"ACTIVO","NO SE CARGA: CECO en estado "&amp;J590,"OK"))))))))))</f>
        <v/>
      </c>
    </row>
    <row r="591">
      <c r="A591" s="5" t="n"/>
      <c r="B591" s="6" t="n"/>
      <c r="C591" s="5" t="n"/>
      <c r="D591" s="6" t="n"/>
      <c r="E591" s="7" t="n"/>
      <c r="F591" s="6" t="n"/>
      <c r="G591" s="8">
        <f>IF(B591="","",IFERROR(VLOOKUP(--B591,'CATALOGO CECO'!$A$2:$H$550,2,FALSE),"CECO NO EXISTE"))</f>
        <v/>
      </c>
      <c r="H591" s="8">
        <f>IF(B591="","",IFERROR(VLOOKUP(--B591,'CATALOGO CECO'!$A$2:$H$550,3,FALSE),""))</f>
        <v/>
      </c>
      <c r="I591" s="8">
        <f>IF(B591="","",IFERROR(VLOOKUP(--B591,'CATALOGO CECO'!$A$2:$H$550,5,FALSE),""))</f>
        <v/>
      </c>
      <c r="J591" s="8">
        <f>IF(B591="","",IFERROR(VLOOKUP(--B591,'CATALOGO CECO'!$A$2:$H$550,8,FALSE),""))</f>
        <v/>
      </c>
      <c r="K591" s="8">
        <f>IF(COUNTA(A591:F591)=0,"",IF(OR(LEN(A591)&lt;&gt;7,MID(A591,5,1)&lt;&gt;"-",ISERROR(--LEFT(A591,4)),ISERROR(--RIGHT(A591,2))),"ERROR: PERIODO debe ser AAAA-MM",IF(B591="","ERROR: falta CODIGO CECO",IF(G591="CECO NO EXISTE","ERROR: CECO no existe en el catálogo",IF(C591="","ERROR: falta CUENTA",IF(ISERROR(--C591),"ERROR: CUENTA debe tener solo dígitos",IF(ISERROR(FIND(LEFT(C591,1),"567")),"ERROR: CUENTA fuera de las clases de costo",IF(NOT(ISNUMBER(E591)),"ERROR: VALOR debe ser numérico",IF(E591=0,"AVISO: valor cero (no se carga)",IF(J591&lt;&gt;"ACTIVO","NO SE CARGA: CECO en estado "&amp;J591,"OK"))))))))))</f>
        <v/>
      </c>
    </row>
    <row r="592">
      <c r="A592" s="5" t="n"/>
      <c r="B592" s="6" t="n"/>
      <c r="C592" s="5" t="n"/>
      <c r="D592" s="6" t="n"/>
      <c r="E592" s="7" t="n"/>
      <c r="F592" s="6" t="n"/>
      <c r="G592" s="8">
        <f>IF(B592="","",IFERROR(VLOOKUP(--B592,'CATALOGO CECO'!$A$2:$H$550,2,FALSE),"CECO NO EXISTE"))</f>
        <v/>
      </c>
      <c r="H592" s="8">
        <f>IF(B592="","",IFERROR(VLOOKUP(--B592,'CATALOGO CECO'!$A$2:$H$550,3,FALSE),""))</f>
        <v/>
      </c>
      <c r="I592" s="8">
        <f>IF(B592="","",IFERROR(VLOOKUP(--B592,'CATALOGO CECO'!$A$2:$H$550,5,FALSE),""))</f>
        <v/>
      </c>
      <c r="J592" s="8">
        <f>IF(B592="","",IFERROR(VLOOKUP(--B592,'CATALOGO CECO'!$A$2:$H$550,8,FALSE),""))</f>
        <v/>
      </c>
      <c r="K592" s="8">
        <f>IF(COUNTA(A592:F592)=0,"",IF(OR(LEN(A592)&lt;&gt;7,MID(A592,5,1)&lt;&gt;"-",ISERROR(--LEFT(A592,4)),ISERROR(--RIGHT(A592,2))),"ERROR: PERIODO debe ser AAAA-MM",IF(B592="","ERROR: falta CODIGO CECO",IF(G592="CECO NO EXISTE","ERROR: CECO no existe en el catálogo",IF(C592="","ERROR: falta CUENTA",IF(ISERROR(--C592),"ERROR: CUENTA debe tener solo dígitos",IF(ISERROR(FIND(LEFT(C592,1),"567")),"ERROR: CUENTA fuera de las clases de costo",IF(NOT(ISNUMBER(E592)),"ERROR: VALOR debe ser numérico",IF(E592=0,"AVISO: valor cero (no se carga)",IF(J592&lt;&gt;"ACTIVO","NO SE CARGA: CECO en estado "&amp;J592,"OK"))))))))))</f>
        <v/>
      </c>
    </row>
    <row r="593">
      <c r="A593" s="5" t="n"/>
      <c r="B593" s="6" t="n"/>
      <c r="C593" s="5" t="n"/>
      <c r="D593" s="6" t="n"/>
      <c r="E593" s="7" t="n"/>
      <c r="F593" s="6" t="n"/>
      <c r="G593" s="8">
        <f>IF(B593="","",IFERROR(VLOOKUP(--B593,'CATALOGO CECO'!$A$2:$H$550,2,FALSE),"CECO NO EXISTE"))</f>
        <v/>
      </c>
      <c r="H593" s="8">
        <f>IF(B593="","",IFERROR(VLOOKUP(--B593,'CATALOGO CECO'!$A$2:$H$550,3,FALSE),""))</f>
        <v/>
      </c>
      <c r="I593" s="8">
        <f>IF(B593="","",IFERROR(VLOOKUP(--B593,'CATALOGO CECO'!$A$2:$H$550,5,FALSE),""))</f>
        <v/>
      </c>
      <c r="J593" s="8">
        <f>IF(B593="","",IFERROR(VLOOKUP(--B593,'CATALOGO CECO'!$A$2:$H$550,8,FALSE),""))</f>
        <v/>
      </c>
      <c r="K593" s="8">
        <f>IF(COUNTA(A593:F593)=0,"",IF(OR(LEN(A593)&lt;&gt;7,MID(A593,5,1)&lt;&gt;"-",ISERROR(--LEFT(A593,4)),ISERROR(--RIGHT(A593,2))),"ERROR: PERIODO debe ser AAAA-MM",IF(B593="","ERROR: falta CODIGO CECO",IF(G593="CECO NO EXISTE","ERROR: CECO no existe en el catálogo",IF(C593="","ERROR: falta CUENTA",IF(ISERROR(--C593),"ERROR: CUENTA debe tener solo dígitos",IF(ISERROR(FIND(LEFT(C593,1),"567")),"ERROR: CUENTA fuera de las clases de costo",IF(NOT(ISNUMBER(E593)),"ERROR: VALOR debe ser numérico",IF(E593=0,"AVISO: valor cero (no se carga)",IF(J593&lt;&gt;"ACTIVO","NO SE CARGA: CECO en estado "&amp;J593,"OK"))))))))))</f>
        <v/>
      </c>
    </row>
    <row r="594">
      <c r="A594" s="5" t="n"/>
      <c r="B594" s="6" t="n"/>
      <c r="C594" s="5" t="n"/>
      <c r="D594" s="6" t="n"/>
      <c r="E594" s="7" t="n"/>
      <c r="F594" s="6" t="n"/>
      <c r="G594" s="8">
        <f>IF(B594="","",IFERROR(VLOOKUP(--B594,'CATALOGO CECO'!$A$2:$H$550,2,FALSE),"CECO NO EXISTE"))</f>
        <v/>
      </c>
      <c r="H594" s="8">
        <f>IF(B594="","",IFERROR(VLOOKUP(--B594,'CATALOGO CECO'!$A$2:$H$550,3,FALSE),""))</f>
        <v/>
      </c>
      <c r="I594" s="8">
        <f>IF(B594="","",IFERROR(VLOOKUP(--B594,'CATALOGO CECO'!$A$2:$H$550,5,FALSE),""))</f>
        <v/>
      </c>
      <c r="J594" s="8">
        <f>IF(B594="","",IFERROR(VLOOKUP(--B594,'CATALOGO CECO'!$A$2:$H$550,8,FALSE),""))</f>
        <v/>
      </c>
      <c r="K594" s="8">
        <f>IF(COUNTA(A594:F594)=0,"",IF(OR(LEN(A594)&lt;&gt;7,MID(A594,5,1)&lt;&gt;"-",ISERROR(--LEFT(A594,4)),ISERROR(--RIGHT(A594,2))),"ERROR: PERIODO debe ser AAAA-MM",IF(B594="","ERROR: falta CODIGO CECO",IF(G594="CECO NO EXISTE","ERROR: CECO no existe en el catálogo",IF(C594="","ERROR: falta CUENTA",IF(ISERROR(--C594),"ERROR: CUENTA debe tener solo dígitos",IF(ISERROR(FIND(LEFT(C594,1),"567")),"ERROR: CUENTA fuera de las clases de costo",IF(NOT(ISNUMBER(E594)),"ERROR: VALOR debe ser numérico",IF(E594=0,"AVISO: valor cero (no se carga)",IF(J594&lt;&gt;"ACTIVO","NO SE CARGA: CECO en estado "&amp;J594,"OK"))))))))))</f>
        <v/>
      </c>
    </row>
    <row r="595">
      <c r="A595" s="5" t="n"/>
      <c r="B595" s="6" t="n"/>
      <c r="C595" s="5" t="n"/>
      <c r="D595" s="6" t="n"/>
      <c r="E595" s="7" t="n"/>
      <c r="F595" s="6" t="n"/>
      <c r="G595" s="8">
        <f>IF(B595="","",IFERROR(VLOOKUP(--B595,'CATALOGO CECO'!$A$2:$H$550,2,FALSE),"CECO NO EXISTE"))</f>
        <v/>
      </c>
      <c r="H595" s="8">
        <f>IF(B595="","",IFERROR(VLOOKUP(--B595,'CATALOGO CECO'!$A$2:$H$550,3,FALSE),""))</f>
        <v/>
      </c>
      <c r="I595" s="8">
        <f>IF(B595="","",IFERROR(VLOOKUP(--B595,'CATALOGO CECO'!$A$2:$H$550,5,FALSE),""))</f>
        <v/>
      </c>
      <c r="J595" s="8">
        <f>IF(B595="","",IFERROR(VLOOKUP(--B595,'CATALOGO CECO'!$A$2:$H$550,8,FALSE),""))</f>
        <v/>
      </c>
      <c r="K595" s="8">
        <f>IF(COUNTA(A595:F595)=0,"",IF(OR(LEN(A595)&lt;&gt;7,MID(A595,5,1)&lt;&gt;"-",ISERROR(--LEFT(A595,4)),ISERROR(--RIGHT(A595,2))),"ERROR: PERIODO debe ser AAAA-MM",IF(B595="","ERROR: falta CODIGO CECO",IF(G595="CECO NO EXISTE","ERROR: CECO no existe en el catálogo",IF(C595="","ERROR: falta CUENTA",IF(ISERROR(--C595),"ERROR: CUENTA debe tener solo dígitos",IF(ISERROR(FIND(LEFT(C595,1),"567")),"ERROR: CUENTA fuera de las clases de costo",IF(NOT(ISNUMBER(E595)),"ERROR: VALOR debe ser numérico",IF(E595=0,"AVISO: valor cero (no se carga)",IF(J595&lt;&gt;"ACTIVO","NO SE CARGA: CECO en estado "&amp;J595,"OK"))))))))))</f>
        <v/>
      </c>
    </row>
    <row r="596">
      <c r="A596" s="5" t="n"/>
      <c r="B596" s="6" t="n"/>
      <c r="C596" s="5" t="n"/>
      <c r="D596" s="6" t="n"/>
      <c r="E596" s="7" t="n"/>
      <c r="F596" s="6" t="n"/>
      <c r="G596" s="8">
        <f>IF(B596="","",IFERROR(VLOOKUP(--B596,'CATALOGO CECO'!$A$2:$H$550,2,FALSE),"CECO NO EXISTE"))</f>
        <v/>
      </c>
      <c r="H596" s="8">
        <f>IF(B596="","",IFERROR(VLOOKUP(--B596,'CATALOGO CECO'!$A$2:$H$550,3,FALSE),""))</f>
        <v/>
      </c>
      <c r="I596" s="8">
        <f>IF(B596="","",IFERROR(VLOOKUP(--B596,'CATALOGO CECO'!$A$2:$H$550,5,FALSE),""))</f>
        <v/>
      </c>
      <c r="J596" s="8">
        <f>IF(B596="","",IFERROR(VLOOKUP(--B596,'CATALOGO CECO'!$A$2:$H$550,8,FALSE),""))</f>
        <v/>
      </c>
      <c r="K596" s="8">
        <f>IF(COUNTA(A596:F596)=0,"",IF(OR(LEN(A596)&lt;&gt;7,MID(A596,5,1)&lt;&gt;"-",ISERROR(--LEFT(A596,4)),ISERROR(--RIGHT(A596,2))),"ERROR: PERIODO debe ser AAAA-MM",IF(B596="","ERROR: falta CODIGO CECO",IF(G596="CECO NO EXISTE","ERROR: CECO no existe en el catálogo",IF(C596="","ERROR: falta CUENTA",IF(ISERROR(--C596),"ERROR: CUENTA debe tener solo dígitos",IF(ISERROR(FIND(LEFT(C596,1),"567")),"ERROR: CUENTA fuera de las clases de costo",IF(NOT(ISNUMBER(E596)),"ERROR: VALOR debe ser numérico",IF(E596=0,"AVISO: valor cero (no se carga)",IF(J596&lt;&gt;"ACTIVO","NO SE CARGA: CECO en estado "&amp;J596,"OK"))))))))))</f>
        <v/>
      </c>
    </row>
    <row r="597">
      <c r="A597" s="5" t="n"/>
      <c r="B597" s="6" t="n"/>
      <c r="C597" s="5" t="n"/>
      <c r="D597" s="6" t="n"/>
      <c r="E597" s="7" t="n"/>
      <c r="F597" s="6" t="n"/>
      <c r="G597" s="8">
        <f>IF(B597="","",IFERROR(VLOOKUP(--B597,'CATALOGO CECO'!$A$2:$H$550,2,FALSE),"CECO NO EXISTE"))</f>
        <v/>
      </c>
      <c r="H597" s="8">
        <f>IF(B597="","",IFERROR(VLOOKUP(--B597,'CATALOGO CECO'!$A$2:$H$550,3,FALSE),""))</f>
        <v/>
      </c>
      <c r="I597" s="8">
        <f>IF(B597="","",IFERROR(VLOOKUP(--B597,'CATALOGO CECO'!$A$2:$H$550,5,FALSE),""))</f>
        <v/>
      </c>
      <c r="J597" s="8">
        <f>IF(B597="","",IFERROR(VLOOKUP(--B597,'CATALOGO CECO'!$A$2:$H$550,8,FALSE),""))</f>
        <v/>
      </c>
      <c r="K597" s="8">
        <f>IF(COUNTA(A597:F597)=0,"",IF(OR(LEN(A597)&lt;&gt;7,MID(A597,5,1)&lt;&gt;"-",ISERROR(--LEFT(A597,4)),ISERROR(--RIGHT(A597,2))),"ERROR: PERIODO debe ser AAAA-MM",IF(B597="","ERROR: falta CODIGO CECO",IF(G597="CECO NO EXISTE","ERROR: CECO no existe en el catálogo",IF(C597="","ERROR: falta CUENTA",IF(ISERROR(--C597),"ERROR: CUENTA debe tener solo dígitos",IF(ISERROR(FIND(LEFT(C597,1),"567")),"ERROR: CUENTA fuera de las clases de costo",IF(NOT(ISNUMBER(E597)),"ERROR: VALOR debe ser numérico",IF(E597=0,"AVISO: valor cero (no se carga)",IF(J597&lt;&gt;"ACTIVO","NO SE CARGA: CECO en estado "&amp;J597,"OK"))))))))))</f>
        <v/>
      </c>
    </row>
    <row r="598">
      <c r="A598" s="5" t="n"/>
      <c r="B598" s="6" t="n"/>
      <c r="C598" s="5" t="n"/>
      <c r="D598" s="6" t="n"/>
      <c r="E598" s="7" t="n"/>
      <c r="F598" s="6" t="n"/>
      <c r="G598" s="8">
        <f>IF(B598="","",IFERROR(VLOOKUP(--B598,'CATALOGO CECO'!$A$2:$H$550,2,FALSE),"CECO NO EXISTE"))</f>
        <v/>
      </c>
      <c r="H598" s="8">
        <f>IF(B598="","",IFERROR(VLOOKUP(--B598,'CATALOGO CECO'!$A$2:$H$550,3,FALSE),""))</f>
        <v/>
      </c>
      <c r="I598" s="8">
        <f>IF(B598="","",IFERROR(VLOOKUP(--B598,'CATALOGO CECO'!$A$2:$H$550,5,FALSE),""))</f>
        <v/>
      </c>
      <c r="J598" s="8">
        <f>IF(B598="","",IFERROR(VLOOKUP(--B598,'CATALOGO CECO'!$A$2:$H$550,8,FALSE),""))</f>
        <v/>
      </c>
      <c r="K598" s="8">
        <f>IF(COUNTA(A598:F598)=0,"",IF(OR(LEN(A598)&lt;&gt;7,MID(A598,5,1)&lt;&gt;"-",ISERROR(--LEFT(A598,4)),ISERROR(--RIGHT(A598,2))),"ERROR: PERIODO debe ser AAAA-MM",IF(B598="","ERROR: falta CODIGO CECO",IF(G598="CECO NO EXISTE","ERROR: CECO no existe en el catálogo",IF(C598="","ERROR: falta CUENTA",IF(ISERROR(--C598),"ERROR: CUENTA debe tener solo dígitos",IF(ISERROR(FIND(LEFT(C598,1),"567")),"ERROR: CUENTA fuera de las clases de costo",IF(NOT(ISNUMBER(E598)),"ERROR: VALOR debe ser numérico",IF(E598=0,"AVISO: valor cero (no se carga)",IF(J598&lt;&gt;"ACTIVO","NO SE CARGA: CECO en estado "&amp;J598,"OK"))))))))))</f>
        <v/>
      </c>
    </row>
    <row r="599">
      <c r="A599" s="5" t="n"/>
      <c r="B599" s="6" t="n"/>
      <c r="C599" s="5" t="n"/>
      <c r="D599" s="6" t="n"/>
      <c r="E599" s="7" t="n"/>
      <c r="F599" s="6" t="n"/>
      <c r="G599" s="8">
        <f>IF(B599="","",IFERROR(VLOOKUP(--B599,'CATALOGO CECO'!$A$2:$H$550,2,FALSE),"CECO NO EXISTE"))</f>
        <v/>
      </c>
      <c r="H599" s="8">
        <f>IF(B599="","",IFERROR(VLOOKUP(--B599,'CATALOGO CECO'!$A$2:$H$550,3,FALSE),""))</f>
        <v/>
      </c>
      <c r="I599" s="8">
        <f>IF(B599="","",IFERROR(VLOOKUP(--B599,'CATALOGO CECO'!$A$2:$H$550,5,FALSE),""))</f>
        <v/>
      </c>
      <c r="J599" s="8">
        <f>IF(B599="","",IFERROR(VLOOKUP(--B599,'CATALOGO CECO'!$A$2:$H$550,8,FALSE),""))</f>
        <v/>
      </c>
      <c r="K599" s="8">
        <f>IF(COUNTA(A599:F599)=0,"",IF(OR(LEN(A599)&lt;&gt;7,MID(A599,5,1)&lt;&gt;"-",ISERROR(--LEFT(A599,4)),ISERROR(--RIGHT(A599,2))),"ERROR: PERIODO debe ser AAAA-MM",IF(B599="","ERROR: falta CODIGO CECO",IF(G599="CECO NO EXISTE","ERROR: CECO no existe en el catálogo",IF(C599="","ERROR: falta CUENTA",IF(ISERROR(--C599),"ERROR: CUENTA debe tener solo dígitos",IF(ISERROR(FIND(LEFT(C599,1),"567")),"ERROR: CUENTA fuera de las clases de costo",IF(NOT(ISNUMBER(E599)),"ERROR: VALOR debe ser numérico",IF(E599=0,"AVISO: valor cero (no se carga)",IF(J599&lt;&gt;"ACTIVO","NO SE CARGA: CECO en estado "&amp;J599,"OK"))))))))))</f>
        <v/>
      </c>
    </row>
    <row r="600">
      <c r="A600" s="5" t="n"/>
      <c r="B600" s="6" t="n"/>
      <c r="C600" s="5" t="n"/>
      <c r="D600" s="6" t="n"/>
      <c r="E600" s="7" t="n"/>
      <c r="F600" s="6" t="n"/>
      <c r="G600" s="8">
        <f>IF(B600="","",IFERROR(VLOOKUP(--B600,'CATALOGO CECO'!$A$2:$H$550,2,FALSE),"CECO NO EXISTE"))</f>
        <v/>
      </c>
      <c r="H600" s="8">
        <f>IF(B600="","",IFERROR(VLOOKUP(--B600,'CATALOGO CECO'!$A$2:$H$550,3,FALSE),""))</f>
        <v/>
      </c>
      <c r="I600" s="8">
        <f>IF(B600="","",IFERROR(VLOOKUP(--B600,'CATALOGO CECO'!$A$2:$H$550,5,FALSE),""))</f>
        <v/>
      </c>
      <c r="J600" s="8">
        <f>IF(B600="","",IFERROR(VLOOKUP(--B600,'CATALOGO CECO'!$A$2:$H$550,8,FALSE),""))</f>
        <v/>
      </c>
      <c r="K600" s="8">
        <f>IF(COUNTA(A600:F600)=0,"",IF(OR(LEN(A600)&lt;&gt;7,MID(A600,5,1)&lt;&gt;"-",ISERROR(--LEFT(A600,4)),ISERROR(--RIGHT(A600,2))),"ERROR: PERIODO debe ser AAAA-MM",IF(B600="","ERROR: falta CODIGO CECO",IF(G600="CECO NO EXISTE","ERROR: CECO no existe en el catálogo",IF(C600="","ERROR: falta CUENTA",IF(ISERROR(--C600),"ERROR: CUENTA debe tener solo dígitos",IF(ISERROR(FIND(LEFT(C600,1),"567")),"ERROR: CUENTA fuera de las clases de costo",IF(NOT(ISNUMBER(E600)),"ERROR: VALOR debe ser numérico",IF(E600=0,"AVISO: valor cero (no se carga)",IF(J600&lt;&gt;"ACTIVO","NO SE CARGA: CECO en estado "&amp;J600,"OK"))))))))))</f>
        <v/>
      </c>
    </row>
    <row r="601">
      <c r="A601" s="5" t="n"/>
      <c r="B601" s="6" t="n"/>
      <c r="C601" s="5" t="n"/>
      <c r="D601" s="6" t="n"/>
      <c r="E601" s="7" t="n"/>
      <c r="F601" s="6" t="n"/>
      <c r="G601" s="8">
        <f>IF(B601="","",IFERROR(VLOOKUP(--B601,'CATALOGO CECO'!$A$2:$H$550,2,FALSE),"CECO NO EXISTE"))</f>
        <v/>
      </c>
      <c r="H601" s="8">
        <f>IF(B601="","",IFERROR(VLOOKUP(--B601,'CATALOGO CECO'!$A$2:$H$550,3,FALSE),""))</f>
        <v/>
      </c>
      <c r="I601" s="8">
        <f>IF(B601="","",IFERROR(VLOOKUP(--B601,'CATALOGO CECO'!$A$2:$H$550,5,FALSE),""))</f>
        <v/>
      </c>
      <c r="J601" s="8">
        <f>IF(B601="","",IFERROR(VLOOKUP(--B601,'CATALOGO CECO'!$A$2:$H$550,8,FALSE),""))</f>
        <v/>
      </c>
      <c r="K601" s="8">
        <f>IF(COUNTA(A601:F601)=0,"",IF(OR(LEN(A601)&lt;&gt;7,MID(A601,5,1)&lt;&gt;"-",ISERROR(--LEFT(A601,4)),ISERROR(--RIGHT(A601,2))),"ERROR: PERIODO debe ser AAAA-MM",IF(B601="","ERROR: falta CODIGO CECO",IF(G601="CECO NO EXISTE","ERROR: CECO no existe en el catálogo",IF(C601="","ERROR: falta CUENTA",IF(ISERROR(--C601),"ERROR: CUENTA debe tener solo dígitos",IF(ISERROR(FIND(LEFT(C601,1),"567")),"ERROR: CUENTA fuera de las clases de costo",IF(NOT(ISNUMBER(E601)),"ERROR: VALOR debe ser numérico",IF(E601=0,"AVISO: valor cero (no se carga)",IF(J601&lt;&gt;"ACTIVO","NO SE CARGA: CECO en estado "&amp;J601,"OK"))))))))))</f>
        <v/>
      </c>
    </row>
    <row r="602">
      <c r="A602" s="5" t="n"/>
      <c r="B602" s="6" t="n"/>
      <c r="C602" s="5" t="n"/>
      <c r="D602" s="6" t="n"/>
      <c r="E602" s="7" t="n"/>
      <c r="F602" s="6" t="n"/>
      <c r="G602" s="8">
        <f>IF(B602="","",IFERROR(VLOOKUP(--B602,'CATALOGO CECO'!$A$2:$H$550,2,FALSE),"CECO NO EXISTE"))</f>
        <v/>
      </c>
      <c r="H602" s="8">
        <f>IF(B602="","",IFERROR(VLOOKUP(--B602,'CATALOGO CECO'!$A$2:$H$550,3,FALSE),""))</f>
        <v/>
      </c>
      <c r="I602" s="8">
        <f>IF(B602="","",IFERROR(VLOOKUP(--B602,'CATALOGO CECO'!$A$2:$H$550,5,FALSE),""))</f>
        <v/>
      </c>
      <c r="J602" s="8">
        <f>IF(B602="","",IFERROR(VLOOKUP(--B602,'CATALOGO CECO'!$A$2:$H$550,8,FALSE),""))</f>
        <v/>
      </c>
      <c r="K602" s="8">
        <f>IF(COUNTA(A602:F602)=0,"",IF(OR(LEN(A602)&lt;&gt;7,MID(A602,5,1)&lt;&gt;"-",ISERROR(--LEFT(A602,4)),ISERROR(--RIGHT(A602,2))),"ERROR: PERIODO debe ser AAAA-MM",IF(B602="","ERROR: falta CODIGO CECO",IF(G602="CECO NO EXISTE","ERROR: CECO no existe en el catálogo",IF(C602="","ERROR: falta CUENTA",IF(ISERROR(--C602),"ERROR: CUENTA debe tener solo dígitos",IF(ISERROR(FIND(LEFT(C602,1),"567")),"ERROR: CUENTA fuera de las clases de costo",IF(NOT(ISNUMBER(E602)),"ERROR: VALOR debe ser numérico",IF(E602=0,"AVISO: valor cero (no se carga)",IF(J602&lt;&gt;"ACTIVO","NO SE CARGA: CECO en estado "&amp;J602,"OK"))))))))))</f>
        <v/>
      </c>
    </row>
    <row r="603">
      <c r="A603" s="5" t="n"/>
      <c r="B603" s="6" t="n"/>
      <c r="C603" s="5" t="n"/>
      <c r="D603" s="6" t="n"/>
      <c r="E603" s="7" t="n"/>
      <c r="F603" s="6" t="n"/>
      <c r="G603" s="8">
        <f>IF(B603="","",IFERROR(VLOOKUP(--B603,'CATALOGO CECO'!$A$2:$H$550,2,FALSE),"CECO NO EXISTE"))</f>
        <v/>
      </c>
      <c r="H603" s="8">
        <f>IF(B603="","",IFERROR(VLOOKUP(--B603,'CATALOGO CECO'!$A$2:$H$550,3,FALSE),""))</f>
        <v/>
      </c>
      <c r="I603" s="8">
        <f>IF(B603="","",IFERROR(VLOOKUP(--B603,'CATALOGO CECO'!$A$2:$H$550,5,FALSE),""))</f>
        <v/>
      </c>
      <c r="J603" s="8">
        <f>IF(B603="","",IFERROR(VLOOKUP(--B603,'CATALOGO CECO'!$A$2:$H$550,8,FALSE),""))</f>
        <v/>
      </c>
      <c r="K603" s="8">
        <f>IF(COUNTA(A603:F603)=0,"",IF(OR(LEN(A603)&lt;&gt;7,MID(A603,5,1)&lt;&gt;"-",ISERROR(--LEFT(A603,4)),ISERROR(--RIGHT(A603,2))),"ERROR: PERIODO debe ser AAAA-MM",IF(B603="","ERROR: falta CODIGO CECO",IF(G603="CECO NO EXISTE","ERROR: CECO no existe en el catálogo",IF(C603="","ERROR: falta CUENTA",IF(ISERROR(--C603),"ERROR: CUENTA debe tener solo dígitos",IF(ISERROR(FIND(LEFT(C603,1),"567")),"ERROR: CUENTA fuera de las clases de costo",IF(NOT(ISNUMBER(E603)),"ERROR: VALOR debe ser numérico",IF(E603=0,"AVISO: valor cero (no se carga)",IF(J603&lt;&gt;"ACTIVO","NO SE CARGA: CECO en estado "&amp;J603,"OK"))))))))))</f>
        <v/>
      </c>
    </row>
    <row r="604">
      <c r="A604" s="5" t="n"/>
      <c r="B604" s="6" t="n"/>
      <c r="C604" s="5" t="n"/>
      <c r="D604" s="6" t="n"/>
      <c r="E604" s="7" t="n"/>
      <c r="F604" s="6" t="n"/>
      <c r="G604" s="8">
        <f>IF(B604="","",IFERROR(VLOOKUP(--B604,'CATALOGO CECO'!$A$2:$H$550,2,FALSE),"CECO NO EXISTE"))</f>
        <v/>
      </c>
      <c r="H604" s="8">
        <f>IF(B604="","",IFERROR(VLOOKUP(--B604,'CATALOGO CECO'!$A$2:$H$550,3,FALSE),""))</f>
        <v/>
      </c>
      <c r="I604" s="8">
        <f>IF(B604="","",IFERROR(VLOOKUP(--B604,'CATALOGO CECO'!$A$2:$H$550,5,FALSE),""))</f>
        <v/>
      </c>
      <c r="J604" s="8">
        <f>IF(B604="","",IFERROR(VLOOKUP(--B604,'CATALOGO CECO'!$A$2:$H$550,8,FALSE),""))</f>
        <v/>
      </c>
      <c r="K604" s="8">
        <f>IF(COUNTA(A604:F604)=0,"",IF(OR(LEN(A604)&lt;&gt;7,MID(A604,5,1)&lt;&gt;"-",ISERROR(--LEFT(A604,4)),ISERROR(--RIGHT(A604,2))),"ERROR: PERIODO debe ser AAAA-MM",IF(B604="","ERROR: falta CODIGO CECO",IF(G604="CECO NO EXISTE","ERROR: CECO no existe en el catálogo",IF(C604="","ERROR: falta CUENTA",IF(ISERROR(--C604),"ERROR: CUENTA debe tener solo dígitos",IF(ISERROR(FIND(LEFT(C604,1),"567")),"ERROR: CUENTA fuera de las clases de costo",IF(NOT(ISNUMBER(E604)),"ERROR: VALOR debe ser numérico",IF(E604=0,"AVISO: valor cero (no se carga)",IF(J604&lt;&gt;"ACTIVO","NO SE CARGA: CECO en estado "&amp;J604,"OK"))))))))))</f>
        <v/>
      </c>
    </row>
    <row r="605">
      <c r="A605" s="5" t="n"/>
      <c r="B605" s="6" t="n"/>
      <c r="C605" s="5" t="n"/>
      <c r="D605" s="6" t="n"/>
      <c r="E605" s="7" t="n"/>
      <c r="F605" s="6" t="n"/>
      <c r="G605" s="8">
        <f>IF(B605="","",IFERROR(VLOOKUP(--B605,'CATALOGO CECO'!$A$2:$H$550,2,FALSE),"CECO NO EXISTE"))</f>
        <v/>
      </c>
      <c r="H605" s="8">
        <f>IF(B605="","",IFERROR(VLOOKUP(--B605,'CATALOGO CECO'!$A$2:$H$550,3,FALSE),""))</f>
        <v/>
      </c>
      <c r="I605" s="8">
        <f>IF(B605="","",IFERROR(VLOOKUP(--B605,'CATALOGO CECO'!$A$2:$H$550,5,FALSE),""))</f>
        <v/>
      </c>
      <c r="J605" s="8">
        <f>IF(B605="","",IFERROR(VLOOKUP(--B605,'CATALOGO CECO'!$A$2:$H$550,8,FALSE),""))</f>
        <v/>
      </c>
      <c r="K605" s="8">
        <f>IF(COUNTA(A605:F605)=0,"",IF(OR(LEN(A605)&lt;&gt;7,MID(A605,5,1)&lt;&gt;"-",ISERROR(--LEFT(A605,4)),ISERROR(--RIGHT(A605,2))),"ERROR: PERIODO debe ser AAAA-MM",IF(B605="","ERROR: falta CODIGO CECO",IF(G605="CECO NO EXISTE","ERROR: CECO no existe en el catálogo",IF(C605="","ERROR: falta CUENTA",IF(ISERROR(--C605),"ERROR: CUENTA debe tener solo dígitos",IF(ISERROR(FIND(LEFT(C605,1),"567")),"ERROR: CUENTA fuera de las clases de costo",IF(NOT(ISNUMBER(E605)),"ERROR: VALOR debe ser numérico",IF(E605=0,"AVISO: valor cero (no se carga)",IF(J605&lt;&gt;"ACTIVO","NO SE CARGA: CECO en estado "&amp;J605,"OK"))))))))))</f>
        <v/>
      </c>
    </row>
    <row r="606">
      <c r="A606" s="5" t="n"/>
      <c r="B606" s="6" t="n"/>
      <c r="C606" s="5" t="n"/>
      <c r="D606" s="6" t="n"/>
      <c r="E606" s="7" t="n"/>
      <c r="F606" s="6" t="n"/>
      <c r="G606" s="8">
        <f>IF(B606="","",IFERROR(VLOOKUP(--B606,'CATALOGO CECO'!$A$2:$H$550,2,FALSE),"CECO NO EXISTE"))</f>
        <v/>
      </c>
      <c r="H606" s="8">
        <f>IF(B606="","",IFERROR(VLOOKUP(--B606,'CATALOGO CECO'!$A$2:$H$550,3,FALSE),""))</f>
        <v/>
      </c>
      <c r="I606" s="8">
        <f>IF(B606="","",IFERROR(VLOOKUP(--B606,'CATALOGO CECO'!$A$2:$H$550,5,FALSE),""))</f>
        <v/>
      </c>
      <c r="J606" s="8">
        <f>IF(B606="","",IFERROR(VLOOKUP(--B606,'CATALOGO CECO'!$A$2:$H$550,8,FALSE),""))</f>
        <v/>
      </c>
      <c r="K606" s="8">
        <f>IF(COUNTA(A606:F606)=0,"",IF(OR(LEN(A606)&lt;&gt;7,MID(A606,5,1)&lt;&gt;"-",ISERROR(--LEFT(A606,4)),ISERROR(--RIGHT(A606,2))),"ERROR: PERIODO debe ser AAAA-MM",IF(B606="","ERROR: falta CODIGO CECO",IF(G606="CECO NO EXISTE","ERROR: CECO no existe en el catálogo",IF(C606="","ERROR: falta CUENTA",IF(ISERROR(--C606),"ERROR: CUENTA debe tener solo dígitos",IF(ISERROR(FIND(LEFT(C606,1),"567")),"ERROR: CUENTA fuera de las clases de costo",IF(NOT(ISNUMBER(E606)),"ERROR: VALOR debe ser numérico",IF(E606=0,"AVISO: valor cero (no se carga)",IF(J606&lt;&gt;"ACTIVO","NO SE CARGA: CECO en estado "&amp;J606,"OK"))))))))))</f>
        <v/>
      </c>
    </row>
    <row r="607">
      <c r="A607" s="5" t="n"/>
      <c r="B607" s="6" t="n"/>
      <c r="C607" s="5" t="n"/>
      <c r="D607" s="6" t="n"/>
      <c r="E607" s="7" t="n"/>
      <c r="F607" s="6" t="n"/>
      <c r="G607" s="8">
        <f>IF(B607="","",IFERROR(VLOOKUP(--B607,'CATALOGO CECO'!$A$2:$H$550,2,FALSE),"CECO NO EXISTE"))</f>
        <v/>
      </c>
      <c r="H607" s="8">
        <f>IF(B607="","",IFERROR(VLOOKUP(--B607,'CATALOGO CECO'!$A$2:$H$550,3,FALSE),""))</f>
        <v/>
      </c>
      <c r="I607" s="8">
        <f>IF(B607="","",IFERROR(VLOOKUP(--B607,'CATALOGO CECO'!$A$2:$H$550,5,FALSE),""))</f>
        <v/>
      </c>
      <c r="J607" s="8">
        <f>IF(B607="","",IFERROR(VLOOKUP(--B607,'CATALOGO CECO'!$A$2:$H$550,8,FALSE),""))</f>
        <v/>
      </c>
      <c r="K607" s="8">
        <f>IF(COUNTA(A607:F607)=0,"",IF(OR(LEN(A607)&lt;&gt;7,MID(A607,5,1)&lt;&gt;"-",ISERROR(--LEFT(A607,4)),ISERROR(--RIGHT(A607,2))),"ERROR: PERIODO debe ser AAAA-MM",IF(B607="","ERROR: falta CODIGO CECO",IF(G607="CECO NO EXISTE","ERROR: CECO no existe en el catálogo",IF(C607="","ERROR: falta CUENTA",IF(ISERROR(--C607),"ERROR: CUENTA debe tener solo dígitos",IF(ISERROR(FIND(LEFT(C607,1),"567")),"ERROR: CUENTA fuera de las clases de costo",IF(NOT(ISNUMBER(E607)),"ERROR: VALOR debe ser numérico",IF(E607=0,"AVISO: valor cero (no se carga)",IF(J607&lt;&gt;"ACTIVO","NO SE CARGA: CECO en estado "&amp;J607,"OK"))))))))))</f>
        <v/>
      </c>
    </row>
    <row r="608">
      <c r="A608" s="5" t="n"/>
      <c r="B608" s="6" t="n"/>
      <c r="C608" s="5" t="n"/>
      <c r="D608" s="6" t="n"/>
      <c r="E608" s="7" t="n"/>
      <c r="F608" s="6" t="n"/>
      <c r="G608" s="8">
        <f>IF(B608="","",IFERROR(VLOOKUP(--B608,'CATALOGO CECO'!$A$2:$H$550,2,FALSE),"CECO NO EXISTE"))</f>
        <v/>
      </c>
      <c r="H608" s="8">
        <f>IF(B608="","",IFERROR(VLOOKUP(--B608,'CATALOGO CECO'!$A$2:$H$550,3,FALSE),""))</f>
        <v/>
      </c>
      <c r="I608" s="8">
        <f>IF(B608="","",IFERROR(VLOOKUP(--B608,'CATALOGO CECO'!$A$2:$H$550,5,FALSE),""))</f>
        <v/>
      </c>
      <c r="J608" s="8">
        <f>IF(B608="","",IFERROR(VLOOKUP(--B608,'CATALOGO CECO'!$A$2:$H$550,8,FALSE),""))</f>
        <v/>
      </c>
      <c r="K608" s="8">
        <f>IF(COUNTA(A608:F608)=0,"",IF(OR(LEN(A608)&lt;&gt;7,MID(A608,5,1)&lt;&gt;"-",ISERROR(--LEFT(A608,4)),ISERROR(--RIGHT(A608,2))),"ERROR: PERIODO debe ser AAAA-MM",IF(B608="","ERROR: falta CODIGO CECO",IF(G608="CECO NO EXISTE","ERROR: CECO no existe en el catálogo",IF(C608="","ERROR: falta CUENTA",IF(ISERROR(--C608),"ERROR: CUENTA debe tener solo dígitos",IF(ISERROR(FIND(LEFT(C608,1),"567")),"ERROR: CUENTA fuera de las clases de costo",IF(NOT(ISNUMBER(E608)),"ERROR: VALOR debe ser numérico",IF(E608=0,"AVISO: valor cero (no se carga)",IF(J608&lt;&gt;"ACTIVO","NO SE CARGA: CECO en estado "&amp;J608,"OK"))))))))))</f>
        <v/>
      </c>
    </row>
    <row r="609">
      <c r="A609" s="5" t="n"/>
      <c r="B609" s="6" t="n"/>
      <c r="C609" s="5" t="n"/>
      <c r="D609" s="6" t="n"/>
      <c r="E609" s="7" t="n"/>
      <c r="F609" s="6" t="n"/>
      <c r="G609" s="8">
        <f>IF(B609="","",IFERROR(VLOOKUP(--B609,'CATALOGO CECO'!$A$2:$H$550,2,FALSE),"CECO NO EXISTE"))</f>
        <v/>
      </c>
      <c r="H609" s="8">
        <f>IF(B609="","",IFERROR(VLOOKUP(--B609,'CATALOGO CECO'!$A$2:$H$550,3,FALSE),""))</f>
        <v/>
      </c>
      <c r="I609" s="8">
        <f>IF(B609="","",IFERROR(VLOOKUP(--B609,'CATALOGO CECO'!$A$2:$H$550,5,FALSE),""))</f>
        <v/>
      </c>
      <c r="J609" s="8">
        <f>IF(B609="","",IFERROR(VLOOKUP(--B609,'CATALOGO CECO'!$A$2:$H$550,8,FALSE),""))</f>
        <v/>
      </c>
      <c r="K609" s="8">
        <f>IF(COUNTA(A609:F609)=0,"",IF(OR(LEN(A609)&lt;&gt;7,MID(A609,5,1)&lt;&gt;"-",ISERROR(--LEFT(A609,4)),ISERROR(--RIGHT(A609,2))),"ERROR: PERIODO debe ser AAAA-MM",IF(B609="","ERROR: falta CODIGO CECO",IF(G609="CECO NO EXISTE","ERROR: CECO no existe en el catálogo",IF(C609="","ERROR: falta CUENTA",IF(ISERROR(--C609),"ERROR: CUENTA debe tener solo dígitos",IF(ISERROR(FIND(LEFT(C609,1),"567")),"ERROR: CUENTA fuera de las clases de costo",IF(NOT(ISNUMBER(E609)),"ERROR: VALOR debe ser numérico",IF(E609=0,"AVISO: valor cero (no se carga)",IF(J609&lt;&gt;"ACTIVO","NO SE CARGA: CECO en estado "&amp;J609,"OK"))))))))))</f>
        <v/>
      </c>
    </row>
    <row r="610">
      <c r="A610" s="5" t="n"/>
      <c r="B610" s="6" t="n"/>
      <c r="C610" s="5" t="n"/>
      <c r="D610" s="6" t="n"/>
      <c r="E610" s="7" t="n"/>
      <c r="F610" s="6" t="n"/>
      <c r="G610" s="8">
        <f>IF(B610="","",IFERROR(VLOOKUP(--B610,'CATALOGO CECO'!$A$2:$H$550,2,FALSE),"CECO NO EXISTE"))</f>
        <v/>
      </c>
      <c r="H610" s="8">
        <f>IF(B610="","",IFERROR(VLOOKUP(--B610,'CATALOGO CECO'!$A$2:$H$550,3,FALSE),""))</f>
        <v/>
      </c>
      <c r="I610" s="8">
        <f>IF(B610="","",IFERROR(VLOOKUP(--B610,'CATALOGO CECO'!$A$2:$H$550,5,FALSE),""))</f>
        <v/>
      </c>
      <c r="J610" s="8">
        <f>IF(B610="","",IFERROR(VLOOKUP(--B610,'CATALOGO CECO'!$A$2:$H$550,8,FALSE),""))</f>
        <v/>
      </c>
      <c r="K610" s="8">
        <f>IF(COUNTA(A610:F610)=0,"",IF(OR(LEN(A610)&lt;&gt;7,MID(A610,5,1)&lt;&gt;"-",ISERROR(--LEFT(A610,4)),ISERROR(--RIGHT(A610,2))),"ERROR: PERIODO debe ser AAAA-MM",IF(B610="","ERROR: falta CODIGO CECO",IF(G610="CECO NO EXISTE","ERROR: CECO no existe en el catálogo",IF(C610="","ERROR: falta CUENTA",IF(ISERROR(--C610),"ERROR: CUENTA debe tener solo dígitos",IF(ISERROR(FIND(LEFT(C610,1),"567")),"ERROR: CUENTA fuera de las clases de costo",IF(NOT(ISNUMBER(E610)),"ERROR: VALOR debe ser numérico",IF(E610=0,"AVISO: valor cero (no se carga)",IF(J610&lt;&gt;"ACTIVO","NO SE CARGA: CECO en estado "&amp;J610,"OK"))))))))))</f>
        <v/>
      </c>
    </row>
    <row r="611">
      <c r="A611" s="5" t="n"/>
      <c r="B611" s="6" t="n"/>
      <c r="C611" s="5" t="n"/>
      <c r="D611" s="6" t="n"/>
      <c r="E611" s="7" t="n"/>
      <c r="F611" s="6" t="n"/>
      <c r="G611" s="8">
        <f>IF(B611="","",IFERROR(VLOOKUP(--B611,'CATALOGO CECO'!$A$2:$H$550,2,FALSE),"CECO NO EXISTE"))</f>
        <v/>
      </c>
      <c r="H611" s="8">
        <f>IF(B611="","",IFERROR(VLOOKUP(--B611,'CATALOGO CECO'!$A$2:$H$550,3,FALSE),""))</f>
        <v/>
      </c>
      <c r="I611" s="8">
        <f>IF(B611="","",IFERROR(VLOOKUP(--B611,'CATALOGO CECO'!$A$2:$H$550,5,FALSE),""))</f>
        <v/>
      </c>
      <c r="J611" s="8">
        <f>IF(B611="","",IFERROR(VLOOKUP(--B611,'CATALOGO CECO'!$A$2:$H$550,8,FALSE),""))</f>
        <v/>
      </c>
      <c r="K611" s="8">
        <f>IF(COUNTA(A611:F611)=0,"",IF(OR(LEN(A611)&lt;&gt;7,MID(A611,5,1)&lt;&gt;"-",ISERROR(--LEFT(A611,4)),ISERROR(--RIGHT(A611,2))),"ERROR: PERIODO debe ser AAAA-MM",IF(B611="","ERROR: falta CODIGO CECO",IF(G611="CECO NO EXISTE","ERROR: CECO no existe en el catálogo",IF(C611="","ERROR: falta CUENTA",IF(ISERROR(--C611),"ERROR: CUENTA debe tener solo dígitos",IF(ISERROR(FIND(LEFT(C611,1),"567")),"ERROR: CUENTA fuera de las clases de costo",IF(NOT(ISNUMBER(E611)),"ERROR: VALOR debe ser numérico",IF(E611=0,"AVISO: valor cero (no se carga)",IF(J611&lt;&gt;"ACTIVO","NO SE CARGA: CECO en estado "&amp;J611,"OK"))))))))))</f>
        <v/>
      </c>
    </row>
    <row r="612">
      <c r="A612" s="5" t="n"/>
      <c r="B612" s="6" t="n"/>
      <c r="C612" s="5" t="n"/>
      <c r="D612" s="6" t="n"/>
      <c r="E612" s="7" t="n"/>
      <c r="F612" s="6" t="n"/>
      <c r="G612" s="8">
        <f>IF(B612="","",IFERROR(VLOOKUP(--B612,'CATALOGO CECO'!$A$2:$H$550,2,FALSE),"CECO NO EXISTE"))</f>
        <v/>
      </c>
      <c r="H612" s="8">
        <f>IF(B612="","",IFERROR(VLOOKUP(--B612,'CATALOGO CECO'!$A$2:$H$550,3,FALSE),""))</f>
        <v/>
      </c>
      <c r="I612" s="8">
        <f>IF(B612="","",IFERROR(VLOOKUP(--B612,'CATALOGO CECO'!$A$2:$H$550,5,FALSE),""))</f>
        <v/>
      </c>
      <c r="J612" s="8">
        <f>IF(B612="","",IFERROR(VLOOKUP(--B612,'CATALOGO CECO'!$A$2:$H$550,8,FALSE),""))</f>
        <v/>
      </c>
      <c r="K612" s="8">
        <f>IF(COUNTA(A612:F612)=0,"",IF(OR(LEN(A612)&lt;&gt;7,MID(A612,5,1)&lt;&gt;"-",ISERROR(--LEFT(A612,4)),ISERROR(--RIGHT(A612,2))),"ERROR: PERIODO debe ser AAAA-MM",IF(B612="","ERROR: falta CODIGO CECO",IF(G612="CECO NO EXISTE","ERROR: CECO no existe en el catálogo",IF(C612="","ERROR: falta CUENTA",IF(ISERROR(--C612),"ERROR: CUENTA debe tener solo dígitos",IF(ISERROR(FIND(LEFT(C612,1),"567")),"ERROR: CUENTA fuera de las clases de costo",IF(NOT(ISNUMBER(E612)),"ERROR: VALOR debe ser numérico",IF(E612=0,"AVISO: valor cero (no se carga)",IF(J612&lt;&gt;"ACTIVO","NO SE CARGA: CECO en estado "&amp;J612,"OK"))))))))))</f>
        <v/>
      </c>
    </row>
    <row r="613">
      <c r="A613" s="5" t="n"/>
      <c r="B613" s="6" t="n"/>
      <c r="C613" s="5" t="n"/>
      <c r="D613" s="6" t="n"/>
      <c r="E613" s="7" t="n"/>
      <c r="F613" s="6" t="n"/>
      <c r="G613" s="8">
        <f>IF(B613="","",IFERROR(VLOOKUP(--B613,'CATALOGO CECO'!$A$2:$H$550,2,FALSE),"CECO NO EXISTE"))</f>
        <v/>
      </c>
      <c r="H613" s="8">
        <f>IF(B613="","",IFERROR(VLOOKUP(--B613,'CATALOGO CECO'!$A$2:$H$550,3,FALSE),""))</f>
        <v/>
      </c>
      <c r="I613" s="8">
        <f>IF(B613="","",IFERROR(VLOOKUP(--B613,'CATALOGO CECO'!$A$2:$H$550,5,FALSE),""))</f>
        <v/>
      </c>
      <c r="J613" s="8">
        <f>IF(B613="","",IFERROR(VLOOKUP(--B613,'CATALOGO CECO'!$A$2:$H$550,8,FALSE),""))</f>
        <v/>
      </c>
      <c r="K613" s="8">
        <f>IF(COUNTA(A613:F613)=0,"",IF(OR(LEN(A613)&lt;&gt;7,MID(A613,5,1)&lt;&gt;"-",ISERROR(--LEFT(A613,4)),ISERROR(--RIGHT(A613,2))),"ERROR: PERIODO debe ser AAAA-MM",IF(B613="","ERROR: falta CODIGO CECO",IF(G613="CECO NO EXISTE","ERROR: CECO no existe en el catálogo",IF(C613="","ERROR: falta CUENTA",IF(ISERROR(--C613),"ERROR: CUENTA debe tener solo dígitos",IF(ISERROR(FIND(LEFT(C613,1),"567")),"ERROR: CUENTA fuera de las clases de costo",IF(NOT(ISNUMBER(E613)),"ERROR: VALOR debe ser numérico",IF(E613=0,"AVISO: valor cero (no se carga)",IF(J613&lt;&gt;"ACTIVO","NO SE CARGA: CECO en estado "&amp;J613,"OK"))))))))))</f>
        <v/>
      </c>
    </row>
    <row r="614">
      <c r="A614" s="5" t="n"/>
      <c r="B614" s="6" t="n"/>
      <c r="C614" s="5" t="n"/>
      <c r="D614" s="6" t="n"/>
      <c r="E614" s="7" t="n"/>
      <c r="F614" s="6" t="n"/>
      <c r="G614" s="8">
        <f>IF(B614="","",IFERROR(VLOOKUP(--B614,'CATALOGO CECO'!$A$2:$H$550,2,FALSE),"CECO NO EXISTE"))</f>
        <v/>
      </c>
      <c r="H614" s="8">
        <f>IF(B614="","",IFERROR(VLOOKUP(--B614,'CATALOGO CECO'!$A$2:$H$550,3,FALSE),""))</f>
        <v/>
      </c>
      <c r="I614" s="8">
        <f>IF(B614="","",IFERROR(VLOOKUP(--B614,'CATALOGO CECO'!$A$2:$H$550,5,FALSE),""))</f>
        <v/>
      </c>
      <c r="J614" s="8">
        <f>IF(B614="","",IFERROR(VLOOKUP(--B614,'CATALOGO CECO'!$A$2:$H$550,8,FALSE),""))</f>
        <v/>
      </c>
      <c r="K614" s="8">
        <f>IF(COUNTA(A614:F614)=0,"",IF(OR(LEN(A614)&lt;&gt;7,MID(A614,5,1)&lt;&gt;"-",ISERROR(--LEFT(A614,4)),ISERROR(--RIGHT(A614,2))),"ERROR: PERIODO debe ser AAAA-MM",IF(B614="","ERROR: falta CODIGO CECO",IF(G614="CECO NO EXISTE","ERROR: CECO no existe en el catálogo",IF(C614="","ERROR: falta CUENTA",IF(ISERROR(--C614),"ERROR: CUENTA debe tener solo dígitos",IF(ISERROR(FIND(LEFT(C614,1),"567")),"ERROR: CUENTA fuera de las clases de costo",IF(NOT(ISNUMBER(E614)),"ERROR: VALOR debe ser numérico",IF(E614=0,"AVISO: valor cero (no se carga)",IF(J614&lt;&gt;"ACTIVO","NO SE CARGA: CECO en estado "&amp;J614,"OK"))))))))))</f>
        <v/>
      </c>
    </row>
    <row r="615">
      <c r="A615" s="5" t="n"/>
      <c r="B615" s="6" t="n"/>
      <c r="C615" s="5" t="n"/>
      <c r="D615" s="6" t="n"/>
      <c r="E615" s="7" t="n"/>
      <c r="F615" s="6" t="n"/>
      <c r="G615" s="8">
        <f>IF(B615="","",IFERROR(VLOOKUP(--B615,'CATALOGO CECO'!$A$2:$H$550,2,FALSE),"CECO NO EXISTE"))</f>
        <v/>
      </c>
      <c r="H615" s="8">
        <f>IF(B615="","",IFERROR(VLOOKUP(--B615,'CATALOGO CECO'!$A$2:$H$550,3,FALSE),""))</f>
        <v/>
      </c>
      <c r="I615" s="8">
        <f>IF(B615="","",IFERROR(VLOOKUP(--B615,'CATALOGO CECO'!$A$2:$H$550,5,FALSE),""))</f>
        <v/>
      </c>
      <c r="J615" s="8">
        <f>IF(B615="","",IFERROR(VLOOKUP(--B615,'CATALOGO CECO'!$A$2:$H$550,8,FALSE),""))</f>
        <v/>
      </c>
      <c r="K615" s="8">
        <f>IF(COUNTA(A615:F615)=0,"",IF(OR(LEN(A615)&lt;&gt;7,MID(A615,5,1)&lt;&gt;"-",ISERROR(--LEFT(A615,4)),ISERROR(--RIGHT(A615,2))),"ERROR: PERIODO debe ser AAAA-MM",IF(B615="","ERROR: falta CODIGO CECO",IF(G615="CECO NO EXISTE","ERROR: CECO no existe en el catálogo",IF(C615="","ERROR: falta CUENTA",IF(ISERROR(--C615),"ERROR: CUENTA debe tener solo dígitos",IF(ISERROR(FIND(LEFT(C615,1),"567")),"ERROR: CUENTA fuera de las clases de costo",IF(NOT(ISNUMBER(E615)),"ERROR: VALOR debe ser numérico",IF(E615=0,"AVISO: valor cero (no se carga)",IF(J615&lt;&gt;"ACTIVO","NO SE CARGA: CECO en estado "&amp;J615,"OK"))))))))))</f>
        <v/>
      </c>
    </row>
    <row r="616">
      <c r="A616" s="5" t="n"/>
      <c r="B616" s="6" t="n"/>
      <c r="C616" s="5" t="n"/>
      <c r="D616" s="6" t="n"/>
      <c r="E616" s="7" t="n"/>
      <c r="F616" s="6" t="n"/>
      <c r="G616" s="8">
        <f>IF(B616="","",IFERROR(VLOOKUP(--B616,'CATALOGO CECO'!$A$2:$H$550,2,FALSE),"CECO NO EXISTE"))</f>
        <v/>
      </c>
      <c r="H616" s="8">
        <f>IF(B616="","",IFERROR(VLOOKUP(--B616,'CATALOGO CECO'!$A$2:$H$550,3,FALSE),""))</f>
        <v/>
      </c>
      <c r="I616" s="8">
        <f>IF(B616="","",IFERROR(VLOOKUP(--B616,'CATALOGO CECO'!$A$2:$H$550,5,FALSE),""))</f>
        <v/>
      </c>
      <c r="J616" s="8">
        <f>IF(B616="","",IFERROR(VLOOKUP(--B616,'CATALOGO CECO'!$A$2:$H$550,8,FALSE),""))</f>
        <v/>
      </c>
      <c r="K616" s="8">
        <f>IF(COUNTA(A616:F616)=0,"",IF(OR(LEN(A616)&lt;&gt;7,MID(A616,5,1)&lt;&gt;"-",ISERROR(--LEFT(A616,4)),ISERROR(--RIGHT(A616,2))),"ERROR: PERIODO debe ser AAAA-MM",IF(B616="","ERROR: falta CODIGO CECO",IF(G616="CECO NO EXISTE","ERROR: CECO no existe en el catálogo",IF(C616="","ERROR: falta CUENTA",IF(ISERROR(--C616),"ERROR: CUENTA debe tener solo dígitos",IF(ISERROR(FIND(LEFT(C616,1),"567")),"ERROR: CUENTA fuera de las clases de costo",IF(NOT(ISNUMBER(E616)),"ERROR: VALOR debe ser numérico",IF(E616=0,"AVISO: valor cero (no se carga)",IF(J616&lt;&gt;"ACTIVO","NO SE CARGA: CECO en estado "&amp;J616,"OK"))))))))))</f>
        <v/>
      </c>
    </row>
    <row r="617">
      <c r="A617" s="5" t="n"/>
      <c r="B617" s="6" t="n"/>
      <c r="C617" s="5" t="n"/>
      <c r="D617" s="6" t="n"/>
      <c r="E617" s="7" t="n"/>
      <c r="F617" s="6" t="n"/>
      <c r="G617" s="8">
        <f>IF(B617="","",IFERROR(VLOOKUP(--B617,'CATALOGO CECO'!$A$2:$H$550,2,FALSE),"CECO NO EXISTE"))</f>
        <v/>
      </c>
      <c r="H617" s="8">
        <f>IF(B617="","",IFERROR(VLOOKUP(--B617,'CATALOGO CECO'!$A$2:$H$550,3,FALSE),""))</f>
        <v/>
      </c>
      <c r="I617" s="8">
        <f>IF(B617="","",IFERROR(VLOOKUP(--B617,'CATALOGO CECO'!$A$2:$H$550,5,FALSE),""))</f>
        <v/>
      </c>
      <c r="J617" s="8">
        <f>IF(B617="","",IFERROR(VLOOKUP(--B617,'CATALOGO CECO'!$A$2:$H$550,8,FALSE),""))</f>
        <v/>
      </c>
      <c r="K617" s="8">
        <f>IF(COUNTA(A617:F617)=0,"",IF(OR(LEN(A617)&lt;&gt;7,MID(A617,5,1)&lt;&gt;"-",ISERROR(--LEFT(A617,4)),ISERROR(--RIGHT(A617,2))),"ERROR: PERIODO debe ser AAAA-MM",IF(B617="","ERROR: falta CODIGO CECO",IF(G617="CECO NO EXISTE","ERROR: CECO no existe en el catálogo",IF(C617="","ERROR: falta CUENTA",IF(ISERROR(--C617),"ERROR: CUENTA debe tener solo dígitos",IF(ISERROR(FIND(LEFT(C617,1),"567")),"ERROR: CUENTA fuera de las clases de costo",IF(NOT(ISNUMBER(E617)),"ERROR: VALOR debe ser numérico",IF(E617=0,"AVISO: valor cero (no se carga)",IF(J617&lt;&gt;"ACTIVO","NO SE CARGA: CECO en estado "&amp;J617,"OK"))))))))))</f>
        <v/>
      </c>
    </row>
    <row r="618">
      <c r="A618" s="5" t="n"/>
      <c r="B618" s="6" t="n"/>
      <c r="C618" s="5" t="n"/>
      <c r="D618" s="6" t="n"/>
      <c r="E618" s="7" t="n"/>
      <c r="F618" s="6" t="n"/>
      <c r="G618" s="8">
        <f>IF(B618="","",IFERROR(VLOOKUP(--B618,'CATALOGO CECO'!$A$2:$H$550,2,FALSE),"CECO NO EXISTE"))</f>
        <v/>
      </c>
      <c r="H618" s="8">
        <f>IF(B618="","",IFERROR(VLOOKUP(--B618,'CATALOGO CECO'!$A$2:$H$550,3,FALSE),""))</f>
        <v/>
      </c>
      <c r="I618" s="8">
        <f>IF(B618="","",IFERROR(VLOOKUP(--B618,'CATALOGO CECO'!$A$2:$H$550,5,FALSE),""))</f>
        <v/>
      </c>
      <c r="J618" s="8">
        <f>IF(B618="","",IFERROR(VLOOKUP(--B618,'CATALOGO CECO'!$A$2:$H$550,8,FALSE),""))</f>
        <v/>
      </c>
      <c r="K618" s="8">
        <f>IF(COUNTA(A618:F618)=0,"",IF(OR(LEN(A618)&lt;&gt;7,MID(A618,5,1)&lt;&gt;"-",ISERROR(--LEFT(A618,4)),ISERROR(--RIGHT(A618,2))),"ERROR: PERIODO debe ser AAAA-MM",IF(B618="","ERROR: falta CODIGO CECO",IF(G618="CECO NO EXISTE","ERROR: CECO no existe en el catálogo",IF(C618="","ERROR: falta CUENTA",IF(ISERROR(--C618),"ERROR: CUENTA debe tener solo dígitos",IF(ISERROR(FIND(LEFT(C618,1),"567")),"ERROR: CUENTA fuera de las clases de costo",IF(NOT(ISNUMBER(E618)),"ERROR: VALOR debe ser numérico",IF(E618=0,"AVISO: valor cero (no se carga)",IF(J618&lt;&gt;"ACTIVO","NO SE CARGA: CECO en estado "&amp;J618,"OK"))))))))))</f>
        <v/>
      </c>
    </row>
    <row r="619">
      <c r="A619" s="5" t="n"/>
      <c r="B619" s="6" t="n"/>
      <c r="C619" s="5" t="n"/>
      <c r="D619" s="6" t="n"/>
      <c r="E619" s="7" t="n"/>
      <c r="F619" s="6" t="n"/>
      <c r="G619" s="8">
        <f>IF(B619="","",IFERROR(VLOOKUP(--B619,'CATALOGO CECO'!$A$2:$H$550,2,FALSE),"CECO NO EXISTE"))</f>
        <v/>
      </c>
      <c r="H619" s="8">
        <f>IF(B619="","",IFERROR(VLOOKUP(--B619,'CATALOGO CECO'!$A$2:$H$550,3,FALSE),""))</f>
        <v/>
      </c>
      <c r="I619" s="8">
        <f>IF(B619="","",IFERROR(VLOOKUP(--B619,'CATALOGO CECO'!$A$2:$H$550,5,FALSE),""))</f>
        <v/>
      </c>
      <c r="J619" s="8">
        <f>IF(B619="","",IFERROR(VLOOKUP(--B619,'CATALOGO CECO'!$A$2:$H$550,8,FALSE),""))</f>
        <v/>
      </c>
      <c r="K619" s="8">
        <f>IF(COUNTA(A619:F619)=0,"",IF(OR(LEN(A619)&lt;&gt;7,MID(A619,5,1)&lt;&gt;"-",ISERROR(--LEFT(A619,4)),ISERROR(--RIGHT(A619,2))),"ERROR: PERIODO debe ser AAAA-MM",IF(B619="","ERROR: falta CODIGO CECO",IF(G619="CECO NO EXISTE","ERROR: CECO no existe en el catálogo",IF(C619="","ERROR: falta CUENTA",IF(ISERROR(--C619),"ERROR: CUENTA debe tener solo dígitos",IF(ISERROR(FIND(LEFT(C619,1),"567")),"ERROR: CUENTA fuera de las clases de costo",IF(NOT(ISNUMBER(E619)),"ERROR: VALOR debe ser numérico",IF(E619=0,"AVISO: valor cero (no se carga)",IF(J619&lt;&gt;"ACTIVO","NO SE CARGA: CECO en estado "&amp;J619,"OK"))))))))))</f>
        <v/>
      </c>
    </row>
    <row r="620">
      <c r="A620" s="5" t="n"/>
      <c r="B620" s="6" t="n"/>
      <c r="C620" s="5" t="n"/>
      <c r="D620" s="6" t="n"/>
      <c r="E620" s="7" t="n"/>
      <c r="F620" s="6" t="n"/>
      <c r="G620" s="8">
        <f>IF(B620="","",IFERROR(VLOOKUP(--B620,'CATALOGO CECO'!$A$2:$H$550,2,FALSE),"CECO NO EXISTE"))</f>
        <v/>
      </c>
      <c r="H620" s="8">
        <f>IF(B620="","",IFERROR(VLOOKUP(--B620,'CATALOGO CECO'!$A$2:$H$550,3,FALSE),""))</f>
        <v/>
      </c>
      <c r="I620" s="8">
        <f>IF(B620="","",IFERROR(VLOOKUP(--B620,'CATALOGO CECO'!$A$2:$H$550,5,FALSE),""))</f>
        <v/>
      </c>
      <c r="J620" s="8">
        <f>IF(B620="","",IFERROR(VLOOKUP(--B620,'CATALOGO CECO'!$A$2:$H$550,8,FALSE),""))</f>
        <v/>
      </c>
      <c r="K620" s="8">
        <f>IF(COUNTA(A620:F620)=0,"",IF(OR(LEN(A620)&lt;&gt;7,MID(A620,5,1)&lt;&gt;"-",ISERROR(--LEFT(A620,4)),ISERROR(--RIGHT(A620,2))),"ERROR: PERIODO debe ser AAAA-MM",IF(B620="","ERROR: falta CODIGO CECO",IF(G620="CECO NO EXISTE","ERROR: CECO no existe en el catálogo",IF(C620="","ERROR: falta CUENTA",IF(ISERROR(--C620),"ERROR: CUENTA debe tener solo dígitos",IF(ISERROR(FIND(LEFT(C620,1),"567")),"ERROR: CUENTA fuera de las clases de costo",IF(NOT(ISNUMBER(E620)),"ERROR: VALOR debe ser numérico",IF(E620=0,"AVISO: valor cero (no se carga)",IF(J620&lt;&gt;"ACTIVO","NO SE CARGA: CECO en estado "&amp;J620,"OK"))))))))))</f>
        <v/>
      </c>
    </row>
    <row r="621">
      <c r="A621" s="5" t="n"/>
      <c r="B621" s="6" t="n"/>
      <c r="C621" s="5" t="n"/>
      <c r="D621" s="6" t="n"/>
      <c r="E621" s="7" t="n"/>
      <c r="F621" s="6" t="n"/>
      <c r="G621" s="8">
        <f>IF(B621="","",IFERROR(VLOOKUP(--B621,'CATALOGO CECO'!$A$2:$H$550,2,FALSE),"CECO NO EXISTE"))</f>
        <v/>
      </c>
      <c r="H621" s="8">
        <f>IF(B621="","",IFERROR(VLOOKUP(--B621,'CATALOGO CECO'!$A$2:$H$550,3,FALSE),""))</f>
        <v/>
      </c>
      <c r="I621" s="8">
        <f>IF(B621="","",IFERROR(VLOOKUP(--B621,'CATALOGO CECO'!$A$2:$H$550,5,FALSE),""))</f>
        <v/>
      </c>
      <c r="J621" s="8">
        <f>IF(B621="","",IFERROR(VLOOKUP(--B621,'CATALOGO CECO'!$A$2:$H$550,8,FALSE),""))</f>
        <v/>
      </c>
      <c r="K621" s="8">
        <f>IF(COUNTA(A621:F621)=0,"",IF(OR(LEN(A621)&lt;&gt;7,MID(A621,5,1)&lt;&gt;"-",ISERROR(--LEFT(A621,4)),ISERROR(--RIGHT(A621,2))),"ERROR: PERIODO debe ser AAAA-MM",IF(B621="","ERROR: falta CODIGO CECO",IF(G621="CECO NO EXISTE","ERROR: CECO no existe en el catálogo",IF(C621="","ERROR: falta CUENTA",IF(ISERROR(--C621),"ERROR: CUENTA debe tener solo dígitos",IF(ISERROR(FIND(LEFT(C621,1),"567")),"ERROR: CUENTA fuera de las clases de costo",IF(NOT(ISNUMBER(E621)),"ERROR: VALOR debe ser numérico",IF(E621=0,"AVISO: valor cero (no se carga)",IF(J621&lt;&gt;"ACTIVO","NO SE CARGA: CECO en estado "&amp;J621,"OK"))))))))))</f>
        <v/>
      </c>
    </row>
    <row r="622">
      <c r="A622" s="5" t="n"/>
      <c r="B622" s="6" t="n"/>
      <c r="C622" s="5" t="n"/>
      <c r="D622" s="6" t="n"/>
      <c r="E622" s="7" t="n"/>
      <c r="F622" s="6" t="n"/>
      <c r="G622" s="8">
        <f>IF(B622="","",IFERROR(VLOOKUP(--B622,'CATALOGO CECO'!$A$2:$H$550,2,FALSE),"CECO NO EXISTE"))</f>
        <v/>
      </c>
      <c r="H622" s="8">
        <f>IF(B622="","",IFERROR(VLOOKUP(--B622,'CATALOGO CECO'!$A$2:$H$550,3,FALSE),""))</f>
        <v/>
      </c>
      <c r="I622" s="8">
        <f>IF(B622="","",IFERROR(VLOOKUP(--B622,'CATALOGO CECO'!$A$2:$H$550,5,FALSE),""))</f>
        <v/>
      </c>
      <c r="J622" s="8">
        <f>IF(B622="","",IFERROR(VLOOKUP(--B622,'CATALOGO CECO'!$A$2:$H$550,8,FALSE),""))</f>
        <v/>
      </c>
      <c r="K622" s="8">
        <f>IF(COUNTA(A622:F622)=0,"",IF(OR(LEN(A622)&lt;&gt;7,MID(A622,5,1)&lt;&gt;"-",ISERROR(--LEFT(A622,4)),ISERROR(--RIGHT(A622,2))),"ERROR: PERIODO debe ser AAAA-MM",IF(B622="","ERROR: falta CODIGO CECO",IF(G622="CECO NO EXISTE","ERROR: CECO no existe en el catálogo",IF(C622="","ERROR: falta CUENTA",IF(ISERROR(--C622),"ERROR: CUENTA debe tener solo dígitos",IF(ISERROR(FIND(LEFT(C622,1),"567")),"ERROR: CUENTA fuera de las clases de costo",IF(NOT(ISNUMBER(E622)),"ERROR: VALOR debe ser numérico",IF(E622=0,"AVISO: valor cero (no se carga)",IF(J622&lt;&gt;"ACTIVO","NO SE CARGA: CECO en estado "&amp;J622,"OK"))))))))))</f>
        <v/>
      </c>
    </row>
    <row r="623">
      <c r="A623" s="5" t="n"/>
      <c r="B623" s="6" t="n"/>
      <c r="C623" s="5" t="n"/>
      <c r="D623" s="6" t="n"/>
      <c r="E623" s="7" t="n"/>
      <c r="F623" s="6" t="n"/>
      <c r="G623" s="8">
        <f>IF(B623="","",IFERROR(VLOOKUP(--B623,'CATALOGO CECO'!$A$2:$H$550,2,FALSE),"CECO NO EXISTE"))</f>
        <v/>
      </c>
      <c r="H623" s="8">
        <f>IF(B623="","",IFERROR(VLOOKUP(--B623,'CATALOGO CECO'!$A$2:$H$550,3,FALSE),""))</f>
        <v/>
      </c>
      <c r="I623" s="8">
        <f>IF(B623="","",IFERROR(VLOOKUP(--B623,'CATALOGO CECO'!$A$2:$H$550,5,FALSE),""))</f>
        <v/>
      </c>
      <c r="J623" s="8">
        <f>IF(B623="","",IFERROR(VLOOKUP(--B623,'CATALOGO CECO'!$A$2:$H$550,8,FALSE),""))</f>
        <v/>
      </c>
      <c r="K623" s="8">
        <f>IF(COUNTA(A623:F623)=0,"",IF(OR(LEN(A623)&lt;&gt;7,MID(A623,5,1)&lt;&gt;"-",ISERROR(--LEFT(A623,4)),ISERROR(--RIGHT(A623,2))),"ERROR: PERIODO debe ser AAAA-MM",IF(B623="","ERROR: falta CODIGO CECO",IF(G623="CECO NO EXISTE","ERROR: CECO no existe en el catálogo",IF(C623="","ERROR: falta CUENTA",IF(ISERROR(--C623),"ERROR: CUENTA debe tener solo dígitos",IF(ISERROR(FIND(LEFT(C623,1),"567")),"ERROR: CUENTA fuera de las clases de costo",IF(NOT(ISNUMBER(E623)),"ERROR: VALOR debe ser numérico",IF(E623=0,"AVISO: valor cero (no se carga)",IF(J623&lt;&gt;"ACTIVO","NO SE CARGA: CECO en estado "&amp;J623,"OK"))))))))))</f>
        <v/>
      </c>
    </row>
    <row r="624">
      <c r="A624" s="5" t="n"/>
      <c r="B624" s="6" t="n"/>
      <c r="C624" s="5" t="n"/>
      <c r="D624" s="6" t="n"/>
      <c r="E624" s="7" t="n"/>
      <c r="F624" s="6" t="n"/>
      <c r="G624" s="8">
        <f>IF(B624="","",IFERROR(VLOOKUP(--B624,'CATALOGO CECO'!$A$2:$H$550,2,FALSE),"CECO NO EXISTE"))</f>
        <v/>
      </c>
      <c r="H624" s="8">
        <f>IF(B624="","",IFERROR(VLOOKUP(--B624,'CATALOGO CECO'!$A$2:$H$550,3,FALSE),""))</f>
        <v/>
      </c>
      <c r="I624" s="8">
        <f>IF(B624="","",IFERROR(VLOOKUP(--B624,'CATALOGO CECO'!$A$2:$H$550,5,FALSE),""))</f>
        <v/>
      </c>
      <c r="J624" s="8">
        <f>IF(B624="","",IFERROR(VLOOKUP(--B624,'CATALOGO CECO'!$A$2:$H$550,8,FALSE),""))</f>
        <v/>
      </c>
      <c r="K624" s="8">
        <f>IF(COUNTA(A624:F624)=0,"",IF(OR(LEN(A624)&lt;&gt;7,MID(A624,5,1)&lt;&gt;"-",ISERROR(--LEFT(A624,4)),ISERROR(--RIGHT(A624,2))),"ERROR: PERIODO debe ser AAAA-MM",IF(B624="","ERROR: falta CODIGO CECO",IF(G624="CECO NO EXISTE","ERROR: CECO no existe en el catálogo",IF(C624="","ERROR: falta CUENTA",IF(ISERROR(--C624),"ERROR: CUENTA debe tener solo dígitos",IF(ISERROR(FIND(LEFT(C624,1),"567")),"ERROR: CUENTA fuera de las clases de costo",IF(NOT(ISNUMBER(E624)),"ERROR: VALOR debe ser numérico",IF(E624=0,"AVISO: valor cero (no se carga)",IF(J624&lt;&gt;"ACTIVO","NO SE CARGA: CECO en estado "&amp;J624,"OK"))))))))))</f>
        <v/>
      </c>
    </row>
    <row r="625">
      <c r="A625" s="5" t="n"/>
      <c r="B625" s="6" t="n"/>
      <c r="C625" s="5" t="n"/>
      <c r="D625" s="6" t="n"/>
      <c r="E625" s="7" t="n"/>
      <c r="F625" s="6" t="n"/>
      <c r="G625" s="8">
        <f>IF(B625="","",IFERROR(VLOOKUP(--B625,'CATALOGO CECO'!$A$2:$H$550,2,FALSE),"CECO NO EXISTE"))</f>
        <v/>
      </c>
      <c r="H625" s="8">
        <f>IF(B625="","",IFERROR(VLOOKUP(--B625,'CATALOGO CECO'!$A$2:$H$550,3,FALSE),""))</f>
        <v/>
      </c>
      <c r="I625" s="8">
        <f>IF(B625="","",IFERROR(VLOOKUP(--B625,'CATALOGO CECO'!$A$2:$H$550,5,FALSE),""))</f>
        <v/>
      </c>
      <c r="J625" s="8">
        <f>IF(B625="","",IFERROR(VLOOKUP(--B625,'CATALOGO CECO'!$A$2:$H$550,8,FALSE),""))</f>
        <v/>
      </c>
      <c r="K625" s="8">
        <f>IF(COUNTA(A625:F625)=0,"",IF(OR(LEN(A625)&lt;&gt;7,MID(A625,5,1)&lt;&gt;"-",ISERROR(--LEFT(A625,4)),ISERROR(--RIGHT(A625,2))),"ERROR: PERIODO debe ser AAAA-MM",IF(B625="","ERROR: falta CODIGO CECO",IF(G625="CECO NO EXISTE","ERROR: CECO no existe en el catálogo",IF(C625="","ERROR: falta CUENTA",IF(ISERROR(--C625),"ERROR: CUENTA debe tener solo dígitos",IF(ISERROR(FIND(LEFT(C625,1),"567")),"ERROR: CUENTA fuera de las clases de costo",IF(NOT(ISNUMBER(E625)),"ERROR: VALOR debe ser numérico",IF(E625=0,"AVISO: valor cero (no se carga)",IF(J625&lt;&gt;"ACTIVO","NO SE CARGA: CECO en estado "&amp;J625,"OK"))))))))))</f>
        <v/>
      </c>
    </row>
    <row r="626">
      <c r="A626" s="5" t="n"/>
      <c r="B626" s="6" t="n"/>
      <c r="C626" s="5" t="n"/>
      <c r="D626" s="6" t="n"/>
      <c r="E626" s="7" t="n"/>
      <c r="F626" s="6" t="n"/>
      <c r="G626" s="8">
        <f>IF(B626="","",IFERROR(VLOOKUP(--B626,'CATALOGO CECO'!$A$2:$H$550,2,FALSE),"CECO NO EXISTE"))</f>
        <v/>
      </c>
      <c r="H626" s="8">
        <f>IF(B626="","",IFERROR(VLOOKUP(--B626,'CATALOGO CECO'!$A$2:$H$550,3,FALSE),""))</f>
        <v/>
      </c>
      <c r="I626" s="8">
        <f>IF(B626="","",IFERROR(VLOOKUP(--B626,'CATALOGO CECO'!$A$2:$H$550,5,FALSE),""))</f>
        <v/>
      </c>
      <c r="J626" s="8">
        <f>IF(B626="","",IFERROR(VLOOKUP(--B626,'CATALOGO CECO'!$A$2:$H$550,8,FALSE),""))</f>
        <v/>
      </c>
      <c r="K626" s="8">
        <f>IF(COUNTA(A626:F626)=0,"",IF(OR(LEN(A626)&lt;&gt;7,MID(A626,5,1)&lt;&gt;"-",ISERROR(--LEFT(A626,4)),ISERROR(--RIGHT(A626,2))),"ERROR: PERIODO debe ser AAAA-MM",IF(B626="","ERROR: falta CODIGO CECO",IF(G626="CECO NO EXISTE","ERROR: CECO no existe en el catálogo",IF(C626="","ERROR: falta CUENTA",IF(ISERROR(--C626),"ERROR: CUENTA debe tener solo dígitos",IF(ISERROR(FIND(LEFT(C626,1),"567")),"ERROR: CUENTA fuera de las clases de costo",IF(NOT(ISNUMBER(E626)),"ERROR: VALOR debe ser numérico",IF(E626=0,"AVISO: valor cero (no se carga)",IF(J626&lt;&gt;"ACTIVO","NO SE CARGA: CECO en estado "&amp;J626,"OK"))))))))))</f>
        <v/>
      </c>
    </row>
    <row r="627">
      <c r="A627" s="5" t="n"/>
      <c r="B627" s="6" t="n"/>
      <c r="C627" s="5" t="n"/>
      <c r="D627" s="6" t="n"/>
      <c r="E627" s="7" t="n"/>
      <c r="F627" s="6" t="n"/>
      <c r="G627" s="8">
        <f>IF(B627="","",IFERROR(VLOOKUP(--B627,'CATALOGO CECO'!$A$2:$H$550,2,FALSE),"CECO NO EXISTE"))</f>
        <v/>
      </c>
      <c r="H627" s="8">
        <f>IF(B627="","",IFERROR(VLOOKUP(--B627,'CATALOGO CECO'!$A$2:$H$550,3,FALSE),""))</f>
        <v/>
      </c>
      <c r="I627" s="8">
        <f>IF(B627="","",IFERROR(VLOOKUP(--B627,'CATALOGO CECO'!$A$2:$H$550,5,FALSE),""))</f>
        <v/>
      </c>
      <c r="J627" s="8">
        <f>IF(B627="","",IFERROR(VLOOKUP(--B627,'CATALOGO CECO'!$A$2:$H$550,8,FALSE),""))</f>
        <v/>
      </c>
      <c r="K627" s="8">
        <f>IF(COUNTA(A627:F627)=0,"",IF(OR(LEN(A627)&lt;&gt;7,MID(A627,5,1)&lt;&gt;"-",ISERROR(--LEFT(A627,4)),ISERROR(--RIGHT(A627,2))),"ERROR: PERIODO debe ser AAAA-MM",IF(B627="","ERROR: falta CODIGO CECO",IF(G627="CECO NO EXISTE","ERROR: CECO no existe en el catálogo",IF(C627="","ERROR: falta CUENTA",IF(ISERROR(--C627),"ERROR: CUENTA debe tener solo dígitos",IF(ISERROR(FIND(LEFT(C627,1),"567")),"ERROR: CUENTA fuera de las clases de costo",IF(NOT(ISNUMBER(E627)),"ERROR: VALOR debe ser numérico",IF(E627=0,"AVISO: valor cero (no se carga)",IF(J627&lt;&gt;"ACTIVO","NO SE CARGA: CECO en estado "&amp;J627,"OK"))))))))))</f>
        <v/>
      </c>
    </row>
    <row r="628">
      <c r="A628" s="5" t="n"/>
      <c r="B628" s="6" t="n"/>
      <c r="C628" s="5" t="n"/>
      <c r="D628" s="6" t="n"/>
      <c r="E628" s="7" t="n"/>
      <c r="F628" s="6" t="n"/>
      <c r="G628" s="8">
        <f>IF(B628="","",IFERROR(VLOOKUP(--B628,'CATALOGO CECO'!$A$2:$H$550,2,FALSE),"CECO NO EXISTE"))</f>
        <v/>
      </c>
      <c r="H628" s="8">
        <f>IF(B628="","",IFERROR(VLOOKUP(--B628,'CATALOGO CECO'!$A$2:$H$550,3,FALSE),""))</f>
        <v/>
      </c>
      <c r="I628" s="8">
        <f>IF(B628="","",IFERROR(VLOOKUP(--B628,'CATALOGO CECO'!$A$2:$H$550,5,FALSE),""))</f>
        <v/>
      </c>
      <c r="J628" s="8">
        <f>IF(B628="","",IFERROR(VLOOKUP(--B628,'CATALOGO CECO'!$A$2:$H$550,8,FALSE),""))</f>
        <v/>
      </c>
      <c r="K628" s="8">
        <f>IF(COUNTA(A628:F628)=0,"",IF(OR(LEN(A628)&lt;&gt;7,MID(A628,5,1)&lt;&gt;"-",ISERROR(--LEFT(A628,4)),ISERROR(--RIGHT(A628,2))),"ERROR: PERIODO debe ser AAAA-MM",IF(B628="","ERROR: falta CODIGO CECO",IF(G628="CECO NO EXISTE","ERROR: CECO no existe en el catálogo",IF(C628="","ERROR: falta CUENTA",IF(ISERROR(--C628),"ERROR: CUENTA debe tener solo dígitos",IF(ISERROR(FIND(LEFT(C628,1),"567")),"ERROR: CUENTA fuera de las clases de costo",IF(NOT(ISNUMBER(E628)),"ERROR: VALOR debe ser numérico",IF(E628=0,"AVISO: valor cero (no se carga)",IF(J628&lt;&gt;"ACTIVO","NO SE CARGA: CECO en estado "&amp;J628,"OK"))))))))))</f>
        <v/>
      </c>
    </row>
    <row r="629">
      <c r="A629" s="5" t="n"/>
      <c r="B629" s="6" t="n"/>
      <c r="C629" s="5" t="n"/>
      <c r="D629" s="6" t="n"/>
      <c r="E629" s="7" t="n"/>
      <c r="F629" s="6" t="n"/>
      <c r="G629" s="8">
        <f>IF(B629="","",IFERROR(VLOOKUP(--B629,'CATALOGO CECO'!$A$2:$H$550,2,FALSE),"CECO NO EXISTE"))</f>
        <v/>
      </c>
      <c r="H629" s="8">
        <f>IF(B629="","",IFERROR(VLOOKUP(--B629,'CATALOGO CECO'!$A$2:$H$550,3,FALSE),""))</f>
        <v/>
      </c>
      <c r="I629" s="8">
        <f>IF(B629="","",IFERROR(VLOOKUP(--B629,'CATALOGO CECO'!$A$2:$H$550,5,FALSE),""))</f>
        <v/>
      </c>
      <c r="J629" s="8">
        <f>IF(B629="","",IFERROR(VLOOKUP(--B629,'CATALOGO CECO'!$A$2:$H$550,8,FALSE),""))</f>
        <v/>
      </c>
      <c r="K629" s="8">
        <f>IF(COUNTA(A629:F629)=0,"",IF(OR(LEN(A629)&lt;&gt;7,MID(A629,5,1)&lt;&gt;"-",ISERROR(--LEFT(A629,4)),ISERROR(--RIGHT(A629,2))),"ERROR: PERIODO debe ser AAAA-MM",IF(B629="","ERROR: falta CODIGO CECO",IF(G629="CECO NO EXISTE","ERROR: CECO no existe en el catálogo",IF(C629="","ERROR: falta CUENTA",IF(ISERROR(--C629),"ERROR: CUENTA debe tener solo dígitos",IF(ISERROR(FIND(LEFT(C629,1),"567")),"ERROR: CUENTA fuera de las clases de costo",IF(NOT(ISNUMBER(E629)),"ERROR: VALOR debe ser numérico",IF(E629=0,"AVISO: valor cero (no se carga)",IF(J629&lt;&gt;"ACTIVO","NO SE CARGA: CECO en estado "&amp;J629,"OK"))))))))))</f>
        <v/>
      </c>
    </row>
    <row r="630">
      <c r="A630" s="5" t="n"/>
      <c r="B630" s="6" t="n"/>
      <c r="C630" s="5" t="n"/>
      <c r="D630" s="6" t="n"/>
      <c r="E630" s="7" t="n"/>
      <c r="F630" s="6" t="n"/>
      <c r="G630" s="8">
        <f>IF(B630="","",IFERROR(VLOOKUP(--B630,'CATALOGO CECO'!$A$2:$H$550,2,FALSE),"CECO NO EXISTE"))</f>
        <v/>
      </c>
      <c r="H630" s="8">
        <f>IF(B630="","",IFERROR(VLOOKUP(--B630,'CATALOGO CECO'!$A$2:$H$550,3,FALSE),""))</f>
        <v/>
      </c>
      <c r="I630" s="8">
        <f>IF(B630="","",IFERROR(VLOOKUP(--B630,'CATALOGO CECO'!$A$2:$H$550,5,FALSE),""))</f>
        <v/>
      </c>
      <c r="J630" s="8">
        <f>IF(B630="","",IFERROR(VLOOKUP(--B630,'CATALOGO CECO'!$A$2:$H$550,8,FALSE),""))</f>
        <v/>
      </c>
      <c r="K630" s="8">
        <f>IF(COUNTA(A630:F630)=0,"",IF(OR(LEN(A630)&lt;&gt;7,MID(A630,5,1)&lt;&gt;"-",ISERROR(--LEFT(A630,4)),ISERROR(--RIGHT(A630,2))),"ERROR: PERIODO debe ser AAAA-MM",IF(B630="","ERROR: falta CODIGO CECO",IF(G630="CECO NO EXISTE","ERROR: CECO no existe en el catálogo",IF(C630="","ERROR: falta CUENTA",IF(ISERROR(--C630),"ERROR: CUENTA debe tener solo dígitos",IF(ISERROR(FIND(LEFT(C630,1),"567")),"ERROR: CUENTA fuera de las clases de costo",IF(NOT(ISNUMBER(E630)),"ERROR: VALOR debe ser numérico",IF(E630=0,"AVISO: valor cero (no se carga)",IF(J630&lt;&gt;"ACTIVO","NO SE CARGA: CECO en estado "&amp;J630,"OK"))))))))))</f>
        <v/>
      </c>
    </row>
    <row r="631">
      <c r="A631" s="5" t="n"/>
      <c r="B631" s="6" t="n"/>
      <c r="C631" s="5" t="n"/>
      <c r="D631" s="6" t="n"/>
      <c r="E631" s="7" t="n"/>
      <c r="F631" s="6" t="n"/>
      <c r="G631" s="8">
        <f>IF(B631="","",IFERROR(VLOOKUP(--B631,'CATALOGO CECO'!$A$2:$H$550,2,FALSE),"CECO NO EXISTE"))</f>
        <v/>
      </c>
      <c r="H631" s="8">
        <f>IF(B631="","",IFERROR(VLOOKUP(--B631,'CATALOGO CECO'!$A$2:$H$550,3,FALSE),""))</f>
        <v/>
      </c>
      <c r="I631" s="8">
        <f>IF(B631="","",IFERROR(VLOOKUP(--B631,'CATALOGO CECO'!$A$2:$H$550,5,FALSE),""))</f>
        <v/>
      </c>
      <c r="J631" s="8">
        <f>IF(B631="","",IFERROR(VLOOKUP(--B631,'CATALOGO CECO'!$A$2:$H$550,8,FALSE),""))</f>
        <v/>
      </c>
      <c r="K631" s="8">
        <f>IF(COUNTA(A631:F631)=0,"",IF(OR(LEN(A631)&lt;&gt;7,MID(A631,5,1)&lt;&gt;"-",ISERROR(--LEFT(A631,4)),ISERROR(--RIGHT(A631,2))),"ERROR: PERIODO debe ser AAAA-MM",IF(B631="","ERROR: falta CODIGO CECO",IF(G631="CECO NO EXISTE","ERROR: CECO no existe en el catálogo",IF(C631="","ERROR: falta CUENTA",IF(ISERROR(--C631),"ERROR: CUENTA debe tener solo dígitos",IF(ISERROR(FIND(LEFT(C631,1),"567")),"ERROR: CUENTA fuera de las clases de costo",IF(NOT(ISNUMBER(E631)),"ERROR: VALOR debe ser numérico",IF(E631=0,"AVISO: valor cero (no se carga)",IF(J631&lt;&gt;"ACTIVO","NO SE CARGA: CECO en estado "&amp;J631,"OK"))))))))))</f>
        <v/>
      </c>
    </row>
    <row r="632">
      <c r="A632" s="5" t="n"/>
      <c r="B632" s="6" t="n"/>
      <c r="C632" s="5" t="n"/>
      <c r="D632" s="6" t="n"/>
      <c r="E632" s="7" t="n"/>
      <c r="F632" s="6" t="n"/>
      <c r="G632" s="8">
        <f>IF(B632="","",IFERROR(VLOOKUP(--B632,'CATALOGO CECO'!$A$2:$H$550,2,FALSE),"CECO NO EXISTE"))</f>
        <v/>
      </c>
      <c r="H632" s="8">
        <f>IF(B632="","",IFERROR(VLOOKUP(--B632,'CATALOGO CECO'!$A$2:$H$550,3,FALSE),""))</f>
        <v/>
      </c>
      <c r="I632" s="8">
        <f>IF(B632="","",IFERROR(VLOOKUP(--B632,'CATALOGO CECO'!$A$2:$H$550,5,FALSE),""))</f>
        <v/>
      </c>
      <c r="J632" s="8">
        <f>IF(B632="","",IFERROR(VLOOKUP(--B632,'CATALOGO CECO'!$A$2:$H$550,8,FALSE),""))</f>
        <v/>
      </c>
      <c r="K632" s="8">
        <f>IF(COUNTA(A632:F632)=0,"",IF(OR(LEN(A632)&lt;&gt;7,MID(A632,5,1)&lt;&gt;"-",ISERROR(--LEFT(A632,4)),ISERROR(--RIGHT(A632,2))),"ERROR: PERIODO debe ser AAAA-MM",IF(B632="","ERROR: falta CODIGO CECO",IF(G632="CECO NO EXISTE","ERROR: CECO no existe en el catálogo",IF(C632="","ERROR: falta CUENTA",IF(ISERROR(--C632),"ERROR: CUENTA debe tener solo dígitos",IF(ISERROR(FIND(LEFT(C632,1),"567")),"ERROR: CUENTA fuera de las clases de costo",IF(NOT(ISNUMBER(E632)),"ERROR: VALOR debe ser numérico",IF(E632=0,"AVISO: valor cero (no se carga)",IF(J632&lt;&gt;"ACTIVO","NO SE CARGA: CECO en estado "&amp;J632,"OK"))))))))))</f>
        <v/>
      </c>
    </row>
    <row r="633">
      <c r="A633" s="5" t="n"/>
      <c r="B633" s="6" t="n"/>
      <c r="C633" s="5" t="n"/>
      <c r="D633" s="6" t="n"/>
      <c r="E633" s="7" t="n"/>
      <c r="F633" s="6" t="n"/>
      <c r="G633" s="8">
        <f>IF(B633="","",IFERROR(VLOOKUP(--B633,'CATALOGO CECO'!$A$2:$H$550,2,FALSE),"CECO NO EXISTE"))</f>
        <v/>
      </c>
      <c r="H633" s="8">
        <f>IF(B633="","",IFERROR(VLOOKUP(--B633,'CATALOGO CECO'!$A$2:$H$550,3,FALSE),""))</f>
        <v/>
      </c>
      <c r="I633" s="8">
        <f>IF(B633="","",IFERROR(VLOOKUP(--B633,'CATALOGO CECO'!$A$2:$H$550,5,FALSE),""))</f>
        <v/>
      </c>
      <c r="J633" s="8">
        <f>IF(B633="","",IFERROR(VLOOKUP(--B633,'CATALOGO CECO'!$A$2:$H$550,8,FALSE),""))</f>
        <v/>
      </c>
      <c r="K633" s="8">
        <f>IF(COUNTA(A633:F633)=0,"",IF(OR(LEN(A633)&lt;&gt;7,MID(A633,5,1)&lt;&gt;"-",ISERROR(--LEFT(A633,4)),ISERROR(--RIGHT(A633,2))),"ERROR: PERIODO debe ser AAAA-MM",IF(B633="","ERROR: falta CODIGO CECO",IF(G633="CECO NO EXISTE","ERROR: CECO no existe en el catálogo",IF(C633="","ERROR: falta CUENTA",IF(ISERROR(--C633),"ERROR: CUENTA debe tener solo dígitos",IF(ISERROR(FIND(LEFT(C633,1),"567")),"ERROR: CUENTA fuera de las clases de costo",IF(NOT(ISNUMBER(E633)),"ERROR: VALOR debe ser numérico",IF(E633=0,"AVISO: valor cero (no se carga)",IF(J633&lt;&gt;"ACTIVO","NO SE CARGA: CECO en estado "&amp;J633,"OK"))))))))))</f>
        <v/>
      </c>
    </row>
    <row r="634">
      <c r="A634" s="5" t="n"/>
      <c r="B634" s="6" t="n"/>
      <c r="C634" s="5" t="n"/>
      <c r="D634" s="6" t="n"/>
      <c r="E634" s="7" t="n"/>
      <c r="F634" s="6" t="n"/>
      <c r="G634" s="8">
        <f>IF(B634="","",IFERROR(VLOOKUP(--B634,'CATALOGO CECO'!$A$2:$H$550,2,FALSE),"CECO NO EXISTE"))</f>
        <v/>
      </c>
      <c r="H634" s="8">
        <f>IF(B634="","",IFERROR(VLOOKUP(--B634,'CATALOGO CECO'!$A$2:$H$550,3,FALSE),""))</f>
        <v/>
      </c>
      <c r="I634" s="8">
        <f>IF(B634="","",IFERROR(VLOOKUP(--B634,'CATALOGO CECO'!$A$2:$H$550,5,FALSE),""))</f>
        <v/>
      </c>
      <c r="J634" s="8">
        <f>IF(B634="","",IFERROR(VLOOKUP(--B634,'CATALOGO CECO'!$A$2:$H$550,8,FALSE),""))</f>
        <v/>
      </c>
      <c r="K634" s="8">
        <f>IF(COUNTA(A634:F634)=0,"",IF(OR(LEN(A634)&lt;&gt;7,MID(A634,5,1)&lt;&gt;"-",ISERROR(--LEFT(A634,4)),ISERROR(--RIGHT(A634,2))),"ERROR: PERIODO debe ser AAAA-MM",IF(B634="","ERROR: falta CODIGO CECO",IF(G634="CECO NO EXISTE","ERROR: CECO no existe en el catálogo",IF(C634="","ERROR: falta CUENTA",IF(ISERROR(--C634),"ERROR: CUENTA debe tener solo dígitos",IF(ISERROR(FIND(LEFT(C634,1),"567")),"ERROR: CUENTA fuera de las clases de costo",IF(NOT(ISNUMBER(E634)),"ERROR: VALOR debe ser numérico",IF(E634=0,"AVISO: valor cero (no se carga)",IF(J634&lt;&gt;"ACTIVO","NO SE CARGA: CECO en estado "&amp;J634,"OK"))))))))))</f>
        <v/>
      </c>
    </row>
    <row r="635">
      <c r="A635" s="5" t="n"/>
      <c r="B635" s="6" t="n"/>
      <c r="C635" s="5" t="n"/>
      <c r="D635" s="6" t="n"/>
      <c r="E635" s="7" t="n"/>
      <c r="F635" s="6" t="n"/>
      <c r="G635" s="8">
        <f>IF(B635="","",IFERROR(VLOOKUP(--B635,'CATALOGO CECO'!$A$2:$H$550,2,FALSE),"CECO NO EXISTE"))</f>
        <v/>
      </c>
      <c r="H635" s="8">
        <f>IF(B635="","",IFERROR(VLOOKUP(--B635,'CATALOGO CECO'!$A$2:$H$550,3,FALSE),""))</f>
        <v/>
      </c>
      <c r="I635" s="8">
        <f>IF(B635="","",IFERROR(VLOOKUP(--B635,'CATALOGO CECO'!$A$2:$H$550,5,FALSE),""))</f>
        <v/>
      </c>
      <c r="J635" s="8">
        <f>IF(B635="","",IFERROR(VLOOKUP(--B635,'CATALOGO CECO'!$A$2:$H$550,8,FALSE),""))</f>
        <v/>
      </c>
      <c r="K635" s="8">
        <f>IF(COUNTA(A635:F635)=0,"",IF(OR(LEN(A635)&lt;&gt;7,MID(A635,5,1)&lt;&gt;"-",ISERROR(--LEFT(A635,4)),ISERROR(--RIGHT(A635,2))),"ERROR: PERIODO debe ser AAAA-MM",IF(B635="","ERROR: falta CODIGO CECO",IF(G635="CECO NO EXISTE","ERROR: CECO no existe en el catálogo",IF(C635="","ERROR: falta CUENTA",IF(ISERROR(--C635),"ERROR: CUENTA debe tener solo dígitos",IF(ISERROR(FIND(LEFT(C635,1),"567")),"ERROR: CUENTA fuera de las clases de costo",IF(NOT(ISNUMBER(E635)),"ERROR: VALOR debe ser numérico",IF(E635=0,"AVISO: valor cero (no se carga)",IF(J635&lt;&gt;"ACTIVO","NO SE CARGA: CECO en estado "&amp;J635,"OK"))))))))))</f>
        <v/>
      </c>
    </row>
    <row r="636">
      <c r="A636" s="5" t="n"/>
      <c r="B636" s="6" t="n"/>
      <c r="C636" s="5" t="n"/>
      <c r="D636" s="6" t="n"/>
      <c r="E636" s="7" t="n"/>
      <c r="F636" s="6" t="n"/>
      <c r="G636" s="8">
        <f>IF(B636="","",IFERROR(VLOOKUP(--B636,'CATALOGO CECO'!$A$2:$H$550,2,FALSE),"CECO NO EXISTE"))</f>
        <v/>
      </c>
      <c r="H636" s="8">
        <f>IF(B636="","",IFERROR(VLOOKUP(--B636,'CATALOGO CECO'!$A$2:$H$550,3,FALSE),""))</f>
        <v/>
      </c>
      <c r="I636" s="8">
        <f>IF(B636="","",IFERROR(VLOOKUP(--B636,'CATALOGO CECO'!$A$2:$H$550,5,FALSE),""))</f>
        <v/>
      </c>
      <c r="J636" s="8">
        <f>IF(B636="","",IFERROR(VLOOKUP(--B636,'CATALOGO CECO'!$A$2:$H$550,8,FALSE),""))</f>
        <v/>
      </c>
      <c r="K636" s="8">
        <f>IF(COUNTA(A636:F636)=0,"",IF(OR(LEN(A636)&lt;&gt;7,MID(A636,5,1)&lt;&gt;"-",ISERROR(--LEFT(A636,4)),ISERROR(--RIGHT(A636,2))),"ERROR: PERIODO debe ser AAAA-MM",IF(B636="","ERROR: falta CODIGO CECO",IF(G636="CECO NO EXISTE","ERROR: CECO no existe en el catálogo",IF(C636="","ERROR: falta CUENTA",IF(ISERROR(--C636),"ERROR: CUENTA debe tener solo dígitos",IF(ISERROR(FIND(LEFT(C636,1),"567")),"ERROR: CUENTA fuera de las clases de costo",IF(NOT(ISNUMBER(E636)),"ERROR: VALOR debe ser numérico",IF(E636=0,"AVISO: valor cero (no se carga)",IF(J636&lt;&gt;"ACTIVO","NO SE CARGA: CECO en estado "&amp;J636,"OK"))))))))))</f>
        <v/>
      </c>
    </row>
    <row r="637">
      <c r="A637" s="5" t="n"/>
      <c r="B637" s="6" t="n"/>
      <c r="C637" s="5" t="n"/>
      <c r="D637" s="6" t="n"/>
      <c r="E637" s="7" t="n"/>
      <c r="F637" s="6" t="n"/>
      <c r="G637" s="8">
        <f>IF(B637="","",IFERROR(VLOOKUP(--B637,'CATALOGO CECO'!$A$2:$H$550,2,FALSE),"CECO NO EXISTE"))</f>
        <v/>
      </c>
      <c r="H637" s="8">
        <f>IF(B637="","",IFERROR(VLOOKUP(--B637,'CATALOGO CECO'!$A$2:$H$550,3,FALSE),""))</f>
        <v/>
      </c>
      <c r="I637" s="8">
        <f>IF(B637="","",IFERROR(VLOOKUP(--B637,'CATALOGO CECO'!$A$2:$H$550,5,FALSE),""))</f>
        <v/>
      </c>
      <c r="J637" s="8">
        <f>IF(B637="","",IFERROR(VLOOKUP(--B637,'CATALOGO CECO'!$A$2:$H$550,8,FALSE),""))</f>
        <v/>
      </c>
      <c r="K637" s="8">
        <f>IF(COUNTA(A637:F637)=0,"",IF(OR(LEN(A637)&lt;&gt;7,MID(A637,5,1)&lt;&gt;"-",ISERROR(--LEFT(A637,4)),ISERROR(--RIGHT(A637,2))),"ERROR: PERIODO debe ser AAAA-MM",IF(B637="","ERROR: falta CODIGO CECO",IF(G637="CECO NO EXISTE","ERROR: CECO no existe en el catálogo",IF(C637="","ERROR: falta CUENTA",IF(ISERROR(--C637),"ERROR: CUENTA debe tener solo dígitos",IF(ISERROR(FIND(LEFT(C637,1),"567")),"ERROR: CUENTA fuera de las clases de costo",IF(NOT(ISNUMBER(E637)),"ERROR: VALOR debe ser numérico",IF(E637=0,"AVISO: valor cero (no se carga)",IF(J637&lt;&gt;"ACTIVO","NO SE CARGA: CECO en estado "&amp;J637,"OK"))))))))))</f>
        <v/>
      </c>
    </row>
    <row r="638">
      <c r="A638" s="5" t="n"/>
      <c r="B638" s="6" t="n"/>
      <c r="C638" s="5" t="n"/>
      <c r="D638" s="6" t="n"/>
      <c r="E638" s="7" t="n"/>
      <c r="F638" s="6" t="n"/>
      <c r="G638" s="8">
        <f>IF(B638="","",IFERROR(VLOOKUP(--B638,'CATALOGO CECO'!$A$2:$H$550,2,FALSE),"CECO NO EXISTE"))</f>
        <v/>
      </c>
      <c r="H638" s="8">
        <f>IF(B638="","",IFERROR(VLOOKUP(--B638,'CATALOGO CECO'!$A$2:$H$550,3,FALSE),""))</f>
        <v/>
      </c>
      <c r="I638" s="8">
        <f>IF(B638="","",IFERROR(VLOOKUP(--B638,'CATALOGO CECO'!$A$2:$H$550,5,FALSE),""))</f>
        <v/>
      </c>
      <c r="J638" s="8">
        <f>IF(B638="","",IFERROR(VLOOKUP(--B638,'CATALOGO CECO'!$A$2:$H$550,8,FALSE),""))</f>
        <v/>
      </c>
      <c r="K638" s="8">
        <f>IF(COUNTA(A638:F638)=0,"",IF(OR(LEN(A638)&lt;&gt;7,MID(A638,5,1)&lt;&gt;"-",ISERROR(--LEFT(A638,4)),ISERROR(--RIGHT(A638,2))),"ERROR: PERIODO debe ser AAAA-MM",IF(B638="","ERROR: falta CODIGO CECO",IF(G638="CECO NO EXISTE","ERROR: CECO no existe en el catálogo",IF(C638="","ERROR: falta CUENTA",IF(ISERROR(--C638),"ERROR: CUENTA debe tener solo dígitos",IF(ISERROR(FIND(LEFT(C638,1),"567")),"ERROR: CUENTA fuera de las clases de costo",IF(NOT(ISNUMBER(E638)),"ERROR: VALOR debe ser numérico",IF(E638=0,"AVISO: valor cero (no se carga)",IF(J638&lt;&gt;"ACTIVO","NO SE CARGA: CECO en estado "&amp;J638,"OK"))))))))))</f>
        <v/>
      </c>
    </row>
    <row r="639">
      <c r="A639" s="5" t="n"/>
      <c r="B639" s="6" t="n"/>
      <c r="C639" s="5" t="n"/>
      <c r="D639" s="6" t="n"/>
      <c r="E639" s="7" t="n"/>
      <c r="F639" s="6" t="n"/>
      <c r="G639" s="8">
        <f>IF(B639="","",IFERROR(VLOOKUP(--B639,'CATALOGO CECO'!$A$2:$H$550,2,FALSE),"CECO NO EXISTE"))</f>
        <v/>
      </c>
      <c r="H639" s="8">
        <f>IF(B639="","",IFERROR(VLOOKUP(--B639,'CATALOGO CECO'!$A$2:$H$550,3,FALSE),""))</f>
        <v/>
      </c>
      <c r="I639" s="8">
        <f>IF(B639="","",IFERROR(VLOOKUP(--B639,'CATALOGO CECO'!$A$2:$H$550,5,FALSE),""))</f>
        <v/>
      </c>
      <c r="J639" s="8">
        <f>IF(B639="","",IFERROR(VLOOKUP(--B639,'CATALOGO CECO'!$A$2:$H$550,8,FALSE),""))</f>
        <v/>
      </c>
      <c r="K639" s="8">
        <f>IF(COUNTA(A639:F639)=0,"",IF(OR(LEN(A639)&lt;&gt;7,MID(A639,5,1)&lt;&gt;"-",ISERROR(--LEFT(A639,4)),ISERROR(--RIGHT(A639,2))),"ERROR: PERIODO debe ser AAAA-MM",IF(B639="","ERROR: falta CODIGO CECO",IF(G639="CECO NO EXISTE","ERROR: CECO no existe en el catálogo",IF(C639="","ERROR: falta CUENTA",IF(ISERROR(--C639),"ERROR: CUENTA debe tener solo dígitos",IF(ISERROR(FIND(LEFT(C639,1),"567")),"ERROR: CUENTA fuera de las clases de costo",IF(NOT(ISNUMBER(E639)),"ERROR: VALOR debe ser numérico",IF(E639=0,"AVISO: valor cero (no se carga)",IF(J639&lt;&gt;"ACTIVO","NO SE CARGA: CECO en estado "&amp;J639,"OK"))))))))))</f>
        <v/>
      </c>
    </row>
    <row r="640">
      <c r="A640" s="5" t="n"/>
      <c r="B640" s="6" t="n"/>
      <c r="C640" s="5" t="n"/>
      <c r="D640" s="6" t="n"/>
      <c r="E640" s="7" t="n"/>
      <c r="F640" s="6" t="n"/>
      <c r="G640" s="8">
        <f>IF(B640="","",IFERROR(VLOOKUP(--B640,'CATALOGO CECO'!$A$2:$H$550,2,FALSE),"CECO NO EXISTE"))</f>
        <v/>
      </c>
      <c r="H640" s="8">
        <f>IF(B640="","",IFERROR(VLOOKUP(--B640,'CATALOGO CECO'!$A$2:$H$550,3,FALSE),""))</f>
        <v/>
      </c>
      <c r="I640" s="8">
        <f>IF(B640="","",IFERROR(VLOOKUP(--B640,'CATALOGO CECO'!$A$2:$H$550,5,FALSE),""))</f>
        <v/>
      </c>
      <c r="J640" s="8">
        <f>IF(B640="","",IFERROR(VLOOKUP(--B640,'CATALOGO CECO'!$A$2:$H$550,8,FALSE),""))</f>
        <v/>
      </c>
      <c r="K640" s="8">
        <f>IF(COUNTA(A640:F640)=0,"",IF(OR(LEN(A640)&lt;&gt;7,MID(A640,5,1)&lt;&gt;"-",ISERROR(--LEFT(A640,4)),ISERROR(--RIGHT(A640,2))),"ERROR: PERIODO debe ser AAAA-MM",IF(B640="","ERROR: falta CODIGO CECO",IF(G640="CECO NO EXISTE","ERROR: CECO no existe en el catálogo",IF(C640="","ERROR: falta CUENTA",IF(ISERROR(--C640),"ERROR: CUENTA debe tener solo dígitos",IF(ISERROR(FIND(LEFT(C640,1),"567")),"ERROR: CUENTA fuera de las clases de costo",IF(NOT(ISNUMBER(E640)),"ERROR: VALOR debe ser numérico",IF(E640=0,"AVISO: valor cero (no se carga)",IF(J640&lt;&gt;"ACTIVO","NO SE CARGA: CECO en estado "&amp;J640,"OK"))))))))))</f>
        <v/>
      </c>
    </row>
    <row r="641">
      <c r="A641" s="5" t="n"/>
      <c r="B641" s="6" t="n"/>
      <c r="C641" s="5" t="n"/>
      <c r="D641" s="6" t="n"/>
      <c r="E641" s="7" t="n"/>
      <c r="F641" s="6" t="n"/>
      <c r="G641" s="8">
        <f>IF(B641="","",IFERROR(VLOOKUP(--B641,'CATALOGO CECO'!$A$2:$H$550,2,FALSE),"CECO NO EXISTE"))</f>
        <v/>
      </c>
      <c r="H641" s="8">
        <f>IF(B641="","",IFERROR(VLOOKUP(--B641,'CATALOGO CECO'!$A$2:$H$550,3,FALSE),""))</f>
        <v/>
      </c>
      <c r="I641" s="8">
        <f>IF(B641="","",IFERROR(VLOOKUP(--B641,'CATALOGO CECO'!$A$2:$H$550,5,FALSE),""))</f>
        <v/>
      </c>
      <c r="J641" s="8">
        <f>IF(B641="","",IFERROR(VLOOKUP(--B641,'CATALOGO CECO'!$A$2:$H$550,8,FALSE),""))</f>
        <v/>
      </c>
      <c r="K641" s="8">
        <f>IF(COUNTA(A641:F641)=0,"",IF(OR(LEN(A641)&lt;&gt;7,MID(A641,5,1)&lt;&gt;"-",ISERROR(--LEFT(A641,4)),ISERROR(--RIGHT(A641,2))),"ERROR: PERIODO debe ser AAAA-MM",IF(B641="","ERROR: falta CODIGO CECO",IF(G641="CECO NO EXISTE","ERROR: CECO no existe en el catálogo",IF(C641="","ERROR: falta CUENTA",IF(ISERROR(--C641),"ERROR: CUENTA debe tener solo dígitos",IF(ISERROR(FIND(LEFT(C641,1),"567")),"ERROR: CUENTA fuera de las clases de costo",IF(NOT(ISNUMBER(E641)),"ERROR: VALOR debe ser numérico",IF(E641=0,"AVISO: valor cero (no se carga)",IF(J641&lt;&gt;"ACTIVO","NO SE CARGA: CECO en estado "&amp;J641,"OK"))))))))))</f>
        <v/>
      </c>
    </row>
    <row r="642">
      <c r="A642" s="5" t="n"/>
      <c r="B642" s="6" t="n"/>
      <c r="C642" s="5" t="n"/>
      <c r="D642" s="6" t="n"/>
      <c r="E642" s="7" t="n"/>
      <c r="F642" s="6" t="n"/>
      <c r="G642" s="8">
        <f>IF(B642="","",IFERROR(VLOOKUP(--B642,'CATALOGO CECO'!$A$2:$H$550,2,FALSE),"CECO NO EXISTE"))</f>
        <v/>
      </c>
      <c r="H642" s="8">
        <f>IF(B642="","",IFERROR(VLOOKUP(--B642,'CATALOGO CECO'!$A$2:$H$550,3,FALSE),""))</f>
        <v/>
      </c>
      <c r="I642" s="8">
        <f>IF(B642="","",IFERROR(VLOOKUP(--B642,'CATALOGO CECO'!$A$2:$H$550,5,FALSE),""))</f>
        <v/>
      </c>
      <c r="J642" s="8">
        <f>IF(B642="","",IFERROR(VLOOKUP(--B642,'CATALOGO CECO'!$A$2:$H$550,8,FALSE),""))</f>
        <v/>
      </c>
      <c r="K642" s="8">
        <f>IF(COUNTA(A642:F642)=0,"",IF(OR(LEN(A642)&lt;&gt;7,MID(A642,5,1)&lt;&gt;"-",ISERROR(--LEFT(A642,4)),ISERROR(--RIGHT(A642,2))),"ERROR: PERIODO debe ser AAAA-MM",IF(B642="","ERROR: falta CODIGO CECO",IF(G642="CECO NO EXISTE","ERROR: CECO no existe en el catálogo",IF(C642="","ERROR: falta CUENTA",IF(ISERROR(--C642),"ERROR: CUENTA debe tener solo dígitos",IF(ISERROR(FIND(LEFT(C642,1),"567")),"ERROR: CUENTA fuera de las clases de costo",IF(NOT(ISNUMBER(E642)),"ERROR: VALOR debe ser numérico",IF(E642=0,"AVISO: valor cero (no se carga)",IF(J642&lt;&gt;"ACTIVO","NO SE CARGA: CECO en estado "&amp;J642,"OK"))))))))))</f>
        <v/>
      </c>
    </row>
    <row r="643">
      <c r="A643" s="5" t="n"/>
      <c r="B643" s="6" t="n"/>
      <c r="C643" s="5" t="n"/>
      <c r="D643" s="6" t="n"/>
      <c r="E643" s="7" t="n"/>
      <c r="F643" s="6" t="n"/>
      <c r="G643" s="8">
        <f>IF(B643="","",IFERROR(VLOOKUP(--B643,'CATALOGO CECO'!$A$2:$H$550,2,FALSE),"CECO NO EXISTE"))</f>
        <v/>
      </c>
      <c r="H643" s="8">
        <f>IF(B643="","",IFERROR(VLOOKUP(--B643,'CATALOGO CECO'!$A$2:$H$550,3,FALSE),""))</f>
        <v/>
      </c>
      <c r="I643" s="8">
        <f>IF(B643="","",IFERROR(VLOOKUP(--B643,'CATALOGO CECO'!$A$2:$H$550,5,FALSE),""))</f>
        <v/>
      </c>
      <c r="J643" s="8">
        <f>IF(B643="","",IFERROR(VLOOKUP(--B643,'CATALOGO CECO'!$A$2:$H$550,8,FALSE),""))</f>
        <v/>
      </c>
      <c r="K643" s="8">
        <f>IF(COUNTA(A643:F643)=0,"",IF(OR(LEN(A643)&lt;&gt;7,MID(A643,5,1)&lt;&gt;"-",ISERROR(--LEFT(A643,4)),ISERROR(--RIGHT(A643,2))),"ERROR: PERIODO debe ser AAAA-MM",IF(B643="","ERROR: falta CODIGO CECO",IF(G643="CECO NO EXISTE","ERROR: CECO no existe en el catálogo",IF(C643="","ERROR: falta CUENTA",IF(ISERROR(--C643),"ERROR: CUENTA debe tener solo dígitos",IF(ISERROR(FIND(LEFT(C643,1),"567")),"ERROR: CUENTA fuera de las clases de costo",IF(NOT(ISNUMBER(E643)),"ERROR: VALOR debe ser numérico",IF(E643=0,"AVISO: valor cero (no se carga)",IF(J643&lt;&gt;"ACTIVO","NO SE CARGA: CECO en estado "&amp;J643,"OK"))))))))))</f>
        <v/>
      </c>
    </row>
    <row r="644">
      <c r="A644" s="5" t="n"/>
      <c r="B644" s="6" t="n"/>
      <c r="C644" s="5" t="n"/>
      <c r="D644" s="6" t="n"/>
      <c r="E644" s="7" t="n"/>
      <c r="F644" s="6" t="n"/>
      <c r="G644" s="8">
        <f>IF(B644="","",IFERROR(VLOOKUP(--B644,'CATALOGO CECO'!$A$2:$H$550,2,FALSE),"CECO NO EXISTE"))</f>
        <v/>
      </c>
      <c r="H644" s="8">
        <f>IF(B644="","",IFERROR(VLOOKUP(--B644,'CATALOGO CECO'!$A$2:$H$550,3,FALSE),""))</f>
        <v/>
      </c>
      <c r="I644" s="8">
        <f>IF(B644="","",IFERROR(VLOOKUP(--B644,'CATALOGO CECO'!$A$2:$H$550,5,FALSE),""))</f>
        <v/>
      </c>
      <c r="J644" s="8">
        <f>IF(B644="","",IFERROR(VLOOKUP(--B644,'CATALOGO CECO'!$A$2:$H$550,8,FALSE),""))</f>
        <v/>
      </c>
      <c r="K644" s="8">
        <f>IF(COUNTA(A644:F644)=0,"",IF(OR(LEN(A644)&lt;&gt;7,MID(A644,5,1)&lt;&gt;"-",ISERROR(--LEFT(A644,4)),ISERROR(--RIGHT(A644,2))),"ERROR: PERIODO debe ser AAAA-MM",IF(B644="","ERROR: falta CODIGO CECO",IF(G644="CECO NO EXISTE","ERROR: CECO no existe en el catálogo",IF(C644="","ERROR: falta CUENTA",IF(ISERROR(--C644),"ERROR: CUENTA debe tener solo dígitos",IF(ISERROR(FIND(LEFT(C644,1),"567")),"ERROR: CUENTA fuera de las clases de costo",IF(NOT(ISNUMBER(E644)),"ERROR: VALOR debe ser numérico",IF(E644=0,"AVISO: valor cero (no se carga)",IF(J644&lt;&gt;"ACTIVO","NO SE CARGA: CECO en estado "&amp;J644,"OK"))))))))))</f>
        <v/>
      </c>
    </row>
    <row r="645">
      <c r="A645" s="5" t="n"/>
      <c r="B645" s="6" t="n"/>
      <c r="C645" s="5" t="n"/>
      <c r="D645" s="6" t="n"/>
      <c r="E645" s="7" t="n"/>
      <c r="F645" s="6" t="n"/>
      <c r="G645" s="8">
        <f>IF(B645="","",IFERROR(VLOOKUP(--B645,'CATALOGO CECO'!$A$2:$H$550,2,FALSE),"CECO NO EXISTE"))</f>
        <v/>
      </c>
      <c r="H645" s="8">
        <f>IF(B645="","",IFERROR(VLOOKUP(--B645,'CATALOGO CECO'!$A$2:$H$550,3,FALSE),""))</f>
        <v/>
      </c>
      <c r="I645" s="8">
        <f>IF(B645="","",IFERROR(VLOOKUP(--B645,'CATALOGO CECO'!$A$2:$H$550,5,FALSE),""))</f>
        <v/>
      </c>
      <c r="J645" s="8">
        <f>IF(B645="","",IFERROR(VLOOKUP(--B645,'CATALOGO CECO'!$A$2:$H$550,8,FALSE),""))</f>
        <v/>
      </c>
      <c r="K645" s="8">
        <f>IF(COUNTA(A645:F645)=0,"",IF(OR(LEN(A645)&lt;&gt;7,MID(A645,5,1)&lt;&gt;"-",ISERROR(--LEFT(A645,4)),ISERROR(--RIGHT(A645,2))),"ERROR: PERIODO debe ser AAAA-MM",IF(B645="","ERROR: falta CODIGO CECO",IF(G645="CECO NO EXISTE","ERROR: CECO no existe en el catálogo",IF(C645="","ERROR: falta CUENTA",IF(ISERROR(--C645),"ERROR: CUENTA debe tener solo dígitos",IF(ISERROR(FIND(LEFT(C645,1),"567")),"ERROR: CUENTA fuera de las clases de costo",IF(NOT(ISNUMBER(E645)),"ERROR: VALOR debe ser numérico",IF(E645=0,"AVISO: valor cero (no se carga)",IF(J645&lt;&gt;"ACTIVO","NO SE CARGA: CECO en estado "&amp;J645,"OK"))))))))))</f>
        <v/>
      </c>
    </row>
    <row r="646">
      <c r="A646" s="5" t="n"/>
      <c r="B646" s="6" t="n"/>
      <c r="C646" s="5" t="n"/>
      <c r="D646" s="6" t="n"/>
      <c r="E646" s="7" t="n"/>
      <c r="F646" s="6" t="n"/>
      <c r="G646" s="8">
        <f>IF(B646="","",IFERROR(VLOOKUP(--B646,'CATALOGO CECO'!$A$2:$H$550,2,FALSE),"CECO NO EXISTE"))</f>
        <v/>
      </c>
      <c r="H646" s="8">
        <f>IF(B646="","",IFERROR(VLOOKUP(--B646,'CATALOGO CECO'!$A$2:$H$550,3,FALSE),""))</f>
        <v/>
      </c>
      <c r="I646" s="8">
        <f>IF(B646="","",IFERROR(VLOOKUP(--B646,'CATALOGO CECO'!$A$2:$H$550,5,FALSE),""))</f>
        <v/>
      </c>
      <c r="J646" s="8">
        <f>IF(B646="","",IFERROR(VLOOKUP(--B646,'CATALOGO CECO'!$A$2:$H$550,8,FALSE),""))</f>
        <v/>
      </c>
      <c r="K646" s="8">
        <f>IF(COUNTA(A646:F646)=0,"",IF(OR(LEN(A646)&lt;&gt;7,MID(A646,5,1)&lt;&gt;"-",ISERROR(--LEFT(A646,4)),ISERROR(--RIGHT(A646,2))),"ERROR: PERIODO debe ser AAAA-MM",IF(B646="","ERROR: falta CODIGO CECO",IF(G646="CECO NO EXISTE","ERROR: CECO no existe en el catálogo",IF(C646="","ERROR: falta CUENTA",IF(ISERROR(--C646),"ERROR: CUENTA debe tener solo dígitos",IF(ISERROR(FIND(LEFT(C646,1),"567")),"ERROR: CUENTA fuera de las clases de costo",IF(NOT(ISNUMBER(E646)),"ERROR: VALOR debe ser numérico",IF(E646=0,"AVISO: valor cero (no se carga)",IF(J646&lt;&gt;"ACTIVO","NO SE CARGA: CECO en estado "&amp;J646,"OK"))))))))))</f>
        <v/>
      </c>
    </row>
    <row r="647">
      <c r="A647" s="5" t="n"/>
      <c r="B647" s="6" t="n"/>
      <c r="C647" s="5" t="n"/>
      <c r="D647" s="6" t="n"/>
      <c r="E647" s="7" t="n"/>
      <c r="F647" s="6" t="n"/>
      <c r="G647" s="8">
        <f>IF(B647="","",IFERROR(VLOOKUP(--B647,'CATALOGO CECO'!$A$2:$H$550,2,FALSE),"CECO NO EXISTE"))</f>
        <v/>
      </c>
      <c r="H647" s="8">
        <f>IF(B647="","",IFERROR(VLOOKUP(--B647,'CATALOGO CECO'!$A$2:$H$550,3,FALSE),""))</f>
        <v/>
      </c>
      <c r="I647" s="8">
        <f>IF(B647="","",IFERROR(VLOOKUP(--B647,'CATALOGO CECO'!$A$2:$H$550,5,FALSE),""))</f>
        <v/>
      </c>
      <c r="J647" s="8">
        <f>IF(B647="","",IFERROR(VLOOKUP(--B647,'CATALOGO CECO'!$A$2:$H$550,8,FALSE),""))</f>
        <v/>
      </c>
      <c r="K647" s="8">
        <f>IF(COUNTA(A647:F647)=0,"",IF(OR(LEN(A647)&lt;&gt;7,MID(A647,5,1)&lt;&gt;"-",ISERROR(--LEFT(A647,4)),ISERROR(--RIGHT(A647,2))),"ERROR: PERIODO debe ser AAAA-MM",IF(B647="","ERROR: falta CODIGO CECO",IF(G647="CECO NO EXISTE","ERROR: CECO no existe en el catálogo",IF(C647="","ERROR: falta CUENTA",IF(ISERROR(--C647),"ERROR: CUENTA debe tener solo dígitos",IF(ISERROR(FIND(LEFT(C647,1),"567")),"ERROR: CUENTA fuera de las clases de costo",IF(NOT(ISNUMBER(E647)),"ERROR: VALOR debe ser numérico",IF(E647=0,"AVISO: valor cero (no se carga)",IF(J647&lt;&gt;"ACTIVO","NO SE CARGA: CECO en estado "&amp;J647,"OK"))))))))))</f>
        <v/>
      </c>
    </row>
    <row r="648">
      <c r="A648" s="5" t="n"/>
      <c r="B648" s="6" t="n"/>
      <c r="C648" s="5" t="n"/>
      <c r="D648" s="6" t="n"/>
      <c r="E648" s="7" t="n"/>
      <c r="F648" s="6" t="n"/>
      <c r="G648" s="8">
        <f>IF(B648="","",IFERROR(VLOOKUP(--B648,'CATALOGO CECO'!$A$2:$H$550,2,FALSE),"CECO NO EXISTE"))</f>
        <v/>
      </c>
      <c r="H648" s="8">
        <f>IF(B648="","",IFERROR(VLOOKUP(--B648,'CATALOGO CECO'!$A$2:$H$550,3,FALSE),""))</f>
        <v/>
      </c>
      <c r="I648" s="8">
        <f>IF(B648="","",IFERROR(VLOOKUP(--B648,'CATALOGO CECO'!$A$2:$H$550,5,FALSE),""))</f>
        <v/>
      </c>
      <c r="J648" s="8">
        <f>IF(B648="","",IFERROR(VLOOKUP(--B648,'CATALOGO CECO'!$A$2:$H$550,8,FALSE),""))</f>
        <v/>
      </c>
      <c r="K648" s="8">
        <f>IF(COUNTA(A648:F648)=0,"",IF(OR(LEN(A648)&lt;&gt;7,MID(A648,5,1)&lt;&gt;"-",ISERROR(--LEFT(A648,4)),ISERROR(--RIGHT(A648,2))),"ERROR: PERIODO debe ser AAAA-MM",IF(B648="","ERROR: falta CODIGO CECO",IF(G648="CECO NO EXISTE","ERROR: CECO no existe en el catálogo",IF(C648="","ERROR: falta CUENTA",IF(ISERROR(--C648),"ERROR: CUENTA debe tener solo dígitos",IF(ISERROR(FIND(LEFT(C648,1),"567")),"ERROR: CUENTA fuera de las clases de costo",IF(NOT(ISNUMBER(E648)),"ERROR: VALOR debe ser numérico",IF(E648=0,"AVISO: valor cero (no se carga)",IF(J648&lt;&gt;"ACTIVO","NO SE CARGA: CECO en estado "&amp;J648,"OK"))))))))))</f>
        <v/>
      </c>
    </row>
    <row r="649">
      <c r="A649" s="5" t="n"/>
      <c r="B649" s="6" t="n"/>
      <c r="C649" s="5" t="n"/>
      <c r="D649" s="6" t="n"/>
      <c r="E649" s="7" t="n"/>
      <c r="F649" s="6" t="n"/>
      <c r="G649" s="8">
        <f>IF(B649="","",IFERROR(VLOOKUP(--B649,'CATALOGO CECO'!$A$2:$H$550,2,FALSE),"CECO NO EXISTE"))</f>
        <v/>
      </c>
      <c r="H649" s="8">
        <f>IF(B649="","",IFERROR(VLOOKUP(--B649,'CATALOGO CECO'!$A$2:$H$550,3,FALSE),""))</f>
        <v/>
      </c>
      <c r="I649" s="8">
        <f>IF(B649="","",IFERROR(VLOOKUP(--B649,'CATALOGO CECO'!$A$2:$H$550,5,FALSE),""))</f>
        <v/>
      </c>
      <c r="J649" s="8">
        <f>IF(B649="","",IFERROR(VLOOKUP(--B649,'CATALOGO CECO'!$A$2:$H$550,8,FALSE),""))</f>
        <v/>
      </c>
      <c r="K649" s="8">
        <f>IF(COUNTA(A649:F649)=0,"",IF(OR(LEN(A649)&lt;&gt;7,MID(A649,5,1)&lt;&gt;"-",ISERROR(--LEFT(A649,4)),ISERROR(--RIGHT(A649,2))),"ERROR: PERIODO debe ser AAAA-MM",IF(B649="","ERROR: falta CODIGO CECO",IF(G649="CECO NO EXISTE","ERROR: CECO no existe en el catálogo",IF(C649="","ERROR: falta CUENTA",IF(ISERROR(--C649),"ERROR: CUENTA debe tener solo dígitos",IF(ISERROR(FIND(LEFT(C649,1),"567")),"ERROR: CUENTA fuera de las clases de costo",IF(NOT(ISNUMBER(E649)),"ERROR: VALOR debe ser numérico",IF(E649=0,"AVISO: valor cero (no se carga)",IF(J649&lt;&gt;"ACTIVO","NO SE CARGA: CECO en estado "&amp;J649,"OK"))))))))))</f>
        <v/>
      </c>
    </row>
    <row r="650">
      <c r="A650" s="5" t="n"/>
      <c r="B650" s="6" t="n"/>
      <c r="C650" s="5" t="n"/>
      <c r="D650" s="6" t="n"/>
      <c r="E650" s="7" t="n"/>
      <c r="F650" s="6" t="n"/>
      <c r="G650" s="8">
        <f>IF(B650="","",IFERROR(VLOOKUP(--B650,'CATALOGO CECO'!$A$2:$H$550,2,FALSE),"CECO NO EXISTE"))</f>
        <v/>
      </c>
      <c r="H650" s="8">
        <f>IF(B650="","",IFERROR(VLOOKUP(--B650,'CATALOGO CECO'!$A$2:$H$550,3,FALSE),""))</f>
        <v/>
      </c>
      <c r="I650" s="8">
        <f>IF(B650="","",IFERROR(VLOOKUP(--B650,'CATALOGO CECO'!$A$2:$H$550,5,FALSE),""))</f>
        <v/>
      </c>
      <c r="J650" s="8">
        <f>IF(B650="","",IFERROR(VLOOKUP(--B650,'CATALOGO CECO'!$A$2:$H$550,8,FALSE),""))</f>
        <v/>
      </c>
      <c r="K650" s="8">
        <f>IF(COUNTA(A650:F650)=0,"",IF(OR(LEN(A650)&lt;&gt;7,MID(A650,5,1)&lt;&gt;"-",ISERROR(--LEFT(A650,4)),ISERROR(--RIGHT(A650,2))),"ERROR: PERIODO debe ser AAAA-MM",IF(B650="","ERROR: falta CODIGO CECO",IF(G650="CECO NO EXISTE","ERROR: CECO no existe en el catálogo",IF(C650="","ERROR: falta CUENTA",IF(ISERROR(--C650),"ERROR: CUENTA debe tener solo dígitos",IF(ISERROR(FIND(LEFT(C650,1),"567")),"ERROR: CUENTA fuera de las clases de costo",IF(NOT(ISNUMBER(E650)),"ERROR: VALOR debe ser numérico",IF(E650=0,"AVISO: valor cero (no se carga)",IF(J650&lt;&gt;"ACTIVO","NO SE CARGA: CECO en estado "&amp;J650,"OK"))))))))))</f>
        <v/>
      </c>
    </row>
    <row r="651">
      <c r="A651" s="5" t="n"/>
      <c r="B651" s="6" t="n"/>
      <c r="C651" s="5" t="n"/>
      <c r="D651" s="6" t="n"/>
      <c r="E651" s="7" t="n"/>
      <c r="F651" s="6" t="n"/>
      <c r="G651" s="8">
        <f>IF(B651="","",IFERROR(VLOOKUP(--B651,'CATALOGO CECO'!$A$2:$H$550,2,FALSE),"CECO NO EXISTE"))</f>
        <v/>
      </c>
      <c r="H651" s="8">
        <f>IF(B651="","",IFERROR(VLOOKUP(--B651,'CATALOGO CECO'!$A$2:$H$550,3,FALSE),""))</f>
        <v/>
      </c>
      <c r="I651" s="8">
        <f>IF(B651="","",IFERROR(VLOOKUP(--B651,'CATALOGO CECO'!$A$2:$H$550,5,FALSE),""))</f>
        <v/>
      </c>
      <c r="J651" s="8">
        <f>IF(B651="","",IFERROR(VLOOKUP(--B651,'CATALOGO CECO'!$A$2:$H$550,8,FALSE),""))</f>
        <v/>
      </c>
      <c r="K651" s="8">
        <f>IF(COUNTA(A651:F651)=0,"",IF(OR(LEN(A651)&lt;&gt;7,MID(A651,5,1)&lt;&gt;"-",ISERROR(--LEFT(A651,4)),ISERROR(--RIGHT(A651,2))),"ERROR: PERIODO debe ser AAAA-MM",IF(B651="","ERROR: falta CODIGO CECO",IF(G651="CECO NO EXISTE","ERROR: CECO no existe en el catálogo",IF(C651="","ERROR: falta CUENTA",IF(ISERROR(--C651),"ERROR: CUENTA debe tener solo dígitos",IF(ISERROR(FIND(LEFT(C651,1),"567")),"ERROR: CUENTA fuera de las clases de costo",IF(NOT(ISNUMBER(E651)),"ERROR: VALOR debe ser numérico",IF(E651=0,"AVISO: valor cero (no se carga)",IF(J651&lt;&gt;"ACTIVO","NO SE CARGA: CECO en estado "&amp;J651,"OK"))))))))))</f>
        <v/>
      </c>
    </row>
    <row r="652">
      <c r="A652" s="5" t="n"/>
      <c r="B652" s="6" t="n"/>
      <c r="C652" s="5" t="n"/>
      <c r="D652" s="6" t="n"/>
      <c r="E652" s="7" t="n"/>
      <c r="F652" s="6" t="n"/>
      <c r="G652" s="8">
        <f>IF(B652="","",IFERROR(VLOOKUP(--B652,'CATALOGO CECO'!$A$2:$H$550,2,FALSE),"CECO NO EXISTE"))</f>
        <v/>
      </c>
      <c r="H652" s="8">
        <f>IF(B652="","",IFERROR(VLOOKUP(--B652,'CATALOGO CECO'!$A$2:$H$550,3,FALSE),""))</f>
        <v/>
      </c>
      <c r="I652" s="8">
        <f>IF(B652="","",IFERROR(VLOOKUP(--B652,'CATALOGO CECO'!$A$2:$H$550,5,FALSE),""))</f>
        <v/>
      </c>
      <c r="J652" s="8">
        <f>IF(B652="","",IFERROR(VLOOKUP(--B652,'CATALOGO CECO'!$A$2:$H$550,8,FALSE),""))</f>
        <v/>
      </c>
      <c r="K652" s="8">
        <f>IF(COUNTA(A652:F652)=0,"",IF(OR(LEN(A652)&lt;&gt;7,MID(A652,5,1)&lt;&gt;"-",ISERROR(--LEFT(A652,4)),ISERROR(--RIGHT(A652,2))),"ERROR: PERIODO debe ser AAAA-MM",IF(B652="","ERROR: falta CODIGO CECO",IF(G652="CECO NO EXISTE","ERROR: CECO no existe en el catálogo",IF(C652="","ERROR: falta CUENTA",IF(ISERROR(--C652),"ERROR: CUENTA debe tener solo dígitos",IF(ISERROR(FIND(LEFT(C652,1),"567")),"ERROR: CUENTA fuera de las clases de costo",IF(NOT(ISNUMBER(E652)),"ERROR: VALOR debe ser numérico",IF(E652=0,"AVISO: valor cero (no se carga)",IF(J652&lt;&gt;"ACTIVO","NO SE CARGA: CECO en estado "&amp;J652,"OK"))))))))))</f>
        <v/>
      </c>
    </row>
    <row r="653">
      <c r="A653" s="5" t="n"/>
      <c r="B653" s="6" t="n"/>
      <c r="C653" s="5" t="n"/>
      <c r="D653" s="6" t="n"/>
      <c r="E653" s="7" t="n"/>
      <c r="F653" s="6" t="n"/>
      <c r="G653" s="8">
        <f>IF(B653="","",IFERROR(VLOOKUP(--B653,'CATALOGO CECO'!$A$2:$H$550,2,FALSE),"CECO NO EXISTE"))</f>
        <v/>
      </c>
      <c r="H653" s="8">
        <f>IF(B653="","",IFERROR(VLOOKUP(--B653,'CATALOGO CECO'!$A$2:$H$550,3,FALSE),""))</f>
        <v/>
      </c>
      <c r="I653" s="8">
        <f>IF(B653="","",IFERROR(VLOOKUP(--B653,'CATALOGO CECO'!$A$2:$H$550,5,FALSE),""))</f>
        <v/>
      </c>
      <c r="J653" s="8">
        <f>IF(B653="","",IFERROR(VLOOKUP(--B653,'CATALOGO CECO'!$A$2:$H$550,8,FALSE),""))</f>
        <v/>
      </c>
      <c r="K653" s="8">
        <f>IF(COUNTA(A653:F653)=0,"",IF(OR(LEN(A653)&lt;&gt;7,MID(A653,5,1)&lt;&gt;"-",ISERROR(--LEFT(A653,4)),ISERROR(--RIGHT(A653,2))),"ERROR: PERIODO debe ser AAAA-MM",IF(B653="","ERROR: falta CODIGO CECO",IF(G653="CECO NO EXISTE","ERROR: CECO no existe en el catálogo",IF(C653="","ERROR: falta CUENTA",IF(ISERROR(--C653),"ERROR: CUENTA debe tener solo dígitos",IF(ISERROR(FIND(LEFT(C653,1),"567")),"ERROR: CUENTA fuera de las clases de costo",IF(NOT(ISNUMBER(E653)),"ERROR: VALOR debe ser numérico",IF(E653=0,"AVISO: valor cero (no se carga)",IF(J653&lt;&gt;"ACTIVO","NO SE CARGA: CECO en estado "&amp;J653,"OK"))))))))))</f>
        <v/>
      </c>
    </row>
    <row r="654">
      <c r="A654" s="5" t="n"/>
      <c r="B654" s="6" t="n"/>
      <c r="C654" s="5" t="n"/>
      <c r="D654" s="6" t="n"/>
      <c r="E654" s="7" t="n"/>
      <c r="F654" s="6" t="n"/>
      <c r="G654" s="8">
        <f>IF(B654="","",IFERROR(VLOOKUP(--B654,'CATALOGO CECO'!$A$2:$H$550,2,FALSE),"CECO NO EXISTE"))</f>
        <v/>
      </c>
      <c r="H654" s="8">
        <f>IF(B654="","",IFERROR(VLOOKUP(--B654,'CATALOGO CECO'!$A$2:$H$550,3,FALSE),""))</f>
        <v/>
      </c>
      <c r="I654" s="8">
        <f>IF(B654="","",IFERROR(VLOOKUP(--B654,'CATALOGO CECO'!$A$2:$H$550,5,FALSE),""))</f>
        <v/>
      </c>
      <c r="J654" s="8">
        <f>IF(B654="","",IFERROR(VLOOKUP(--B654,'CATALOGO CECO'!$A$2:$H$550,8,FALSE),""))</f>
        <v/>
      </c>
      <c r="K654" s="8">
        <f>IF(COUNTA(A654:F654)=0,"",IF(OR(LEN(A654)&lt;&gt;7,MID(A654,5,1)&lt;&gt;"-",ISERROR(--LEFT(A654,4)),ISERROR(--RIGHT(A654,2))),"ERROR: PERIODO debe ser AAAA-MM",IF(B654="","ERROR: falta CODIGO CECO",IF(G654="CECO NO EXISTE","ERROR: CECO no existe en el catálogo",IF(C654="","ERROR: falta CUENTA",IF(ISERROR(--C654),"ERROR: CUENTA debe tener solo dígitos",IF(ISERROR(FIND(LEFT(C654,1),"567")),"ERROR: CUENTA fuera de las clases de costo",IF(NOT(ISNUMBER(E654)),"ERROR: VALOR debe ser numérico",IF(E654=0,"AVISO: valor cero (no se carga)",IF(J654&lt;&gt;"ACTIVO","NO SE CARGA: CECO en estado "&amp;J654,"OK"))))))))))</f>
        <v/>
      </c>
    </row>
    <row r="655">
      <c r="A655" s="5" t="n"/>
      <c r="B655" s="6" t="n"/>
      <c r="C655" s="5" t="n"/>
      <c r="D655" s="6" t="n"/>
      <c r="E655" s="7" t="n"/>
      <c r="F655" s="6" t="n"/>
      <c r="G655" s="8">
        <f>IF(B655="","",IFERROR(VLOOKUP(--B655,'CATALOGO CECO'!$A$2:$H$550,2,FALSE),"CECO NO EXISTE"))</f>
        <v/>
      </c>
      <c r="H655" s="8">
        <f>IF(B655="","",IFERROR(VLOOKUP(--B655,'CATALOGO CECO'!$A$2:$H$550,3,FALSE),""))</f>
        <v/>
      </c>
      <c r="I655" s="8">
        <f>IF(B655="","",IFERROR(VLOOKUP(--B655,'CATALOGO CECO'!$A$2:$H$550,5,FALSE),""))</f>
        <v/>
      </c>
      <c r="J655" s="8">
        <f>IF(B655="","",IFERROR(VLOOKUP(--B655,'CATALOGO CECO'!$A$2:$H$550,8,FALSE),""))</f>
        <v/>
      </c>
      <c r="K655" s="8">
        <f>IF(COUNTA(A655:F655)=0,"",IF(OR(LEN(A655)&lt;&gt;7,MID(A655,5,1)&lt;&gt;"-",ISERROR(--LEFT(A655,4)),ISERROR(--RIGHT(A655,2))),"ERROR: PERIODO debe ser AAAA-MM",IF(B655="","ERROR: falta CODIGO CECO",IF(G655="CECO NO EXISTE","ERROR: CECO no existe en el catálogo",IF(C655="","ERROR: falta CUENTA",IF(ISERROR(--C655),"ERROR: CUENTA debe tener solo dígitos",IF(ISERROR(FIND(LEFT(C655,1),"567")),"ERROR: CUENTA fuera de las clases de costo",IF(NOT(ISNUMBER(E655)),"ERROR: VALOR debe ser numérico",IF(E655=0,"AVISO: valor cero (no se carga)",IF(J655&lt;&gt;"ACTIVO","NO SE CARGA: CECO en estado "&amp;J655,"OK"))))))))))</f>
        <v/>
      </c>
    </row>
    <row r="656">
      <c r="A656" s="5" t="n"/>
      <c r="B656" s="6" t="n"/>
      <c r="C656" s="5" t="n"/>
      <c r="D656" s="6" t="n"/>
      <c r="E656" s="7" t="n"/>
      <c r="F656" s="6" t="n"/>
      <c r="G656" s="8">
        <f>IF(B656="","",IFERROR(VLOOKUP(--B656,'CATALOGO CECO'!$A$2:$H$550,2,FALSE),"CECO NO EXISTE"))</f>
        <v/>
      </c>
      <c r="H656" s="8">
        <f>IF(B656="","",IFERROR(VLOOKUP(--B656,'CATALOGO CECO'!$A$2:$H$550,3,FALSE),""))</f>
        <v/>
      </c>
      <c r="I656" s="8">
        <f>IF(B656="","",IFERROR(VLOOKUP(--B656,'CATALOGO CECO'!$A$2:$H$550,5,FALSE),""))</f>
        <v/>
      </c>
      <c r="J656" s="8">
        <f>IF(B656="","",IFERROR(VLOOKUP(--B656,'CATALOGO CECO'!$A$2:$H$550,8,FALSE),""))</f>
        <v/>
      </c>
      <c r="K656" s="8">
        <f>IF(COUNTA(A656:F656)=0,"",IF(OR(LEN(A656)&lt;&gt;7,MID(A656,5,1)&lt;&gt;"-",ISERROR(--LEFT(A656,4)),ISERROR(--RIGHT(A656,2))),"ERROR: PERIODO debe ser AAAA-MM",IF(B656="","ERROR: falta CODIGO CECO",IF(G656="CECO NO EXISTE","ERROR: CECO no existe en el catálogo",IF(C656="","ERROR: falta CUENTA",IF(ISERROR(--C656),"ERROR: CUENTA debe tener solo dígitos",IF(ISERROR(FIND(LEFT(C656,1),"567")),"ERROR: CUENTA fuera de las clases de costo",IF(NOT(ISNUMBER(E656)),"ERROR: VALOR debe ser numérico",IF(E656=0,"AVISO: valor cero (no se carga)",IF(J656&lt;&gt;"ACTIVO","NO SE CARGA: CECO en estado "&amp;J656,"OK"))))))))))</f>
        <v/>
      </c>
    </row>
    <row r="657">
      <c r="A657" s="5" t="n"/>
      <c r="B657" s="6" t="n"/>
      <c r="C657" s="5" t="n"/>
      <c r="D657" s="6" t="n"/>
      <c r="E657" s="7" t="n"/>
      <c r="F657" s="6" t="n"/>
      <c r="G657" s="8">
        <f>IF(B657="","",IFERROR(VLOOKUP(--B657,'CATALOGO CECO'!$A$2:$H$550,2,FALSE),"CECO NO EXISTE"))</f>
        <v/>
      </c>
      <c r="H657" s="8">
        <f>IF(B657="","",IFERROR(VLOOKUP(--B657,'CATALOGO CECO'!$A$2:$H$550,3,FALSE),""))</f>
        <v/>
      </c>
      <c r="I657" s="8">
        <f>IF(B657="","",IFERROR(VLOOKUP(--B657,'CATALOGO CECO'!$A$2:$H$550,5,FALSE),""))</f>
        <v/>
      </c>
      <c r="J657" s="8">
        <f>IF(B657="","",IFERROR(VLOOKUP(--B657,'CATALOGO CECO'!$A$2:$H$550,8,FALSE),""))</f>
        <v/>
      </c>
      <c r="K657" s="8">
        <f>IF(COUNTA(A657:F657)=0,"",IF(OR(LEN(A657)&lt;&gt;7,MID(A657,5,1)&lt;&gt;"-",ISERROR(--LEFT(A657,4)),ISERROR(--RIGHT(A657,2))),"ERROR: PERIODO debe ser AAAA-MM",IF(B657="","ERROR: falta CODIGO CECO",IF(G657="CECO NO EXISTE","ERROR: CECO no existe en el catálogo",IF(C657="","ERROR: falta CUENTA",IF(ISERROR(--C657),"ERROR: CUENTA debe tener solo dígitos",IF(ISERROR(FIND(LEFT(C657,1),"567")),"ERROR: CUENTA fuera de las clases de costo",IF(NOT(ISNUMBER(E657)),"ERROR: VALOR debe ser numérico",IF(E657=0,"AVISO: valor cero (no se carga)",IF(J657&lt;&gt;"ACTIVO","NO SE CARGA: CECO en estado "&amp;J657,"OK"))))))))))</f>
        <v/>
      </c>
    </row>
    <row r="658">
      <c r="A658" s="5" t="n"/>
      <c r="B658" s="6" t="n"/>
      <c r="C658" s="5" t="n"/>
      <c r="D658" s="6" t="n"/>
      <c r="E658" s="7" t="n"/>
      <c r="F658" s="6" t="n"/>
      <c r="G658" s="8">
        <f>IF(B658="","",IFERROR(VLOOKUP(--B658,'CATALOGO CECO'!$A$2:$H$550,2,FALSE),"CECO NO EXISTE"))</f>
        <v/>
      </c>
      <c r="H658" s="8">
        <f>IF(B658="","",IFERROR(VLOOKUP(--B658,'CATALOGO CECO'!$A$2:$H$550,3,FALSE),""))</f>
        <v/>
      </c>
      <c r="I658" s="8">
        <f>IF(B658="","",IFERROR(VLOOKUP(--B658,'CATALOGO CECO'!$A$2:$H$550,5,FALSE),""))</f>
        <v/>
      </c>
      <c r="J658" s="8">
        <f>IF(B658="","",IFERROR(VLOOKUP(--B658,'CATALOGO CECO'!$A$2:$H$550,8,FALSE),""))</f>
        <v/>
      </c>
      <c r="K658" s="8">
        <f>IF(COUNTA(A658:F658)=0,"",IF(OR(LEN(A658)&lt;&gt;7,MID(A658,5,1)&lt;&gt;"-",ISERROR(--LEFT(A658,4)),ISERROR(--RIGHT(A658,2))),"ERROR: PERIODO debe ser AAAA-MM",IF(B658="","ERROR: falta CODIGO CECO",IF(G658="CECO NO EXISTE","ERROR: CECO no existe en el catálogo",IF(C658="","ERROR: falta CUENTA",IF(ISERROR(--C658),"ERROR: CUENTA debe tener solo dígitos",IF(ISERROR(FIND(LEFT(C658,1),"567")),"ERROR: CUENTA fuera de las clases de costo",IF(NOT(ISNUMBER(E658)),"ERROR: VALOR debe ser numérico",IF(E658=0,"AVISO: valor cero (no se carga)",IF(J658&lt;&gt;"ACTIVO","NO SE CARGA: CECO en estado "&amp;J658,"OK"))))))))))</f>
        <v/>
      </c>
    </row>
    <row r="659">
      <c r="A659" s="5" t="n"/>
      <c r="B659" s="6" t="n"/>
      <c r="C659" s="5" t="n"/>
      <c r="D659" s="6" t="n"/>
      <c r="E659" s="7" t="n"/>
      <c r="F659" s="6" t="n"/>
      <c r="G659" s="8">
        <f>IF(B659="","",IFERROR(VLOOKUP(--B659,'CATALOGO CECO'!$A$2:$H$550,2,FALSE),"CECO NO EXISTE"))</f>
        <v/>
      </c>
      <c r="H659" s="8">
        <f>IF(B659="","",IFERROR(VLOOKUP(--B659,'CATALOGO CECO'!$A$2:$H$550,3,FALSE),""))</f>
        <v/>
      </c>
      <c r="I659" s="8">
        <f>IF(B659="","",IFERROR(VLOOKUP(--B659,'CATALOGO CECO'!$A$2:$H$550,5,FALSE),""))</f>
        <v/>
      </c>
      <c r="J659" s="8">
        <f>IF(B659="","",IFERROR(VLOOKUP(--B659,'CATALOGO CECO'!$A$2:$H$550,8,FALSE),""))</f>
        <v/>
      </c>
      <c r="K659" s="8">
        <f>IF(COUNTA(A659:F659)=0,"",IF(OR(LEN(A659)&lt;&gt;7,MID(A659,5,1)&lt;&gt;"-",ISERROR(--LEFT(A659,4)),ISERROR(--RIGHT(A659,2))),"ERROR: PERIODO debe ser AAAA-MM",IF(B659="","ERROR: falta CODIGO CECO",IF(G659="CECO NO EXISTE","ERROR: CECO no existe en el catálogo",IF(C659="","ERROR: falta CUENTA",IF(ISERROR(--C659),"ERROR: CUENTA debe tener solo dígitos",IF(ISERROR(FIND(LEFT(C659,1),"567")),"ERROR: CUENTA fuera de las clases de costo",IF(NOT(ISNUMBER(E659)),"ERROR: VALOR debe ser numérico",IF(E659=0,"AVISO: valor cero (no se carga)",IF(J659&lt;&gt;"ACTIVO","NO SE CARGA: CECO en estado "&amp;J659,"OK"))))))))))</f>
        <v/>
      </c>
    </row>
    <row r="660">
      <c r="A660" s="5" t="n"/>
      <c r="B660" s="6" t="n"/>
      <c r="C660" s="5" t="n"/>
      <c r="D660" s="6" t="n"/>
      <c r="E660" s="7" t="n"/>
      <c r="F660" s="6" t="n"/>
      <c r="G660" s="8">
        <f>IF(B660="","",IFERROR(VLOOKUP(--B660,'CATALOGO CECO'!$A$2:$H$550,2,FALSE),"CECO NO EXISTE"))</f>
        <v/>
      </c>
      <c r="H660" s="8">
        <f>IF(B660="","",IFERROR(VLOOKUP(--B660,'CATALOGO CECO'!$A$2:$H$550,3,FALSE),""))</f>
        <v/>
      </c>
      <c r="I660" s="8">
        <f>IF(B660="","",IFERROR(VLOOKUP(--B660,'CATALOGO CECO'!$A$2:$H$550,5,FALSE),""))</f>
        <v/>
      </c>
      <c r="J660" s="8">
        <f>IF(B660="","",IFERROR(VLOOKUP(--B660,'CATALOGO CECO'!$A$2:$H$550,8,FALSE),""))</f>
        <v/>
      </c>
      <c r="K660" s="8">
        <f>IF(COUNTA(A660:F660)=0,"",IF(OR(LEN(A660)&lt;&gt;7,MID(A660,5,1)&lt;&gt;"-",ISERROR(--LEFT(A660,4)),ISERROR(--RIGHT(A660,2))),"ERROR: PERIODO debe ser AAAA-MM",IF(B660="","ERROR: falta CODIGO CECO",IF(G660="CECO NO EXISTE","ERROR: CECO no existe en el catálogo",IF(C660="","ERROR: falta CUENTA",IF(ISERROR(--C660),"ERROR: CUENTA debe tener solo dígitos",IF(ISERROR(FIND(LEFT(C660,1),"567")),"ERROR: CUENTA fuera de las clases de costo",IF(NOT(ISNUMBER(E660)),"ERROR: VALOR debe ser numérico",IF(E660=0,"AVISO: valor cero (no se carga)",IF(J660&lt;&gt;"ACTIVO","NO SE CARGA: CECO en estado "&amp;J660,"OK"))))))))))</f>
        <v/>
      </c>
    </row>
    <row r="661">
      <c r="A661" s="5" t="n"/>
      <c r="B661" s="6" t="n"/>
      <c r="C661" s="5" t="n"/>
      <c r="D661" s="6" t="n"/>
      <c r="E661" s="7" t="n"/>
      <c r="F661" s="6" t="n"/>
      <c r="G661" s="8">
        <f>IF(B661="","",IFERROR(VLOOKUP(--B661,'CATALOGO CECO'!$A$2:$H$550,2,FALSE),"CECO NO EXISTE"))</f>
        <v/>
      </c>
      <c r="H661" s="8">
        <f>IF(B661="","",IFERROR(VLOOKUP(--B661,'CATALOGO CECO'!$A$2:$H$550,3,FALSE),""))</f>
        <v/>
      </c>
      <c r="I661" s="8">
        <f>IF(B661="","",IFERROR(VLOOKUP(--B661,'CATALOGO CECO'!$A$2:$H$550,5,FALSE),""))</f>
        <v/>
      </c>
      <c r="J661" s="8">
        <f>IF(B661="","",IFERROR(VLOOKUP(--B661,'CATALOGO CECO'!$A$2:$H$550,8,FALSE),""))</f>
        <v/>
      </c>
      <c r="K661" s="8">
        <f>IF(COUNTA(A661:F661)=0,"",IF(OR(LEN(A661)&lt;&gt;7,MID(A661,5,1)&lt;&gt;"-",ISERROR(--LEFT(A661,4)),ISERROR(--RIGHT(A661,2))),"ERROR: PERIODO debe ser AAAA-MM",IF(B661="","ERROR: falta CODIGO CECO",IF(G661="CECO NO EXISTE","ERROR: CECO no existe en el catálogo",IF(C661="","ERROR: falta CUENTA",IF(ISERROR(--C661),"ERROR: CUENTA debe tener solo dígitos",IF(ISERROR(FIND(LEFT(C661,1),"567")),"ERROR: CUENTA fuera de las clases de costo",IF(NOT(ISNUMBER(E661)),"ERROR: VALOR debe ser numérico",IF(E661=0,"AVISO: valor cero (no se carga)",IF(J661&lt;&gt;"ACTIVO","NO SE CARGA: CECO en estado "&amp;J661,"OK"))))))))))</f>
        <v/>
      </c>
    </row>
    <row r="662">
      <c r="A662" s="5" t="n"/>
      <c r="B662" s="6" t="n"/>
      <c r="C662" s="5" t="n"/>
      <c r="D662" s="6" t="n"/>
      <c r="E662" s="7" t="n"/>
      <c r="F662" s="6" t="n"/>
      <c r="G662" s="8">
        <f>IF(B662="","",IFERROR(VLOOKUP(--B662,'CATALOGO CECO'!$A$2:$H$550,2,FALSE),"CECO NO EXISTE"))</f>
        <v/>
      </c>
      <c r="H662" s="8">
        <f>IF(B662="","",IFERROR(VLOOKUP(--B662,'CATALOGO CECO'!$A$2:$H$550,3,FALSE),""))</f>
        <v/>
      </c>
      <c r="I662" s="8">
        <f>IF(B662="","",IFERROR(VLOOKUP(--B662,'CATALOGO CECO'!$A$2:$H$550,5,FALSE),""))</f>
        <v/>
      </c>
      <c r="J662" s="8">
        <f>IF(B662="","",IFERROR(VLOOKUP(--B662,'CATALOGO CECO'!$A$2:$H$550,8,FALSE),""))</f>
        <v/>
      </c>
      <c r="K662" s="8">
        <f>IF(COUNTA(A662:F662)=0,"",IF(OR(LEN(A662)&lt;&gt;7,MID(A662,5,1)&lt;&gt;"-",ISERROR(--LEFT(A662,4)),ISERROR(--RIGHT(A662,2))),"ERROR: PERIODO debe ser AAAA-MM",IF(B662="","ERROR: falta CODIGO CECO",IF(G662="CECO NO EXISTE","ERROR: CECO no existe en el catálogo",IF(C662="","ERROR: falta CUENTA",IF(ISERROR(--C662),"ERROR: CUENTA debe tener solo dígitos",IF(ISERROR(FIND(LEFT(C662,1),"567")),"ERROR: CUENTA fuera de las clases de costo",IF(NOT(ISNUMBER(E662)),"ERROR: VALOR debe ser numérico",IF(E662=0,"AVISO: valor cero (no se carga)",IF(J662&lt;&gt;"ACTIVO","NO SE CARGA: CECO en estado "&amp;J662,"OK"))))))))))</f>
        <v/>
      </c>
    </row>
    <row r="663">
      <c r="A663" s="5" t="n"/>
      <c r="B663" s="6" t="n"/>
      <c r="C663" s="5" t="n"/>
      <c r="D663" s="6" t="n"/>
      <c r="E663" s="7" t="n"/>
      <c r="F663" s="6" t="n"/>
      <c r="G663" s="8">
        <f>IF(B663="","",IFERROR(VLOOKUP(--B663,'CATALOGO CECO'!$A$2:$H$550,2,FALSE),"CECO NO EXISTE"))</f>
        <v/>
      </c>
      <c r="H663" s="8">
        <f>IF(B663="","",IFERROR(VLOOKUP(--B663,'CATALOGO CECO'!$A$2:$H$550,3,FALSE),""))</f>
        <v/>
      </c>
      <c r="I663" s="8">
        <f>IF(B663="","",IFERROR(VLOOKUP(--B663,'CATALOGO CECO'!$A$2:$H$550,5,FALSE),""))</f>
        <v/>
      </c>
      <c r="J663" s="8">
        <f>IF(B663="","",IFERROR(VLOOKUP(--B663,'CATALOGO CECO'!$A$2:$H$550,8,FALSE),""))</f>
        <v/>
      </c>
      <c r="K663" s="8">
        <f>IF(COUNTA(A663:F663)=0,"",IF(OR(LEN(A663)&lt;&gt;7,MID(A663,5,1)&lt;&gt;"-",ISERROR(--LEFT(A663,4)),ISERROR(--RIGHT(A663,2))),"ERROR: PERIODO debe ser AAAA-MM",IF(B663="","ERROR: falta CODIGO CECO",IF(G663="CECO NO EXISTE","ERROR: CECO no existe en el catálogo",IF(C663="","ERROR: falta CUENTA",IF(ISERROR(--C663),"ERROR: CUENTA debe tener solo dígitos",IF(ISERROR(FIND(LEFT(C663,1),"567")),"ERROR: CUENTA fuera de las clases de costo",IF(NOT(ISNUMBER(E663)),"ERROR: VALOR debe ser numérico",IF(E663=0,"AVISO: valor cero (no se carga)",IF(J663&lt;&gt;"ACTIVO","NO SE CARGA: CECO en estado "&amp;J663,"OK"))))))))))</f>
        <v/>
      </c>
    </row>
    <row r="664">
      <c r="A664" s="5" t="n"/>
      <c r="B664" s="6" t="n"/>
      <c r="C664" s="5" t="n"/>
      <c r="D664" s="6" t="n"/>
      <c r="E664" s="7" t="n"/>
      <c r="F664" s="6" t="n"/>
      <c r="G664" s="8">
        <f>IF(B664="","",IFERROR(VLOOKUP(--B664,'CATALOGO CECO'!$A$2:$H$550,2,FALSE),"CECO NO EXISTE"))</f>
        <v/>
      </c>
      <c r="H664" s="8">
        <f>IF(B664="","",IFERROR(VLOOKUP(--B664,'CATALOGO CECO'!$A$2:$H$550,3,FALSE),""))</f>
        <v/>
      </c>
      <c r="I664" s="8">
        <f>IF(B664="","",IFERROR(VLOOKUP(--B664,'CATALOGO CECO'!$A$2:$H$550,5,FALSE),""))</f>
        <v/>
      </c>
      <c r="J664" s="8">
        <f>IF(B664="","",IFERROR(VLOOKUP(--B664,'CATALOGO CECO'!$A$2:$H$550,8,FALSE),""))</f>
        <v/>
      </c>
      <c r="K664" s="8">
        <f>IF(COUNTA(A664:F664)=0,"",IF(OR(LEN(A664)&lt;&gt;7,MID(A664,5,1)&lt;&gt;"-",ISERROR(--LEFT(A664,4)),ISERROR(--RIGHT(A664,2))),"ERROR: PERIODO debe ser AAAA-MM",IF(B664="","ERROR: falta CODIGO CECO",IF(G664="CECO NO EXISTE","ERROR: CECO no existe en el catálogo",IF(C664="","ERROR: falta CUENTA",IF(ISERROR(--C664),"ERROR: CUENTA debe tener solo dígitos",IF(ISERROR(FIND(LEFT(C664,1),"567")),"ERROR: CUENTA fuera de las clases de costo",IF(NOT(ISNUMBER(E664)),"ERROR: VALOR debe ser numérico",IF(E664=0,"AVISO: valor cero (no se carga)",IF(J664&lt;&gt;"ACTIVO","NO SE CARGA: CECO en estado "&amp;J664,"OK"))))))))))</f>
        <v/>
      </c>
    </row>
    <row r="665">
      <c r="A665" s="5" t="n"/>
      <c r="B665" s="6" t="n"/>
      <c r="C665" s="5" t="n"/>
      <c r="D665" s="6" t="n"/>
      <c r="E665" s="7" t="n"/>
      <c r="F665" s="6" t="n"/>
      <c r="G665" s="8">
        <f>IF(B665="","",IFERROR(VLOOKUP(--B665,'CATALOGO CECO'!$A$2:$H$550,2,FALSE),"CECO NO EXISTE"))</f>
        <v/>
      </c>
      <c r="H665" s="8">
        <f>IF(B665="","",IFERROR(VLOOKUP(--B665,'CATALOGO CECO'!$A$2:$H$550,3,FALSE),""))</f>
        <v/>
      </c>
      <c r="I665" s="8">
        <f>IF(B665="","",IFERROR(VLOOKUP(--B665,'CATALOGO CECO'!$A$2:$H$550,5,FALSE),""))</f>
        <v/>
      </c>
      <c r="J665" s="8">
        <f>IF(B665="","",IFERROR(VLOOKUP(--B665,'CATALOGO CECO'!$A$2:$H$550,8,FALSE),""))</f>
        <v/>
      </c>
      <c r="K665" s="8">
        <f>IF(COUNTA(A665:F665)=0,"",IF(OR(LEN(A665)&lt;&gt;7,MID(A665,5,1)&lt;&gt;"-",ISERROR(--LEFT(A665,4)),ISERROR(--RIGHT(A665,2))),"ERROR: PERIODO debe ser AAAA-MM",IF(B665="","ERROR: falta CODIGO CECO",IF(G665="CECO NO EXISTE","ERROR: CECO no existe en el catálogo",IF(C665="","ERROR: falta CUENTA",IF(ISERROR(--C665),"ERROR: CUENTA debe tener solo dígitos",IF(ISERROR(FIND(LEFT(C665,1),"567")),"ERROR: CUENTA fuera de las clases de costo",IF(NOT(ISNUMBER(E665)),"ERROR: VALOR debe ser numérico",IF(E665=0,"AVISO: valor cero (no se carga)",IF(J665&lt;&gt;"ACTIVO","NO SE CARGA: CECO en estado "&amp;J665,"OK"))))))))))</f>
        <v/>
      </c>
    </row>
    <row r="666">
      <c r="A666" s="5" t="n"/>
      <c r="B666" s="6" t="n"/>
      <c r="C666" s="5" t="n"/>
      <c r="D666" s="6" t="n"/>
      <c r="E666" s="7" t="n"/>
      <c r="F666" s="6" t="n"/>
      <c r="G666" s="8">
        <f>IF(B666="","",IFERROR(VLOOKUP(--B666,'CATALOGO CECO'!$A$2:$H$550,2,FALSE),"CECO NO EXISTE"))</f>
        <v/>
      </c>
      <c r="H666" s="8">
        <f>IF(B666="","",IFERROR(VLOOKUP(--B666,'CATALOGO CECO'!$A$2:$H$550,3,FALSE),""))</f>
        <v/>
      </c>
      <c r="I666" s="8">
        <f>IF(B666="","",IFERROR(VLOOKUP(--B666,'CATALOGO CECO'!$A$2:$H$550,5,FALSE),""))</f>
        <v/>
      </c>
      <c r="J666" s="8">
        <f>IF(B666="","",IFERROR(VLOOKUP(--B666,'CATALOGO CECO'!$A$2:$H$550,8,FALSE),""))</f>
        <v/>
      </c>
      <c r="K666" s="8">
        <f>IF(COUNTA(A666:F666)=0,"",IF(OR(LEN(A666)&lt;&gt;7,MID(A666,5,1)&lt;&gt;"-",ISERROR(--LEFT(A666,4)),ISERROR(--RIGHT(A666,2))),"ERROR: PERIODO debe ser AAAA-MM",IF(B666="","ERROR: falta CODIGO CECO",IF(G666="CECO NO EXISTE","ERROR: CECO no existe en el catálogo",IF(C666="","ERROR: falta CUENTA",IF(ISERROR(--C666),"ERROR: CUENTA debe tener solo dígitos",IF(ISERROR(FIND(LEFT(C666,1),"567")),"ERROR: CUENTA fuera de las clases de costo",IF(NOT(ISNUMBER(E666)),"ERROR: VALOR debe ser numérico",IF(E666=0,"AVISO: valor cero (no se carga)",IF(J666&lt;&gt;"ACTIVO","NO SE CARGA: CECO en estado "&amp;J666,"OK"))))))))))</f>
        <v/>
      </c>
    </row>
    <row r="667">
      <c r="A667" s="5" t="n"/>
      <c r="B667" s="6" t="n"/>
      <c r="C667" s="5" t="n"/>
      <c r="D667" s="6" t="n"/>
      <c r="E667" s="7" t="n"/>
      <c r="F667" s="6" t="n"/>
      <c r="G667" s="8">
        <f>IF(B667="","",IFERROR(VLOOKUP(--B667,'CATALOGO CECO'!$A$2:$H$550,2,FALSE),"CECO NO EXISTE"))</f>
        <v/>
      </c>
      <c r="H667" s="8">
        <f>IF(B667="","",IFERROR(VLOOKUP(--B667,'CATALOGO CECO'!$A$2:$H$550,3,FALSE),""))</f>
        <v/>
      </c>
      <c r="I667" s="8">
        <f>IF(B667="","",IFERROR(VLOOKUP(--B667,'CATALOGO CECO'!$A$2:$H$550,5,FALSE),""))</f>
        <v/>
      </c>
      <c r="J667" s="8">
        <f>IF(B667="","",IFERROR(VLOOKUP(--B667,'CATALOGO CECO'!$A$2:$H$550,8,FALSE),""))</f>
        <v/>
      </c>
      <c r="K667" s="8">
        <f>IF(COUNTA(A667:F667)=0,"",IF(OR(LEN(A667)&lt;&gt;7,MID(A667,5,1)&lt;&gt;"-",ISERROR(--LEFT(A667,4)),ISERROR(--RIGHT(A667,2))),"ERROR: PERIODO debe ser AAAA-MM",IF(B667="","ERROR: falta CODIGO CECO",IF(G667="CECO NO EXISTE","ERROR: CECO no existe en el catálogo",IF(C667="","ERROR: falta CUENTA",IF(ISERROR(--C667),"ERROR: CUENTA debe tener solo dígitos",IF(ISERROR(FIND(LEFT(C667,1),"567")),"ERROR: CUENTA fuera de las clases de costo",IF(NOT(ISNUMBER(E667)),"ERROR: VALOR debe ser numérico",IF(E667=0,"AVISO: valor cero (no se carga)",IF(J667&lt;&gt;"ACTIVO","NO SE CARGA: CECO en estado "&amp;J667,"OK"))))))))))</f>
        <v/>
      </c>
    </row>
    <row r="668">
      <c r="A668" s="5" t="n"/>
      <c r="B668" s="6" t="n"/>
      <c r="C668" s="5" t="n"/>
      <c r="D668" s="6" t="n"/>
      <c r="E668" s="7" t="n"/>
      <c r="F668" s="6" t="n"/>
      <c r="G668" s="8">
        <f>IF(B668="","",IFERROR(VLOOKUP(--B668,'CATALOGO CECO'!$A$2:$H$550,2,FALSE),"CECO NO EXISTE"))</f>
        <v/>
      </c>
      <c r="H668" s="8">
        <f>IF(B668="","",IFERROR(VLOOKUP(--B668,'CATALOGO CECO'!$A$2:$H$550,3,FALSE),""))</f>
        <v/>
      </c>
      <c r="I668" s="8">
        <f>IF(B668="","",IFERROR(VLOOKUP(--B668,'CATALOGO CECO'!$A$2:$H$550,5,FALSE),""))</f>
        <v/>
      </c>
      <c r="J668" s="8">
        <f>IF(B668="","",IFERROR(VLOOKUP(--B668,'CATALOGO CECO'!$A$2:$H$550,8,FALSE),""))</f>
        <v/>
      </c>
      <c r="K668" s="8">
        <f>IF(COUNTA(A668:F668)=0,"",IF(OR(LEN(A668)&lt;&gt;7,MID(A668,5,1)&lt;&gt;"-",ISERROR(--LEFT(A668,4)),ISERROR(--RIGHT(A668,2))),"ERROR: PERIODO debe ser AAAA-MM",IF(B668="","ERROR: falta CODIGO CECO",IF(G668="CECO NO EXISTE","ERROR: CECO no existe en el catálogo",IF(C668="","ERROR: falta CUENTA",IF(ISERROR(--C668),"ERROR: CUENTA debe tener solo dígitos",IF(ISERROR(FIND(LEFT(C668,1),"567")),"ERROR: CUENTA fuera de las clases de costo",IF(NOT(ISNUMBER(E668)),"ERROR: VALOR debe ser numérico",IF(E668=0,"AVISO: valor cero (no se carga)",IF(J668&lt;&gt;"ACTIVO","NO SE CARGA: CECO en estado "&amp;J668,"OK"))))))))))</f>
        <v/>
      </c>
    </row>
    <row r="669">
      <c r="A669" s="5" t="n"/>
      <c r="B669" s="6" t="n"/>
      <c r="C669" s="5" t="n"/>
      <c r="D669" s="6" t="n"/>
      <c r="E669" s="7" t="n"/>
      <c r="F669" s="6" t="n"/>
      <c r="G669" s="8">
        <f>IF(B669="","",IFERROR(VLOOKUP(--B669,'CATALOGO CECO'!$A$2:$H$550,2,FALSE),"CECO NO EXISTE"))</f>
        <v/>
      </c>
      <c r="H669" s="8">
        <f>IF(B669="","",IFERROR(VLOOKUP(--B669,'CATALOGO CECO'!$A$2:$H$550,3,FALSE),""))</f>
        <v/>
      </c>
      <c r="I669" s="8">
        <f>IF(B669="","",IFERROR(VLOOKUP(--B669,'CATALOGO CECO'!$A$2:$H$550,5,FALSE),""))</f>
        <v/>
      </c>
      <c r="J669" s="8">
        <f>IF(B669="","",IFERROR(VLOOKUP(--B669,'CATALOGO CECO'!$A$2:$H$550,8,FALSE),""))</f>
        <v/>
      </c>
      <c r="K669" s="8">
        <f>IF(COUNTA(A669:F669)=0,"",IF(OR(LEN(A669)&lt;&gt;7,MID(A669,5,1)&lt;&gt;"-",ISERROR(--LEFT(A669,4)),ISERROR(--RIGHT(A669,2))),"ERROR: PERIODO debe ser AAAA-MM",IF(B669="","ERROR: falta CODIGO CECO",IF(G669="CECO NO EXISTE","ERROR: CECO no existe en el catálogo",IF(C669="","ERROR: falta CUENTA",IF(ISERROR(--C669),"ERROR: CUENTA debe tener solo dígitos",IF(ISERROR(FIND(LEFT(C669,1),"567")),"ERROR: CUENTA fuera de las clases de costo",IF(NOT(ISNUMBER(E669)),"ERROR: VALOR debe ser numérico",IF(E669=0,"AVISO: valor cero (no se carga)",IF(J669&lt;&gt;"ACTIVO","NO SE CARGA: CECO en estado "&amp;J669,"OK"))))))))))</f>
        <v/>
      </c>
    </row>
    <row r="670">
      <c r="A670" s="5" t="n"/>
      <c r="B670" s="6" t="n"/>
      <c r="C670" s="5" t="n"/>
      <c r="D670" s="6" t="n"/>
      <c r="E670" s="7" t="n"/>
      <c r="F670" s="6" t="n"/>
      <c r="G670" s="8">
        <f>IF(B670="","",IFERROR(VLOOKUP(--B670,'CATALOGO CECO'!$A$2:$H$550,2,FALSE),"CECO NO EXISTE"))</f>
        <v/>
      </c>
      <c r="H670" s="8">
        <f>IF(B670="","",IFERROR(VLOOKUP(--B670,'CATALOGO CECO'!$A$2:$H$550,3,FALSE),""))</f>
        <v/>
      </c>
      <c r="I670" s="8">
        <f>IF(B670="","",IFERROR(VLOOKUP(--B670,'CATALOGO CECO'!$A$2:$H$550,5,FALSE),""))</f>
        <v/>
      </c>
      <c r="J670" s="8">
        <f>IF(B670="","",IFERROR(VLOOKUP(--B670,'CATALOGO CECO'!$A$2:$H$550,8,FALSE),""))</f>
        <v/>
      </c>
      <c r="K670" s="8">
        <f>IF(COUNTA(A670:F670)=0,"",IF(OR(LEN(A670)&lt;&gt;7,MID(A670,5,1)&lt;&gt;"-",ISERROR(--LEFT(A670,4)),ISERROR(--RIGHT(A670,2))),"ERROR: PERIODO debe ser AAAA-MM",IF(B670="","ERROR: falta CODIGO CECO",IF(G670="CECO NO EXISTE","ERROR: CECO no existe en el catálogo",IF(C670="","ERROR: falta CUENTA",IF(ISERROR(--C670),"ERROR: CUENTA debe tener solo dígitos",IF(ISERROR(FIND(LEFT(C670,1),"567")),"ERROR: CUENTA fuera de las clases de costo",IF(NOT(ISNUMBER(E670)),"ERROR: VALOR debe ser numérico",IF(E670=0,"AVISO: valor cero (no se carga)",IF(J670&lt;&gt;"ACTIVO","NO SE CARGA: CECO en estado "&amp;J670,"OK"))))))))))</f>
        <v/>
      </c>
    </row>
    <row r="671">
      <c r="A671" s="5" t="n"/>
      <c r="B671" s="6" t="n"/>
      <c r="C671" s="5" t="n"/>
      <c r="D671" s="6" t="n"/>
      <c r="E671" s="7" t="n"/>
      <c r="F671" s="6" t="n"/>
      <c r="G671" s="8">
        <f>IF(B671="","",IFERROR(VLOOKUP(--B671,'CATALOGO CECO'!$A$2:$H$550,2,FALSE),"CECO NO EXISTE"))</f>
        <v/>
      </c>
      <c r="H671" s="8">
        <f>IF(B671="","",IFERROR(VLOOKUP(--B671,'CATALOGO CECO'!$A$2:$H$550,3,FALSE),""))</f>
        <v/>
      </c>
      <c r="I671" s="8">
        <f>IF(B671="","",IFERROR(VLOOKUP(--B671,'CATALOGO CECO'!$A$2:$H$550,5,FALSE),""))</f>
        <v/>
      </c>
      <c r="J671" s="8">
        <f>IF(B671="","",IFERROR(VLOOKUP(--B671,'CATALOGO CECO'!$A$2:$H$550,8,FALSE),""))</f>
        <v/>
      </c>
      <c r="K671" s="8">
        <f>IF(COUNTA(A671:F671)=0,"",IF(OR(LEN(A671)&lt;&gt;7,MID(A671,5,1)&lt;&gt;"-",ISERROR(--LEFT(A671,4)),ISERROR(--RIGHT(A671,2))),"ERROR: PERIODO debe ser AAAA-MM",IF(B671="","ERROR: falta CODIGO CECO",IF(G671="CECO NO EXISTE","ERROR: CECO no existe en el catálogo",IF(C671="","ERROR: falta CUENTA",IF(ISERROR(--C671),"ERROR: CUENTA debe tener solo dígitos",IF(ISERROR(FIND(LEFT(C671,1),"567")),"ERROR: CUENTA fuera de las clases de costo",IF(NOT(ISNUMBER(E671)),"ERROR: VALOR debe ser numérico",IF(E671=0,"AVISO: valor cero (no se carga)",IF(J671&lt;&gt;"ACTIVO","NO SE CARGA: CECO en estado "&amp;J671,"OK"))))))))))</f>
        <v/>
      </c>
    </row>
    <row r="672">
      <c r="A672" s="5" t="n"/>
      <c r="B672" s="6" t="n"/>
      <c r="C672" s="5" t="n"/>
      <c r="D672" s="6" t="n"/>
      <c r="E672" s="7" t="n"/>
      <c r="F672" s="6" t="n"/>
      <c r="G672" s="8">
        <f>IF(B672="","",IFERROR(VLOOKUP(--B672,'CATALOGO CECO'!$A$2:$H$550,2,FALSE),"CECO NO EXISTE"))</f>
        <v/>
      </c>
      <c r="H672" s="8">
        <f>IF(B672="","",IFERROR(VLOOKUP(--B672,'CATALOGO CECO'!$A$2:$H$550,3,FALSE),""))</f>
        <v/>
      </c>
      <c r="I672" s="8">
        <f>IF(B672="","",IFERROR(VLOOKUP(--B672,'CATALOGO CECO'!$A$2:$H$550,5,FALSE),""))</f>
        <v/>
      </c>
      <c r="J672" s="8">
        <f>IF(B672="","",IFERROR(VLOOKUP(--B672,'CATALOGO CECO'!$A$2:$H$550,8,FALSE),""))</f>
        <v/>
      </c>
      <c r="K672" s="8">
        <f>IF(COUNTA(A672:F672)=0,"",IF(OR(LEN(A672)&lt;&gt;7,MID(A672,5,1)&lt;&gt;"-",ISERROR(--LEFT(A672,4)),ISERROR(--RIGHT(A672,2))),"ERROR: PERIODO debe ser AAAA-MM",IF(B672="","ERROR: falta CODIGO CECO",IF(G672="CECO NO EXISTE","ERROR: CECO no existe en el catálogo",IF(C672="","ERROR: falta CUENTA",IF(ISERROR(--C672),"ERROR: CUENTA debe tener solo dígitos",IF(ISERROR(FIND(LEFT(C672,1),"567")),"ERROR: CUENTA fuera de las clases de costo",IF(NOT(ISNUMBER(E672)),"ERROR: VALOR debe ser numérico",IF(E672=0,"AVISO: valor cero (no se carga)",IF(J672&lt;&gt;"ACTIVO","NO SE CARGA: CECO en estado "&amp;J672,"OK"))))))))))</f>
        <v/>
      </c>
    </row>
    <row r="673">
      <c r="A673" s="5" t="n"/>
      <c r="B673" s="6" t="n"/>
      <c r="C673" s="5" t="n"/>
      <c r="D673" s="6" t="n"/>
      <c r="E673" s="7" t="n"/>
      <c r="F673" s="6" t="n"/>
      <c r="G673" s="8">
        <f>IF(B673="","",IFERROR(VLOOKUP(--B673,'CATALOGO CECO'!$A$2:$H$550,2,FALSE),"CECO NO EXISTE"))</f>
        <v/>
      </c>
      <c r="H673" s="8">
        <f>IF(B673="","",IFERROR(VLOOKUP(--B673,'CATALOGO CECO'!$A$2:$H$550,3,FALSE),""))</f>
        <v/>
      </c>
      <c r="I673" s="8">
        <f>IF(B673="","",IFERROR(VLOOKUP(--B673,'CATALOGO CECO'!$A$2:$H$550,5,FALSE),""))</f>
        <v/>
      </c>
      <c r="J673" s="8">
        <f>IF(B673="","",IFERROR(VLOOKUP(--B673,'CATALOGO CECO'!$A$2:$H$550,8,FALSE),""))</f>
        <v/>
      </c>
      <c r="K673" s="8">
        <f>IF(COUNTA(A673:F673)=0,"",IF(OR(LEN(A673)&lt;&gt;7,MID(A673,5,1)&lt;&gt;"-",ISERROR(--LEFT(A673,4)),ISERROR(--RIGHT(A673,2))),"ERROR: PERIODO debe ser AAAA-MM",IF(B673="","ERROR: falta CODIGO CECO",IF(G673="CECO NO EXISTE","ERROR: CECO no existe en el catálogo",IF(C673="","ERROR: falta CUENTA",IF(ISERROR(--C673),"ERROR: CUENTA debe tener solo dígitos",IF(ISERROR(FIND(LEFT(C673,1),"567")),"ERROR: CUENTA fuera de las clases de costo",IF(NOT(ISNUMBER(E673)),"ERROR: VALOR debe ser numérico",IF(E673=0,"AVISO: valor cero (no se carga)",IF(J673&lt;&gt;"ACTIVO","NO SE CARGA: CECO en estado "&amp;J673,"OK"))))))))))</f>
        <v/>
      </c>
    </row>
    <row r="674">
      <c r="A674" s="5" t="n"/>
      <c r="B674" s="6" t="n"/>
      <c r="C674" s="5" t="n"/>
      <c r="D674" s="6" t="n"/>
      <c r="E674" s="7" t="n"/>
      <c r="F674" s="6" t="n"/>
      <c r="G674" s="8">
        <f>IF(B674="","",IFERROR(VLOOKUP(--B674,'CATALOGO CECO'!$A$2:$H$550,2,FALSE),"CECO NO EXISTE"))</f>
        <v/>
      </c>
      <c r="H674" s="8">
        <f>IF(B674="","",IFERROR(VLOOKUP(--B674,'CATALOGO CECO'!$A$2:$H$550,3,FALSE),""))</f>
        <v/>
      </c>
      <c r="I674" s="8">
        <f>IF(B674="","",IFERROR(VLOOKUP(--B674,'CATALOGO CECO'!$A$2:$H$550,5,FALSE),""))</f>
        <v/>
      </c>
      <c r="J674" s="8">
        <f>IF(B674="","",IFERROR(VLOOKUP(--B674,'CATALOGO CECO'!$A$2:$H$550,8,FALSE),""))</f>
        <v/>
      </c>
      <c r="K674" s="8">
        <f>IF(COUNTA(A674:F674)=0,"",IF(OR(LEN(A674)&lt;&gt;7,MID(A674,5,1)&lt;&gt;"-",ISERROR(--LEFT(A674,4)),ISERROR(--RIGHT(A674,2))),"ERROR: PERIODO debe ser AAAA-MM",IF(B674="","ERROR: falta CODIGO CECO",IF(G674="CECO NO EXISTE","ERROR: CECO no existe en el catálogo",IF(C674="","ERROR: falta CUENTA",IF(ISERROR(--C674),"ERROR: CUENTA debe tener solo dígitos",IF(ISERROR(FIND(LEFT(C674,1),"567")),"ERROR: CUENTA fuera de las clases de costo",IF(NOT(ISNUMBER(E674)),"ERROR: VALOR debe ser numérico",IF(E674=0,"AVISO: valor cero (no se carga)",IF(J674&lt;&gt;"ACTIVO","NO SE CARGA: CECO en estado "&amp;J674,"OK"))))))))))</f>
        <v/>
      </c>
    </row>
    <row r="675">
      <c r="A675" s="5" t="n"/>
      <c r="B675" s="6" t="n"/>
      <c r="C675" s="5" t="n"/>
      <c r="D675" s="6" t="n"/>
      <c r="E675" s="7" t="n"/>
      <c r="F675" s="6" t="n"/>
      <c r="G675" s="8">
        <f>IF(B675="","",IFERROR(VLOOKUP(--B675,'CATALOGO CECO'!$A$2:$H$550,2,FALSE),"CECO NO EXISTE"))</f>
        <v/>
      </c>
      <c r="H675" s="8">
        <f>IF(B675="","",IFERROR(VLOOKUP(--B675,'CATALOGO CECO'!$A$2:$H$550,3,FALSE),""))</f>
        <v/>
      </c>
      <c r="I675" s="8">
        <f>IF(B675="","",IFERROR(VLOOKUP(--B675,'CATALOGO CECO'!$A$2:$H$550,5,FALSE),""))</f>
        <v/>
      </c>
      <c r="J675" s="8">
        <f>IF(B675="","",IFERROR(VLOOKUP(--B675,'CATALOGO CECO'!$A$2:$H$550,8,FALSE),""))</f>
        <v/>
      </c>
      <c r="K675" s="8">
        <f>IF(COUNTA(A675:F675)=0,"",IF(OR(LEN(A675)&lt;&gt;7,MID(A675,5,1)&lt;&gt;"-",ISERROR(--LEFT(A675,4)),ISERROR(--RIGHT(A675,2))),"ERROR: PERIODO debe ser AAAA-MM",IF(B675="","ERROR: falta CODIGO CECO",IF(G675="CECO NO EXISTE","ERROR: CECO no existe en el catálogo",IF(C675="","ERROR: falta CUENTA",IF(ISERROR(--C675),"ERROR: CUENTA debe tener solo dígitos",IF(ISERROR(FIND(LEFT(C675,1),"567")),"ERROR: CUENTA fuera de las clases de costo",IF(NOT(ISNUMBER(E675)),"ERROR: VALOR debe ser numérico",IF(E675=0,"AVISO: valor cero (no se carga)",IF(J675&lt;&gt;"ACTIVO","NO SE CARGA: CECO en estado "&amp;J675,"OK"))))))))))</f>
        <v/>
      </c>
    </row>
    <row r="676">
      <c r="A676" s="5" t="n"/>
      <c r="B676" s="6" t="n"/>
      <c r="C676" s="5" t="n"/>
      <c r="D676" s="6" t="n"/>
      <c r="E676" s="7" t="n"/>
      <c r="F676" s="6" t="n"/>
      <c r="G676" s="8">
        <f>IF(B676="","",IFERROR(VLOOKUP(--B676,'CATALOGO CECO'!$A$2:$H$550,2,FALSE),"CECO NO EXISTE"))</f>
        <v/>
      </c>
      <c r="H676" s="8">
        <f>IF(B676="","",IFERROR(VLOOKUP(--B676,'CATALOGO CECO'!$A$2:$H$550,3,FALSE),""))</f>
        <v/>
      </c>
      <c r="I676" s="8">
        <f>IF(B676="","",IFERROR(VLOOKUP(--B676,'CATALOGO CECO'!$A$2:$H$550,5,FALSE),""))</f>
        <v/>
      </c>
      <c r="J676" s="8">
        <f>IF(B676="","",IFERROR(VLOOKUP(--B676,'CATALOGO CECO'!$A$2:$H$550,8,FALSE),""))</f>
        <v/>
      </c>
      <c r="K676" s="8">
        <f>IF(COUNTA(A676:F676)=0,"",IF(OR(LEN(A676)&lt;&gt;7,MID(A676,5,1)&lt;&gt;"-",ISERROR(--LEFT(A676,4)),ISERROR(--RIGHT(A676,2))),"ERROR: PERIODO debe ser AAAA-MM",IF(B676="","ERROR: falta CODIGO CECO",IF(G676="CECO NO EXISTE","ERROR: CECO no existe en el catálogo",IF(C676="","ERROR: falta CUENTA",IF(ISERROR(--C676),"ERROR: CUENTA debe tener solo dígitos",IF(ISERROR(FIND(LEFT(C676,1),"567")),"ERROR: CUENTA fuera de las clases de costo",IF(NOT(ISNUMBER(E676)),"ERROR: VALOR debe ser numérico",IF(E676=0,"AVISO: valor cero (no se carga)",IF(J676&lt;&gt;"ACTIVO","NO SE CARGA: CECO en estado "&amp;J676,"OK"))))))))))</f>
        <v/>
      </c>
    </row>
    <row r="677">
      <c r="A677" s="5" t="n"/>
      <c r="B677" s="6" t="n"/>
      <c r="C677" s="5" t="n"/>
      <c r="D677" s="6" t="n"/>
      <c r="E677" s="7" t="n"/>
      <c r="F677" s="6" t="n"/>
      <c r="G677" s="8">
        <f>IF(B677="","",IFERROR(VLOOKUP(--B677,'CATALOGO CECO'!$A$2:$H$550,2,FALSE),"CECO NO EXISTE"))</f>
        <v/>
      </c>
      <c r="H677" s="8">
        <f>IF(B677="","",IFERROR(VLOOKUP(--B677,'CATALOGO CECO'!$A$2:$H$550,3,FALSE),""))</f>
        <v/>
      </c>
      <c r="I677" s="8">
        <f>IF(B677="","",IFERROR(VLOOKUP(--B677,'CATALOGO CECO'!$A$2:$H$550,5,FALSE),""))</f>
        <v/>
      </c>
      <c r="J677" s="8">
        <f>IF(B677="","",IFERROR(VLOOKUP(--B677,'CATALOGO CECO'!$A$2:$H$550,8,FALSE),""))</f>
        <v/>
      </c>
      <c r="K677" s="8">
        <f>IF(COUNTA(A677:F677)=0,"",IF(OR(LEN(A677)&lt;&gt;7,MID(A677,5,1)&lt;&gt;"-",ISERROR(--LEFT(A677,4)),ISERROR(--RIGHT(A677,2))),"ERROR: PERIODO debe ser AAAA-MM",IF(B677="","ERROR: falta CODIGO CECO",IF(G677="CECO NO EXISTE","ERROR: CECO no existe en el catálogo",IF(C677="","ERROR: falta CUENTA",IF(ISERROR(--C677),"ERROR: CUENTA debe tener solo dígitos",IF(ISERROR(FIND(LEFT(C677,1),"567")),"ERROR: CUENTA fuera de las clases de costo",IF(NOT(ISNUMBER(E677)),"ERROR: VALOR debe ser numérico",IF(E677=0,"AVISO: valor cero (no se carga)",IF(J677&lt;&gt;"ACTIVO","NO SE CARGA: CECO en estado "&amp;J677,"OK"))))))))))</f>
        <v/>
      </c>
    </row>
    <row r="678">
      <c r="A678" s="5" t="n"/>
      <c r="B678" s="6" t="n"/>
      <c r="C678" s="5" t="n"/>
      <c r="D678" s="6" t="n"/>
      <c r="E678" s="7" t="n"/>
      <c r="F678" s="6" t="n"/>
      <c r="G678" s="8">
        <f>IF(B678="","",IFERROR(VLOOKUP(--B678,'CATALOGO CECO'!$A$2:$H$550,2,FALSE),"CECO NO EXISTE"))</f>
        <v/>
      </c>
      <c r="H678" s="8">
        <f>IF(B678="","",IFERROR(VLOOKUP(--B678,'CATALOGO CECO'!$A$2:$H$550,3,FALSE),""))</f>
        <v/>
      </c>
      <c r="I678" s="8">
        <f>IF(B678="","",IFERROR(VLOOKUP(--B678,'CATALOGO CECO'!$A$2:$H$550,5,FALSE),""))</f>
        <v/>
      </c>
      <c r="J678" s="8">
        <f>IF(B678="","",IFERROR(VLOOKUP(--B678,'CATALOGO CECO'!$A$2:$H$550,8,FALSE),""))</f>
        <v/>
      </c>
      <c r="K678" s="8">
        <f>IF(COUNTA(A678:F678)=0,"",IF(OR(LEN(A678)&lt;&gt;7,MID(A678,5,1)&lt;&gt;"-",ISERROR(--LEFT(A678,4)),ISERROR(--RIGHT(A678,2))),"ERROR: PERIODO debe ser AAAA-MM",IF(B678="","ERROR: falta CODIGO CECO",IF(G678="CECO NO EXISTE","ERROR: CECO no existe en el catálogo",IF(C678="","ERROR: falta CUENTA",IF(ISERROR(--C678),"ERROR: CUENTA debe tener solo dígitos",IF(ISERROR(FIND(LEFT(C678,1),"567")),"ERROR: CUENTA fuera de las clases de costo",IF(NOT(ISNUMBER(E678)),"ERROR: VALOR debe ser numérico",IF(E678=0,"AVISO: valor cero (no se carga)",IF(J678&lt;&gt;"ACTIVO","NO SE CARGA: CECO en estado "&amp;J678,"OK"))))))))))</f>
        <v/>
      </c>
    </row>
    <row r="679">
      <c r="A679" s="5" t="n"/>
      <c r="B679" s="6" t="n"/>
      <c r="C679" s="5" t="n"/>
      <c r="D679" s="6" t="n"/>
      <c r="E679" s="7" t="n"/>
      <c r="F679" s="6" t="n"/>
      <c r="G679" s="8">
        <f>IF(B679="","",IFERROR(VLOOKUP(--B679,'CATALOGO CECO'!$A$2:$H$550,2,FALSE),"CECO NO EXISTE"))</f>
        <v/>
      </c>
      <c r="H679" s="8">
        <f>IF(B679="","",IFERROR(VLOOKUP(--B679,'CATALOGO CECO'!$A$2:$H$550,3,FALSE),""))</f>
        <v/>
      </c>
      <c r="I679" s="8">
        <f>IF(B679="","",IFERROR(VLOOKUP(--B679,'CATALOGO CECO'!$A$2:$H$550,5,FALSE),""))</f>
        <v/>
      </c>
      <c r="J679" s="8">
        <f>IF(B679="","",IFERROR(VLOOKUP(--B679,'CATALOGO CECO'!$A$2:$H$550,8,FALSE),""))</f>
        <v/>
      </c>
      <c r="K679" s="8">
        <f>IF(COUNTA(A679:F679)=0,"",IF(OR(LEN(A679)&lt;&gt;7,MID(A679,5,1)&lt;&gt;"-",ISERROR(--LEFT(A679,4)),ISERROR(--RIGHT(A679,2))),"ERROR: PERIODO debe ser AAAA-MM",IF(B679="","ERROR: falta CODIGO CECO",IF(G679="CECO NO EXISTE","ERROR: CECO no existe en el catálogo",IF(C679="","ERROR: falta CUENTA",IF(ISERROR(--C679),"ERROR: CUENTA debe tener solo dígitos",IF(ISERROR(FIND(LEFT(C679,1),"567")),"ERROR: CUENTA fuera de las clases de costo",IF(NOT(ISNUMBER(E679)),"ERROR: VALOR debe ser numérico",IF(E679=0,"AVISO: valor cero (no se carga)",IF(J679&lt;&gt;"ACTIVO","NO SE CARGA: CECO en estado "&amp;J679,"OK"))))))))))</f>
        <v/>
      </c>
    </row>
    <row r="680">
      <c r="A680" s="5" t="n"/>
      <c r="B680" s="6" t="n"/>
      <c r="C680" s="5" t="n"/>
      <c r="D680" s="6" t="n"/>
      <c r="E680" s="7" t="n"/>
      <c r="F680" s="6" t="n"/>
      <c r="G680" s="8">
        <f>IF(B680="","",IFERROR(VLOOKUP(--B680,'CATALOGO CECO'!$A$2:$H$550,2,FALSE),"CECO NO EXISTE"))</f>
        <v/>
      </c>
      <c r="H680" s="8">
        <f>IF(B680="","",IFERROR(VLOOKUP(--B680,'CATALOGO CECO'!$A$2:$H$550,3,FALSE),""))</f>
        <v/>
      </c>
      <c r="I680" s="8">
        <f>IF(B680="","",IFERROR(VLOOKUP(--B680,'CATALOGO CECO'!$A$2:$H$550,5,FALSE),""))</f>
        <v/>
      </c>
      <c r="J680" s="8">
        <f>IF(B680="","",IFERROR(VLOOKUP(--B680,'CATALOGO CECO'!$A$2:$H$550,8,FALSE),""))</f>
        <v/>
      </c>
      <c r="K680" s="8">
        <f>IF(COUNTA(A680:F680)=0,"",IF(OR(LEN(A680)&lt;&gt;7,MID(A680,5,1)&lt;&gt;"-",ISERROR(--LEFT(A680,4)),ISERROR(--RIGHT(A680,2))),"ERROR: PERIODO debe ser AAAA-MM",IF(B680="","ERROR: falta CODIGO CECO",IF(G680="CECO NO EXISTE","ERROR: CECO no existe en el catálogo",IF(C680="","ERROR: falta CUENTA",IF(ISERROR(--C680),"ERROR: CUENTA debe tener solo dígitos",IF(ISERROR(FIND(LEFT(C680,1),"567")),"ERROR: CUENTA fuera de las clases de costo",IF(NOT(ISNUMBER(E680)),"ERROR: VALOR debe ser numérico",IF(E680=0,"AVISO: valor cero (no se carga)",IF(J680&lt;&gt;"ACTIVO","NO SE CARGA: CECO en estado "&amp;J680,"OK"))))))))))</f>
        <v/>
      </c>
    </row>
    <row r="681">
      <c r="A681" s="5" t="n"/>
      <c r="B681" s="6" t="n"/>
      <c r="C681" s="5" t="n"/>
      <c r="D681" s="6" t="n"/>
      <c r="E681" s="7" t="n"/>
      <c r="F681" s="6" t="n"/>
      <c r="G681" s="8">
        <f>IF(B681="","",IFERROR(VLOOKUP(--B681,'CATALOGO CECO'!$A$2:$H$550,2,FALSE),"CECO NO EXISTE"))</f>
        <v/>
      </c>
      <c r="H681" s="8">
        <f>IF(B681="","",IFERROR(VLOOKUP(--B681,'CATALOGO CECO'!$A$2:$H$550,3,FALSE),""))</f>
        <v/>
      </c>
      <c r="I681" s="8">
        <f>IF(B681="","",IFERROR(VLOOKUP(--B681,'CATALOGO CECO'!$A$2:$H$550,5,FALSE),""))</f>
        <v/>
      </c>
      <c r="J681" s="8">
        <f>IF(B681="","",IFERROR(VLOOKUP(--B681,'CATALOGO CECO'!$A$2:$H$550,8,FALSE),""))</f>
        <v/>
      </c>
      <c r="K681" s="8">
        <f>IF(COUNTA(A681:F681)=0,"",IF(OR(LEN(A681)&lt;&gt;7,MID(A681,5,1)&lt;&gt;"-",ISERROR(--LEFT(A681,4)),ISERROR(--RIGHT(A681,2))),"ERROR: PERIODO debe ser AAAA-MM",IF(B681="","ERROR: falta CODIGO CECO",IF(G681="CECO NO EXISTE","ERROR: CECO no existe en el catálogo",IF(C681="","ERROR: falta CUENTA",IF(ISERROR(--C681),"ERROR: CUENTA debe tener solo dígitos",IF(ISERROR(FIND(LEFT(C681,1),"567")),"ERROR: CUENTA fuera de las clases de costo",IF(NOT(ISNUMBER(E681)),"ERROR: VALOR debe ser numérico",IF(E681=0,"AVISO: valor cero (no se carga)",IF(J681&lt;&gt;"ACTIVO","NO SE CARGA: CECO en estado "&amp;J681,"OK"))))))))))</f>
        <v/>
      </c>
    </row>
    <row r="682">
      <c r="A682" s="5" t="n"/>
      <c r="B682" s="6" t="n"/>
      <c r="C682" s="5" t="n"/>
      <c r="D682" s="6" t="n"/>
      <c r="E682" s="7" t="n"/>
      <c r="F682" s="6" t="n"/>
      <c r="G682" s="8">
        <f>IF(B682="","",IFERROR(VLOOKUP(--B682,'CATALOGO CECO'!$A$2:$H$550,2,FALSE),"CECO NO EXISTE"))</f>
        <v/>
      </c>
      <c r="H682" s="8">
        <f>IF(B682="","",IFERROR(VLOOKUP(--B682,'CATALOGO CECO'!$A$2:$H$550,3,FALSE),""))</f>
        <v/>
      </c>
      <c r="I682" s="8">
        <f>IF(B682="","",IFERROR(VLOOKUP(--B682,'CATALOGO CECO'!$A$2:$H$550,5,FALSE),""))</f>
        <v/>
      </c>
      <c r="J682" s="8">
        <f>IF(B682="","",IFERROR(VLOOKUP(--B682,'CATALOGO CECO'!$A$2:$H$550,8,FALSE),""))</f>
        <v/>
      </c>
      <c r="K682" s="8">
        <f>IF(COUNTA(A682:F682)=0,"",IF(OR(LEN(A682)&lt;&gt;7,MID(A682,5,1)&lt;&gt;"-",ISERROR(--LEFT(A682,4)),ISERROR(--RIGHT(A682,2))),"ERROR: PERIODO debe ser AAAA-MM",IF(B682="","ERROR: falta CODIGO CECO",IF(G682="CECO NO EXISTE","ERROR: CECO no existe en el catálogo",IF(C682="","ERROR: falta CUENTA",IF(ISERROR(--C682),"ERROR: CUENTA debe tener solo dígitos",IF(ISERROR(FIND(LEFT(C682,1),"567")),"ERROR: CUENTA fuera de las clases de costo",IF(NOT(ISNUMBER(E682)),"ERROR: VALOR debe ser numérico",IF(E682=0,"AVISO: valor cero (no se carga)",IF(J682&lt;&gt;"ACTIVO","NO SE CARGA: CECO en estado "&amp;J682,"OK"))))))))))</f>
        <v/>
      </c>
    </row>
    <row r="683">
      <c r="A683" s="5" t="n"/>
      <c r="B683" s="6" t="n"/>
      <c r="C683" s="5" t="n"/>
      <c r="D683" s="6" t="n"/>
      <c r="E683" s="7" t="n"/>
      <c r="F683" s="6" t="n"/>
      <c r="G683" s="8">
        <f>IF(B683="","",IFERROR(VLOOKUP(--B683,'CATALOGO CECO'!$A$2:$H$550,2,FALSE),"CECO NO EXISTE"))</f>
        <v/>
      </c>
      <c r="H683" s="8">
        <f>IF(B683="","",IFERROR(VLOOKUP(--B683,'CATALOGO CECO'!$A$2:$H$550,3,FALSE),""))</f>
        <v/>
      </c>
      <c r="I683" s="8">
        <f>IF(B683="","",IFERROR(VLOOKUP(--B683,'CATALOGO CECO'!$A$2:$H$550,5,FALSE),""))</f>
        <v/>
      </c>
      <c r="J683" s="8">
        <f>IF(B683="","",IFERROR(VLOOKUP(--B683,'CATALOGO CECO'!$A$2:$H$550,8,FALSE),""))</f>
        <v/>
      </c>
      <c r="K683" s="8">
        <f>IF(COUNTA(A683:F683)=0,"",IF(OR(LEN(A683)&lt;&gt;7,MID(A683,5,1)&lt;&gt;"-",ISERROR(--LEFT(A683,4)),ISERROR(--RIGHT(A683,2))),"ERROR: PERIODO debe ser AAAA-MM",IF(B683="","ERROR: falta CODIGO CECO",IF(G683="CECO NO EXISTE","ERROR: CECO no existe en el catálogo",IF(C683="","ERROR: falta CUENTA",IF(ISERROR(--C683),"ERROR: CUENTA debe tener solo dígitos",IF(ISERROR(FIND(LEFT(C683,1),"567")),"ERROR: CUENTA fuera de las clases de costo",IF(NOT(ISNUMBER(E683)),"ERROR: VALOR debe ser numérico",IF(E683=0,"AVISO: valor cero (no se carga)",IF(J683&lt;&gt;"ACTIVO","NO SE CARGA: CECO en estado "&amp;J683,"OK"))))))))))</f>
        <v/>
      </c>
    </row>
    <row r="684">
      <c r="A684" s="5" t="n"/>
      <c r="B684" s="6" t="n"/>
      <c r="C684" s="5" t="n"/>
      <c r="D684" s="6" t="n"/>
      <c r="E684" s="7" t="n"/>
      <c r="F684" s="6" t="n"/>
      <c r="G684" s="8">
        <f>IF(B684="","",IFERROR(VLOOKUP(--B684,'CATALOGO CECO'!$A$2:$H$550,2,FALSE),"CECO NO EXISTE"))</f>
        <v/>
      </c>
      <c r="H684" s="8">
        <f>IF(B684="","",IFERROR(VLOOKUP(--B684,'CATALOGO CECO'!$A$2:$H$550,3,FALSE),""))</f>
        <v/>
      </c>
      <c r="I684" s="8">
        <f>IF(B684="","",IFERROR(VLOOKUP(--B684,'CATALOGO CECO'!$A$2:$H$550,5,FALSE),""))</f>
        <v/>
      </c>
      <c r="J684" s="8">
        <f>IF(B684="","",IFERROR(VLOOKUP(--B684,'CATALOGO CECO'!$A$2:$H$550,8,FALSE),""))</f>
        <v/>
      </c>
      <c r="K684" s="8">
        <f>IF(COUNTA(A684:F684)=0,"",IF(OR(LEN(A684)&lt;&gt;7,MID(A684,5,1)&lt;&gt;"-",ISERROR(--LEFT(A684,4)),ISERROR(--RIGHT(A684,2))),"ERROR: PERIODO debe ser AAAA-MM",IF(B684="","ERROR: falta CODIGO CECO",IF(G684="CECO NO EXISTE","ERROR: CECO no existe en el catálogo",IF(C684="","ERROR: falta CUENTA",IF(ISERROR(--C684),"ERROR: CUENTA debe tener solo dígitos",IF(ISERROR(FIND(LEFT(C684,1),"567")),"ERROR: CUENTA fuera de las clases de costo",IF(NOT(ISNUMBER(E684)),"ERROR: VALOR debe ser numérico",IF(E684=0,"AVISO: valor cero (no se carga)",IF(J684&lt;&gt;"ACTIVO","NO SE CARGA: CECO en estado "&amp;J684,"OK"))))))))))</f>
        <v/>
      </c>
    </row>
    <row r="685">
      <c r="A685" s="5" t="n"/>
      <c r="B685" s="6" t="n"/>
      <c r="C685" s="5" t="n"/>
      <c r="D685" s="6" t="n"/>
      <c r="E685" s="7" t="n"/>
      <c r="F685" s="6" t="n"/>
      <c r="G685" s="8">
        <f>IF(B685="","",IFERROR(VLOOKUP(--B685,'CATALOGO CECO'!$A$2:$H$550,2,FALSE),"CECO NO EXISTE"))</f>
        <v/>
      </c>
      <c r="H685" s="8">
        <f>IF(B685="","",IFERROR(VLOOKUP(--B685,'CATALOGO CECO'!$A$2:$H$550,3,FALSE),""))</f>
        <v/>
      </c>
      <c r="I685" s="8">
        <f>IF(B685="","",IFERROR(VLOOKUP(--B685,'CATALOGO CECO'!$A$2:$H$550,5,FALSE),""))</f>
        <v/>
      </c>
      <c r="J685" s="8">
        <f>IF(B685="","",IFERROR(VLOOKUP(--B685,'CATALOGO CECO'!$A$2:$H$550,8,FALSE),""))</f>
        <v/>
      </c>
      <c r="K685" s="8">
        <f>IF(COUNTA(A685:F685)=0,"",IF(OR(LEN(A685)&lt;&gt;7,MID(A685,5,1)&lt;&gt;"-",ISERROR(--LEFT(A685,4)),ISERROR(--RIGHT(A685,2))),"ERROR: PERIODO debe ser AAAA-MM",IF(B685="","ERROR: falta CODIGO CECO",IF(G685="CECO NO EXISTE","ERROR: CECO no existe en el catálogo",IF(C685="","ERROR: falta CUENTA",IF(ISERROR(--C685),"ERROR: CUENTA debe tener solo dígitos",IF(ISERROR(FIND(LEFT(C685,1),"567")),"ERROR: CUENTA fuera de las clases de costo",IF(NOT(ISNUMBER(E685)),"ERROR: VALOR debe ser numérico",IF(E685=0,"AVISO: valor cero (no se carga)",IF(J685&lt;&gt;"ACTIVO","NO SE CARGA: CECO en estado "&amp;J685,"OK"))))))))))</f>
        <v/>
      </c>
    </row>
    <row r="686">
      <c r="A686" s="5" t="n"/>
      <c r="B686" s="6" t="n"/>
      <c r="C686" s="5" t="n"/>
      <c r="D686" s="6" t="n"/>
      <c r="E686" s="7" t="n"/>
      <c r="F686" s="6" t="n"/>
      <c r="G686" s="8">
        <f>IF(B686="","",IFERROR(VLOOKUP(--B686,'CATALOGO CECO'!$A$2:$H$550,2,FALSE),"CECO NO EXISTE"))</f>
        <v/>
      </c>
      <c r="H686" s="8">
        <f>IF(B686="","",IFERROR(VLOOKUP(--B686,'CATALOGO CECO'!$A$2:$H$550,3,FALSE),""))</f>
        <v/>
      </c>
      <c r="I686" s="8">
        <f>IF(B686="","",IFERROR(VLOOKUP(--B686,'CATALOGO CECO'!$A$2:$H$550,5,FALSE),""))</f>
        <v/>
      </c>
      <c r="J686" s="8">
        <f>IF(B686="","",IFERROR(VLOOKUP(--B686,'CATALOGO CECO'!$A$2:$H$550,8,FALSE),""))</f>
        <v/>
      </c>
      <c r="K686" s="8">
        <f>IF(COUNTA(A686:F686)=0,"",IF(OR(LEN(A686)&lt;&gt;7,MID(A686,5,1)&lt;&gt;"-",ISERROR(--LEFT(A686,4)),ISERROR(--RIGHT(A686,2))),"ERROR: PERIODO debe ser AAAA-MM",IF(B686="","ERROR: falta CODIGO CECO",IF(G686="CECO NO EXISTE","ERROR: CECO no existe en el catálogo",IF(C686="","ERROR: falta CUENTA",IF(ISERROR(--C686),"ERROR: CUENTA debe tener solo dígitos",IF(ISERROR(FIND(LEFT(C686,1),"567")),"ERROR: CUENTA fuera de las clases de costo",IF(NOT(ISNUMBER(E686)),"ERROR: VALOR debe ser numérico",IF(E686=0,"AVISO: valor cero (no se carga)",IF(J686&lt;&gt;"ACTIVO","NO SE CARGA: CECO en estado "&amp;J686,"OK"))))))))))</f>
        <v/>
      </c>
    </row>
    <row r="687">
      <c r="A687" s="5" t="n"/>
      <c r="B687" s="6" t="n"/>
      <c r="C687" s="5" t="n"/>
      <c r="D687" s="6" t="n"/>
      <c r="E687" s="7" t="n"/>
      <c r="F687" s="6" t="n"/>
      <c r="G687" s="8">
        <f>IF(B687="","",IFERROR(VLOOKUP(--B687,'CATALOGO CECO'!$A$2:$H$550,2,FALSE),"CECO NO EXISTE"))</f>
        <v/>
      </c>
      <c r="H687" s="8">
        <f>IF(B687="","",IFERROR(VLOOKUP(--B687,'CATALOGO CECO'!$A$2:$H$550,3,FALSE),""))</f>
        <v/>
      </c>
      <c r="I687" s="8">
        <f>IF(B687="","",IFERROR(VLOOKUP(--B687,'CATALOGO CECO'!$A$2:$H$550,5,FALSE),""))</f>
        <v/>
      </c>
      <c r="J687" s="8">
        <f>IF(B687="","",IFERROR(VLOOKUP(--B687,'CATALOGO CECO'!$A$2:$H$550,8,FALSE),""))</f>
        <v/>
      </c>
      <c r="K687" s="8">
        <f>IF(COUNTA(A687:F687)=0,"",IF(OR(LEN(A687)&lt;&gt;7,MID(A687,5,1)&lt;&gt;"-",ISERROR(--LEFT(A687,4)),ISERROR(--RIGHT(A687,2))),"ERROR: PERIODO debe ser AAAA-MM",IF(B687="","ERROR: falta CODIGO CECO",IF(G687="CECO NO EXISTE","ERROR: CECO no existe en el catálogo",IF(C687="","ERROR: falta CUENTA",IF(ISERROR(--C687),"ERROR: CUENTA debe tener solo dígitos",IF(ISERROR(FIND(LEFT(C687,1),"567")),"ERROR: CUENTA fuera de las clases de costo",IF(NOT(ISNUMBER(E687)),"ERROR: VALOR debe ser numérico",IF(E687=0,"AVISO: valor cero (no se carga)",IF(J687&lt;&gt;"ACTIVO","NO SE CARGA: CECO en estado "&amp;J687,"OK"))))))))))</f>
        <v/>
      </c>
    </row>
    <row r="688">
      <c r="A688" s="5" t="n"/>
      <c r="B688" s="6" t="n"/>
      <c r="C688" s="5" t="n"/>
      <c r="D688" s="6" t="n"/>
      <c r="E688" s="7" t="n"/>
      <c r="F688" s="6" t="n"/>
      <c r="G688" s="8">
        <f>IF(B688="","",IFERROR(VLOOKUP(--B688,'CATALOGO CECO'!$A$2:$H$550,2,FALSE),"CECO NO EXISTE"))</f>
        <v/>
      </c>
      <c r="H688" s="8">
        <f>IF(B688="","",IFERROR(VLOOKUP(--B688,'CATALOGO CECO'!$A$2:$H$550,3,FALSE),""))</f>
        <v/>
      </c>
      <c r="I688" s="8">
        <f>IF(B688="","",IFERROR(VLOOKUP(--B688,'CATALOGO CECO'!$A$2:$H$550,5,FALSE),""))</f>
        <v/>
      </c>
      <c r="J688" s="8">
        <f>IF(B688="","",IFERROR(VLOOKUP(--B688,'CATALOGO CECO'!$A$2:$H$550,8,FALSE),""))</f>
        <v/>
      </c>
      <c r="K688" s="8">
        <f>IF(COUNTA(A688:F688)=0,"",IF(OR(LEN(A688)&lt;&gt;7,MID(A688,5,1)&lt;&gt;"-",ISERROR(--LEFT(A688,4)),ISERROR(--RIGHT(A688,2))),"ERROR: PERIODO debe ser AAAA-MM",IF(B688="","ERROR: falta CODIGO CECO",IF(G688="CECO NO EXISTE","ERROR: CECO no existe en el catálogo",IF(C688="","ERROR: falta CUENTA",IF(ISERROR(--C688),"ERROR: CUENTA debe tener solo dígitos",IF(ISERROR(FIND(LEFT(C688,1),"567")),"ERROR: CUENTA fuera de las clases de costo",IF(NOT(ISNUMBER(E688)),"ERROR: VALOR debe ser numérico",IF(E688=0,"AVISO: valor cero (no se carga)",IF(J688&lt;&gt;"ACTIVO","NO SE CARGA: CECO en estado "&amp;J688,"OK"))))))))))</f>
        <v/>
      </c>
    </row>
    <row r="689">
      <c r="A689" s="5" t="n"/>
      <c r="B689" s="6" t="n"/>
      <c r="C689" s="5" t="n"/>
      <c r="D689" s="6" t="n"/>
      <c r="E689" s="7" t="n"/>
      <c r="F689" s="6" t="n"/>
      <c r="G689" s="8">
        <f>IF(B689="","",IFERROR(VLOOKUP(--B689,'CATALOGO CECO'!$A$2:$H$550,2,FALSE),"CECO NO EXISTE"))</f>
        <v/>
      </c>
      <c r="H689" s="8">
        <f>IF(B689="","",IFERROR(VLOOKUP(--B689,'CATALOGO CECO'!$A$2:$H$550,3,FALSE),""))</f>
        <v/>
      </c>
      <c r="I689" s="8">
        <f>IF(B689="","",IFERROR(VLOOKUP(--B689,'CATALOGO CECO'!$A$2:$H$550,5,FALSE),""))</f>
        <v/>
      </c>
      <c r="J689" s="8">
        <f>IF(B689="","",IFERROR(VLOOKUP(--B689,'CATALOGO CECO'!$A$2:$H$550,8,FALSE),""))</f>
        <v/>
      </c>
      <c r="K689" s="8">
        <f>IF(COUNTA(A689:F689)=0,"",IF(OR(LEN(A689)&lt;&gt;7,MID(A689,5,1)&lt;&gt;"-",ISERROR(--LEFT(A689,4)),ISERROR(--RIGHT(A689,2))),"ERROR: PERIODO debe ser AAAA-MM",IF(B689="","ERROR: falta CODIGO CECO",IF(G689="CECO NO EXISTE","ERROR: CECO no existe en el catálogo",IF(C689="","ERROR: falta CUENTA",IF(ISERROR(--C689),"ERROR: CUENTA debe tener solo dígitos",IF(ISERROR(FIND(LEFT(C689,1),"567")),"ERROR: CUENTA fuera de las clases de costo",IF(NOT(ISNUMBER(E689)),"ERROR: VALOR debe ser numérico",IF(E689=0,"AVISO: valor cero (no se carga)",IF(J689&lt;&gt;"ACTIVO","NO SE CARGA: CECO en estado "&amp;J689,"OK"))))))))))</f>
        <v/>
      </c>
    </row>
    <row r="690">
      <c r="A690" s="5" t="n"/>
      <c r="B690" s="6" t="n"/>
      <c r="C690" s="5" t="n"/>
      <c r="D690" s="6" t="n"/>
      <c r="E690" s="7" t="n"/>
      <c r="F690" s="6" t="n"/>
      <c r="G690" s="8">
        <f>IF(B690="","",IFERROR(VLOOKUP(--B690,'CATALOGO CECO'!$A$2:$H$550,2,FALSE),"CECO NO EXISTE"))</f>
        <v/>
      </c>
      <c r="H690" s="8">
        <f>IF(B690="","",IFERROR(VLOOKUP(--B690,'CATALOGO CECO'!$A$2:$H$550,3,FALSE),""))</f>
        <v/>
      </c>
      <c r="I690" s="8">
        <f>IF(B690="","",IFERROR(VLOOKUP(--B690,'CATALOGO CECO'!$A$2:$H$550,5,FALSE),""))</f>
        <v/>
      </c>
      <c r="J690" s="8">
        <f>IF(B690="","",IFERROR(VLOOKUP(--B690,'CATALOGO CECO'!$A$2:$H$550,8,FALSE),""))</f>
        <v/>
      </c>
      <c r="K690" s="8">
        <f>IF(COUNTA(A690:F690)=0,"",IF(OR(LEN(A690)&lt;&gt;7,MID(A690,5,1)&lt;&gt;"-",ISERROR(--LEFT(A690,4)),ISERROR(--RIGHT(A690,2))),"ERROR: PERIODO debe ser AAAA-MM",IF(B690="","ERROR: falta CODIGO CECO",IF(G690="CECO NO EXISTE","ERROR: CECO no existe en el catálogo",IF(C690="","ERROR: falta CUENTA",IF(ISERROR(--C690),"ERROR: CUENTA debe tener solo dígitos",IF(ISERROR(FIND(LEFT(C690,1),"567")),"ERROR: CUENTA fuera de las clases de costo",IF(NOT(ISNUMBER(E690)),"ERROR: VALOR debe ser numérico",IF(E690=0,"AVISO: valor cero (no se carga)",IF(J690&lt;&gt;"ACTIVO","NO SE CARGA: CECO en estado "&amp;J690,"OK"))))))))))</f>
        <v/>
      </c>
    </row>
    <row r="691">
      <c r="A691" s="5" t="n"/>
      <c r="B691" s="6" t="n"/>
      <c r="C691" s="5" t="n"/>
      <c r="D691" s="6" t="n"/>
      <c r="E691" s="7" t="n"/>
      <c r="F691" s="6" t="n"/>
      <c r="G691" s="8">
        <f>IF(B691="","",IFERROR(VLOOKUP(--B691,'CATALOGO CECO'!$A$2:$H$550,2,FALSE),"CECO NO EXISTE"))</f>
        <v/>
      </c>
      <c r="H691" s="8">
        <f>IF(B691="","",IFERROR(VLOOKUP(--B691,'CATALOGO CECO'!$A$2:$H$550,3,FALSE),""))</f>
        <v/>
      </c>
      <c r="I691" s="8">
        <f>IF(B691="","",IFERROR(VLOOKUP(--B691,'CATALOGO CECO'!$A$2:$H$550,5,FALSE),""))</f>
        <v/>
      </c>
      <c r="J691" s="8">
        <f>IF(B691="","",IFERROR(VLOOKUP(--B691,'CATALOGO CECO'!$A$2:$H$550,8,FALSE),""))</f>
        <v/>
      </c>
      <c r="K691" s="8">
        <f>IF(COUNTA(A691:F691)=0,"",IF(OR(LEN(A691)&lt;&gt;7,MID(A691,5,1)&lt;&gt;"-",ISERROR(--LEFT(A691,4)),ISERROR(--RIGHT(A691,2))),"ERROR: PERIODO debe ser AAAA-MM",IF(B691="","ERROR: falta CODIGO CECO",IF(G691="CECO NO EXISTE","ERROR: CECO no existe en el catálogo",IF(C691="","ERROR: falta CUENTA",IF(ISERROR(--C691),"ERROR: CUENTA debe tener solo dígitos",IF(ISERROR(FIND(LEFT(C691,1),"567")),"ERROR: CUENTA fuera de las clases de costo",IF(NOT(ISNUMBER(E691)),"ERROR: VALOR debe ser numérico",IF(E691=0,"AVISO: valor cero (no se carga)",IF(J691&lt;&gt;"ACTIVO","NO SE CARGA: CECO en estado "&amp;J691,"OK"))))))))))</f>
        <v/>
      </c>
    </row>
    <row r="692">
      <c r="A692" s="5" t="n"/>
      <c r="B692" s="6" t="n"/>
      <c r="C692" s="5" t="n"/>
      <c r="D692" s="6" t="n"/>
      <c r="E692" s="7" t="n"/>
      <c r="F692" s="6" t="n"/>
      <c r="G692" s="8">
        <f>IF(B692="","",IFERROR(VLOOKUP(--B692,'CATALOGO CECO'!$A$2:$H$550,2,FALSE),"CECO NO EXISTE"))</f>
        <v/>
      </c>
      <c r="H692" s="8">
        <f>IF(B692="","",IFERROR(VLOOKUP(--B692,'CATALOGO CECO'!$A$2:$H$550,3,FALSE),""))</f>
        <v/>
      </c>
      <c r="I692" s="8">
        <f>IF(B692="","",IFERROR(VLOOKUP(--B692,'CATALOGO CECO'!$A$2:$H$550,5,FALSE),""))</f>
        <v/>
      </c>
      <c r="J692" s="8">
        <f>IF(B692="","",IFERROR(VLOOKUP(--B692,'CATALOGO CECO'!$A$2:$H$550,8,FALSE),""))</f>
        <v/>
      </c>
      <c r="K692" s="8">
        <f>IF(COUNTA(A692:F692)=0,"",IF(OR(LEN(A692)&lt;&gt;7,MID(A692,5,1)&lt;&gt;"-",ISERROR(--LEFT(A692,4)),ISERROR(--RIGHT(A692,2))),"ERROR: PERIODO debe ser AAAA-MM",IF(B692="","ERROR: falta CODIGO CECO",IF(G692="CECO NO EXISTE","ERROR: CECO no existe en el catálogo",IF(C692="","ERROR: falta CUENTA",IF(ISERROR(--C692),"ERROR: CUENTA debe tener solo dígitos",IF(ISERROR(FIND(LEFT(C692,1),"567")),"ERROR: CUENTA fuera de las clases de costo",IF(NOT(ISNUMBER(E692)),"ERROR: VALOR debe ser numérico",IF(E692=0,"AVISO: valor cero (no se carga)",IF(J692&lt;&gt;"ACTIVO","NO SE CARGA: CECO en estado "&amp;J692,"OK"))))))))))</f>
        <v/>
      </c>
    </row>
    <row r="693">
      <c r="A693" s="5" t="n"/>
      <c r="B693" s="6" t="n"/>
      <c r="C693" s="5" t="n"/>
      <c r="D693" s="6" t="n"/>
      <c r="E693" s="7" t="n"/>
      <c r="F693" s="6" t="n"/>
      <c r="G693" s="8">
        <f>IF(B693="","",IFERROR(VLOOKUP(--B693,'CATALOGO CECO'!$A$2:$H$550,2,FALSE),"CECO NO EXISTE"))</f>
        <v/>
      </c>
      <c r="H693" s="8">
        <f>IF(B693="","",IFERROR(VLOOKUP(--B693,'CATALOGO CECO'!$A$2:$H$550,3,FALSE),""))</f>
        <v/>
      </c>
      <c r="I693" s="8">
        <f>IF(B693="","",IFERROR(VLOOKUP(--B693,'CATALOGO CECO'!$A$2:$H$550,5,FALSE),""))</f>
        <v/>
      </c>
      <c r="J693" s="8">
        <f>IF(B693="","",IFERROR(VLOOKUP(--B693,'CATALOGO CECO'!$A$2:$H$550,8,FALSE),""))</f>
        <v/>
      </c>
      <c r="K693" s="8">
        <f>IF(COUNTA(A693:F693)=0,"",IF(OR(LEN(A693)&lt;&gt;7,MID(A693,5,1)&lt;&gt;"-",ISERROR(--LEFT(A693,4)),ISERROR(--RIGHT(A693,2))),"ERROR: PERIODO debe ser AAAA-MM",IF(B693="","ERROR: falta CODIGO CECO",IF(G693="CECO NO EXISTE","ERROR: CECO no existe en el catálogo",IF(C693="","ERROR: falta CUENTA",IF(ISERROR(--C693),"ERROR: CUENTA debe tener solo dígitos",IF(ISERROR(FIND(LEFT(C693,1),"567")),"ERROR: CUENTA fuera de las clases de costo",IF(NOT(ISNUMBER(E693)),"ERROR: VALOR debe ser numérico",IF(E693=0,"AVISO: valor cero (no se carga)",IF(J693&lt;&gt;"ACTIVO","NO SE CARGA: CECO en estado "&amp;J693,"OK"))))))))))</f>
        <v/>
      </c>
    </row>
    <row r="694">
      <c r="A694" s="5" t="n"/>
      <c r="B694" s="6" t="n"/>
      <c r="C694" s="5" t="n"/>
      <c r="D694" s="6" t="n"/>
      <c r="E694" s="7" t="n"/>
      <c r="F694" s="6" t="n"/>
      <c r="G694" s="8">
        <f>IF(B694="","",IFERROR(VLOOKUP(--B694,'CATALOGO CECO'!$A$2:$H$550,2,FALSE),"CECO NO EXISTE"))</f>
        <v/>
      </c>
      <c r="H694" s="8">
        <f>IF(B694="","",IFERROR(VLOOKUP(--B694,'CATALOGO CECO'!$A$2:$H$550,3,FALSE),""))</f>
        <v/>
      </c>
      <c r="I694" s="8">
        <f>IF(B694="","",IFERROR(VLOOKUP(--B694,'CATALOGO CECO'!$A$2:$H$550,5,FALSE),""))</f>
        <v/>
      </c>
      <c r="J694" s="8">
        <f>IF(B694="","",IFERROR(VLOOKUP(--B694,'CATALOGO CECO'!$A$2:$H$550,8,FALSE),""))</f>
        <v/>
      </c>
      <c r="K694" s="8">
        <f>IF(COUNTA(A694:F694)=0,"",IF(OR(LEN(A694)&lt;&gt;7,MID(A694,5,1)&lt;&gt;"-",ISERROR(--LEFT(A694,4)),ISERROR(--RIGHT(A694,2))),"ERROR: PERIODO debe ser AAAA-MM",IF(B694="","ERROR: falta CODIGO CECO",IF(G694="CECO NO EXISTE","ERROR: CECO no existe en el catálogo",IF(C694="","ERROR: falta CUENTA",IF(ISERROR(--C694),"ERROR: CUENTA debe tener solo dígitos",IF(ISERROR(FIND(LEFT(C694,1),"567")),"ERROR: CUENTA fuera de las clases de costo",IF(NOT(ISNUMBER(E694)),"ERROR: VALOR debe ser numérico",IF(E694=0,"AVISO: valor cero (no se carga)",IF(J694&lt;&gt;"ACTIVO","NO SE CARGA: CECO en estado "&amp;J694,"OK"))))))))))</f>
        <v/>
      </c>
    </row>
    <row r="695">
      <c r="A695" s="5" t="n"/>
      <c r="B695" s="6" t="n"/>
      <c r="C695" s="5" t="n"/>
      <c r="D695" s="6" t="n"/>
      <c r="E695" s="7" t="n"/>
      <c r="F695" s="6" t="n"/>
      <c r="G695" s="8">
        <f>IF(B695="","",IFERROR(VLOOKUP(--B695,'CATALOGO CECO'!$A$2:$H$550,2,FALSE),"CECO NO EXISTE"))</f>
        <v/>
      </c>
      <c r="H695" s="8">
        <f>IF(B695="","",IFERROR(VLOOKUP(--B695,'CATALOGO CECO'!$A$2:$H$550,3,FALSE),""))</f>
        <v/>
      </c>
      <c r="I695" s="8">
        <f>IF(B695="","",IFERROR(VLOOKUP(--B695,'CATALOGO CECO'!$A$2:$H$550,5,FALSE),""))</f>
        <v/>
      </c>
      <c r="J695" s="8">
        <f>IF(B695="","",IFERROR(VLOOKUP(--B695,'CATALOGO CECO'!$A$2:$H$550,8,FALSE),""))</f>
        <v/>
      </c>
      <c r="K695" s="8">
        <f>IF(COUNTA(A695:F695)=0,"",IF(OR(LEN(A695)&lt;&gt;7,MID(A695,5,1)&lt;&gt;"-",ISERROR(--LEFT(A695,4)),ISERROR(--RIGHT(A695,2))),"ERROR: PERIODO debe ser AAAA-MM",IF(B695="","ERROR: falta CODIGO CECO",IF(G695="CECO NO EXISTE","ERROR: CECO no existe en el catálogo",IF(C695="","ERROR: falta CUENTA",IF(ISERROR(--C695),"ERROR: CUENTA debe tener solo dígitos",IF(ISERROR(FIND(LEFT(C695,1),"567")),"ERROR: CUENTA fuera de las clases de costo",IF(NOT(ISNUMBER(E695)),"ERROR: VALOR debe ser numérico",IF(E695=0,"AVISO: valor cero (no se carga)",IF(J695&lt;&gt;"ACTIVO","NO SE CARGA: CECO en estado "&amp;J695,"OK"))))))))))</f>
        <v/>
      </c>
    </row>
    <row r="696">
      <c r="A696" s="5" t="n"/>
      <c r="B696" s="6" t="n"/>
      <c r="C696" s="5" t="n"/>
      <c r="D696" s="6" t="n"/>
      <c r="E696" s="7" t="n"/>
      <c r="F696" s="6" t="n"/>
      <c r="G696" s="8">
        <f>IF(B696="","",IFERROR(VLOOKUP(--B696,'CATALOGO CECO'!$A$2:$H$550,2,FALSE),"CECO NO EXISTE"))</f>
        <v/>
      </c>
      <c r="H696" s="8">
        <f>IF(B696="","",IFERROR(VLOOKUP(--B696,'CATALOGO CECO'!$A$2:$H$550,3,FALSE),""))</f>
        <v/>
      </c>
      <c r="I696" s="8">
        <f>IF(B696="","",IFERROR(VLOOKUP(--B696,'CATALOGO CECO'!$A$2:$H$550,5,FALSE),""))</f>
        <v/>
      </c>
      <c r="J696" s="8">
        <f>IF(B696="","",IFERROR(VLOOKUP(--B696,'CATALOGO CECO'!$A$2:$H$550,8,FALSE),""))</f>
        <v/>
      </c>
      <c r="K696" s="8">
        <f>IF(COUNTA(A696:F696)=0,"",IF(OR(LEN(A696)&lt;&gt;7,MID(A696,5,1)&lt;&gt;"-",ISERROR(--LEFT(A696,4)),ISERROR(--RIGHT(A696,2))),"ERROR: PERIODO debe ser AAAA-MM",IF(B696="","ERROR: falta CODIGO CECO",IF(G696="CECO NO EXISTE","ERROR: CECO no existe en el catálogo",IF(C696="","ERROR: falta CUENTA",IF(ISERROR(--C696),"ERROR: CUENTA debe tener solo dígitos",IF(ISERROR(FIND(LEFT(C696,1),"567")),"ERROR: CUENTA fuera de las clases de costo",IF(NOT(ISNUMBER(E696)),"ERROR: VALOR debe ser numérico",IF(E696=0,"AVISO: valor cero (no se carga)",IF(J696&lt;&gt;"ACTIVO","NO SE CARGA: CECO en estado "&amp;J696,"OK"))))))))))</f>
        <v/>
      </c>
    </row>
    <row r="697">
      <c r="A697" s="5" t="n"/>
      <c r="B697" s="6" t="n"/>
      <c r="C697" s="5" t="n"/>
      <c r="D697" s="6" t="n"/>
      <c r="E697" s="7" t="n"/>
      <c r="F697" s="6" t="n"/>
      <c r="G697" s="8">
        <f>IF(B697="","",IFERROR(VLOOKUP(--B697,'CATALOGO CECO'!$A$2:$H$550,2,FALSE),"CECO NO EXISTE"))</f>
        <v/>
      </c>
      <c r="H697" s="8">
        <f>IF(B697="","",IFERROR(VLOOKUP(--B697,'CATALOGO CECO'!$A$2:$H$550,3,FALSE),""))</f>
        <v/>
      </c>
      <c r="I697" s="8">
        <f>IF(B697="","",IFERROR(VLOOKUP(--B697,'CATALOGO CECO'!$A$2:$H$550,5,FALSE),""))</f>
        <v/>
      </c>
      <c r="J697" s="8">
        <f>IF(B697="","",IFERROR(VLOOKUP(--B697,'CATALOGO CECO'!$A$2:$H$550,8,FALSE),""))</f>
        <v/>
      </c>
      <c r="K697" s="8">
        <f>IF(COUNTA(A697:F697)=0,"",IF(OR(LEN(A697)&lt;&gt;7,MID(A697,5,1)&lt;&gt;"-",ISERROR(--LEFT(A697,4)),ISERROR(--RIGHT(A697,2))),"ERROR: PERIODO debe ser AAAA-MM",IF(B697="","ERROR: falta CODIGO CECO",IF(G697="CECO NO EXISTE","ERROR: CECO no existe en el catálogo",IF(C697="","ERROR: falta CUENTA",IF(ISERROR(--C697),"ERROR: CUENTA debe tener solo dígitos",IF(ISERROR(FIND(LEFT(C697,1),"567")),"ERROR: CUENTA fuera de las clases de costo",IF(NOT(ISNUMBER(E697)),"ERROR: VALOR debe ser numérico",IF(E697=0,"AVISO: valor cero (no se carga)",IF(J697&lt;&gt;"ACTIVO","NO SE CARGA: CECO en estado "&amp;J697,"OK"))))))))))</f>
        <v/>
      </c>
    </row>
    <row r="698">
      <c r="A698" s="5" t="n"/>
      <c r="B698" s="6" t="n"/>
      <c r="C698" s="5" t="n"/>
      <c r="D698" s="6" t="n"/>
      <c r="E698" s="7" t="n"/>
      <c r="F698" s="6" t="n"/>
      <c r="G698" s="8">
        <f>IF(B698="","",IFERROR(VLOOKUP(--B698,'CATALOGO CECO'!$A$2:$H$550,2,FALSE),"CECO NO EXISTE"))</f>
        <v/>
      </c>
      <c r="H698" s="8">
        <f>IF(B698="","",IFERROR(VLOOKUP(--B698,'CATALOGO CECO'!$A$2:$H$550,3,FALSE),""))</f>
        <v/>
      </c>
      <c r="I698" s="8">
        <f>IF(B698="","",IFERROR(VLOOKUP(--B698,'CATALOGO CECO'!$A$2:$H$550,5,FALSE),""))</f>
        <v/>
      </c>
      <c r="J698" s="8">
        <f>IF(B698="","",IFERROR(VLOOKUP(--B698,'CATALOGO CECO'!$A$2:$H$550,8,FALSE),""))</f>
        <v/>
      </c>
      <c r="K698" s="8">
        <f>IF(COUNTA(A698:F698)=0,"",IF(OR(LEN(A698)&lt;&gt;7,MID(A698,5,1)&lt;&gt;"-",ISERROR(--LEFT(A698,4)),ISERROR(--RIGHT(A698,2))),"ERROR: PERIODO debe ser AAAA-MM",IF(B698="","ERROR: falta CODIGO CECO",IF(G698="CECO NO EXISTE","ERROR: CECO no existe en el catálogo",IF(C698="","ERROR: falta CUENTA",IF(ISERROR(--C698),"ERROR: CUENTA debe tener solo dígitos",IF(ISERROR(FIND(LEFT(C698,1),"567")),"ERROR: CUENTA fuera de las clases de costo",IF(NOT(ISNUMBER(E698)),"ERROR: VALOR debe ser numérico",IF(E698=0,"AVISO: valor cero (no se carga)",IF(J698&lt;&gt;"ACTIVO","NO SE CARGA: CECO en estado "&amp;J698,"OK"))))))))))</f>
        <v/>
      </c>
    </row>
    <row r="699">
      <c r="A699" s="5" t="n"/>
      <c r="B699" s="6" t="n"/>
      <c r="C699" s="5" t="n"/>
      <c r="D699" s="6" t="n"/>
      <c r="E699" s="7" t="n"/>
      <c r="F699" s="6" t="n"/>
      <c r="G699" s="8">
        <f>IF(B699="","",IFERROR(VLOOKUP(--B699,'CATALOGO CECO'!$A$2:$H$550,2,FALSE),"CECO NO EXISTE"))</f>
        <v/>
      </c>
      <c r="H699" s="8">
        <f>IF(B699="","",IFERROR(VLOOKUP(--B699,'CATALOGO CECO'!$A$2:$H$550,3,FALSE),""))</f>
        <v/>
      </c>
      <c r="I699" s="8">
        <f>IF(B699="","",IFERROR(VLOOKUP(--B699,'CATALOGO CECO'!$A$2:$H$550,5,FALSE),""))</f>
        <v/>
      </c>
      <c r="J699" s="8">
        <f>IF(B699="","",IFERROR(VLOOKUP(--B699,'CATALOGO CECO'!$A$2:$H$550,8,FALSE),""))</f>
        <v/>
      </c>
      <c r="K699" s="8">
        <f>IF(COUNTA(A699:F699)=0,"",IF(OR(LEN(A699)&lt;&gt;7,MID(A699,5,1)&lt;&gt;"-",ISERROR(--LEFT(A699,4)),ISERROR(--RIGHT(A699,2))),"ERROR: PERIODO debe ser AAAA-MM",IF(B699="","ERROR: falta CODIGO CECO",IF(G699="CECO NO EXISTE","ERROR: CECO no existe en el catálogo",IF(C699="","ERROR: falta CUENTA",IF(ISERROR(--C699),"ERROR: CUENTA debe tener solo dígitos",IF(ISERROR(FIND(LEFT(C699,1),"567")),"ERROR: CUENTA fuera de las clases de costo",IF(NOT(ISNUMBER(E699)),"ERROR: VALOR debe ser numérico",IF(E699=0,"AVISO: valor cero (no se carga)",IF(J699&lt;&gt;"ACTIVO","NO SE CARGA: CECO en estado "&amp;J699,"OK"))))))))))</f>
        <v/>
      </c>
    </row>
    <row r="700">
      <c r="A700" s="5" t="n"/>
      <c r="B700" s="6" t="n"/>
      <c r="C700" s="5" t="n"/>
      <c r="D700" s="6" t="n"/>
      <c r="E700" s="7" t="n"/>
      <c r="F700" s="6" t="n"/>
      <c r="G700" s="8">
        <f>IF(B700="","",IFERROR(VLOOKUP(--B700,'CATALOGO CECO'!$A$2:$H$550,2,FALSE),"CECO NO EXISTE"))</f>
        <v/>
      </c>
      <c r="H700" s="8">
        <f>IF(B700="","",IFERROR(VLOOKUP(--B700,'CATALOGO CECO'!$A$2:$H$550,3,FALSE),""))</f>
        <v/>
      </c>
      <c r="I700" s="8">
        <f>IF(B700="","",IFERROR(VLOOKUP(--B700,'CATALOGO CECO'!$A$2:$H$550,5,FALSE),""))</f>
        <v/>
      </c>
      <c r="J700" s="8">
        <f>IF(B700="","",IFERROR(VLOOKUP(--B700,'CATALOGO CECO'!$A$2:$H$550,8,FALSE),""))</f>
        <v/>
      </c>
      <c r="K700" s="8">
        <f>IF(COUNTA(A700:F700)=0,"",IF(OR(LEN(A700)&lt;&gt;7,MID(A700,5,1)&lt;&gt;"-",ISERROR(--LEFT(A700,4)),ISERROR(--RIGHT(A700,2))),"ERROR: PERIODO debe ser AAAA-MM",IF(B700="","ERROR: falta CODIGO CECO",IF(G700="CECO NO EXISTE","ERROR: CECO no existe en el catálogo",IF(C700="","ERROR: falta CUENTA",IF(ISERROR(--C700),"ERROR: CUENTA debe tener solo dígitos",IF(ISERROR(FIND(LEFT(C700,1),"567")),"ERROR: CUENTA fuera de las clases de costo",IF(NOT(ISNUMBER(E700)),"ERROR: VALOR debe ser numérico",IF(E700=0,"AVISO: valor cero (no se carga)",IF(J700&lt;&gt;"ACTIVO","NO SE CARGA: CECO en estado "&amp;J700,"OK"))))))))))</f>
        <v/>
      </c>
    </row>
    <row r="701">
      <c r="A701" s="5" t="n"/>
      <c r="B701" s="6" t="n"/>
      <c r="C701" s="5" t="n"/>
      <c r="D701" s="6" t="n"/>
      <c r="E701" s="7" t="n"/>
      <c r="F701" s="6" t="n"/>
      <c r="G701" s="8">
        <f>IF(B701="","",IFERROR(VLOOKUP(--B701,'CATALOGO CECO'!$A$2:$H$550,2,FALSE),"CECO NO EXISTE"))</f>
        <v/>
      </c>
      <c r="H701" s="8">
        <f>IF(B701="","",IFERROR(VLOOKUP(--B701,'CATALOGO CECO'!$A$2:$H$550,3,FALSE),""))</f>
        <v/>
      </c>
      <c r="I701" s="8">
        <f>IF(B701="","",IFERROR(VLOOKUP(--B701,'CATALOGO CECO'!$A$2:$H$550,5,FALSE),""))</f>
        <v/>
      </c>
      <c r="J701" s="8">
        <f>IF(B701="","",IFERROR(VLOOKUP(--B701,'CATALOGO CECO'!$A$2:$H$550,8,FALSE),""))</f>
        <v/>
      </c>
      <c r="K701" s="8">
        <f>IF(COUNTA(A701:F701)=0,"",IF(OR(LEN(A701)&lt;&gt;7,MID(A701,5,1)&lt;&gt;"-",ISERROR(--LEFT(A701,4)),ISERROR(--RIGHT(A701,2))),"ERROR: PERIODO debe ser AAAA-MM",IF(B701="","ERROR: falta CODIGO CECO",IF(G701="CECO NO EXISTE","ERROR: CECO no existe en el catálogo",IF(C701="","ERROR: falta CUENTA",IF(ISERROR(--C701),"ERROR: CUENTA debe tener solo dígitos",IF(ISERROR(FIND(LEFT(C701,1),"567")),"ERROR: CUENTA fuera de las clases de costo",IF(NOT(ISNUMBER(E701)),"ERROR: VALOR debe ser numérico",IF(E701=0,"AVISO: valor cero (no se carga)",IF(J701&lt;&gt;"ACTIVO","NO SE CARGA: CECO en estado "&amp;J701,"OK"))))))))))</f>
        <v/>
      </c>
    </row>
    <row r="702">
      <c r="A702" s="5" t="n"/>
      <c r="B702" s="6" t="n"/>
      <c r="C702" s="5" t="n"/>
      <c r="D702" s="6" t="n"/>
      <c r="E702" s="7" t="n"/>
      <c r="F702" s="6" t="n"/>
      <c r="G702" s="8">
        <f>IF(B702="","",IFERROR(VLOOKUP(--B702,'CATALOGO CECO'!$A$2:$H$550,2,FALSE),"CECO NO EXISTE"))</f>
        <v/>
      </c>
      <c r="H702" s="8">
        <f>IF(B702="","",IFERROR(VLOOKUP(--B702,'CATALOGO CECO'!$A$2:$H$550,3,FALSE),""))</f>
        <v/>
      </c>
      <c r="I702" s="8">
        <f>IF(B702="","",IFERROR(VLOOKUP(--B702,'CATALOGO CECO'!$A$2:$H$550,5,FALSE),""))</f>
        <v/>
      </c>
      <c r="J702" s="8">
        <f>IF(B702="","",IFERROR(VLOOKUP(--B702,'CATALOGO CECO'!$A$2:$H$550,8,FALSE),""))</f>
        <v/>
      </c>
      <c r="K702" s="8">
        <f>IF(COUNTA(A702:F702)=0,"",IF(OR(LEN(A702)&lt;&gt;7,MID(A702,5,1)&lt;&gt;"-",ISERROR(--LEFT(A702,4)),ISERROR(--RIGHT(A702,2))),"ERROR: PERIODO debe ser AAAA-MM",IF(B702="","ERROR: falta CODIGO CECO",IF(G702="CECO NO EXISTE","ERROR: CECO no existe en el catálogo",IF(C702="","ERROR: falta CUENTA",IF(ISERROR(--C702),"ERROR: CUENTA debe tener solo dígitos",IF(ISERROR(FIND(LEFT(C702,1),"567")),"ERROR: CUENTA fuera de las clases de costo",IF(NOT(ISNUMBER(E702)),"ERROR: VALOR debe ser numérico",IF(E702=0,"AVISO: valor cero (no se carga)",IF(J702&lt;&gt;"ACTIVO","NO SE CARGA: CECO en estado "&amp;J702,"OK"))))))))))</f>
        <v/>
      </c>
    </row>
    <row r="703">
      <c r="A703" s="5" t="n"/>
      <c r="B703" s="6" t="n"/>
      <c r="C703" s="5" t="n"/>
      <c r="D703" s="6" t="n"/>
      <c r="E703" s="7" t="n"/>
      <c r="F703" s="6" t="n"/>
      <c r="G703" s="8">
        <f>IF(B703="","",IFERROR(VLOOKUP(--B703,'CATALOGO CECO'!$A$2:$H$550,2,FALSE),"CECO NO EXISTE"))</f>
        <v/>
      </c>
      <c r="H703" s="8">
        <f>IF(B703="","",IFERROR(VLOOKUP(--B703,'CATALOGO CECO'!$A$2:$H$550,3,FALSE),""))</f>
        <v/>
      </c>
      <c r="I703" s="8">
        <f>IF(B703="","",IFERROR(VLOOKUP(--B703,'CATALOGO CECO'!$A$2:$H$550,5,FALSE),""))</f>
        <v/>
      </c>
      <c r="J703" s="8">
        <f>IF(B703="","",IFERROR(VLOOKUP(--B703,'CATALOGO CECO'!$A$2:$H$550,8,FALSE),""))</f>
        <v/>
      </c>
      <c r="K703" s="8">
        <f>IF(COUNTA(A703:F703)=0,"",IF(OR(LEN(A703)&lt;&gt;7,MID(A703,5,1)&lt;&gt;"-",ISERROR(--LEFT(A703,4)),ISERROR(--RIGHT(A703,2))),"ERROR: PERIODO debe ser AAAA-MM",IF(B703="","ERROR: falta CODIGO CECO",IF(G703="CECO NO EXISTE","ERROR: CECO no existe en el catálogo",IF(C703="","ERROR: falta CUENTA",IF(ISERROR(--C703),"ERROR: CUENTA debe tener solo dígitos",IF(ISERROR(FIND(LEFT(C703,1),"567")),"ERROR: CUENTA fuera de las clases de costo",IF(NOT(ISNUMBER(E703)),"ERROR: VALOR debe ser numérico",IF(E703=0,"AVISO: valor cero (no se carga)",IF(J703&lt;&gt;"ACTIVO","NO SE CARGA: CECO en estado "&amp;J703,"OK"))))))))))</f>
        <v/>
      </c>
    </row>
    <row r="704">
      <c r="A704" s="5" t="n"/>
      <c r="B704" s="6" t="n"/>
      <c r="C704" s="5" t="n"/>
      <c r="D704" s="6" t="n"/>
      <c r="E704" s="7" t="n"/>
      <c r="F704" s="6" t="n"/>
      <c r="G704" s="8">
        <f>IF(B704="","",IFERROR(VLOOKUP(--B704,'CATALOGO CECO'!$A$2:$H$550,2,FALSE),"CECO NO EXISTE"))</f>
        <v/>
      </c>
      <c r="H704" s="8">
        <f>IF(B704="","",IFERROR(VLOOKUP(--B704,'CATALOGO CECO'!$A$2:$H$550,3,FALSE),""))</f>
        <v/>
      </c>
      <c r="I704" s="8">
        <f>IF(B704="","",IFERROR(VLOOKUP(--B704,'CATALOGO CECO'!$A$2:$H$550,5,FALSE),""))</f>
        <v/>
      </c>
      <c r="J704" s="8">
        <f>IF(B704="","",IFERROR(VLOOKUP(--B704,'CATALOGO CECO'!$A$2:$H$550,8,FALSE),""))</f>
        <v/>
      </c>
      <c r="K704" s="8">
        <f>IF(COUNTA(A704:F704)=0,"",IF(OR(LEN(A704)&lt;&gt;7,MID(A704,5,1)&lt;&gt;"-",ISERROR(--LEFT(A704,4)),ISERROR(--RIGHT(A704,2))),"ERROR: PERIODO debe ser AAAA-MM",IF(B704="","ERROR: falta CODIGO CECO",IF(G704="CECO NO EXISTE","ERROR: CECO no existe en el catálogo",IF(C704="","ERROR: falta CUENTA",IF(ISERROR(--C704),"ERROR: CUENTA debe tener solo dígitos",IF(ISERROR(FIND(LEFT(C704,1),"567")),"ERROR: CUENTA fuera de las clases de costo",IF(NOT(ISNUMBER(E704)),"ERROR: VALOR debe ser numérico",IF(E704=0,"AVISO: valor cero (no se carga)",IF(J704&lt;&gt;"ACTIVO","NO SE CARGA: CECO en estado "&amp;J704,"OK"))))))))))</f>
        <v/>
      </c>
    </row>
    <row r="705">
      <c r="A705" s="5" t="n"/>
      <c r="B705" s="6" t="n"/>
      <c r="C705" s="5" t="n"/>
      <c r="D705" s="6" t="n"/>
      <c r="E705" s="7" t="n"/>
      <c r="F705" s="6" t="n"/>
      <c r="G705" s="8">
        <f>IF(B705="","",IFERROR(VLOOKUP(--B705,'CATALOGO CECO'!$A$2:$H$550,2,FALSE),"CECO NO EXISTE"))</f>
        <v/>
      </c>
      <c r="H705" s="8">
        <f>IF(B705="","",IFERROR(VLOOKUP(--B705,'CATALOGO CECO'!$A$2:$H$550,3,FALSE),""))</f>
        <v/>
      </c>
      <c r="I705" s="8">
        <f>IF(B705="","",IFERROR(VLOOKUP(--B705,'CATALOGO CECO'!$A$2:$H$550,5,FALSE),""))</f>
        <v/>
      </c>
      <c r="J705" s="8">
        <f>IF(B705="","",IFERROR(VLOOKUP(--B705,'CATALOGO CECO'!$A$2:$H$550,8,FALSE),""))</f>
        <v/>
      </c>
      <c r="K705" s="8">
        <f>IF(COUNTA(A705:F705)=0,"",IF(OR(LEN(A705)&lt;&gt;7,MID(A705,5,1)&lt;&gt;"-",ISERROR(--LEFT(A705,4)),ISERROR(--RIGHT(A705,2))),"ERROR: PERIODO debe ser AAAA-MM",IF(B705="","ERROR: falta CODIGO CECO",IF(G705="CECO NO EXISTE","ERROR: CECO no existe en el catálogo",IF(C705="","ERROR: falta CUENTA",IF(ISERROR(--C705),"ERROR: CUENTA debe tener solo dígitos",IF(ISERROR(FIND(LEFT(C705,1),"567")),"ERROR: CUENTA fuera de las clases de costo",IF(NOT(ISNUMBER(E705)),"ERROR: VALOR debe ser numérico",IF(E705=0,"AVISO: valor cero (no se carga)",IF(J705&lt;&gt;"ACTIVO","NO SE CARGA: CECO en estado "&amp;J705,"OK"))))))))))</f>
        <v/>
      </c>
    </row>
    <row r="706">
      <c r="A706" s="5" t="n"/>
      <c r="B706" s="6" t="n"/>
      <c r="C706" s="5" t="n"/>
      <c r="D706" s="6" t="n"/>
      <c r="E706" s="7" t="n"/>
      <c r="F706" s="6" t="n"/>
      <c r="G706" s="8">
        <f>IF(B706="","",IFERROR(VLOOKUP(--B706,'CATALOGO CECO'!$A$2:$H$550,2,FALSE),"CECO NO EXISTE"))</f>
        <v/>
      </c>
      <c r="H706" s="8">
        <f>IF(B706="","",IFERROR(VLOOKUP(--B706,'CATALOGO CECO'!$A$2:$H$550,3,FALSE),""))</f>
        <v/>
      </c>
      <c r="I706" s="8">
        <f>IF(B706="","",IFERROR(VLOOKUP(--B706,'CATALOGO CECO'!$A$2:$H$550,5,FALSE),""))</f>
        <v/>
      </c>
      <c r="J706" s="8">
        <f>IF(B706="","",IFERROR(VLOOKUP(--B706,'CATALOGO CECO'!$A$2:$H$550,8,FALSE),""))</f>
        <v/>
      </c>
      <c r="K706" s="8">
        <f>IF(COUNTA(A706:F706)=0,"",IF(OR(LEN(A706)&lt;&gt;7,MID(A706,5,1)&lt;&gt;"-",ISERROR(--LEFT(A706,4)),ISERROR(--RIGHT(A706,2))),"ERROR: PERIODO debe ser AAAA-MM",IF(B706="","ERROR: falta CODIGO CECO",IF(G706="CECO NO EXISTE","ERROR: CECO no existe en el catálogo",IF(C706="","ERROR: falta CUENTA",IF(ISERROR(--C706),"ERROR: CUENTA debe tener solo dígitos",IF(ISERROR(FIND(LEFT(C706,1),"567")),"ERROR: CUENTA fuera de las clases de costo",IF(NOT(ISNUMBER(E706)),"ERROR: VALOR debe ser numérico",IF(E706=0,"AVISO: valor cero (no se carga)",IF(J706&lt;&gt;"ACTIVO","NO SE CARGA: CECO en estado "&amp;J706,"OK"))))))))))</f>
        <v/>
      </c>
    </row>
    <row r="707">
      <c r="A707" s="5" t="n"/>
      <c r="B707" s="6" t="n"/>
      <c r="C707" s="5" t="n"/>
      <c r="D707" s="6" t="n"/>
      <c r="E707" s="7" t="n"/>
      <c r="F707" s="6" t="n"/>
      <c r="G707" s="8">
        <f>IF(B707="","",IFERROR(VLOOKUP(--B707,'CATALOGO CECO'!$A$2:$H$550,2,FALSE),"CECO NO EXISTE"))</f>
        <v/>
      </c>
      <c r="H707" s="8">
        <f>IF(B707="","",IFERROR(VLOOKUP(--B707,'CATALOGO CECO'!$A$2:$H$550,3,FALSE),""))</f>
        <v/>
      </c>
      <c r="I707" s="8">
        <f>IF(B707="","",IFERROR(VLOOKUP(--B707,'CATALOGO CECO'!$A$2:$H$550,5,FALSE),""))</f>
        <v/>
      </c>
      <c r="J707" s="8">
        <f>IF(B707="","",IFERROR(VLOOKUP(--B707,'CATALOGO CECO'!$A$2:$H$550,8,FALSE),""))</f>
        <v/>
      </c>
      <c r="K707" s="8">
        <f>IF(COUNTA(A707:F707)=0,"",IF(OR(LEN(A707)&lt;&gt;7,MID(A707,5,1)&lt;&gt;"-",ISERROR(--LEFT(A707,4)),ISERROR(--RIGHT(A707,2))),"ERROR: PERIODO debe ser AAAA-MM",IF(B707="","ERROR: falta CODIGO CECO",IF(G707="CECO NO EXISTE","ERROR: CECO no existe en el catálogo",IF(C707="","ERROR: falta CUENTA",IF(ISERROR(--C707),"ERROR: CUENTA debe tener solo dígitos",IF(ISERROR(FIND(LEFT(C707,1),"567")),"ERROR: CUENTA fuera de las clases de costo",IF(NOT(ISNUMBER(E707)),"ERROR: VALOR debe ser numérico",IF(E707=0,"AVISO: valor cero (no se carga)",IF(J707&lt;&gt;"ACTIVO","NO SE CARGA: CECO en estado "&amp;J707,"OK"))))))))))</f>
        <v/>
      </c>
    </row>
    <row r="708">
      <c r="A708" s="5" t="n"/>
      <c r="B708" s="6" t="n"/>
      <c r="C708" s="5" t="n"/>
      <c r="D708" s="6" t="n"/>
      <c r="E708" s="7" t="n"/>
      <c r="F708" s="6" t="n"/>
      <c r="G708" s="8">
        <f>IF(B708="","",IFERROR(VLOOKUP(--B708,'CATALOGO CECO'!$A$2:$H$550,2,FALSE),"CECO NO EXISTE"))</f>
        <v/>
      </c>
      <c r="H708" s="8">
        <f>IF(B708="","",IFERROR(VLOOKUP(--B708,'CATALOGO CECO'!$A$2:$H$550,3,FALSE),""))</f>
        <v/>
      </c>
      <c r="I708" s="8">
        <f>IF(B708="","",IFERROR(VLOOKUP(--B708,'CATALOGO CECO'!$A$2:$H$550,5,FALSE),""))</f>
        <v/>
      </c>
      <c r="J708" s="8">
        <f>IF(B708="","",IFERROR(VLOOKUP(--B708,'CATALOGO CECO'!$A$2:$H$550,8,FALSE),""))</f>
        <v/>
      </c>
      <c r="K708" s="8">
        <f>IF(COUNTA(A708:F708)=0,"",IF(OR(LEN(A708)&lt;&gt;7,MID(A708,5,1)&lt;&gt;"-",ISERROR(--LEFT(A708,4)),ISERROR(--RIGHT(A708,2))),"ERROR: PERIODO debe ser AAAA-MM",IF(B708="","ERROR: falta CODIGO CECO",IF(G708="CECO NO EXISTE","ERROR: CECO no existe en el catálogo",IF(C708="","ERROR: falta CUENTA",IF(ISERROR(--C708),"ERROR: CUENTA debe tener solo dígitos",IF(ISERROR(FIND(LEFT(C708,1),"567")),"ERROR: CUENTA fuera de las clases de costo",IF(NOT(ISNUMBER(E708)),"ERROR: VALOR debe ser numérico",IF(E708=0,"AVISO: valor cero (no se carga)",IF(J708&lt;&gt;"ACTIVO","NO SE CARGA: CECO en estado "&amp;J708,"OK"))))))))))</f>
        <v/>
      </c>
    </row>
    <row r="709">
      <c r="A709" s="5" t="n"/>
      <c r="B709" s="6" t="n"/>
      <c r="C709" s="5" t="n"/>
      <c r="D709" s="6" t="n"/>
      <c r="E709" s="7" t="n"/>
      <c r="F709" s="6" t="n"/>
      <c r="G709" s="8">
        <f>IF(B709="","",IFERROR(VLOOKUP(--B709,'CATALOGO CECO'!$A$2:$H$550,2,FALSE),"CECO NO EXISTE"))</f>
        <v/>
      </c>
      <c r="H709" s="8">
        <f>IF(B709="","",IFERROR(VLOOKUP(--B709,'CATALOGO CECO'!$A$2:$H$550,3,FALSE),""))</f>
        <v/>
      </c>
      <c r="I709" s="8">
        <f>IF(B709="","",IFERROR(VLOOKUP(--B709,'CATALOGO CECO'!$A$2:$H$550,5,FALSE),""))</f>
        <v/>
      </c>
      <c r="J709" s="8">
        <f>IF(B709="","",IFERROR(VLOOKUP(--B709,'CATALOGO CECO'!$A$2:$H$550,8,FALSE),""))</f>
        <v/>
      </c>
      <c r="K709" s="8">
        <f>IF(COUNTA(A709:F709)=0,"",IF(OR(LEN(A709)&lt;&gt;7,MID(A709,5,1)&lt;&gt;"-",ISERROR(--LEFT(A709,4)),ISERROR(--RIGHT(A709,2))),"ERROR: PERIODO debe ser AAAA-MM",IF(B709="","ERROR: falta CODIGO CECO",IF(G709="CECO NO EXISTE","ERROR: CECO no existe en el catálogo",IF(C709="","ERROR: falta CUENTA",IF(ISERROR(--C709),"ERROR: CUENTA debe tener solo dígitos",IF(ISERROR(FIND(LEFT(C709,1),"567")),"ERROR: CUENTA fuera de las clases de costo",IF(NOT(ISNUMBER(E709)),"ERROR: VALOR debe ser numérico",IF(E709=0,"AVISO: valor cero (no se carga)",IF(J709&lt;&gt;"ACTIVO","NO SE CARGA: CECO en estado "&amp;J709,"OK"))))))))))</f>
        <v/>
      </c>
    </row>
    <row r="710">
      <c r="A710" s="5" t="n"/>
      <c r="B710" s="6" t="n"/>
      <c r="C710" s="5" t="n"/>
      <c r="D710" s="6" t="n"/>
      <c r="E710" s="7" t="n"/>
      <c r="F710" s="6" t="n"/>
      <c r="G710" s="8">
        <f>IF(B710="","",IFERROR(VLOOKUP(--B710,'CATALOGO CECO'!$A$2:$H$550,2,FALSE),"CECO NO EXISTE"))</f>
        <v/>
      </c>
      <c r="H710" s="8">
        <f>IF(B710="","",IFERROR(VLOOKUP(--B710,'CATALOGO CECO'!$A$2:$H$550,3,FALSE),""))</f>
        <v/>
      </c>
      <c r="I710" s="8">
        <f>IF(B710="","",IFERROR(VLOOKUP(--B710,'CATALOGO CECO'!$A$2:$H$550,5,FALSE),""))</f>
        <v/>
      </c>
      <c r="J710" s="8">
        <f>IF(B710="","",IFERROR(VLOOKUP(--B710,'CATALOGO CECO'!$A$2:$H$550,8,FALSE),""))</f>
        <v/>
      </c>
      <c r="K710" s="8">
        <f>IF(COUNTA(A710:F710)=0,"",IF(OR(LEN(A710)&lt;&gt;7,MID(A710,5,1)&lt;&gt;"-",ISERROR(--LEFT(A710,4)),ISERROR(--RIGHT(A710,2))),"ERROR: PERIODO debe ser AAAA-MM",IF(B710="","ERROR: falta CODIGO CECO",IF(G710="CECO NO EXISTE","ERROR: CECO no existe en el catálogo",IF(C710="","ERROR: falta CUENTA",IF(ISERROR(--C710),"ERROR: CUENTA debe tener solo dígitos",IF(ISERROR(FIND(LEFT(C710,1),"567")),"ERROR: CUENTA fuera de las clases de costo",IF(NOT(ISNUMBER(E710)),"ERROR: VALOR debe ser numérico",IF(E710=0,"AVISO: valor cero (no se carga)",IF(J710&lt;&gt;"ACTIVO","NO SE CARGA: CECO en estado "&amp;J710,"OK"))))))))))</f>
        <v/>
      </c>
    </row>
    <row r="711">
      <c r="A711" s="5" t="n"/>
      <c r="B711" s="6" t="n"/>
      <c r="C711" s="5" t="n"/>
      <c r="D711" s="6" t="n"/>
      <c r="E711" s="7" t="n"/>
      <c r="F711" s="6" t="n"/>
      <c r="G711" s="8">
        <f>IF(B711="","",IFERROR(VLOOKUP(--B711,'CATALOGO CECO'!$A$2:$H$550,2,FALSE),"CECO NO EXISTE"))</f>
        <v/>
      </c>
      <c r="H711" s="8">
        <f>IF(B711="","",IFERROR(VLOOKUP(--B711,'CATALOGO CECO'!$A$2:$H$550,3,FALSE),""))</f>
        <v/>
      </c>
      <c r="I711" s="8">
        <f>IF(B711="","",IFERROR(VLOOKUP(--B711,'CATALOGO CECO'!$A$2:$H$550,5,FALSE),""))</f>
        <v/>
      </c>
      <c r="J711" s="8">
        <f>IF(B711="","",IFERROR(VLOOKUP(--B711,'CATALOGO CECO'!$A$2:$H$550,8,FALSE),""))</f>
        <v/>
      </c>
      <c r="K711" s="8">
        <f>IF(COUNTA(A711:F711)=0,"",IF(OR(LEN(A711)&lt;&gt;7,MID(A711,5,1)&lt;&gt;"-",ISERROR(--LEFT(A711,4)),ISERROR(--RIGHT(A711,2))),"ERROR: PERIODO debe ser AAAA-MM",IF(B711="","ERROR: falta CODIGO CECO",IF(G711="CECO NO EXISTE","ERROR: CECO no existe en el catálogo",IF(C711="","ERROR: falta CUENTA",IF(ISERROR(--C711),"ERROR: CUENTA debe tener solo dígitos",IF(ISERROR(FIND(LEFT(C711,1),"567")),"ERROR: CUENTA fuera de las clases de costo",IF(NOT(ISNUMBER(E711)),"ERROR: VALOR debe ser numérico",IF(E711=0,"AVISO: valor cero (no se carga)",IF(J711&lt;&gt;"ACTIVO","NO SE CARGA: CECO en estado "&amp;J711,"OK"))))))))))</f>
        <v/>
      </c>
    </row>
    <row r="712">
      <c r="A712" s="5" t="n"/>
      <c r="B712" s="6" t="n"/>
      <c r="C712" s="5" t="n"/>
      <c r="D712" s="6" t="n"/>
      <c r="E712" s="7" t="n"/>
      <c r="F712" s="6" t="n"/>
      <c r="G712" s="8">
        <f>IF(B712="","",IFERROR(VLOOKUP(--B712,'CATALOGO CECO'!$A$2:$H$550,2,FALSE),"CECO NO EXISTE"))</f>
        <v/>
      </c>
      <c r="H712" s="8">
        <f>IF(B712="","",IFERROR(VLOOKUP(--B712,'CATALOGO CECO'!$A$2:$H$550,3,FALSE),""))</f>
        <v/>
      </c>
      <c r="I712" s="8">
        <f>IF(B712="","",IFERROR(VLOOKUP(--B712,'CATALOGO CECO'!$A$2:$H$550,5,FALSE),""))</f>
        <v/>
      </c>
      <c r="J712" s="8">
        <f>IF(B712="","",IFERROR(VLOOKUP(--B712,'CATALOGO CECO'!$A$2:$H$550,8,FALSE),""))</f>
        <v/>
      </c>
      <c r="K712" s="8">
        <f>IF(COUNTA(A712:F712)=0,"",IF(OR(LEN(A712)&lt;&gt;7,MID(A712,5,1)&lt;&gt;"-",ISERROR(--LEFT(A712,4)),ISERROR(--RIGHT(A712,2))),"ERROR: PERIODO debe ser AAAA-MM",IF(B712="","ERROR: falta CODIGO CECO",IF(G712="CECO NO EXISTE","ERROR: CECO no existe en el catálogo",IF(C712="","ERROR: falta CUENTA",IF(ISERROR(--C712),"ERROR: CUENTA debe tener solo dígitos",IF(ISERROR(FIND(LEFT(C712,1),"567")),"ERROR: CUENTA fuera de las clases de costo",IF(NOT(ISNUMBER(E712)),"ERROR: VALOR debe ser numérico",IF(E712=0,"AVISO: valor cero (no se carga)",IF(J712&lt;&gt;"ACTIVO","NO SE CARGA: CECO en estado "&amp;J712,"OK"))))))))))</f>
        <v/>
      </c>
    </row>
    <row r="713">
      <c r="A713" s="5" t="n"/>
      <c r="B713" s="6" t="n"/>
      <c r="C713" s="5" t="n"/>
      <c r="D713" s="6" t="n"/>
      <c r="E713" s="7" t="n"/>
      <c r="F713" s="6" t="n"/>
      <c r="G713" s="8">
        <f>IF(B713="","",IFERROR(VLOOKUP(--B713,'CATALOGO CECO'!$A$2:$H$550,2,FALSE),"CECO NO EXISTE"))</f>
        <v/>
      </c>
      <c r="H713" s="8">
        <f>IF(B713="","",IFERROR(VLOOKUP(--B713,'CATALOGO CECO'!$A$2:$H$550,3,FALSE),""))</f>
        <v/>
      </c>
      <c r="I713" s="8">
        <f>IF(B713="","",IFERROR(VLOOKUP(--B713,'CATALOGO CECO'!$A$2:$H$550,5,FALSE),""))</f>
        <v/>
      </c>
      <c r="J713" s="8">
        <f>IF(B713="","",IFERROR(VLOOKUP(--B713,'CATALOGO CECO'!$A$2:$H$550,8,FALSE),""))</f>
        <v/>
      </c>
      <c r="K713" s="8">
        <f>IF(COUNTA(A713:F713)=0,"",IF(OR(LEN(A713)&lt;&gt;7,MID(A713,5,1)&lt;&gt;"-",ISERROR(--LEFT(A713,4)),ISERROR(--RIGHT(A713,2))),"ERROR: PERIODO debe ser AAAA-MM",IF(B713="","ERROR: falta CODIGO CECO",IF(G713="CECO NO EXISTE","ERROR: CECO no existe en el catálogo",IF(C713="","ERROR: falta CUENTA",IF(ISERROR(--C713),"ERROR: CUENTA debe tener solo dígitos",IF(ISERROR(FIND(LEFT(C713,1),"567")),"ERROR: CUENTA fuera de las clases de costo",IF(NOT(ISNUMBER(E713)),"ERROR: VALOR debe ser numérico",IF(E713=0,"AVISO: valor cero (no se carga)",IF(J713&lt;&gt;"ACTIVO","NO SE CARGA: CECO en estado "&amp;J713,"OK"))))))))))</f>
        <v/>
      </c>
    </row>
    <row r="714">
      <c r="A714" s="5" t="n"/>
      <c r="B714" s="6" t="n"/>
      <c r="C714" s="5" t="n"/>
      <c r="D714" s="6" t="n"/>
      <c r="E714" s="7" t="n"/>
      <c r="F714" s="6" t="n"/>
      <c r="G714" s="8">
        <f>IF(B714="","",IFERROR(VLOOKUP(--B714,'CATALOGO CECO'!$A$2:$H$550,2,FALSE),"CECO NO EXISTE"))</f>
        <v/>
      </c>
      <c r="H714" s="8">
        <f>IF(B714="","",IFERROR(VLOOKUP(--B714,'CATALOGO CECO'!$A$2:$H$550,3,FALSE),""))</f>
        <v/>
      </c>
      <c r="I714" s="8">
        <f>IF(B714="","",IFERROR(VLOOKUP(--B714,'CATALOGO CECO'!$A$2:$H$550,5,FALSE),""))</f>
        <v/>
      </c>
      <c r="J714" s="8">
        <f>IF(B714="","",IFERROR(VLOOKUP(--B714,'CATALOGO CECO'!$A$2:$H$550,8,FALSE),""))</f>
        <v/>
      </c>
      <c r="K714" s="8">
        <f>IF(COUNTA(A714:F714)=0,"",IF(OR(LEN(A714)&lt;&gt;7,MID(A714,5,1)&lt;&gt;"-",ISERROR(--LEFT(A714,4)),ISERROR(--RIGHT(A714,2))),"ERROR: PERIODO debe ser AAAA-MM",IF(B714="","ERROR: falta CODIGO CECO",IF(G714="CECO NO EXISTE","ERROR: CECO no existe en el catálogo",IF(C714="","ERROR: falta CUENTA",IF(ISERROR(--C714),"ERROR: CUENTA debe tener solo dígitos",IF(ISERROR(FIND(LEFT(C714,1),"567")),"ERROR: CUENTA fuera de las clases de costo",IF(NOT(ISNUMBER(E714)),"ERROR: VALOR debe ser numérico",IF(E714=0,"AVISO: valor cero (no se carga)",IF(J714&lt;&gt;"ACTIVO","NO SE CARGA: CECO en estado "&amp;J714,"OK"))))))))))</f>
        <v/>
      </c>
    </row>
    <row r="715">
      <c r="A715" s="5" t="n"/>
      <c r="B715" s="6" t="n"/>
      <c r="C715" s="5" t="n"/>
      <c r="D715" s="6" t="n"/>
      <c r="E715" s="7" t="n"/>
      <c r="F715" s="6" t="n"/>
      <c r="G715" s="8">
        <f>IF(B715="","",IFERROR(VLOOKUP(--B715,'CATALOGO CECO'!$A$2:$H$550,2,FALSE),"CECO NO EXISTE"))</f>
        <v/>
      </c>
      <c r="H715" s="8">
        <f>IF(B715="","",IFERROR(VLOOKUP(--B715,'CATALOGO CECO'!$A$2:$H$550,3,FALSE),""))</f>
        <v/>
      </c>
      <c r="I715" s="8">
        <f>IF(B715="","",IFERROR(VLOOKUP(--B715,'CATALOGO CECO'!$A$2:$H$550,5,FALSE),""))</f>
        <v/>
      </c>
      <c r="J715" s="8">
        <f>IF(B715="","",IFERROR(VLOOKUP(--B715,'CATALOGO CECO'!$A$2:$H$550,8,FALSE),""))</f>
        <v/>
      </c>
      <c r="K715" s="8">
        <f>IF(COUNTA(A715:F715)=0,"",IF(OR(LEN(A715)&lt;&gt;7,MID(A715,5,1)&lt;&gt;"-",ISERROR(--LEFT(A715,4)),ISERROR(--RIGHT(A715,2))),"ERROR: PERIODO debe ser AAAA-MM",IF(B715="","ERROR: falta CODIGO CECO",IF(G715="CECO NO EXISTE","ERROR: CECO no existe en el catálogo",IF(C715="","ERROR: falta CUENTA",IF(ISERROR(--C715),"ERROR: CUENTA debe tener solo dígitos",IF(ISERROR(FIND(LEFT(C715,1),"567")),"ERROR: CUENTA fuera de las clases de costo",IF(NOT(ISNUMBER(E715)),"ERROR: VALOR debe ser numérico",IF(E715=0,"AVISO: valor cero (no se carga)",IF(J715&lt;&gt;"ACTIVO","NO SE CARGA: CECO en estado "&amp;J715,"OK"))))))))))</f>
        <v/>
      </c>
    </row>
    <row r="716">
      <c r="A716" s="5" t="n"/>
      <c r="B716" s="6" t="n"/>
      <c r="C716" s="5" t="n"/>
      <c r="D716" s="6" t="n"/>
      <c r="E716" s="7" t="n"/>
      <c r="F716" s="6" t="n"/>
      <c r="G716" s="8">
        <f>IF(B716="","",IFERROR(VLOOKUP(--B716,'CATALOGO CECO'!$A$2:$H$550,2,FALSE),"CECO NO EXISTE"))</f>
        <v/>
      </c>
      <c r="H716" s="8">
        <f>IF(B716="","",IFERROR(VLOOKUP(--B716,'CATALOGO CECO'!$A$2:$H$550,3,FALSE),""))</f>
        <v/>
      </c>
      <c r="I716" s="8">
        <f>IF(B716="","",IFERROR(VLOOKUP(--B716,'CATALOGO CECO'!$A$2:$H$550,5,FALSE),""))</f>
        <v/>
      </c>
      <c r="J716" s="8">
        <f>IF(B716="","",IFERROR(VLOOKUP(--B716,'CATALOGO CECO'!$A$2:$H$550,8,FALSE),""))</f>
        <v/>
      </c>
      <c r="K716" s="8">
        <f>IF(COUNTA(A716:F716)=0,"",IF(OR(LEN(A716)&lt;&gt;7,MID(A716,5,1)&lt;&gt;"-",ISERROR(--LEFT(A716,4)),ISERROR(--RIGHT(A716,2))),"ERROR: PERIODO debe ser AAAA-MM",IF(B716="","ERROR: falta CODIGO CECO",IF(G716="CECO NO EXISTE","ERROR: CECO no existe en el catálogo",IF(C716="","ERROR: falta CUENTA",IF(ISERROR(--C716),"ERROR: CUENTA debe tener solo dígitos",IF(ISERROR(FIND(LEFT(C716,1),"567")),"ERROR: CUENTA fuera de las clases de costo",IF(NOT(ISNUMBER(E716)),"ERROR: VALOR debe ser numérico",IF(E716=0,"AVISO: valor cero (no se carga)",IF(J716&lt;&gt;"ACTIVO","NO SE CARGA: CECO en estado "&amp;J716,"OK"))))))))))</f>
        <v/>
      </c>
    </row>
    <row r="717">
      <c r="A717" s="5" t="n"/>
      <c r="B717" s="6" t="n"/>
      <c r="C717" s="5" t="n"/>
      <c r="D717" s="6" t="n"/>
      <c r="E717" s="7" t="n"/>
      <c r="F717" s="6" t="n"/>
      <c r="G717" s="8">
        <f>IF(B717="","",IFERROR(VLOOKUP(--B717,'CATALOGO CECO'!$A$2:$H$550,2,FALSE),"CECO NO EXISTE"))</f>
        <v/>
      </c>
      <c r="H717" s="8">
        <f>IF(B717="","",IFERROR(VLOOKUP(--B717,'CATALOGO CECO'!$A$2:$H$550,3,FALSE),""))</f>
        <v/>
      </c>
      <c r="I717" s="8">
        <f>IF(B717="","",IFERROR(VLOOKUP(--B717,'CATALOGO CECO'!$A$2:$H$550,5,FALSE),""))</f>
        <v/>
      </c>
      <c r="J717" s="8">
        <f>IF(B717="","",IFERROR(VLOOKUP(--B717,'CATALOGO CECO'!$A$2:$H$550,8,FALSE),""))</f>
        <v/>
      </c>
      <c r="K717" s="8">
        <f>IF(COUNTA(A717:F717)=0,"",IF(OR(LEN(A717)&lt;&gt;7,MID(A717,5,1)&lt;&gt;"-",ISERROR(--LEFT(A717,4)),ISERROR(--RIGHT(A717,2))),"ERROR: PERIODO debe ser AAAA-MM",IF(B717="","ERROR: falta CODIGO CECO",IF(G717="CECO NO EXISTE","ERROR: CECO no existe en el catálogo",IF(C717="","ERROR: falta CUENTA",IF(ISERROR(--C717),"ERROR: CUENTA debe tener solo dígitos",IF(ISERROR(FIND(LEFT(C717,1),"567")),"ERROR: CUENTA fuera de las clases de costo",IF(NOT(ISNUMBER(E717)),"ERROR: VALOR debe ser numérico",IF(E717=0,"AVISO: valor cero (no se carga)",IF(J717&lt;&gt;"ACTIVO","NO SE CARGA: CECO en estado "&amp;J717,"OK"))))))))))</f>
        <v/>
      </c>
    </row>
    <row r="718">
      <c r="A718" s="5" t="n"/>
      <c r="B718" s="6" t="n"/>
      <c r="C718" s="5" t="n"/>
      <c r="D718" s="6" t="n"/>
      <c r="E718" s="7" t="n"/>
      <c r="F718" s="6" t="n"/>
      <c r="G718" s="8">
        <f>IF(B718="","",IFERROR(VLOOKUP(--B718,'CATALOGO CECO'!$A$2:$H$550,2,FALSE),"CECO NO EXISTE"))</f>
        <v/>
      </c>
      <c r="H718" s="8">
        <f>IF(B718="","",IFERROR(VLOOKUP(--B718,'CATALOGO CECO'!$A$2:$H$550,3,FALSE),""))</f>
        <v/>
      </c>
      <c r="I718" s="8">
        <f>IF(B718="","",IFERROR(VLOOKUP(--B718,'CATALOGO CECO'!$A$2:$H$550,5,FALSE),""))</f>
        <v/>
      </c>
      <c r="J718" s="8">
        <f>IF(B718="","",IFERROR(VLOOKUP(--B718,'CATALOGO CECO'!$A$2:$H$550,8,FALSE),""))</f>
        <v/>
      </c>
      <c r="K718" s="8">
        <f>IF(COUNTA(A718:F718)=0,"",IF(OR(LEN(A718)&lt;&gt;7,MID(A718,5,1)&lt;&gt;"-",ISERROR(--LEFT(A718,4)),ISERROR(--RIGHT(A718,2))),"ERROR: PERIODO debe ser AAAA-MM",IF(B718="","ERROR: falta CODIGO CECO",IF(G718="CECO NO EXISTE","ERROR: CECO no existe en el catálogo",IF(C718="","ERROR: falta CUENTA",IF(ISERROR(--C718),"ERROR: CUENTA debe tener solo dígitos",IF(ISERROR(FIND(LEFT(C718,1),"567")),"ERROR: CUENTA fuera de las clases de costo",IF(NOT(ISNUMBER(E718)),"ERROR: VALOR debe ser numérico",IF(E718=0,"AVISO: valor cero (no se carga)",IF(J718&lt;&gt;"ACTIVO","NO SE CARGA: CECO en estado "&amp;J718,"OK"))))))))))</f>
        <v/>
      </c>
    </row>
    <row r="719">
      <c r="A719" s="5" t="n"/>
      <c r="B719" s="6" t="n"/>
      <c r="C719" s="5" t="n"/>
      <c r="D719" s="6" t="n"/>
      <c r="E719" s="7" t="n"/>
      <c r="F719" s="6" t="n"/>
      <c r="G719" s="8">
        <f>IF(B719="","",IFERROR(VLOOKUP(--B719,'CATALOGO CECO'!$A$2:$H$550,2,FALSE),"CECO NO EXISTE"))</f>
        <v/>
      </c>
      <c r="H719" s="8">
        <f>IF(B719="","",IFERROR(VLOOKUP(--B719,'CATALOGO CECO'!$A$2:$H$550,3,FALSE),""))</f>
        <v/>
      </c>
      <c r="I719" s="8">
        <f>IF(B719="","",IFERROR(VLOOKUP(--B719,'CATALOGO CECO'!$A$2:$H$550,5,FALSE),""))</f>
        <v/>
      </c>
      <c r="J719" s="8">
        <f>IF(B719="","",IFERROR(VLOOKUP(--B719,'CATALOGO CECO'!$A$2:$H$550,8,FALSE),""))</f>
        <v/>
      </c>
      <c r="K719" s="8">
        <f>IF(COUNTA(A719:F719)=0,"",IF(OR(LEN(A719)&lt;&gt;7,MID(A719,5,1)&lt;&gt;"-",ISERROR(--LEFT(A719,4)),ISERROR(--RIGHT(A719,2))),"ERROR: PERIODO debe ser AAAA-MM",IF(B719="","ERROR: falta CODIGO CECO",IF(G719="CECO NO EXISTE","ERROR: CECO no existe en el catálogo",IF(C719="","ERROR: falta CUENTA",IF(ISERROR(--C719),"ERROR: CUENTA debe tener solo dígitos",IF(ISERROR(FIND(LEFT(C719,1),"567")),"ERROR: CUENTA fuera de las clases de costo",IF(NOT(ISNUMBER(E719)),"ERROR: VALOR debe ser numérico",IF(E719=0,"AVISO: valor cero (no se carga)",IF(J719&lt;&gt;"ACTIVO","NO SE CARGA: CECO en estado "&amp;J719,"OK"))))))))))</f>
        <v/>
      </c>
    </row>
    <row r="720">
      <c r="A720" s="5" t="n"/>
      <c r="B720" s="6" t="n"/>
      <c r="C720" s="5" t="n"/>
      <c r="D720" s="6" t="n"/>
      <c r="E720" s="7" t="n"/>
      <c r="F720" s="6" t="n"/>
      <c r="G720" s="8">
        <f>IF(B720="","",IFERROR(VLOOKUP(--B720,'CATALOGO CECO'!$A$2:$H$550,2,FALSE),"CECO NO EXISTE"))</f>
        <v/>
      </c>
      <c r="H720" s="8">
        <f>IF(B720="","",IFERROR(VLOOKUP(--B720,'CATALOGO CECO'!$A$2:$H$550,3,FALSE),""))</f>
        <v/>
      </c>
      <c r="I720" s="8">
        <f>IF(B720="","",IFERROR(VLOOKUP(--B720,'CATALOGO CECO'!$A$2:$H$550,5,FALSE),""))</f>
        <v/>
      </c>
      <c r="J720" s="8">
        <f>IF(B720="","",IFERROR(VLOOKUP(--B720,'CATALOGO CECO'!$A$2:$H$550,8,FALSE),""))</f>
        <v/>
      </c>
      <c r="K720" s="8">
        <f>IF(COUNTA(A720:F720)=0,"",IF(OR(LEN(A720)&lt;&gt;7,MID(A720,5,1)&lt;&gt;"-",ISERROR(--LEFT(A720,4)),ISERROR(--RIGHT(A720,2))),"ERROR: PERIODO debe ser AAAA-MM",IF(B720="","ERROR: falta CODIGO CECO",IF(G720="CECO NO EXISTE","ERROR: CECO no existe en el catálogo",IF(C720="","ERROR: falta CUENTA",IF(ISERROR(--C720),"ERROR: CUENTA debe tener solo dígitos",IF(ISERROR(FIND(LEFT(C720,1),"567")),"ERROR: CUENTA fuera de las clases de costo",IF(NOT(ISNUMBER(E720)),"ERROR: VALOR debe ser numérico",IF(E720=0,"AVISO: valor cero (no se carga)",IF(J720&lt;&gt;"ACTIVO","NO SE CARGA: CECO en estado "&amp;J720,"OK"))))))))))</f>
        <v/>
      </c>
    </row>
    <row r="721">
      <c r="A721" s="5" t="n"/>
      <c r="B721" s="6" t="n"/>
      <c r="C721" s="5" t="n"/>
      <c r="D721" s="6" t="n"/>
      <c r="E721" s="7" t="n"/>
      <c r="F721" s="6" t="n"/>
      <c r="G721" s="8">
        <f>IF(B721="","",IFERROR(VLOOKUP(--B721,'CATALOGO CECO'!$A$2:$H$550,2,FALSE),"CECO NO EXISTE"))</f>
        <v/>
      </c>
      <c r="H721" s="8">
        <f>IF(B721="","",IFERROR(VLOOKUP(--B721,'CATALOGO CECO'!$A$2:$H$550,3,FALSE),""))</f>
        <v/>
      </c>
      <c r="I721" s="8">
        <f>IF(B721="","",IFERROR(VLOOKUP(--B721,'CATALOGO CECO'!$A$2:$H$550,5,FALSE),""))</f>
        <v/>
      </c>
      <c r="J721" s="8">
        <f>IF(B721="","",IFERROR(VLOOKUP(--B721,'CATALOGO CECO'!$A$2:$H$550,8,FALSE),""))</f>
        <v/>
      </c>
      <c r="K721" s="8">
        <f>IF(COUNTA(A721:F721)=0,"",IF(OR(LEN(A721)&lt;&gt;7,MID(A721,5,1)&lt;&gt;"-",ISERROR(--LEFT(A721,4)),ISERROR(--RIGHT(A721,2))),"ERROR: PERIODO debe ser AAAA-MM",IF(B721="","ERROR: falta CODIGO CECO",IF(G721="CECO NO EXISTE","ERROR: CECO no existe en el catálogo",IF(C721="","ERROR: falta CUENTA",IF(ISERROR(--C721),"ERROR: CUENTA debe tener solo dígitos",IF(ISERROR(FIND(LEFT(C721,1),"567")),"ERROR: CUENTA fuera de las clases de costo",IF(NOT(ISNUMBER(E721)),"ERROR: VALOR debe ser numérico",IF(E721=0,"AVISO: valor cero (no se carga)",IF(J721&lt;&gt;"ACTIVO","NO SE CARGA: CECO en estado "&amp;J721,"OK"))))))))))</f>
        <v/>
      </c>
    </row>
    <row r="722">
      <c r="A722" s="5" t="n"/>
      <c r="B722" s="6" t="n"/>
      <c r="C722" s="5" t="n"/>
      <c r="D722" s="6" t="n"/>
      <c r="E722" s="7" t="n"/>
      <c r="F722" s="6" t="n"/>
      <c r="G722" s="8">
        <f>IF(B722="","",IFERROR(VLOOKUP(--B722,'CATALOGO CECO'!$A$2:$H$550,2,FALSE),"CECO NO EXISTE"))</f>
        <v/>
      </c>
      <c r="H722" s="8">
        <f>IF(B722="","",IFERROR(VLOOKUP(--B722,'CATALOGO CECO'!$A$2:$H$550,3,FALSE),""))</f>
        <v/>
      </c>
      <c r="I722" s="8">
        <f>IF(B722="","",IFERROR(VLOOKUP(--B722,'CATALOGO CECO'!$A$2:$H$550,5,FALSE),""))</f>
        <v/>
      </c>
      <c r="J722" s="8">
        <f>IF(B722="","",IFERROR(VLOOKUP(--B722,'CATALOGO CECO'!$A$2:$H$550,8,FALSE),""))</f>
        <v/>
      </c>
      <c r="K722" s="8">
        <f>IF(COUNTA(A722:F722)=0,"",IF(OR(LEN(A722)&lt;&gt;7,MID(A722,5,1)&lt;&gt;"-",ISERROR(--LEFT(A722,4)),ISERROR(--RIGHT(A722,2))),"ERROR: PERIODO debe ser AAAA-MM",IF(B722="","ERROR: falta CODIGO CECO",IF(G722="CECO NO EXISTE","ERROR: CECO no existe en el catálogo",IF(C722="","ERROR: falta CUENTA",IF(ISERROR(--C722),"ERROR: CUENTA debe tener solo dígitos",IF(ISERROR(FIND(LEFT(C722,1),"567")),"ERROR: CUENTA fuera de las clases de costo",IF(NOT(ISNUMBER(E722)),"ERROR: VALOR debe ser numérico",IF(E722=0,"AVISO: valor cero (no se carga)",IF(J722&lt;&gt;"ACTIVO","NO SE CARGA: CECO en estado "&amp;J722,"OK"))))))))))</f>
        <v/>
      </c>
    </row>
    <row r="723">
      <c r="A723" s="5" t="n"/>
      <c r="B723" s="6" t="n"/>
      <c r="C723" s="5" t="n"/>
      <c r="D723" s="6" t="n"/>
      <c r="E723" s="7" t="n"/>
      <c r="F723" s="6" t="n"/>
      <c r="G723" s="8">
        <f>IF(B723="","",IFERROR(VLOOKUP(--B723,'CATALOGO CECO'!$A$2:$H$550,2,FALSE),"CECO NO EXISTE"))</f>
        <v/>
      </c>
      <c r="H723" s="8">
        <f>IF(B723="","",IFERROR(VLOOKUP(--B723,'CATALOGO CECO'!$A$2:$H$550,3,FALSE),""))</f>
        <v/>
      </c>
      <c r="I723" s="8">
        <f>IF(B723="","",IFERROR(VLOOKUP(--B723,'CATALOGO CECO'!$A$2:$H$550,5,FALSE),""))</f>
        <v/>
      </c>
      <c r="J723" s="8">
        <f>IF(B723="","",IFERROR(VLOOKUP(--B723,'CATALOGO CECO'!$A$2:$H$550,8,FALSE),""))</f>
        <v/>
      </c>
      <c r="K723" s="8">
        <f>IF(COUNTA(A723:F723)=0,"",IF(OR(LEN(A723)&lt;&gt;7,MID(A723,5,1)&lt;&gt;"-",ISERROR(--LEFT(A723,4)),ISERROR(--RIGHT(A723,2))),"ERROR: PERIODO debe ser AAAA-MM",IF(B723="","ERROR: falta CODIGO CECO",IF(G723="CECO NO EXISTE","ERROR: CECO no existe en el catálogo",IF(C723="","ERROR: falta CUENTA",IF(ISERROR(--C723),"ERROR: CUENTA debe tener solo dígitos",IF(ISERROR(FIND(LEFT(C723,1),"567")),"ERROR: CUENTA fuera de las clases de costo",IF(NOT(ISNUMBER(E723)),"ERROR: VALOR debe ser numérico",IF(E723=0,"AVISO: valor cero (no se carga)",IF(J723&lt;&gt;"ACTIVO","NO SE CARGA: CECO en estado "&amp;J723,"OK"))))))))))</f>
        <v/>
      </c>
    </row>
    <row r="724">
      <c r="A724" s="5" t="n"/>
      <c r="B724" s="6" t="n"/>
      <c r="C724" s="5" t="n"/>
      <c r="D724" s="6" t="n"/>
      <c r="E724" s="7" t="n"/>
      <c r="F724" s="6" t="n"/>
      <c r="G724" s="8">
        <f>IF(B724="","",IFERROR(VLOOKUP(--B724,'CATALOGO CECO'!$A$2:$H$550,2,FALSE),"CECO NO EXISTE"))</f>
        <v/>
      </c>
      <c r="H724" s="8">
        <f>IF(B724="","",IFERROR(VLOOKUP(--B724,'CATALOGO CECO'!$A$2:$H$550,3,FALSE),""))</f>
        <v/>
      </c>
      <c r="I724" s="8">
        <f>IF(B724="","",IFERROR(VLOOKUP(--B724,'CATALOGO CECO'!$A$2:$H$550,5,FALSE),""))</f>
        <v/>
      </c>
      <c r="J724" s="8">
        <f>IF(B724="","",IFERROR(VLOOKUP(--B724,'CATALOGO CECO'!$A$2:$H$550,8,FALSE),""))</f>
        <v/>
      </c>
      <c r="K724" s="8">
        <f>IF(COUNTA(A724:F724)=0,"",IF(OR(LEN(A724)&lt;&gt;7,MID(A724,5,1)&lt;&gt;"-",ISERROR(--LEFT(A724,4)),ISERROR(--RIGHT(A724,2))),"ERROR: PERIODO debe ser AAAA-MM",IF(B724="","ERROR: falta CODIGO CECO",IF(G724="CECO NO EXISTE","ERROR: CECO no existe en el catálogo",IF(C724="","ERROR: falta CUENTA",IF(ISERROR(--C724),"ERROR: CUENTA debe tener solo dígitos",IF(ISERROR(FIND(LEFT(C724,1),"567")),"ERROR: CUENTA fuera de las clases de costo",IF(NOT(ISNUMBER(E724)),"ERROR: VALOR debe ser numérico",IF(E724=0,"AVISO: valor cero (no se carga)",IF(J724&lt;&gt;"ACTIVO","NO SE CARGA: CECO en estado "&amp;J724,"OK"))))))))))</f>
        <v/>
      </c>
    </row>
    <row r="725">
      <c r="A725" s="5" t="n"/>
      <c r="B725" s="6" t="n"/>
      <c r="C725" s="5" t="n"/>
      <c r="D725" s="6" t="n"/>
      <c r="E725" s="7" t="n"/>
      <c r="F725" s="6" t="n"/>
      <c r="G725" s="8">
        <f>IF(B725="","",IFERROR(VLOOKUP(--B725,'CATALOGO CECO'!$A$2:$H$550,2,FALSE),"CECO NO EXISTE"))</f>
        <v/>
      </c>
      <c r="H725" s="8">
        <f>IF(B725="","",IFERROR(VLOOKUP(--B725,'CATALOGO CECO'!$A$2:$H$550,3,FALSE),""))</f>
        <v/>
      </c>
      <c r="I725" s="8">
        <f>IF(B725="","",IFERROR(VLOOKUP(--B725,'CATALOGO CECO'!$A$2:$H$550,5,FALSE),""))</f>
        <v/>
      </c>
      <c r="J725" s="8">
        <f>IF(B725="","",IFERROR(VLOOKUP(--B725,'CATALOGO CECO'!$A$2:$H$550,8,FALSE),""))</f>
        <v/>
      </c>
      <c r="K725" s="8">
        <f>IF(COUNTA(A725:F725)=0,"",IF(OR(LEN(A725)&lt;&gt;7,MID(A725,5,1)&lt;&gt;"-",ISERROR(--LEFT(A725,4)),ISERROR(--RIGHT(A725,2))),"ERROR: PERIODO debe ser AAAA-MM",IF(B725="","ERROR: falta CODIGO CECO",IF(G725="CECO NO EXISTE","ERROR: CECO no existe en el catálogo",IF(C725="","ERROR: falta CUENTA",IF(ISERROR(--C725),"ERROR: CUENTA debe tener solo dígitos",IF(ISERROR(FIND(LEFT(C725,1),"567")),"ERROR: CUENTA fuera de las clases de costo",IF(NOT(ISNUMBER(E725)),"ERROR: VALOR debe ser numérico",IF(E725=0,"AVISO: valor cero (no se carga)",IF(J725&lt;&gt;"ACTIVO","NO SE CARGA: CECO en estado "&amp;J725,"OK"))))))))))</f>
        <v/>
      </c>
    </row>
    <row r="726">
      <c r="A726" s="5" t="n"/>
      <c r="B726" s="6" t="n"/>
      <c r="C726" s="5" t="n"/>
      <c r="D726" s="6" t="n"/>
      <c r="E726" s="7" t="n"/>
      <c r="F726" s="6" t="n"/>
      <c r="G726" s="8">
        <f>IF(B726="","",IFERROR(VLOOKUP(--B726,'CATALOGO CECO'!$A$2:$H$550,2,FALSE),"CECO NO EXISTE"))</f>
        <v/>
      </c>
      <c r="H726" s="8">
        <f>IF(B726="","",IFERROR(VLOOKUP(--B726,'CATALOGO CECO'!$A$2:$H$550,3,FALSE),""))</f>
        <v/>
      </c>
      <c r="I726" s="8">
        <f>IF(B726="","",IFERROR(VLOOKUP(--B726,'CATALOGO CECO'!$A$2:$H$550,5,FALSE),""))</f>
        <v/>
      </c>
      <c r="J726" s="8">
        <f>IF(B726="","",IFERROR(VLOOKUP(--B726,'CATALOGO CECO'!$A$2:$H$550,8,FALSE),""))</f>
        <v/>
      </c>
      <c r="K726" s="8">
        <f>IF(COUNTA(A726:F726)=0,"",IF(OR(LEN(A726)&lt;&gt;7,MID(A726,5,1)&lt;&gt;"-",ISERROR(--LEFT(A726,4)),ISERROR(--RIGHT(A726,2))),"ERROR: PERIODO debe ser AAAA-MM",IF(B726="","ERROR: falta CODIGO CECO",IF(G726="CECO NO EXISTE","ERROR: CECO no existe en el catálogo",IF(C726="","ERROR: falta CUENTA",IF(ISERROR(--C726),"ERROR: CUENTA debe tener solo dígitos",IF(ISERROR(FIND(LEFT(C726,1),"567")),"ERROR: CUENTA fuera de las clases de costo",IF(NOT(ISNUMBER(E726)),"ERROR: VALOR debe ser numérico",IF(E726=0,"AVISO: valor cero (no se carga)",IF(J726&lt;&gt;"ACTIVO","NO SE CARGA: CECO en estado "&amp;J726,"OK"))))))))))</f>
        <v/>
      </c>
    </row>
    <row r="727">
      <c r="A727" s="5" t="n"/>
      <c r="B727" s="6" t="n"/>
      <c r="C727" s="5" t="n"/>
      <c r="D727" s="6" t="n"/>
      <c r="E727" s="7" t="n"/>
      <c r="F727" s="6" t="n"/>
      <c r="G727" s="8">
        <f>IF(B727="","",IFERROR(VLOOKUP(--B727,'CATALOGO CECO'!$A$2:$H$550,2,FALSE),"CECO NO EXISTE"))</f>
        <v/>
      </c>
      <c r="H727" s="8">
        <f>IF(B727="","",IFERROR(VLOOKUP(--B727,'CATALOGO CECO'!$A$2:$H$550,3,FALSE),""))</f>
        <v/>
      </c>
      <c r="I727" s="8">
        <f>IF(B727="","",IFERROR(VLOOKUP(--B727,'CATALOGO CECO'!$A$2:$H$550,5,FALSE),""))</f>
        <v/>
      </c>
      <c r="J727" s="8">
        <f>IF(B727="","",IFERROR(VLOOKUP(--B727,'CATALOGO CECO'!$A$2:$H$550,8,FALSE),""))</f>
        <v/>
      </c>
      <c r="K727" s="8">
        <f>IF(COUNTA(A727:F727)=0,"",IF(OR(LEN(A727)&lt;&gt;7,MID(A727,5,1)&lt;&gt;"-",ISERROR(--LEFT(A727,4)),ISERROR(--RIGHT(A727,2))),"ERROR: PERIODO debe ser AAAA-MM",IF(B727="","ERROR: falta CODIGO CECO",IF(G727="CECO NO EXISTE","ERROR: CECO no existe en el catálogo",IF(C727="","ERROR: falta CUENTA",IF(ISERROR(--C727),"ERROR: CUENTA debe tener solo dígitos",IF(ISERROR(FIND(LEFT(C727,1),"567")),"ERROR: CUENTA fuera de las clases de costo",IF(NOT(ISNUMBER(E727)),"ERROR: VALOR debe ser numérico",IF(E727=0,"AVISO: valor cero (no se carga)",IF(J727&lt;&gt;"ACTIVO","NO SE CARGA: CECO en estado "&amp;J727,"OK"))))))))))</f>
        <v/>
      </c>
    </row>
    <row r="728">
      <c r="A728" s="5" t="n"/>
      <c r="B728" s="6" t="n"/>
      <c r="C728" s="5" t="n"/>
      <c r="D728" s="6" t="n"/>
      <c r="E728" s="7" t="n"/>
      <c r="F728" s="6" t="n"/>
      <c r="G728" s="8">
        <f>IF(B728="","",IFERROR(VLOOKUP(--B728,'CATALOGO CECO'!$A$2:$H$550,2,FALSE),"CECO NO EXISTE"))</f>
        <v/>
      </c>
      <c r="H728" s="8">
        <f>IF(B728="","",IFERROR(VLOOKUP(--B728,'CATALOGO CECO'!$A$2:$H$550,3,FALSE),""))</f>
        <v/>
      </c>
      <c r="I728" s="8">
        <f>IF(B728="","",IFERROR(VLOOKUP(--B728,'CATALOGO CECO'!$A$2:$H$550,5,FALSE),""))</f>
        <v/>
      </c>
      <c r="J728" s="8">
        <f>IF(B728="","",IFERROR(VLOOKUP(--B728,'CATALOGO CECO'!$A$2:$H$550,8,FALSE),""))</f>
        <v/>
      </c>
      <c r="K728" s="8">
        <f>IF(COUNTA(A728:F728)=0,"",IF(OR(LEN(A728)&lt;&gt;7,MID(A728,5,1)&lt;&gt;"-",ISERROR(--LEFT(A728,4)),ISERROR(--RIGHT(A728,2))),"ERROR: PERIODO debe ser AAAA-MM",IF(B728="","ERROR: falta CODIGO CECO",IF(G728="CECO NO EXISTE","ERROR: CECO no existe en el catálogo",IF(C728="","ERROR: falta CUENTA",IF(ISERROR(--C728),"ERROR: CUENTA debe tener solo dígitos",IF(ISERROR(FIND(LEFT(C728,1),"567")),"ERROR: CUENTA fuera de las clases de costo",IF(NOT(ISNUMBER(E728)),"ERROR: VALOR debe ser numérico",IF(E728=0,"AVISO: valor cero (no se carga)",IF(J728&lt;&gt;"ACTIVO","NO SE CARGA: CECO en estado "&amp;J728,"OK"))))))))))</f>
        <v/>
      </c>
    </row>
    <row r="729">
      <c r="A729" s="5" t="n"/>
      <c r="B729" s="6" t="n"/>
      <c r="C729" s="5" t="n"/>
      <c r="D729" s="6" t="n"/>
      <c r="E729" s="7" t="n"/>
      <c r="F729" s="6" t="n"/>
      <c r="G729" s="8">
        <f>IF(B729="","",IFERROR(VLOOKUP(--B729,'CATALOGO CECO'!$A$2:$H$550,2,FALSE),"CECO NO EXISTE"))</f>
        <v/>
      </c>
      <c r="H729" s="8">
        <f>IF(B729="","",IFERROR(VLOOKUP(--B729,'CATALOGO CECO'!$A$2:$H$550,3,FALSE),""))</f>
        <v/>
      </c>
      <c r="I729" s="8">
        <f>IF(B729="","",IFERROR(VLOOKUP(--B729,'CATALOGO CECO'!$A$2:$H$550,5,FALSE),""))</f>
        <v/>
      </c>
      <c r="J729" s="8">
        <f>IF(B729="","",IFERROR(VLOOKUP(--B729,'CATALOGO CECO'!$A$2:$H$550,8,FALSE),""))</f>
        <v/>
      </c>
      <c r="K729" s="8">
        <f>IF(COUNTA(A729:F729)=0,"",IF(OR(LEN(A729)&lt;&gt;7,MID(A729,5,1)&lt;&gt;"-",ISERROR(--LEFT(A729,4)),ISERROR(--RIGHT(A729,2))),"ERROR: PERIODO debe ser AAAA-MM",IF(B729="","ERROR: falta CODIGO CECO",IF(G729="CECO NO EXISTE","ERROR: CECO no existe en el catálogo",IF(C729="","ERROR: falta CUENTA",IF(ISERROR(--C729),"ERROR: CUENTA debe tener solo dígitos",IF(ISERROR(FIND(LEFT(C729,1),"567")),"ERROR: CUENTA fuera de las clases de costo",IF(NOT(ISNUMBER(E729)),"ERROR: VALOR debe ser numérico",IF(E729=0,"AVISO: valor cero (no se carga)",IF(J729&lt;&gt;"ACTIVO","NO SE CARGA: CECO en estado "&amp;J729,"OK"))))))))))</f>
        <v/>
      </c>
    </row>
    <row r="730">
      <c r="A730" s="5" t="n"/>
      <c r="B730" s="6" t="n"/>
      <c r="C730" s="5" t="n"/>
      <c r="D730" s="6" t="n"/>
      <c r="E730" s="7" t="n"/>
      <c r="F730" s="6" t="n"/>
      <c r="G730" s="8">
        <f>IF(B730="","",IFERROR(VLOOKUP(--B730,'CATALOGO CECO'!$A$2:$H$550,2,FALSE),"CECO NO EXISTE"))</f>
        <v/>
      </c>
      <c r="H730" s="8">
        <f>IF(B730="","",IFERROR(VLOOKUP(--B730,'CATALOGO CECO'!$A$2:$H$550,3,FALSE),""))</f>
        <v/>
      </c>
      <c r="I730" s="8">
        <f>IF(B730="","",IFERROR(VLOOKUP(--B730,'CATALOGO CECO'!$A$2:$H$550,5,FALSE),""))</f>
        <v/>
      </c>
      <c r="J730" s="8">
        <f>IF(B730="","",IFERROR(VLOOKUP(--B730,'CATALOGO CECO'!$A$2:$H$550,8,FALSE),""))</f>
        <v/>
      </c>
      <c r="K730" s="8">
        <f>IF(COUNTA(A730:F730)=0,"",IF(OR(LEN(A730)&lt;&gt;7,MID(A730,5,1)&lt;&gt;"-",ISERROR(--LEFT(A730,4)),ISERROR(--RIGHT(A730,2))),"ERROR: PERIODO debe ser AAAA-MM",IF(B730="","ERROR: falta CODIGO CECO",IF(G730="CECO NO EXISTE","ERROR: CECO no existe en el catálogo",IF(C730="","ERROR: falta CUENTA",IF(ISERROR(--C730),"ERROR: CUENTA debe tener solo dígitos",IF(ISERROR(FIND(LEFT(C730,1),"567")),"ERROR: CUENTA fuera de las clases de costo",IF(NOT(ISNUMBER(E730)),"ERROR: VALOR debe ser numérico",IF(E730=0,"AVISO: valor cero (no se carga)",IF(J730&lt;&gt;"ACTIVO","NO SE CARGA: CECO en estado "&amp;J730,"OK"))))))))))</f>
        <v/>
      </c>
    </row>
    <row r="731">
      <c r="A731" s="5" t="n"/>
      <c r="B731" s="6" t="n"/>
      <c r="C731" s="5" t="n"/>
      <c r="D731" s="6" t="n"/>
      <c r="E731" s="7" t="n"/>
      <c r="F731" s="6" t="n"/>
      <c r="G731" s="8">
        <f>IF(B731="","",IFERROR(VLOOKUP(--B731,'CATALOGO CECO'!$A$2:$H$550,2,FALSE),"CECO NO EXISTE"))</f>
        <v/>
      </c>
      <c r="H731" s="8">
        <f>IF(B731="","",IFERROR(VLOOKUP(--B731,'CATALOGO CECO'!$A$2:$H$550,3,FALSE),""))</f>
        <v/>
      </c>
      <c r="I731" s="8">
        <f>IF(B731="","",IFERROR(VLOOKUP(--B731,'CATALOGO CECO'!$A$2:$H$550,5,FALSE),""))</f>
        <v/>
      </c>
      <c r="J731" s="8">
        <f>IF(B731="","",IFERROR(VLOOKUP(--B731,'CATALOGO CECO'!$A$2:$H$550,8,FALSE),""))</f>
        <v/>
      </c>
      <c r="K731" s="8">
        <f>IF(COUNTA(A731:F731)=0,"",IF(OR(LEN(A731)&lt;&gt;7,MID(A731,5,1)&lt;&gt;"-",ISERROR(--LEFT(A731,4)),ISERROR(--RIGHT(A731,2))),"ERROR: PERIODO debe ser AAAA-MM",IF(B731="","ERROR: falta CODIGO CECO",IF(G731="CECO NO EXISTE","ERROR: CECO no existe en el catálogo",IF(C731="","ERROR: falta CUENTA",IF(ISERROR(--C731),"ERROR: CUENTA debe tener solo dígitos",IF(ISERROR(FIND(LEFT(C731,1),"567")),"ERROR: CUENTA fuera de las clases de costo",IF(NOT(ISNUMBER(E731)),"ERROR: VALOR debe ser numérico",IF(E731=0,"AVISO: valor cero (no se carga)",IF(J731&lt;&gt;"ACTIVO","NO SE CARGA: CECO en estado "&amp;J731,"OK"))))))))))</f>
        <v/>
      </c>
    </row>
    <row r="732">
      <c r="A732" s="5" t="n"/>
      <c r="B732" s="6" t="n"/>
      <c r="C732" s="5" t="n"/>
      <c r="D732" s="6" t="n"/>
      <c r="E732" s="7" t="n"/>
      <c r="F732" s="6" t="n"/>
      <c r="G732" s="8">
        <f>IF(B732="","",IFERROR(VLOOKUP(--B732,'CATALOGO CECO'!$A$2:$H$550,2,FALSE),"CECO NO EXISTE"))</f>
        <v/>
      </c>
      <c r="H732" s="8">
        <f>IF(B732="","",IFERROR(VLOOKUP(--B732,'CATALOGO CECO'!$A$2:$H$550,3,FALSE),""))</f>
        <v/>
      </c>
      <c r="I732" s="8">
        <f>IF(B732="","",IFERROR(VLOOKUP(--B732,'CATALOGO CECO'!$A$2:$H$550,5,FALSE),""))</f>
        <v/>
      </c>
      <c r="J732" s="8">
        <f>IF(B732="","",IFERROR(VLOOKUP(--B732,'CATALOGO CECO'!$A$2:$H$550,8,FALSE),""))</f>
        <v/>
      </c>
      <c r="K732" s="8">
        <f>IF(COUNTA(A732:F732)=0,"",IF(OR(LEN(A732)&lt;&gt;7,MID(A732,5,1)&lt;&gt;"-",ISERROR(--LEFT(A732,4)),ISERROR(--RIGHT(A732,2))),"ERROR: PERIODO debe ser AAAA-MM",IF(B732="","ERROR: falta CODIGO CECO",IF(G732="CECO NO EXISTE","ERROR: CECO no existe en el catálogo",IF(C732="","ERROR: falta CUENTA",IF(ISERROR(--C732),"ERROR: CUENTA debe tener solo dígitos",IF(ISERROR(FIND(LEFT(C732,1),"567")),"ERROR: CUENTA fuera de las clases de costo",IF(NOT(ISNUMBER(E732)),"ERROR: VALOR debe ser numérico",IF(E732=0,"AVISO: valor cero (no se carga)",IF(J732&lt;&gt;"ACTIVO","NO SE CARGA: CECO en estado "&amp;J732,"OK"))))))))))</f>
        <v/>
      </c>
    </row>
    <row r="733">
      <c r="A733" s="5" t="n"/>
      <c r="B733" s="6" t="n"/>
      <c r="C733" s="5" t="n"/>
      <c r="D733" s="6" t="n"/>
      <c r="E733" s="7" t="n"/>
      <c r="F733" s="6" t="n"/>
      <c r="G733" s="8">
        <f>IF(B733="","",IFERROR(VLOOKUP(--B733,'CATALOGO CECO'!$A$2:$H$550,2,FALSE),"CECO NO EXISTE"))</f>
        <v/>
      </c>
      <c r="H733" s="8">
        <f>IF(B733="","",IFERROR(VLOOKUP(--B733,'CATALOGO CECO'!$A$2:$H$550,3,FALSE),""))</f>
        <v/>
      </c>
      <c r="I733" s="8">
        <f>IF(B733="","",IFERROR(VLOOKUP(--B733,'CATALOGO CECO'!$A$2:$H$550,5,FALSE),""))</f>
        <v/>
      </c>
      <c r="J733" s="8">
        <f>IF(B733="","",IFERROR(VLOOKUP(--B733,'CATALOGO CECO'!$A$2:$H$550,8,FALSE),""))</f>
        <v/>
      </c>
      <c r="K733" s="8">
        <f>IF(COUNTA(A733:F733)=0,"",IF(OR(LEN(A733)&lt;&gt;7,MID(A733,5,1)&lt;&gt;"-",ISERROR(--LEFT(A733,4)),ISERROR(--RIGHT(A733,2))),"ERROR: PERIODO debe ser AAAA-MM",IF(B733="","ERROR: falta CODIGO CECO",IF(G733="CECO NO EXISTE","ERROR: CECO no existe en el catálogo",IF(C733="","ERROR: falta CUENTA",IF(ISERROR(--C733),"ERROR: CUENTA debe tener solo dígitos",IF(ISERROR(FIND(LEFT(C733,1),"567")),"ERROR: CUENTA fuera de las clases de costo",IF(NOT(ISNUMBER(E733)),"ERROR: VALOR debe ser numérico",IF(E733=0,"AVISO: valor cero (no se carga)",IF(J733&lt;&gt;"ACTIVO","NO SE CARGA: CECO en estado "&amp;J733,"OK"))))))))))</f>
        <v/>
      </c>
    </row>
    <row r="734">
      <c r="A734" s="5" t="n"/>
      <c r="B734" s="6" t="n"/>
      <c r="C734" s="5" t="n"/>
      <c r="D734" s="6" t="n"/>
      <c r="E734" s="7" t="n"/>
      <c r="F734" s="6" t="n"/>
      <c r="G734" s="8">
        <f>IF(B734="","",IFERROR(VLOOKUP(--B734,'CATALOGO CECO'!$A$2:$H$550,2,FALSE),"CECO NO EXISTE"))</f>
        <v/>
      </c>
      <c r="H734" s="8">
        <f>IF(B734="","",IFERROR(VLOOKUP(--B734,'CATALOGO CECO'!$A$2:$H$550,3,FALSE),""))</f>
        <v/>
      </c>
      <c r="I734" s="8">
        <f>IF(B734="","",IFERROR(VLOOKUP(--B734,'CATALOGO CECO'!$A$2:$H$550,5,FALSE),""))</f>
        <v/>
      </c>
      <c r="J734" s="8">
        <f>IF(B734="","",IFERROR(VLOOKUP(--B734,'CATALOGO CECO'!$A$2:$H$550,8,FALSE),""))</f>
        <v/>
      </c>
      <c r="K734" s="8">
        <f>IF(COUNTA(A734:F734)=0,"",IF(OR(LEN(A734)&lt;&gt;7,MID(A734,5,1)&lt;&gt;"-",ISERROR(--LEFT(A734,4)),ISERROR(--RIGHT(A734,2))),"ERROR: PERIODO debe ser AAAA-MM",IF(B734="","ERROR: falta CODIGO CECO",IF(G734="CECO NO EXISTE","ERROR: CECO no existe en el catálogo",IF(C734="","ERROR: falta CUENTA",IF(ISERROR(--C734),"ERROR: CUENTA debe tener solo dígitos",IF(ISERROR(FIND(LEFT(C734,1),"567")),"ERROR: CUENTA fuera de las clases de costo",IF(NOT(ISNUMBER(E734)),"ERROR: VALOR debe ser numérico",IF(E734=0,"AVISO: valor cero (no se carga)",IF(J734&lt;&gt;"ACTIVO","NO SE CARGA: CECO en estado "&amp;J734,"OK"))))))))))</f>
        <v/>
      </c>
    </row>
    <row r="735">
      <c r="A735" s="5" t="n"/>
      <c r="B735" s="6" t="n"/>
      <c r="C735" s="5" t="n"/>
      <c r="D735" s="6" t="n"/>
      <c r="E735" s="7" t="n"/>
      <c r="F735" s="6" t="n"/>
      <c r="G735" s="8">
        <f>IF(B735="","",IFERROR(VLOOKUP(--B735,'CATALOGO CECO'!$A$2:$H$550,2,FALSE),"CECO NO EXISTE"))</f>
        <v/>
      </c>
      <c r="H735" s="8">
        <f>IF(B735="","",IFERROR(VLOOKUP(--B735,'CATALOGO CECO'!$A$2:$H$550,3,FALSE),""))</f>
        <v/>
      </c>
      <c r="I735" s="8">
        <f>IF(B735="","",IFERROR(VLOOKUP(--B735,'CATALOGO CECO'!$A$2:$H$550,5,FALSE),""))</f>
        <v/>
      </c>
      <c r="J735" s="8">
        <f>IF(B735="","",IFERROR(VLOOKUP(--B735,'CATALOGO CECO'!$A$2:$H$550,8,FALSE),""))</f>
        <v/>
      </c>
      <c r="K735" s="8">
        <f>IF(COUNTA(A735:F735)=0,"",IF(OR(LEN(A735)&lt;&gt;7,MID(A735,5,1)&lt;&gt;"-",ISERROR(--LEFT(A735,4)),ISERROR(--RIGHT(A735,2))),"ERROR: PERIODO debe ser AAAA-MM",IF(B735="","ERROR: falta CODIGO CECO",IF(G735="CECO NO EXISTE","ERROR: CECO no existe en el catálogo",IF(C735="","ERROR: falta CUENTA",IF(ISERROR(--C735),"ERROR: CUENTA debe tener solo dígitos",IF(ISERROR(FIND(LEFT(C735,1),"567")),"ERROR: CUENTA fuera de las clases de costo",IF(NOT(ISNUMBER(E735)),"ERROR: VALOR debe ser numérico",IF(E735=0,"AVISO: valor cero (no se carga)",IF(J735&lt;&gt;"ACTIVO","NO SE CARGA: CECO en estado "&amp;J735,"OK"))))))))))</f>
        <v/>
      </c>
    </row>
    <row r="736">
      <c r="A736" s="5" t="n"/>
      <c r="B736" s="6" t="n"/>
      <c r="C736" s="5" t="n"/>
      <c r="D736" s="6" t="n"/>
      <c r="E736" s="7" t="n"/>
      <c r="F736" s="6" t="n"/>
      <c r="G736" s="8">
        <f>IF(B736="","",IFERROR(VLOOKUP(--B736,'CATALOGO CECO'!$A$2:$H$550,2,FALSE),"CECO NO EXISTE"))</f>
        <v/>
      </c>
      <c r="H736" s="8">
        <f>IF(B736="","",IFERROR(VLOOKUP(--B736,'CATALOGO CECO'!$A$2:$H$550,3,FALSE),""))</f>
        <v/>
      </c>
      <c r="I736" s="8">
        <f>IF(B736="","",IFERROR(VLOOKUP(--B736,'CATALOGO CECO'!$A$2:$H$550,5,FALSE),""))</f>
        <v/>
      </c>
      <c r="J736" s="8">
        <f>IF(B736="","",IFERROR(VLOOKUP(--B736,'CATALOGO CECO'!$A$2:$H$550,8,FALSE),""))</f>
        <v/>
      </c>
      <c r="K736" s="8">
        <f>IF(COUNTA(A736:F736)=0,"",IF(OR(LEN(A736)&lt;&gt;7,MID(A736,5,1)&lt;&gt;"-",ISERROR(--LEFT(A736,4)),ISERROR(--RIGHT(A736,2))),"ERROR: PERIODO debe ser AAAA-MM",IF(B736="","ERROR: falta CODIGO CECO",IF(G736="CECO NO EXISTE","ERROR: CECO no existe en el catálogo",IF(C736="","ERROR: falta CUENTA",IF(ISERROR(--C736),"ERROR: CUENTA debe tener solo dígitos",IF(ISERROR(FIND(LEFT(C736,1),"567")),"ERROR: CUENTA fuera de las clases de costo",IF(NOT(ISNUMBER(E736)),"ERROR: VALOR debe ser numérico",IF(E736=0,"AVISO: valor cero (no se carga)",IF(J736&lt;&gt;"ACTIVO","NO SE CARGA: CECO en estado "&amp;J736,"OK"))))))))))</f>
        <v/>
      </c>
    </row>
    <row r="737">
      <c r="A737" s="5" t="n"/>
      <c r="B737" s="6" t="n"/>
      <c r="C737" s="5" t="n"/>
      <c r="D737" s="6" t="n"/>
      <c r="E737" s="7" t="n"/>
      <c r="F737" s="6" t="n"/>
      <c r="G737" s="8">
        <f>IF(B737="","",IFERROR(VLOOKUP(--B737,'CATALOGO CECO'!$A$2:$H$550,2,FALSE),"CECO NO EXISTE"))</f>
        <v/>
      </c>
      <c r="H737" s="8">
        <f>IF(B737="","",IFERROR(VLOOKUP(--B737,'CATALOGO CECO'!$A$2:$H$550,3,FALSE),""))</f>
        <v/>
      </c>
      <c r="I737" s="8">
        <f>IF(B737="","",IFERROR(VLOOKUP(--B737,'CATALOGO CECO'!$A$2:$H$550,5,FALSE),""))</f>
        <v/>
      </c>
      <c r="J737" s="8">
        <f>IF(B737="","",IFERROR(VLOOKUP(--B737,'CATALOGO CECO'!$A$2:$H$550,8,FALSE),""))</f>
        <v/>
      </c>
      <c r="K737" s="8">
        <f>IF(COUNTA(A737:F737)=0,"",IF(OR(LEN(A737)&lt;&gt;7,MID(A737,5,1)&lt;&gt;"-",ISERROR(--LEFT(A737,4)),ISERROR(--RIGHT(A737,2))),"ERROR: PERIODO debe ser AAAA-MM",IF(B737="","ERROR: falta CODIGO CECO",IF(G737="CECO NO EXISTE","ERROR: CECO no existe en el catálogo",IF(C737="","ERROR: falta CUENTA",IF(ISERROR(--C737),"ERROR: CUENTA debe tener solo dígitos",IF(ISERROR(FIND(LEFT(C737,1),"567")),"ERROR: CUENTA fuera de las clases de costo",IF(NOT(ISNUMBER(E737)),"ERROR: VALOR debe ser numérico",IF(E737=0,"AVISO: valor cero (no se carga)",IF(J737&lt;&gt;"ACTIVO","NO SE CARGA: CECO en estado "&amp;J737,"OK"))))))))))</f>
        <v/>
      </c>
    </row>
    <row r="738">
      <c r="A738" s="5" t="n"/>
      <c r="B738" s="6" t="n"/>
      <c r="C738" s="5" t="n"/>
      <c r="D738" s="6" t="n"/>
      <c r="E738" s="7" t="n"/>
      <c r="F738" s="6" t="n"/>
      <c r="G738" s="8">
        <f>IF(B738="","",IFERROR(VLOOKUP(--B738,'CATALOGO CECO'!$A$2:$H$550,2,FALSE),"CECO NO EXISTE"))</f>
        <v/>
      </c>
      <c r="H738" s="8">
        <f>IF(B738="","",IFERROR(VLOOKUP(--B738,'CATALOGO CECO'!$A$2:$H$550,3,FALSE),""))</f>
        <v/>
      </c>
      <c r="I738" s="8">
        <f>IF(B738="","",IFERROR(VLOOKUP(--B738,'CATALOGO CECO'!$A$2:$H$550,5,FALSE),""))</f>
        <v/>
      </c>
      <c r="J738" s="8">
        <f>IF(B738="","",IFERROR(VLOOKUP(--B738,'CATALOGO CECO'!$A$2:$H$550,8,FALSE),""))</f>
        <v/>
      </c>
      <c r="K738" s="8">
        <f>IF(COUNTA(A738:F738)=0,"",IF(OR(LEN(A738)&lt;&gt;7,MID(A738,5,1)&lt;&gt;"-",ISERROR(--LEFT(A738,4)),ISERROR(--RIGHT(A738,2))),"ERROR: PERIODO debe ser AAAA-MM",IF(B738="","ERROR: falta CODIGO CECO",IF(G738="CECO NO EXISTE","ERROR: CECO no existe en el catálogo",IF(C738="","ERROR: falta CUENTA",IF(ISERROR(--C738),"ERROR: CUENTA debe tener solo dígitos",IF(ISERROR(FIND(LEFT(C738,1),"567")),"ERROR: CUENTA fuera de las clases de costo",IF(NOT(ISNUMBER(E738)),"ERROR: VALOR debe ser numérico",IF(E738=0,"AVISO: valor cero (no se carga)",IF(J738&lt;&gt;"ACTIVO","NO SE CARGA: CECO en estado "&amp;J738,"OK"))))))))))</f>
        <v/>
      </c>
    </row>
    <row r="739">
      <c r="A739" s="5" t="n"/>
      <c r="B739" s="6" t="n"/>
      <c r="C739" s="5" t="n"/>
      <c r="D739" s="6" t="n"/>
      <c r="E739" s="7" t="n"/>
      <c r="F739" s="6" t="n"/>
      <c r="G739" s="8">
        <f>IF(B739="","",IFERROR(VLOOKUP(--B739,'CATALOGO CECO'!$A$2:$H$550,2,FALSE),"CECO NO EXISTE"))</f>
        <v/>
      </c>
      <c r="H739" s="8">
        <f>IF(B739="","",IFERROR(VLOOKUP(--B739,'CATALOGO CECO'!$A$2:$H$550,3,FALSE),""))</f>
        <v/>
      </c>
      <c r="I739" s="8">
        <f>IF(B739="","",IFERROR(VLOOKUP(--B739,'CATALOGO CECO'!$A$2:$H$550,5,FALSE),""))</f>
        <v/>
      </c>
      <c r="J739" s="8">
        <f>IF(B739="","",IFERROR(VLOOKUP(--B739,'CATALOGO CECO'!$A$2:$H$550,8,FALSE),""))</f>
        <v/>
      </c>
      <c r="K739" s="8">
        <f>IF(COUNTA(A739:F739)=0,"",IF(OR(LEN(A739)&lt;&gt;7,MID(A739,5,1)&lt;&gt;"-",ISERROR(--LEFT(A739,4)),ISERROR(--RIGHT(A739,2))),"ERROR: PERIODO debe ser AAAA-MM",IF(B739="","ERROR: falta CODIGO CECO",IF(G739="CECO NO EXISTE","ERROR: CECO no existe en el catálogo",IF(C739="","ERROR: falta CUENTA",IF(ISERROR(--C739),"ERROR: CUENTA debe tener solo dígitos",IF(ISERROR(FIND(LEFT(C739,1),"567")),"ERROR: CUENTA fuera de las clases de costo",IF(NOT(ISNUMBER(E739)),"ERROR: VALOR debe ser numérico",IF(E739=0,"AVISO: valor cero (no se carga)",IF(J739&lt;&gt;"ACTIVO","NO SE CARGA: CECO en estado "&amp;J739,"OK"))))))))))</f>
        <v/>
      </c>
    </row>
    <row r="740">
      <c r="A740" s="5" t="n"/>
      <c r="B740" s="6" t="n"/>
      <c r="C740" s="5" t="n"/>
      <c r="D740" s="6" t="n"/>
      <c r="E740" s="7" t="n"/>
      <c r="F740" s="6" t="n"/>
      <c r="G740" s="8">
        <f>IF(B740="","",IFERROR(VLOOKUP(--B740,'CATALOGO CECO'!$A$2:$H$550,2,FALSE),"CECO NO EXISTE"))</f>
        <v/>
      </c>
      <c r="H740" s="8">
        <f>IF(B740="","",IFERROR(VLOOKUP(--B740,'CATALOGO CECO'!$A$2:$H$550,3,FALSE),""))</f>
        <v/>
      </c>
      <c r="I740" s="8">
        <f>IF(B740="","",IFERROR(VLOOKUP(--B740,'CATALOGO CECO'!$A$2:$H$550,5,FALSE),""))</f>
        <v/>
      </c>
      <c r="J740" s="8">
        <f>IF(B740="","",IFERROR(VLOOKUP(--B740,'CATALOGO CECO'!$A$2:$H$550,8,FALSE),""))</f>
        <v/>
      </c>
      <c r="K740" s="8">
        <f>IF(COUNTA(A740:F740)=0,"",IF(OR(LEN(A740)&lt;&gt;7,MID(A740,5,1)&lt;&gt;"-",ISERROR(--LEFT(A740,4)),ISERROR(--RIGHT(A740,2))),"ERROR: PERIODO debe ser AAAA-MM",IF(B740="","ERROR: falta CODIGO CECO",IF(G740="CECO NO EXISTE","ERROR: CECO no existe en el catálogo",IF(C740="","ERROR: falta CUENTA",IF(ISERROR(--C740),"ERROR: CUENTA debe tener solo dígitos",IF(ISERROR(FIND(LEFT(C740,1),"567")),"ERROR: CUENTA fuera de las clases de costo",IF(NOT(ISNUMBER(E740)),"ERROR: VALOR debe ser numérico",IF(E740=0,"AVISO: valor cero (no se carga)",IF(J740&lt;&gt;"ACTIVO","NO SE CARGA: CECO en estado "&amp;J740,"OK"))))))))))</f>
        <v/>
      </c>
    </row>
    <row r="741">
      <c r="A741" s="5" t="n"/>
      <c r="B741" s="6" t="n"/>
      <c r="C741" s="5" t="n"/>
      <c r="D741" s="6" t="n"/>
      <c r="E741" s="7" t="n"/>
      <c r="F741" s="6" t="n"/>
      <c r="G741" s="8">
        <f>IF(B741="","",IFERROR(VLOOKUP(--B741,'CATALOGO CECO'!$A$2:$H$550,2,FALSE),"CECO NO EXISTE"))</f>
        <v/>
      </c>
      <c r="H741" s="8">
        <f>IF(B741="","",IFERROR(VLOOKUP(--B741,'CATALOGO CECO'!$A$2:$H$550,3,FALSE),""))</f>
        <v/>
      </c>
      <c r="I741" s="8">
        <f>IF(B741="","",IFERROR(VLOOKUP(--B741,'CATALOGO CECO'!$A$2:$H$550,5,FALSE),""))</f>
        <v/>
      </c>
      <c r="J741" s="8">
        <f>IF(B741="","",IFERROR(VLOOKUP(--B741,'CATALOGO CECO'!$A$2:$H$550,8,FALSE),""))</f>
        <v/>
      </c>
      <c r="K741" s="8">
        <f>IF(COUNTA(A741:F741)=0,"",IF(OR(LEN(A741)&lt;&gt;7,MID(A741,5,1)&lt;&gt;"-",ISERROR(--LEFT(A741,4)),ISERROR(--RIGHT(A741,2))),"ERROR: PERIODO debe ser AAAA-MM",IF(B741="","ERROR: falta CODIGO CECO",IF(G741="CECO NO EXISTE","ERROR: CECO no existe en el catálogo",IF(C741="","ERROR: falta CUENTA",IF(ISERROR(--C741),"ERROR: CUENTA debe tener solo dígitos",IF(ISERROR(FIND(LEFT(C741,1),"567")),"ERROR: CUENTA fuera de las clases de costo",IF(NOT(ISNUMBER(E741)),"ERROR: VALOR debe ser numérico",IF(E741=0,"AVISO: valor cero (no se carga)",IF(J741&lt;&gt;"ACTIVO","NO SE CARGA: CECO en estado "&amp;J741,"OK"))))))))))</f>
        <v/>
      </c>
    </row>
    <row r="742">
      <c r="A742" s="5" t="n"/>
      <c r="B742" s="6" t="n"/>
      <c r="C742" s="5" t="n"/>
      <c r="D742" s="6" t="n"/>
      <c r="E742" s="7" t="n"/>
      <c r="F742" s="6" t="n"/>
      <c r="G742" s="8">
        <f>IF(B742="","",IFERROR(VLOOKUP(--B742,'CATALOGO CECO'!$A$2:$H$550,2,FALSE),"CECO NO EXISTE"))</f>
        <v/>
      </c>
      <c r="H742" s="8">
        <f>IF(B742="","",IFERROR(VLOOKUP(--B742,'CATALOGO CECO'!$A$2:$H$550,3,FALSE),""))</f>
        <v/>
      </c>
      <c r="I742" s="8">
        <f>IF(B742="","",IFERROR(VLOOKUP(--B742,'CATALOGO CECO'!$A$2:$H$550,5,FALSE),""))</f>
        <v/>
      </c>
      <c r="J742" s="8">
        <f>IF(B742="","",IFERROR(VLOOKUP(--B742,'CATALOGO CECO'!$A$2:$H$550,8,FALSE),""))</f>
        <v/>
      </c>
      <c r="K742" s="8">
        <f>IF(COUNTA(A742:F742)=0,"",IF(OR(LEN(A742)&lt;&gt;7,MID(A742,5,1)&lt;&gt;"-",ISERROR(--LEFT(A742,4)),ISERROR(--RIGHT(A742,2))),"ERROR: PERIODO debe ser AAAA-MM",IF(B742="","ERROR: falta CODIGO CECO",IF(G742="CECO NO EXISTE","ERROR: CECO no existe en el catálogo",IF(C742="","ERROR: falta CUENTA",IF(ISERROR(--C742),"ERROR: CUENTA debe tener solo dígitos",IF(ISERROR(FIND(LEFT(C742,1),"567")),"ERROR: CUENTA fuera de las clases de costo",IF(NOT(ISNUMBER(E742)),"ERROR: VALOR debe ser numérico",IF(E742=0,"AVISO: valor cero (no se carga)",IF(J742&lt;&gt;"ACTIVO","NO SE CARGA: CECO en estado "&amp;J742,"OK"))))))))))</f>
        <v/>
      </c>
    </row>
    <row r="743">
      <c r="A743" s="5" t="n"/>
      <c r="B743" s="6" t="n"/>
      <c r="C743" s="5" t="n"/>
      <c r="D743" s="6" t="n"/>
      <c r="E743" s="7" t="n"/>
      <c r="F743" s="6" t="n"/>
      <c r="G743" s="8">
        <f>IF(B743="","",IFERROR(VLOOKUP(--B743,'CATALOGO CECO'!$A$2:$H$550,2,FALSE),"CECO NO EXISTE"))</f>
        <v/>
      </c>
      <c r="H743" s="8">
        <f>IF(B743="","",IFERROR(VLOOKUP(--B743,'CATALOGO CECO'!$A$2:$H$550,3,FALSE),""))</f>
        <v/>
      </c>
      <c r="I743" s="8">
        <f>IF(B743="","",IFERROR(VLOOKUP(--B743,'CATALOGO CECO'!$A$2:$H$550,5,FALSE),""))</f>
        <v/>
      </c>
      <c r="J743" s="8">
        <f>IF(B743="","",IFERROR(VLOOKUP(--B743,'CATALOGO CECO'!$A$2:$H$550,8,FALSE),""))</f>
        <v/>
      </c>
      <c r="K743" s="8">
        <f>IF(COUNTA(A743:F743)=0,"",IF(OR(LEN(A743)&lt;&gt;7,MID(A743,5,1)&lt;&gt;"-",ISERROR(--LEFT(A743,4)),ISERROR(--RIGHT(A743,2))),"ERROR: PERIODO debe ser AAAA-MM",IF(B743="","ERROR: falta CODIGO CECO",IF(G743="CECO NO EXISTE","ERROR: CECO no existe en el catálogo",IF(C743="","ERROR: falta CUENTA",IF(ISERROR(--C743),"ERROR: CUENTA debe tener solo dígitos",IF(ISERROR(FIND(LEFT(C743,1),"567")),"ERROR: CUENTA fuera de las clases de costo",IF(NOT(ISNUMBER(E743)),"ERROR: VALOR debe ser numérico",IF(E743=0,"AVISO: valor cero (no se carga)",IF(J743&lt;&gt;"ACTIVO","NO SE CARGA: CECO en estado "&amp;J743,"OK"))))))))))</f>
        <v/>
      </c>
    </row>
    <row r="744">
      <c r="A744" s="5" t="n"/>
      <c r="B744" s="6" t="n"/>
      <c r="C744" s="5" t="n"/>
      <c r="D744" s="6" t="n"/>
      <c r="E744" s="7" t="n"/>
      <c r="F744" s="6" t="n"/>
      <c r="G744" s="8">
        <f>IF(B744="","",IFERROR(VLOOKUP(--B744,'CATALOGO CECO'!$A$2:$H$550,2,FALSE),"CECO NO EXISTE"))</f>
        <v/>
      </c>
      <c r="H744" s="8">
        <f>IF(B744="","",IFERROR(VLOOKUP(--B744,'CATALOGO CECO'!$A$2:$H$550,3,FALSE),""))</f>
        <v/>
      </c>
      <c r="I744" s="8">
        <f>IF(B744="","",IFERROR(VLOOKUP(--B744,'CATALOGO CECO'!$A$2:$H$550,5,FALSE),""))</f>
        <v/>
      </c>
      <c r="J744" s="8">
        <f>IF(B744="","",IFERROR(VLOOKUP(--B744,'CATALOGO CECO'!$A$2:$H$550,8,FALSE),""))</f>
        <v/>
      </c>
      <c r="K744" s="8">
        <f>IF(COUNTA(A744:F744)=0,"",IF(OR(LEN(A744)&lt;&gt;7,MID(A744,5,1)&lt;&gt;"-",ISERROR(--LEFT(A744,4)),ISERROR(--RIGHT(A744,2))),"ERROR: PERIODO debe ser AAAA-MM",IF(B744="","ERROR: falta CODIGO CECO",IF(G744="CECO NO EXISTE","ERROR: CECO no existe en el catálogo",IF(C744="","ERROR: falta CUENTA",IF(ISERROR(--C744),"ERROR: CUENTA debe tener solo dígitos",IF(ISERROR(FIND(LEFT(C744,1),"567")),"ERROR: CUENTA fuera de las clases de costo",IF(NOT(ISNUMBER(E744)),"ERROR: VALOR debe ser numérico",IF(E744=0,"AVISO: valor cero (no se carga)",IF(J744&lt;&gt;"ACTIVO","NO SE CARGA: CECO en estado "&amp;J744,"OK"))))))))))</f>
        <v/>
      </c>
    </row>
    <row r="745">
      <c r="A745" s="5" t="n"/>
      <c r="B745" s="6" t="n"/>
      <c r="C745" s="5" t="n"/>
      <c r="D745" s="6" t="n"/>
      <c r="E745" s="7" t="n"/>
      <c r="F745" s="6" t="n"/>
      <c r="G745" s="8">
        <f>IF(B745="","",IFERROR(VLOOKUP(--B745,'CATALOGO CECO'!$A$2:$H$550,2,FALSE),"CECO NO EXISTE"))</f>
        <v/>
      </c>
      <c r="H745" s="8">
        <f>IF(B745="","",IFERROR(VLOOKUP(--B745,'CATALOGO CECO'!$A$2:$H$550,3,FALSE),""))</f>
        <v/>
      </c>
      <c r="I745" s="8">
        <f>IF(B745="","",IFERROR(VLOOKUP(--B745,'CATALOGO CECO'!$A$2:$H$550,5,FALSE),""))</f>
        <v/>
      </c>
      <c r="J745" s="8">
        <f>IF(B745="","",IFERROR(VLOOKUP(--B745,'CATALOGO CECO'!$A$2:$H$550,8,FALSE),""))</f>
        <v/>
      </c>
      <c r="K745" s="8">
        <f>IF(COUNTA(A745:F745)=0,"",IF(OR(LEN(A745)&lt;&gt;7,MID(A745,5,1)&lt;&gt;"-",ISERROR(--LEFT(A745,4)),ISERROR(--RIGHT(A745,2))),"ERROR: PERIODO debe ser AAAA-MM",IF(B745="","ERROR: falta CODIGO CECO",IF(G745="CECO NO EXISTE","ERROR: CECO no existe en el catálogo",IF(C745="","ERROR: falta CUENTA",IF(ISERROR(--C745),"ERROR: CUENTA debe tener solo dígitos",IF(ISERROR(FIND(LEFT(C745,1),"567")),"ERROR: CUENTA fuera de las clases de costo",IF(NOT(ISNUMBER(E745)),"ERROR: VALOR debe ser numérico",IF(E745=0,"AVISO: valor cero (no se carga)",IF(J745&lt;&gt;"ACTIVO","NO SE CARGA: CECO en estado "&amp;J745,"OK"))))))))))</f>
        <v/>
      </c>
    </row>
    <row r="746">
      <c r="A746" s="5" t="n"/>
      <c r="B746" s="6" t="n"/>
      <c r="C746" s="5" t="n"/>
      <c r="D746" s="6" t="n"/>
      <c r="E746" s="7" t="n"/>
      <c r="F746" s="6" t="n"/>
      <c r="G746" s="8">
        <f>IF(B746="","",IFERROR(VLOOKUP(--B746,'CATALOGO CECO'!$A$2:$H$550,2,FALSE),"CECO NO EXISTE"))</f>
        <v/>
      </c>
      <c r="H746" s="8">
        <f>IF(B746="","",IFERROR(VLOOKUP(--B746,'CATALOGO CECO'!$A$2:$H$550,3,FALSE),""))</f>
        <v/>
      </c>
      <c r="I746" s="8">
        <f>IF(B746="","",IFERROR(VLOOKUP(--B746,'CATALOGO CECO'!$A$2:$H$550,5,FALSE),""))</f>
        <v/>
      </c>
      <c r="J746" s="8">
        <f>IF(B746="","",IFERROR(VLOOKUP(--B746,'CATALOGO CECO'!$A$2:$H$550,8,FALSE),""))</f>
        <v/>
      </c>
      <c r="K746" s="8">
        <f>IF(COUNTA(A746:F746)=0,"",IF(OR(LEN(A746)&lt;&gt;7,MID(A746,5,1)&lt;&gt;"-",ISERROR(--LEFT(A746,4)),ISERROR(--RIGHT(A746,2))),"ERROR: PERIODO debe ser AAAA-MM",IF(B746="","ERROR: falta CODIGO CECO",IF(G746="CECO NO EXISTE","ERROR: CECO no existe en el catálogo",IF(C746="","ERROR: falta CUENTA",IF(ISERROR(--C746),"ERROR: CUENTA debe tener solo dígitos",IF(ISERROR(FIND(LEFT(C746,1),"567")),"ERROR: CUENTA fuera de las clases de costo",IF(NOT(ISNUMBER(E746)),"ERROR: VALOR debe ser numérico",IF(E746=0,"AVISO: valor cero (no se carga)",IF(J746&lt;&gt;"ACTIVO","NO SE CARGA: CECO en estado "&amp;J746,"OK"))))))))))</f>
        <v/>
      </c>
    </row>
    <row r="747">
      <c r="A747" s="5" t="n"/>
      <c r="B747" s="6" t="n"/>
      <c r="C747" s="5" t="n"/>
      <c r="D747" s="6" t="n"/>
      <c r="E747" s="7" t="n"/>
      <c r="F747" s="6" t="n"/>
      <c r="G747" s="8">
        <f>IF(B747="","",IFERROR(VLOOKUP(--B747,'CATALOGO CECO'!$A$2:$H$550,2,FALSE),"CECO NO EXISTE"))</f>
        <v/>
      </c>
      <c r="H747" s="8">
        <f>IF(B747="","",IFERROR(VLOOKUP(--B747,'CATALOGO CECO'!$A$2:$H$550,3,FALSE),""))</f>
        <v/>
      </c>
      <c r="I747" s="8">
        <f>IF(B747="","",IFERROR(VLOOKUP(--B747,'CATALOGO CECO'!$A$2:$H$550,5,FALSE),""))</f>
        <v/>
      </c>
      <c r="J747" s="8">
        <f>IF(B747="","",IFERROR(VLOOKUP(--B747,'CATALOGO CECO'!$A$2:$H$550,8,FALSE),""))</f>
        <v/>
      </c>
      <c r="K747" s="8">
        <f>IF(COUNTA(A747:F747)=0,"",IF(OR(LEN(A747)&lt;&gt;7,MID(A747,5,1)&lt;&gt;"-",ISERROR(--LEFT(A747,4)),ISERROR(--RIGHT(A747,2))),"ERROR: PERIODO debe ser AAAA-MM",IF(B747="","ERROR: falta CODIGO CECO",IF(G747="CECO NO EXISTE","ERROR: CECO no existe en el catálogo",IF(C747="","ERROR: falta CUENTA",IF(ISERROR(--C747),"ERROR: CUENTA debe tener solo dígitos",IF(ISERROR(FIND(LEFT(C747,1),"567")),"ERROR: CUENTA fuera de las clases de costo",IF(NOT(ISNUMBER(E747)),"ERROR: VALOR debe ser numérico",IF(E747=0,"AVISO: valor cero (no se carga)",IF(J747&lt;&gt;"ACTIVO","NO SE CARGA: CECO en estado "&amp;J747,"OK"))))))))))</f>
        <v/>
      </c>
    </row>
    <row r="748">
      <c r="A748" s="5" t="n"/>
      <c r="B748" s="6" t="n"/>
      <c r="C748" s="5" t="n"/>
      <c r="D748" s="6" t="n"/>
      <c r="E748" s="7" t="n"/>
      <c r="F748" s="6" t="n"/>
      <c r="G748" s="8">
        <f>IF(B748="","",IFERROR(VLOOKUP(--B748,'CATALOGO CECO'!$A$2:$H$550,2,FALSE),"CECO NO EXISTE"))</f>
        <v/>
      </c>
      <c r="H748" s="8">
        <f>IF(B748="","",IFERROR(VLOOKUP(--B748,'CATALOGO CECO'!$A$2:$H$550,3,FALSE),""))</f>
        <v/>
      </c>
      <c r="I748" s="8">
        <f>IF(B748="","",IFERROR(VLOOKUP(--B748,'CATALOGO CECO'!$A$2:$H$550,5,FALSE),""))</f>
        <v/>
      </c>
      <c r="J748" s="8">
        <f>IF(B748="","",IFERROR(VLOOKUP(--B748,'CATALOGO CECO'!$A$2:$H$550,8,FALSE),""))</f>
        <v/>
      </c>
      <c r="K748" s="8">
        <f>IF(COUNTA(A748:F748)=0,"",IF(OR(LEN(A748)&lt;&gt;7,MID(A748,5,1)&lt;&gt;"-",ISERROR(--LEFT(A748,4)),ISERROR(--RIGHT(A748,2))),"ERROR: PERIODO debe ser AAAA-MM",IF(B748="","ERROR: falta CODIGO CECO",IF(G748="CECO NO EXISTE","ERROR: CECO no existe en el catálogo",IF(C748="","ERROR: falta CUENTA",IF(ISERROR(--C748),"ERROR: CUENTA debe tener solo dígitos",IF(ISERROR(FIND(LEFT(C748,1),"567")),"ERROR: CUENTA fuera de las clases de costo",IF(NOT(ISNUMBER(E748)),"ERROR: VALOR debe ser numérico",IF(E748=0,"AVISO: valor cero (no se carga)",IF(J748&lt;&gt;"ACTIVO","NO SE CARGA: CECO en estado "&amp;J748,"OK"))))))))))</f>
        <v/>
      </c>
    </row>
    <row r="749">
      <c r="A749" s="5" t="n"/>
      <c r="B749" s="6" t="n"/>
      <c r="C749" s="5" t="n"/>
      <c r="D749" s="6" t="n"/>
      <c r="E749" s="7" t="n"/>
      <c r="F749" s="6" t="n"/>
      <c r="G749" s="8">
        <f>IF(B749="","",IFERROR(VLOOKUP(--B749,'CATALOGO CECO'!$A$2:$H$550,2,FALSE),"CECO NO EXISTE"))</f>
        <v/>
      </c>
      <c r="H749" s="8">
        <f>IF(B749="","",IFERROR(VLOOKUP(--B749,'CATALOGO CECO'!$A$2:$H$550,3,FALSE),""))</f>
        <v/>
      </c>
      <c r="I749" s="8">
        <f>IF(B749="","",IFERROR(VLOOKUP(--B749,'CATALOGO CECO'!$A$2:$H$550,5,FALSE),""))</f>
        <v/>
      </c>
      <c r="J749" s="8">
        <f>IF(B749="","",IFERROR(VLOOKUP(--B749,'CATALOGO CECO'!$A$2:$H$550,8,FALSE),""))</f>
        <v/>
      </c>
      <c r="K749" s="8">
        <f>IF(COUNTA(A749:F749)=0,"",IF(OR(LEN(A749)&lt;&gt;7,MID(A749,5,1)&lt;&gt;"-",ISERROR(--LEFT(A749,4)),ISERROR(--RIGHT(A749,2))),"ERROR: PERIODO debe ser AAAA-MM",IF(B749="","ERROR: falta CODIGO CECO",IF(G749="CECO NO EXISTE","ERROR: CECO no existe en el catálogo",IF(C749="","ERROR: falta CUENTA",IF(ISERROR(--C749),"ERROR: CUENTA debe tener solo dígitos",IF(ISERROR(FIND(LEFT(C749,1),"567")),"ERROR: CUENTA fuera de las clases de costo",IF(NOT(ISNUMBER(E749)),"ERROR: VALOR debe ser numérico",IF(E749=0,"AVISO: valor cero (no se carga)",IF(J749&lt;&gt;"ACTIVO","NO SE CARGA: CECO en estado "&amp;J749,"OK"))))))))))</f>
        <v/>
      </c>
    </row>
    <row r="750">
      <c r="A750" s="5" t="n"/>
      <c r="B750" s="6" t="n"/>
      <c r="C750" s="5" t="n"/>
      <c r="D750" s="6" t="n"/>
      <c r="E750" s="7" t="n"/>
      <c r="F750" s="6" t="n"/>
      <c r="G750" s="8">
        <f>IF(B750="","",IFERROR(VLOOKUP(--B750,'CATALOGO CECO'!$A$2:$H$550,2,FALSE),"CECO NO EXISTE"))</f>
        <v/>
      </c>
      <c r="H750" s="8">
        <f>IF(B750="","",IFERROR(VLOOKUP(--B750,'CATALOGO CECO'!$A$2:$H$550,3,FALSE),""))</f>
        <v/>
      </c>
      <c r="I750" s="8">
        <f>IF(B750="","",IFERROR(VLOOKUP(--B750,'CATALOGO CECO'!$A$2:$H$550,5,FALSE),""))</f>
        <v/>
      </c>
      <c r="J750" s="8">
        <f>IF(B750="","",IFERROR(VLOOKUP(--B750,'CATALOGO CECO'!$A$2:$H$550,8,FALSE),""))</f>
        <v/>
      </c>
      <c r="K750" s="8">
        <f>IF(COUNTA(A750:F750)=0,"",IF(OR(LEN(A750)&lt;&gt;7,MID(A750,5,1)&lt;&gt;"-",ISERROR(--LEFT(A750,4)),ISERROR(--RIGHT(A750,2))),"ERROR: PERIODO debe ser AAAA-MM",IF(B750="","ERROR: falta CODIGO CECO",IF(G750="CECO NO EXISTE","ERROR: CECO no existe en el catálogo",IF(C750="","ERROR: falta CUENTA",IF(ISERROR(--C750),"ERROR: CUENTA debe tener solo dígitos",IF(ISERROR(FIND(LEFT(C750,1),"567")),"ERROR: CUENTA fuera de las clases de costo",IF(NOT(ISNUMBER(E750)),"ERROR: VALOR debe ser numérico",IF(E750=0,"AVISO: valor cero (no se carga)",IF(J750&lt;&gt;"ACTIVO","NO SE CARGA: CECO en estado "&amp;J750,"OK"))))))))))</f>
        <v/>
      </c>
    </row>
    <row r="751">
      <c r="A751" s="5" t="n"/>
      <c r="B751" s="6" t="n"/>
      <c r="C751" s="5" t="n"/>
      <c r="D751" s="6" t="n"/>
      <c r="E751" s="7" t="n"/>
      <c r="F751" s="6" t="n"/>
      <c r="G751" s="8">
        <f>IF(B751="","",IFERROR(VLOOKUP(--B751,'CATALOGO CECO'!$A$2:$H$550,2,FALSE),"CECO NO EXISTE"))</f>
        <v/>
      </c>
      <c r="H751" s="8">
        <f>IF(B751="","",IFERROR(VLOOKUP(--B751,'CATALOGO CECO'!$A$2:$H$550,3,FALSE),""))</f>
        <v/>
      </c>
      <c r="I751" s="8">
        <f>IF(B751="","",IFERROR(VLOOKUP(--B751,'CATALOGO CECO'!$A$2:$H$550,5,FALSE),""))</f>
        <v/>
      </c>
      <c r="J751" s="8">
        <f>IF(B751="","",IFERROR(VLOOKUP(--B751,'CATALOGO CECO'!$A$2:$H$550,8,FALSE),""))</f>
        <v/>
      </c>
      <c r="K751" s="8">
        <f>IF(COUNTA(A751:F751)=0,"",IF(OR(LEN(A751)&lt;&gt;7,MID(A751,5,1)&lt;&gt;"-",ISERROR(--LEFT(A751,4)),ISERROR(--RIGHT(A751,2))),"ERROR: PERIODO debe ser AAAA-MM",IF(B751="","ERROR: falta CODIGO CECO",IF(G751="CECO NO EXISTE","ERROR: CECO no existe en el catálogo",IF(C751="","ERROR: falta CUENTA",IF(ISERROR(--C751),"ERROR: CUENTA debe tener solo dígitos",IF(ISERROR(FIND(LEFT(C751,1),"567")),"ERROR: CUENTA fuera de las clases de costo",IF(NOT(ISNUMBER(E751)),"ERROR: VALOR debe ser numérico",IF(E751=0,"AVISO: valor cero (no se carga)",IF(J751&lt;&gt;"ACTIVO","NO SE CARGA: CECO en estado "&amp;J751,"OK"))))))))))</f>
        <v/>
      </c>
    </row>
    <row r="752">
      <c r="A752" s="5" t="n"/>
      <c r="B752" s="6" t="n"/>
      <c r="C752" s="5" t="n"/>
      <c r="D752" s="6" t="n"/>
      <c r="E752" s="7" t="n"/>
      <c r="F752" s="6" t="n"/>
      <c r="G752" s="8">
        <f>IF(B752="","",IFERROR(VLOOKUP(--B752,'CATALOGO CECO'!$A$2:$H$550,2,FALSE),"CECO NO EXISTE"))</f>
        <v/>
      </c>
      <c r="H752" s="8">
        <f>IF(B752="","",IFERROR(VLOOKUP(--B752,'CATALOGO CECO'!$A$2:$H$550,3,FALSE),""))</f>
        <v/>
      </c>
      <c r="I752" s="8">
        <f>IF(B752="","",IFERROR(VLOOKUP(--B752,'CATALOGO CECO'!$A$2:$H$550,5,FALSE),""))</f>
        <v/>
      </c>
      <c r="J752" s="8">
        <f>IF(B752="","",IFERROR(VLOOKUP(--B752,'CATALOGO CECO'!$A$2:$H$550,8,FALSE),""))</f>
        <v/>
      </c>
      <c r="K752" s="8">
        <f>IF(COUNTA(A752:F752)=0,"",IF(OR(LEN(A752)&lt;&gt;7,MID(A752,5,1)&lt;&gt;"-",ISERROR(--LEFT(A752,4)),ISERROR(--RIGHT(A752,2))),"ERROR: PERIODO debe ser AAAA-MM",IF(B752="","ERROR: falta CODIGO CECO",IF(G752="CECO NO EXISTE","ERROR: CECO no existe en el catálogo",IF(C752="","ERROR: falta CUENTA",IF(ISERROR(--C752),"ERROR: CUENTA debe tener solo dígitos",IF(ISERROR(FIND(LEFT(C752,1),"567")),"ERROR: CUENTA fuera de las clases de costo",IF(NOT(ISNUMBER(E752)),"ERROR: VALOR debe ser numérico",IF(E752=0,"AVISO: valor cero (no se carga)",IF(J752&lt;&gt;"ACTIVO","NO SE CARGA: CECO en estado "&amp;J752,"OK"))))))))))</f>
        <v/>
      </c>
    </row>
    <row r="753">
      <c r="A753" s="5" t="n"/>
      <c r="B753" s="6" t="n"/>
      <c r="C753" s="5" t="n"/>
      <c r="D753" s="6" t="n"/>
      <c r="E753" s="7" t="n"/>
      <c r="F753" s="6" t="n"/>
      <c r="G753" s="8">
        <f>IF(B753="","",IFERROR(VLOOKUP(--B753,'CATALOGO CECO'!$A$2:$H$550,2,FALSE),"CECO NO EXISTE"))</f>
        <v/>
      </c>
      <c r="H753" s="8">
        <f>IF(B753="","",IFERROR(VLOOKUP(--B753,'CATALOGO CECO'!$A$2:$H$550,3,FALSE),""))</f>
        <v/>
      </c>
      <c r="I753" s="8">
        <f>IF(B753="","",IFERROR(VLOOKUP(--B753,'CATALOGO CECO'!$A$2:$H$550,5,FALSE),""))</f>
        <v/>
      </c>
      <c r="J753" s="8">
        <f>IF(B753="","",IFERROR(VLOOKUP(--B753,'CATALOGO CECO'!$A$2:$H$550,8,FALSE),""))</f>
        <v/>
      </c>
      <c r="K753" s="8">
        <f>IF(COUNTA(A753:F753)=0,"",IF(OR(LEN(A753)&lt;&gt;7,MID(A753,5,1)&lt;&gt;"-",ISERROR(--LEFT(A753,4)),ISERROR(--RIGHT(A753,2))),"ERROR: PERIODO debe ser AAAA-MM",IF(B753="","ERROR: falta CODIGO CECO",IF(G753="CECO NO EXISTE","ERROR: CECO no existe en el catálogo",IF(C753="","ERROR: falta CUENTA",IF(ISERROR(--C753),"ERROR: CUENTA debe tener solo dígitos",IF(ISERROR(FIND(LEFT(C753,1),"567")),"ERROR: CUENTA fuera de las clases de costo",IF(NOT(ISNUMBER(E753)),"ERROR: VALOR debe ser numérico",IF(E753=0,"AVISO: valor cero (no se carga)",IF(J753&lt;&gt;"ACTIVO","NO SE CARGA: CECO en estado "&amp;J753,"OK"))))))))))</f>
        <v/>
      </c>
    </row>
    <row r="754">
      <c r="A754" s="5" t="n"/>
      <c r="B754" s="6" t="n"/>
      <c r="C754" s="5" t="n"/>
      <c r="D754" s="6" t="n"/>
      <c r="E754" s="7" t="n"/>
      <c r="F754" s="6" t="n"/>
      <c r="G754" s="8">
        <f>IF(B754="","",IFERROR(VLOOKUP(--B754,'CATALOGO CECO'!$A$2:$H$550,2,FALSE),"CECO NO EXISTE"))</f>
        <v/>
      </c>
      <c r="H754" s="8">
        <f>IF(B754="","",IFERROR(VLOOKUP(--B754,'CATALOGO CECO'!$A$2:$H$550,3,FALSE),""))</f>
        <v/>
      </c>
      <c r="I754" s="8">
        <f>IF(B754="","",IFERROR(VLOOKUP(--B754,'CATALOGO CECO'!$A$2:$H$550,5,FALSE),""))</f>
        <v/>
      </c>
      <c r="J754" s="8">
        <f>IF(B754="","",IFERROR(VLOOKUP(--B754,'CATALOGO CECO'!$A$2:$H$550,8,FALSE),""))</f>
        <v/>
      </c>
      <c r="K754" s="8">
        <f>IF(COUNTA(A754:F754)=0,"",IF(OR(LEN(A754)&lt;&gt;7,MID(A754,5,1)&lt;&gt;"-",ISERROR(--LEFT(A754,4)),ISERROR(--RIGHT(A754,2))),"ERROR: PERIODO debe ser AAAA-MM",IF(B754="","ERROR: falta CODIGO CECO",IF(G754="CECO NO EXISTE","ERROR: CECO no existe en el catálogo",IF(C754="","ERROR: falta CUENTA",IF(ISERROR(--C754),"ERROR: CUENTA debe tener solo dígitos",IF(ISERROR(FIND(LEFT(C754,1),"567")),"ERROR: CUENTA fuera de las clases de costo",IF(NOT(ISNUMBER(E754)),"ERROR: VALOR debe ser numérico",IF(E754=0,"AVISO: valor cero (no se carga)",IF(J754&lt;&gt;"ACTIVO","NO SE CARGA: CECO en estado "&amp;J754,"OK"))))))))))</f>
        <v/>
      </c>
    </row>
    <row r="755">
      <c r="A755" s="5" t="n"/>
      <c r="B755" s="6" t="n"/>
      <c r="C755" s="5" t="n"/>
      <c r="D755" s="6" t="n"/>
      <c r="E755" s="7" t="n"/>
      <c r="F755" s="6" t="n"/>
      <c r="G755" s="8">
        <f>IF(B755="","",IFERROR(VLOOKUP(--B755,'CATALOGO CECO'!$A$2:$H$550,2,FALSE),"CECO NO EXISTE"))</f>
        <v/>
      </c>
      <c r="H755" s="8">
        <f>IF(B755="","",IFERROR(VLOOKUP(--B755,'CATALOGO CECO'!$A$2:$H$550,3,FALSE),""))</f>
        <v/>
      </c>
      <c r="I755" s="8">
        <f>IF(B755="","",IFERROR(VLOOKUP(--B755,'CATALOGO CECO'!$A$2:$H$550,5,FALSE),""))</f>
        <v/>
      </c>
      <c r="J755" s="8">
        <f>IF(B755="","",IFERROR(VLOOKUP(--B755,'CATALOGO CECO'!$A$2:$H$550,8,FALSE),""))</f>
        <v/>
      </c>
      <c r="K755" s="8">
        <f>IF(COUNTA(A755:F755)=0,"",IF(OR(LEN(A755)&lt;&gt;7,MID(A755,5,1)&lt;&gt;"-",ISERROR(--LEFT(A755,4)),ISERROR(--RIGHT(A755,2))),"ERROR: PERIODO debe ser AAAA-MM",IF(B755="","ERROR: falta CODIGO CECO",IF(G755="CECO NO EXISTE","ERROR: CECO no existe en el catálogo",IF(C755="","ERROR: falta CUENTA",IF(ISERROR(--C755),"ERROR: CUENTA debe tener solo dígitos",IF(ISERROR(FIND(LEFT(C755,1),"567")),"ERROR: CUENTA fuera de las clases de costo",IF(NOT(ISNUMBER(E755)),"ERROR: VALOR debe ser numérico",IF(E755=0,"AVISO: valor cero (no se carga)",IF(J755&lt;&gt;"ACTIVO","NO SE CARGA: CECO en estado "&amp;J755,"OK"))))))))))</f>
        <v/>
      </c>
    </row>
    <row r="756">
      <c r="A756" s="5" t="n"/>
      <c r="B756" s="6" t="n"/>
      <c r="C756" s="5" t="n"/>
      <c r="D756" s="6" t="n"/>
      <c r="E756" s="7" t="n"/>
      <c r="F756" s="6" t="n"/>
      <c r="G756" s="8">
        <f>IF(B756="","",IFERROR(VLOOKUP(--B756,'CATALOGO CECO'!$A$2:$H$550,2,FALSE),"CECO NO EXISTE"))</f>
        <v/>
      </c>
      <c r="H756" s="8">
        <f>IF(B756="","",IFERROR(VLOOKUP(--B756,'CATALOGO CECO'!$A$2:$H$550,3,FALSE),""))</f>
        <v/>
      </c>
      <c r="I756" s="8">
        <f>IF(B756="","",IFERROR(VLOOKUP(--B756,'CATALOGO CECO'!$A$2:$H$550,5,FALSE),""))</f>
        <v/>
      </c>
      <c r="J756" s="8">
        <f>IF(B756="","",IFERROR(VLOOKUP(--B756,'CATALOGO CECO'!$A$2:$H$550,8,FALSE),""))</f>
        <v/>
      </c>
      <c r="K756" s="8">
        <f>IF(COUNTA(A756:F756)=0,"",IF(OR(LEN(A756)&lt;&gt;7,MID(A756,5,1)&lt;&gt;"-",ISERROR(--LEFT(A756,4)),ISERROR(--RIGHT(A756,2))),"ERROR: PERIODO debe ser AAAA-MM",IF(B756="","ERROR: falta CODIGO CECO",IF(G756="CECO NO EXISTE","ERROR: CECO no existe en el catálogo",IF(C756="","ERROR: falta CUENTA",IF(ISERROR(--C756),"ERROR: CUENTA debe tener solo dígitos",IF(ISERROR(FIND(LEFT(C756,1),"567")),"ERROR: CUENTA fuera de las clases de costo",IF(NOT(ISNUMBER(E756)),"ERROR: VALOR debe ser numérico",IF(E756=0,"AVISO: valor cero (no se carga)",IF(J756&lt;&gt;"ACTIVO","NO SE CARGA: CECO en estado "&amp;J756,"OK"))))))))))</f>
        <v/>
      </c>
    </row>
    <row r="757">
      <c r="A757" s="5" t="n"/>
      <c r="B757" s="6" t="n"/>
      <c r="C757" s="5" t="n"/>
      <c r="D757" s="6" t="n"/>
      <c r="E757" s="7" t="n"/>
      <c r="F757" s="6" t="n"/>
      <c r="G757" s="8">
        <f>IF(B757="","",IFERROR(VLOOKUP(--B757,'CATALOGO CECO'!$A$2:$H$550,2,FALSE),"CECO NO EXISTE"))</f>
        <v/>
      </c>
      <c r="H757" s="8">
        <f>IF(B757="","",IFERROR(VLOOKUP(--B757,'CATALOGO CECO'!$A$2:$H$550,3,FALSE),""))</f>
        <v/>
      </c>
      <c r="I757" s="8">
        <f>IF(B757="","",IFERROR(VLOOKUP(--B757,'CATALOGO CECO'!$A$2:$H$550,5,FALSE),""))</f>
        <v/>
      </c>
      <c r="J757" s="8">
        <f>IF(B757="","",IFERROR(VLOOKUP(--B757,'CATALOGO CECO'!$A$2:$H$550,8,FALSE),""))</f>
        <v/>
      </c>
      <c r="K757" s="8">
        <f>IF(COUNTA(A757:F757)=0,"",IF(OR(LEN(A757)&lt;&gt;7,MID(A757,5,1)&lt;&gt;"-",ISERROR(--LEFT(A757,4)),ISERROR(--RIGHT(A757,2))),"ERROR: PERIODO debe ser AAAA-MM",IF(B757="","ERROR: falta CODIGO CECO",IF(G757="CECO NO EXISTE","ERROR: CECO no existe en el catálogo",IF(C757="","ERROR: falta CUENTA",IF(ISERROR(--C757),"ERROR: CUENTA debe tener solo dígitos",IF(ISERROR(FIND(LEFT(C757,1),"567")),"ERROR: CUENTA fuera de las clases de costo",IF(NOT(ISNUMBER(E757)),"ERROR: VALOR debe ser numérico",IF(E757=0,"AVISO: valor cero (no se carga)",IF(J757&lt;&gt;"ACTIVO","NO SE CARGA: CECO en estado "&amp;J757,"OK"))))))))))</f>
        <v/>
      </c>
    </row>
    <row r="758">
      <c r="A758" s="5" t="n"/>
      <c r="B758" s="6" t="n"/>
      <c r="C758" s="5" t="n"/>
      <c r="D758" s="6" t="n"/>
      <c r="E758" s="7" t="n"/>
      <c r="F758" s="6" t="n"/>
      <c r="G758" s="8">
        <f>IF(B758="","",IFERROR(VLOOKUP(--B758,'CATALOGO CECO'!$A$2:$H$550,2,FALSE),"CECO NO EXISTE"))</f>
        <v/>
      </c>
      <c r="H758" s="8">
        <f>IF(B758="","",IFERROR(VLOOKUP(--B758,'CATALOGO CECO'!$A$2:$H$550,3,FALSE),""))</f>
        <v/>
      </c>
      <c r="I758" s="8">
        <f>IF(B758="","",IFERROR(VLOOKUP(--B758,'CATALOGO CECO'!$A$2:$H$550,5,FALSE),""))</f>
        <v/>
      </c>
      <c r="J758" s="8">
        <f>IF(B758="","",IFERROR(VLOOKUP(--B758,'CATALOGO CECO'!$A$2:$H$550,8,FALSE),""))</f>
        <v/>
      </c>
      <c r="K758" s="8">
        <f>IF(COUNTA(A758:F758)=0,"",IF(OR(LEN(A758)&lt;&gt;7,MID(A758,5,1)&lt;&gt;"-",ISERROR(--LEFT(A758,4)),ISERROR(--RIGHT(A758,2))),"ERROR: PERIODO debe ser AAAA-MM",IF(B758="","ERROR: falta CODIGO CECO",IF(G758="CECO NO EXISTE","ERROR: CECO no existe en el catálogo",IF(C758="","ERROR: falta CUENTA",IF(ISERROR(--C758),"ERROR: CUENTA debe tener solo dígitos",IF(ISERROR(FIND(LEFT(C758,1),"567")),"ERROR: CUENTA fuera de las clases de costo",IF(NOT(ISNUMBER(E758)),"ERROR: VALOR debe ser numérico",IF(E758=0,"AVISO: valor cero (no se carga)",IF(J758&lt;&gt;"ACTIVO","NO SE CARGA: CECO en estado "&amp;J758,"OK"))))))))))</f>
        <v/>
      </c>
    </row>
    <row r="759">
      <c r="A759" s="5" t="n"/>
      <c r="B759" s="6" t="n"/>
      <c r="C759" s="5" t="n"/>
      <c r="D759" s="6" t="n"/>
      <c r="E759" s="7" t="n"/>
      <c r="F759" s="6" t="n"/>
      <c r="G759" s="8">
        <f>IF(B759="","",IFERROR(VLOOKUP(--B759,'CATALOGO CECO'!$A$2:$H$550,2,FALSE),"CECO NO EXISTE"))</f>
        <v/>
      </c>
      <c r="H759" s="8">
        <f>IF(B759="","",IFERROR(VLOOKUP(--B759,'CATALOGO CECO'!$A$2:$H$550,3,FALSE),""))</f>
        <v/>
      </c>
      <c r="I759" s="8">
        <f>IF(B759="","",IFERROR(VLOOKUP(--B759,'CATALOGO CECO'!$A$2:$H$550,5,FALSE),""))</f>
        <v/>
      </c>
      <c r="J759" s="8">
        <f>IF(B759="","",IFERROR(VLOOKUP(--B759,'CATALOGO CECO'!$A$2:$H$550,8,FALSE),""))</f>
        <v/>
      </c>
      <c r="K759" s="8">
        <f>IF(COUNTA(A759:F759)=0,"",IF(OR(LEN(A759)&lt;&gt;7,MID(A759,5,1)&lt;&gt;"-",ISERROR(--LEFT(A759,4)),ISERROR(--RIGHT(A759,2))),"ERROR: PERIODO debe ser AAAA-MM",IF(B759="","ERROR: falta CODIGO CECO",IF(G759="CECO NO EXISTE","ERROR: CECO no existe en el catálogo",IF(C759="","ERROR: falta CUENTA",IF(ISERROR(--C759),"ERROR: CUENTA debe tener solo dígitos",IF(ISERROR(FIND(LEFT(C759,1),"567")),"ERROR: CUENTA fuera de las clases de costo",IF(NOT(ISNUMBER(E759)),"ERROR: VALOR debe ser numérico",IF(E759=0,"AVISO: valor cero (no se carga)",IF(J759&lt;&gt;"ACTIVO","NO SE CARGA: CECO en estado "&amp;J759,"OK"))))))))))</f>
        <v/>
      </c>
    </row>
    <row r="760">
      <c r="A760" s="5" t="n"/>
      <c r="B760" s="6" t="n"/>
      <c r="C760" s="5" t="n"/>
      <c r="D760" s="6" t="n"/>
      <c r="E760" s="7" t="n"/>
      <c r="F760" s="6" t="n"/>
      <c r="G760" s="8">
        <f>IF(B760="","",IFERROR(VLOOKUP(--B760,'CATALOGO CECO'!$A$2:$H$550,2,FALSE),"CECO NO EXISTE"))</f>
        <v/>
      </c>
      <c r="H760" s="8">
        <f>IF(B760="","",IFERROR(VLOOKUP(--B760,'CATALOGO CECO'!$A$2:$H$550,3,FALSE),""))</f>
        <v/>
      </c>
      <c r="I760" s="8">
        <f>IF(B760="","",IFERROR(VLOOKUP(--B760,'CATALOGO CECO'!$A$2:$H$550,5,FALSE),""))</f>
        <v/>
      </c>
      <c r="J760" s="8">
        <f>IF(B760="","",IFERROR(VLOOKUP(--B760,'CATALOGO CECO'!$A$2:$H$550,8,FALSE),""))</f>
        <v/>
      </c>
      <c r="K760" s="8">
        <f>IF(COUNTA(A760:F760)=0,"",IF(OR(LEN(A760)&lt;&gt;7,MID(A760,5,1)&lt;&gt;"-",ISERROR(--LEFT(A760,4)),ISERROR(--RIGHT(A760,2))),"ERROR: PERIODO debe ser AAAA-MM",IF(B760="","ERROR: falta CODIGO CECO",IF(G760="CECO NO EXISTE","ERROR: CECO no existe en el catálogo",IF(C760="","ERROR: falta CUENTA",IF(ISERROR(--C760),"ERROR: CUENTA debe tener solo dígitos",IF(ISERROR(FIND(LEFT(C760,1),"567")),"ERROR: CUENTA fuera de las clases de costo",IF(NOT(ISNUMBER(E760)),"ERROR: VALOR debe ser numérico",IF(E760=0,"AVISO: valor cero (no se carga)",IF(J760&lt;&gt;"ACTIVO","NO SE CARGA: CECO en estado "&amp;J760,"OK"))))))))))</f>
        <v/>
      </c>
    </row>
    <row r="761">
      <c r="A761" s="5" t="n"/>
      <c r="B761" s="6" t="n"/>
      <c r="C761" s="5" t="n"/>
      <c r="D761" s="6" t="n"/>
      <c r="E761" s="7" t="n"/>
      <c r="F761" s="6" t="n"/>
      <c r="G761" s="8">
        <f>IF(B761="","",IFERROR(VLOOKUP(--B761,'CATALOGO CECO'!$A$2:$H$550,2,FALSE),"CECO NO EXISTE"))</f>
        <v/>
      </c>
      <c r="H761" s="8">
        <f>IF(B761="","",IFERROR(VLOOKUP(--B761,'CATALOGO CECO'!$A$2:$H$550,3,FALSE),""))</f>
        <v/>
      </c>
      <c r="I761" s="8">
        <f>IF(B761="","",IFERROR(VLOOKUP(--B761,'CATALOGO CECO'!$A$2:$H$550,5,FALSE),""))</f>
        <v/>
      </c>
      <c r="J761" s="8">
        <f>IF(B761="","",IFERROR(VLOOKUP(--B761,'CATALOGO CECO'!$A$2:$H$550,8,FALSE),""))</f>
        <v/>
      </c>
      <c r="K761" s="8">
        <f>IF(COUNTA(A761:F761)=0,"",IF(OR(LEN(A761)&lt;&gt;7,MID(A761,5,1)&lt;&gt;"-",ISERROR(--LEFT(A761,4)),ISERROR(--RIGHT(A761,2))),"ERROR: PERIODO debe ser AAAA-MM",IF(B761="","ERROR: falta CODIGO CECO",IF(G761="CECO NO EXISTE","ERROR: CECO no existe en el catálogo",IF(C761="","ERROR: falta CUENTA",IF(ISERROR(--C761),"ERROR: CUENTA debe tener solo dígitos",IF(ISERROR(FIND(LEFT(C761,1),"567")),"ERROR: CUENTA fuera de las clases de costo",IF(NOT(ISNUMBER(E761)),"ERROR: VALOR debe ser numérico",IF(E761=0,"AVISO: valor cero (no se carga)",IF(J761&lt;&gt;"ACTIVO","NO SE CARGA: CECO en estado "&amp;J761,"OK"))))))))))</f>
        <v/>
      </c>
    </row>
    <row r="762">
      <c r="A762" s="5" t="n"/>
      <c r="B762" s="6" t="n"/>
      <c r="C762" s="5" t="n"/>
      <c r="D762" s="6" t="n"/>
      <c r="E762" s="7" t="n"/>
      <c r="F762" s="6" t="n"/>
      <c r="G762" s="8">
        <f>IF(B762="","",IFERROR(VLOOKUP(--B762,'CATALOGO CECO'!$A$2:$H$550,2,FALSE),"CECO NO EXISTE"))</f>
        <v/>
      </c>
      <c r="H762" s="8">
        <f>IF(B762="","",IFERROR(VLOOKUP(--B762,'CATALOGO CECO'!$A$2:$H$550,3,FALSE),""))</f>
        <v/>
      </c>
      <c r="I762" s="8">
        <f>IF(B762="","",IFERROR(VLOOKUP(--B762,'CATALOGO CECO'!$A$2:$H$550,5,FALSE),""))</f>
        <v/>
      </c>
      <c r="J762" s="8">
        <f>IF(B762="","",IFERROR(VLOOKUP(--B762,'CATALOGO CECO'!$A$2:$H$550,8,FALSE),""))</f>
        <v/>
      </c>
      <c r="K762" s="8">
        <f>IF(COUNTA(A762:F762)=0,"",IF(OR(LEN(A762)&lt;&gt;7,MID(A762,5,1)&lt;&gt;"-",ISERROR(--LEFT(A762,4)),ISERROR(--RIGHT(A762,2))),"ERROR: PERIODO debe ser AAAA-MM",IF(B762="","ERROR: falta CODIGO CECO",IF(G762="CECO NO EXISTE","ERROR: CECO no existe en el catálogo",IF(C762="","ERROR: falta CUENTA",IF(ISERROR(--C762),"ERROR: CUENTA debe tener solo dígitos",IF(ISERROR(FIND(LEFT(C762,1),"567")),"ERROR: CUENTA fuera de las clases de costo",IF(NOT(ISNUMBER(E762)),"ERROR: VALOR debe ser numérico",IF(E762=0,"AVISO: valor cero (no se carga)",IF(J762&lt;&gt;"ACTIVO","NO SE CARGA: CECO en estado "&amp;J762,"OK"))))))))))</f>
        <v/>
      </c>
    </row>
    <row r="763">
      <c r="A763" s="5" t="n"/>
      <c r="B763" s="6" t="n"/>
      <c r="C763" s="5" t="n"/>
      <c r="D763" s="6" t="n"/>
      <c r="E763" s="7" t="n"/>
      <c r="F763" s="6" t="n"/>
      <c r="G763" s="8">
        <f>IF(B763="","",IFERROR(VLOOKUP(--B763,'CATALOGO CECO'!$A$2:$H$550,2,FALSE),"CECO NO EXISTE"))</f>
        <v/>
      </c>
      <c r="H763" s="8">
        <f>IF(B763="","",IFERROR(VLOOKUP(--B763,'CATALOGO CECO'!$A$2:$H$550,3,FALSE),""))</f>
        <v/>
      </c>
      <c r="I763" s="8">
        <f>IF(B763="","",IFERROR(VLOOKUP(--B763,'CATALOGO CECO'!$A$2:$H$550,5,FALSE),""))</f>
        <v/>
      </c>
      <c r="J763" s="8">
        <f>IF(B763="","",IFERROR(VLOOKUP(--B763,'CATALOGO CECO'!$A$2:$H$550,8,FALSE),""))</f>
        <v/>
      </c>
      <c r="K763" s="8">
        <f>IF(COUNTA(A763:F763)=0,"",IF(OR(LEN(A763)&lt;&gt;7,MID(A763,5,1)&lt;&gt;"-",ISERROR(--LEFT(A763,4)),ISERROR(--RIGHT(A763,2))),"ERROR: PERIODO debe ser AAAA-MM",IF(B763="","ERROR: falta CODIGO CECO",IF(G763="CECO NO EXISTE","ERROR: CECO no existe en el catálogo",IF(C763="","ERROR: falta CUENTA",IF(ISERROR(--C763),"ERROR: CUENTA debe tener solo dígitos",IF(ISERROR(FIND(LEFT(C763,1),"567")),"ERROR: CUENTA fuera de las clases de costo",IF(NOT(ISNUMBER(E763)),"ERROR: VALOR debe ser numérico",IF(E763=0,"AVISO: valor cero (no se carga)",IF(J763&lt;&gt;"ACTIVO","NO SE CARGA: CECO en estado "&amp;J763,"OK"))))))))))</f>
        <v/>
      </c>
    </row>
    <row r="764">
      <c r="A764" s="5" t="n"/>
      <c r="B764" s="6" t="n"/>
      <c r="C764" s="5" t="n"/>
      <c r="D764" s="6" t="n"/>
      <c r="E764" s="7" t="n"/>
      <c r="F764" s="6" t="n"/>
      <c r="G764" s="8">
        <f>IF(B764="","",IFERROR(VLOOKUP(--B764,'CATALOGO CECO'!$A$2:$H$550,2,FALSE),"CECO NO EXISTE"))</f>
        <v/>
      </c>
      <c r="H764" s="8">
        <f>IF(B764="","",IFERROR(VLOOKUP(--B764,'CATALOGO CECO'!$A$2:$H$550,3,FALSE),""))</f>
        <v/>
      </c>
      <c r="I764" s="8">
        <f>IF(B764="","",IFERROR(VLOOKUP(--B764,'CATALOGO CECO'!$A$2:$H$550,5,FALSE),""))</f>
        <v/>
      </c>
      <c r="J764" s="8">
        <f>IF(B764="","",IFERROR(VLOOKUP(--B764,'CATALOGO CECO'!$A$2:$H$550,8,FALSE),""))</f>
        <v/>
      </c>
      <c r="K764" s="8">
        <f>IF(COUNTA(A764:F764)=0,"",IF(OR(LEN(A764)&lt;&gt;7,MID(A764,5,1)&lt;&gt;"-",ISERROR(--LEFT(A764,4)),ISERROR(--RIGHT(A764,2))),"ERROR: PERIODO debe ser AAAA-MM",IF(B764="","ERROR: falta CODIGO CECO",IF(G764="CECO NO EXISTE","ERROR: CECO no existe en el catálogo",IF(C764="","ERROR: falta CUENTA",IF(ISERROR(--C764),"ERROR: CUENTA debe tener solo dígitos",IF(ISERROR(FIND(LEFT(C764,1),"567")),"ERROR: CUENTA fuera de las clases de costo",IF(NOT(ISNUMBER(E764)),"ERROR: VALOR debe ser numérico",IF(E764=0,"AVISO: valor cero (no se carga)",IF(J764&lt;&gt;"ACTIVO","NO SE CARGA: CECO en estado "&amp;J764,"OK"))))))))))</f>
        <v/>
      </c>
    </row>
    <row r="765">
      <c r="A765" s="5" t="n"/>
      <c r="B765" s="6" t="n"/>
      <c r="C765" s="5" t="n"/>
      <c r="D765" s="6" t="n"/>
      <c r="E765" s="7" t="n"/>
      <c r="F765" s="6" t="n"/>
      <c r="G765" s="8">
        <f>IF(B765="","",IFERROR(VLOOKUP(--B765,'CATALOGO CECO'!$A$2:$H$550,2,FALSE),"CECO NO EXISTE"))</f>
        <v/>
      </c>
      <c r="H765" s="8">
        <f>IF(B765="","",IFERROR(VLOOKUP(--B765,'CATALOGO CECO'!$A$2:$H$550,3,FALSE),""))</f>
        <v/>
      </c>
      <c r="I765" s="8">
        <f>IF(B765="","",IFERROR(VLOOKUP(--B765,'CATALOGO CECO'!$A$2:$H$550,5,FALSE),""))</f>
        <v/>
      </c>
      <c r="J765" s="8">
        <f>IF(B765="","",IFERROR(VLOOKUP(--B765,'CATALOGO CECO'!$A$2:$H$550,8,FALSE),""))</f>
        <v/>
      </c>
      <c r="K765" s="8">
        <f>IF(COUNTA(A765:F765)=0,"",IF(OR(LEN(A765)&lt;&gt;7,MID(A765,5,1)&lt;&gt;"-",ISERROR(--LEFT(A765,4)),ISERROR(--RIGHT(A765,2))),"ERROR: PERIODO debe ser AAAA-MM",IF(B765="","ERROR: falta CODIGO CECO",IF(G765="CECO NO EXISTE","ERROR: CECO no existe en el catálogo",IF(C765="","ERROR: falta CUENTA",IF(ISERROR(--C765),"ERROR: CUENTA debe tener solo dígitos",IF(ISERROR(FIND(LEFT(C765,1),"567")),"ERROR: CUENTA fuera de las clases de costo",IF(NOT(ISNUMBER(E765)),"ERROR: VALOR debe ser numérico",IF(E765=0,"AVISO: valor cero (no se carga)",IF(J765&lt;&gt;"ACTIVO","NO SE CARGA: CECO en estado "&amp;J765,"OK"))))))))))</f>
        <v/>
      </c>
    </row>
    <row r="766">
      <c r="A766" s="5" t="n"/>
      <c r="B766" s="6" t="n"/>
      <c r="C766" s="5" t="n"/>
      <c r="D766" s="6" t="n"/>
      <c r="E766" s="7" t="n"/>
      <c r="F766" s="6" t="n"/>
      <c r="G766" s="8">
        <f>IF(B766="","",IFERROR(VLOOKUP(--B766,'CATALOGO CECO'!$A$2:$H$550,2,FALSE),"CECO NO EXISTE"))</f>
        <v/>
      </c>
      <c r="H766" s="8">
        <f>IF(B766="","",IFERROR(VLOOKUP(--B766,'CATALOGO CECO'!$A$2:$H$550,3,FALSE),""))</f>
        <v/>
      </c>
      <c r="I766" s="8">
        <f>IF(B766="","",IFERROR(VLOOKUP(--B766,'CATALOGO CECO'!$A$2:$H$550,5,FALSE),""))</f>
        <v/>
      </c>
      <c r="J766" s="8">
        <f>IF(B766="","",IFERROR(VLOOKUP(--B766,'CATALOGO CECO'!$A$2:$H$550,8,FALSE),""))</f>
        <v/>
      </c>
      <c r="K766" s="8">
        <f>IF(COUNTA(A766:F766)=0,"",IF(OR(LEN(A766)&lt;&gt;7,MID(A766,5,1)&lt;&gt;"-",ISERROR(--LEFT(A766,4)),ISERROR(--RIGHT(A766,2))),"ERROR: PERIODO debe ser AAAA-MM",IF(B766="","ERROR: falta CODIGO CECO",IF(G766="CECO NO EXISTE","ERROR: CECO no existe en el catálogo",IF(C766="","ERROR: falta CUENTA",IF(ISERROR(--C766),"ERROR: CUENTA debe tener solo dígitos",IF(ISERROR(FIND(LEFT(C766,1),"567")),"ERROR: CUENTA fuera de las clases de costo",IF(NOT(ISNUMBER(E766)),"ERROR: VALOR debe ser numérico",IF(E766=0,"AVISO: valor cero (no se carga)",IF(J766&lt;&gt;"ACTIVO","NO SE CARGA: CECO en estado "&amp;J766,"OK"))))))))))</f>
        <v/>
      </c>
    </row>
    <row r="767">
      <c r="A767" s="5" t="n"/>
      <c r="B767" s="6" t="n"/>
      <c r="C767" s="5" t="n"/>
      <c r="D767" s="6" t="n"/>
      <c r="E767" s="7" t="n"/>
      <c r="F767" s="6" t="n"/>
      <c r="G767" s="8">
        <f>IF(B767="","",IFERROR(VLOOKUP(--B767,'CATALOGO CECO'!$A$2:$H$550,2,FALSE),"CECO NO EXISTE"))</f>
        <v/>
      </c>
      <c r="H767" s="8">
        <f>IF(B767="","",IFERROR(VLOOKUP(--B767,'CATALOGO CECO'!$A$2:$H$550,3,FALSE),""))</f>
        <v/>
      </c>
      <c r="I767" s="8">
        <f>IF(B767="","",IFERROR(VLOOKUP(--B767,'CATALOGO CECO'!$A$2:$H$550,5,FALSE),""))</f>
        <v/>
      </c>
      <c r="J767" s="8">
        <f>IF(B767="","",IFERROR(VLOOKUP(--B767,'CATALOGO CECO'!$A$2:$H$550,8,FALSE),""))</f>
        <v/>
      </c>
      <c r="K767" s="8">
        <f>IF(COUNTA(A767:F767)=0,"",IF(OR(LEN(A767)&lt;&gt;7,MID(A767,5,1)&lt;&gt;"-",ISERROR(--LEFT(A767,4)),ISERROR(--RIGHT(A767,2))),"ERROR: PERIODO debe ser AAAA-MM",IF(B767="","ERROR: falta CODIGO CECO",IF(G767="CECO NO EXISTE","ERROR: CECO no existe en el catálogo",IF(C767="","ERROR: falta CUENTA",IF(ISERROR(--C767),"ERROR: CUENTA debe tener solo dígitos",IF(ISERROR(FIND(LEFT(C767,1),"567")),"ERROR: CUENTA fuera de las clases de costo",IF(NOT(ISNUMBER(E767)),"ERROR: VALOR debe ser numérico",IF(E767=0,"AVISO: valor cero (no se carga)",IF(J767&lt;&gt;"ACTIVO","NO SE CARGA: CECO en estado "&amp;J767,"OK"))))))))))</f>
        <v/>
      </c>
    </row>
    <row r="768">
      <c r="A768" s="5" t="n"/>
      <c r="B768" s="6" t="n"/>
      <c r="C768" s="5" t="n"/>
      <c r="D768" s="6" t="n"/>
      <c r="E768" s="7" t="n"/>
      <c r="F768" s="6" t="n"/>
      <c r="G768" s="8">
        <f>IF(B768="","",IFERROR(VLOOKUP(--B768,'CATALOGO CECO'!$A$2:$H$550,2,FALSE),"CECO NO EXISTE"))</f>
        <v/>
      </c>
      <c r="H768" s="8">
        <f>IF(B768="","",IFERROR(VLOOKUP(--B768,'CATALOGO CECO'!$A$2:$H$550,3,FALSE),""))</f>
        <v/>
      </c>
      <c r="I768" s="8">
        <f>IF(B768="","",IFERROR(VLOOKUP(--B768,'CATALOGO CECO'!$A$2:$H$550,5,FALSE),""))</f>
        <v/>
      </c>
      <c r="J768" s="8">
        <f>IF(B768="","",IFERROR(VLOOKUP(--B768,'CATALOGO CECO'!$A$2:$H$550,8,FALSE),""))</f>
        <v/>
      </c>
      <c r="K768" s="8">
        <f>IF(COUNTA(A768:F768)=0,"",IF(OR(LEN(A768)&lt;&gt;7,MID(A768,5,1)&lt;&gt;"-",ISERROR(--LEFT(A768,4)),ISERROR(--RIGHT(A768,2))),"ERROR: PERIODO debe ser AAAA-MM",IF(B768="","ERROR: falta CODIGO CECO",IF(G768="CECO NO EXISTE","ERROR: CECO no existe en el catálogo",IF(C768="","ERROR: falta CUENTA",IF(ISERROR(--C768),"ERROR: CUENTA debe tener solo dígitos",IF(ISERROR(FIND(LEFT(C768,1),"567")),"ERROR: CUENTA fuera de las clases de costo",IF(NOT(ISNUMBER(E768)),"ERROR: VALOR debe ser numérico",IF(E768=0,"AVISO: valor cero (no se carga)",IF(J768&lt;&gt;"ACTIVO","NO SE CARGA: CECO en estado "&amp;J768,"OK"))))))))))</f>
        <v/>
      </c>
    </row>
    <row r="769">
      <c r="A769" s="5" t="n"/>
      <c r="B769" s="6" t="n"/>
      <c r="C769" s="5" t="n"/>
      <c r="D769" s="6" t="n"/>
      <c r="E769" s="7" t="n"/>
      <c r="F769" s="6" t="n"/>
      <c r="G769" s="8">
        <f>IF(B769="","",IFERROR(VLOOKUP(--B769,'CATALOGO CECO'!$A$2:$H$550,2,FALSE),"CECO NO EXISTE"))</f>
        <v/>
      </c>
      <c r="H769" s="8">
        <f>IF(B769="","",IFERROR(VLOOKUP(--B769,'CATALOGO CECO'!$A$2:$H$550,3,FALSE),""))</f>
        <v/>
      </c>
      <c r="I769" s="8">
        <f>IF(B769="","",IFERROR(VLOOKUP(--B769,'CATALOGO CECO'!$A$2:$H$550,5,FALSE),""))</f>
        <v/>
      </c>
      <c r="J769" s="8">
        <f>IF(B769="","",IFERROR(VLOOKUP(--B769,'CATALOGO CECO'!$A$2:$H$550,8,FALSE),""))</f>
        <v/>
      </c>
      <c r="K769" s="8">
        <f>IF(COUNTA(A769:F769)=0,"",IF(OR(LEN(A769)&lt;&gt;7,MID(A769,5,1)&lt;&gt;"-",ISERROR(--LEFT(A769,4)),ISERROR(--RIGHT(A769,2))),"ERROR: PERIODO debe ser AAAA-MM",IF(B769="","ERROR: falta CODIGO CECO",IF(G769="CECO NO EXISTE","ERROR: CECO no existe en el catálogo",IF(C769="","ERROR: falta CUENTA",IF(ISERROR(--C769),"ERROR: CUENTA debe tener solo dígitos",IF(ISERROR(FIND(LEFT(C769,1),"567")),"ERROR: CUENTA fuera de las clases de costo",IF(NOT(ISNUMBER(E769)),"ERROR: VALOR debe ser numérico",IF(E769=0,"AVISO: valor cero (no se carga)",IF(J769&lt;&gt;"ACTIVO","NO SE CARGA: CECO en estado "&amp;J769,"OK"))))))))))</f>
        <v/>
      </c>
    </row>
    <row r="770">
      <c r="A770" s="5" t="n"/>
      <c r="B770" s="6" t="n"/>
      <c r="C770" s="5" t="n"/>
      <c r="D770" s="6" t="n"/>
      <c r="E770" s="7" t="n"/>
      <c r="F770" s="6" t="n"/>
      <c r="G770" s="8">
        <f>IF(B770="","",IFERROR(VLOOKUP(--B770,'CATALOGO CECO'!$A$2:$H$550,2,FALSE),"CECO NO EXISTE"))</f>
        <v/>
      </c>
      <c r="H770" s="8">
        <f>IF(B770="","",IFERROR(VLOOKUP(--B770,'CATALOGO CECO'!$A$2:$H$550,3,FALSE),""))</f>
        <v/>
      </c>
      <c r="I770" s="8">
        <f>IF(B770="","",IFERROR(VLOOKUP(--B770,'CATALOGO CECO'!$A$2:$H$550,5,FALSE),""))</f>
        <v/>
      </c>
      <c r="J770" s="8">
        <f>IF(B770="","",IFERROR(VLOOKUP(--B770,'CATALOGO CECO'!$A$2:$H$550,8,FALSE),""))</f>
        <v/>
      </c>
      <c r="K770" s="8">
        <f>IF(COUNTA(A770:F770)=0,"",IF(OR(LEN(A770)&lt;&gt;7,MID(A770,5,1)&lt;&gt;"-",ISERROR(--LEFT(A770,4)),ISERROR(--RIGHT(A770,2))),"ERROR: PERIODO debe ser AAAA-MM",IF(B770="","ERROR: falta CODIGO CECO",IF(G770="CECO NO EXISTE","ERROR: CECO no existe en el catálogo",IF(C770="","ERROR: falta CUENTA",IF(ISERROR(--C770),"ERROR: CUENTA debe tener solo dígitos",IF(ISERROR(FIND(LEFT(C770,1),"567")),"ERROR: CUENTA fuera de las clases de costo",IF(NOT(ISNUMBER(E770)),"ERROR: VALOR debe ser numérico",IF(E770=0,"AVISO: valor cero (no se carga)",IF(J770&lt;&gt;"ACTIVO","NO SE CARGA: CECO en estado "&amp;J770,"OK"))))))))))</f>
        <v/>
      </c>
    </row>
    <row r="771">
      <c r="A771" s="5" t="n"/>
      <c r="B771" s="6" t="n"/>
      <c r="C771" s="5" t="n"/>
      <c r="D771" s="6" t="n"/>
      <c r="E771" s="7" t="n"/>
      <c r="F771" s="6" t="n"/>
      <c r="G771" s="8">
        <f>IF(B771="","",IFERROR(VLOOKUP(--B771,'CATALOGO CECO'!$A$2:$H$550,2,FALSE),"CECO NO EXISTE"))</f>
        <v/>
      </c>
      <c r="H771" s="8">
        <f>IF(B771="","",IFERROR(VLOOKUP(--B771,'CATALOGO CECO'!$A$2:$H$550,3,FALSE),""))</f>
        <v/>
      </c>
      <c r="I771" s="8">
        <f>IF(B771="","",IFERROR(VLOOKUP(--B771,'CATALOGO CECO'!$A$2:$H$550,5,FALSE),""))</f>
        <v/>
      </c>
      <c r="J771" s="8">
        <f>IF(B771="","",IFERROR(VLOOKUP(--B771,'CATALOGO CECO'!$A$2:$H$550,8,FALSE),""))</f>
        <v/>
      </c>
      <c r="K771" s="8">
        <f>IF(COUNTA(A771:F771)=0,"",IF(OR(LEN(A771)&lt;&gt;7,MID(A771,5,1)&lt;&gt;"-",ISERROR(--LEFT(A771,4)),ISERROR(--RIGHT(A771,2))),"ERROR: PERIODO debe ser AAAA-MM",IF(B771="","ERROR: falta CODIGO CECO",IF(G771="CECO NO EXISTE","ERROR: CECO no existe en el catálogo",IF(C771="","ERROR: falta CUENTA",IF(ISERROR(--C771),"ERROR: CUENTA debe tener solo dígitos",IF(ISERROR(FIND(LEFT(C771,1),"567")),"ERROR: CUENTA fuera de las clases de costo",IF(NOT(ISNUMBER(E771)),"ERROR: VALOR debe ser numérico",IF(E771=0,"AVISO: valor cero (no se carga)",IF(J771&lt;&gt;"ACTIVO","NO SE CARGA: CECO en estado "&amp;J771,"OK"))))))))))</f>
        <v/>
      </c>
    </row>
    <row r="772">
      <c r="A772" s="5" t="n"/>
      <c r="B772" s="6" t="n"/>
      <c r="C772" s="5" t="n"/>
      <c r="D772" s="6" t="n"/>
      <c r="E772" s="7" t="n"/>
      <c r="F772" s="6" t="n"/>
      <c r="G772" s="8">
        <f>IF(B772="","",IFERROR(VLOOKUP(--B772,'CATALOGO CECO'!$A$2:$H$550,2,FALSE),"CECO NO EXISTE"))</f>
        <v/>
      </c>
      <c r="H772" s="8">
        <f>IF(B772="","",IFERROR(VLOOKUP(--B772,'CATALOGO CECO'!$A$2:$H$550,3,FALSE),""))</f>
        <v/>
      </c>
      <c r="I772" s="8">
        <f>IF(B772="","",IFERROR(VLOOKUP(--B772,'CATALOGO CECO'!$A$2:$H$550,5,FALSE),""))</f>
        <v/>
      </c>
      <c r="J772" s="8">
        <f>IF(B772="","",IFERROR(VLOOKUP(--B772,'CATALOGO CECO'!$A$2:$H$550,8,FALSE),""))</f>
        <v/>
      </c>
      <c r="K772" s="8">
        <f>IF(COUNTA(A772:F772)=0,"",IF(OR(LEN(A772)&lt;&gt;7,MID(A772,5,1)&lt;&gt;"-",ISERROR(--LEFT(A772,4)),ISERROR(--RIGHT(A772,2))),"ERROR: PERIODO debe ser AAAA-MM",IF(B772="","ERROR: falta CODIGO CECO",IF(G772="CECO NO EXISTE","ERROR: CECO no existe en el catálogo",IF(C772="","ERROR: falta CUENTA",IF(ISERROR(--C772),"ERROR: CUENTA debe tener solo dígitos",IF(ISERROR(FIND(LEFT(C772,1),"567")),"ERROR: CUENTA fuera de las clases de costo",IF(NOT(ISNUMBER(E772)),"ERROR: VALOR debe ser numérico",IF(E772=0,"AVISO: valor cero (no se carga)",IF(J772&lt;&gt;"ACTIVO","NO SE CARGA: CECO en estado "&amp;J772,"OK"))))))))))</f>
        <v/>
      </c>
    </row>
    <row r="773">
      <c r="A773" s="5" t="n"/>
      <c r="B773" s="6" t="n"/>
      <c r="C773" s="5" t="n"/>
      <c r="D773" s="6" t="n"/>
      <c r="E773" s="7" t="n"/>
      <c r="F773" s="6" t="n"/>
      <c r="G773" s="8">
        <f>IF(B773="","",IFERROR(VLOOKUP(--B773,'CATALOGO CECO'!$A$2:$H$550,2,FALSE),"CECO NO EXISTE"))</f>
        <v/>
      </c>
      <c r="H773" s="8">
        <f>IF(B773="","",IFERROR(VLOOKUP(--B773,'CATALOGO CECO'!$A$2:$H$550,3,FALSE),""))</f>
        <v/>
      </c>
      <c r="I773" s="8">
        <f>IF(B773="","",IFERROR(VLOOKUP(--B773,'CATALOGO CECO'!$A$2:$H$550,5,FALSE),""))</f>
        <v/>
      </c>
      <c r="J773" s="8">
        <f>IF(B773="","",IFERROR(VLOOKUP(--B773,'CATALOGO CECO'!$A$2:$H$550,8,FALSE),""))</f>
        <v/>
      </c>
      <c r="K773" s="8">
        <f>IF(COUNTA(A773:F773)=0,"",IF(OR(LEN(A773)&lt;&gt;7,MID(A773,5,1)&lt;&gt;"-",ISERROR(--LEFT(A773,4)),ISERROR(--RIGHT(A773,2))),"ERROR: PERIODO debe ser AAAA-MM",IF(B773="","ERROR: falta CODIGO CECO",IF(G773="CECO NO EXISTE","ERROR: CECO no existe en el catálogo",IF(C773="","ERROR: falta CUENTA",IF(ISERROR(--C773),"ERROR: CUENTA debe tener solo dígitos",IF(ISERROR(FIND(LEFT(C773,1),"567")),"ERROR: CUENTA fuera de las clases de costo",IF(NOT(ISNUMBER(E773)),"ERROR: VALOR debe ser numérico",IF(E773=0,"AVISO: valor cero (no se carga)",IF(J773&lt;&gt;"ACTIVO","NO SE CARGA: CECO en estado "&amp;J773,"OK"))))))))))</f>
        <v/>
      </c>
    </row>
    <row r="774">
      <c r="A774" s="5" t="n"/>
      <c r="B774" s="6" t="n"/>
      <c r="C774" s="5" t="n"/>
      <c r="D774" s="6" t="n"/>
      <c r="E774" s="7" t="n"/>
      <c r="F774" s="6" t="n"/>
      <c r="G774" s="8">
        <f>IF(B774="","",IFERROR(VLOOKUP(--B774,'CATALOGO CECO'!$A$2:$H$550,2,FALSE),"CECO NO EXISTE"))</f>
        <v/>
      </c>
      <c r="H774" s="8">
        <f>IF(B774="","",IFERROR(VLOOKUP(--B774,'CATALOGO CECO'!$A$2:$H$550,3,FALSE),""))</f>
        <v/>
      </c>
      <c r="I774" s="8">
        <f>IF(B774="","",IFERROR(VLOOKUP(--B774,'CATALOGO CECO'!$A$2:$H$550,5,FALSE),""))</f>
        <v/>
      </c>
      <c r="J774" s="8">
        <f>IF(B774="","",IFERROR(VLOOKUP(--B774,'CATALOGO CECO'!$A$2:$H$550,8,FALSE),""))</f>
        <v/>
      </c>
      <c r="K774" s="8">
        <f>IF(COUNTA(A774:F774)=0,"",IF(OR(LEN(A774)&lt;&gt;7,MID(A774,5,1)&lt;&gt;"-",ISERROR(--LEFT(A774,4)),ISERROR(--RIGHT(A774,2))),"ERROR: PERIODO debe ser AAAA-MM",IF(B774="","ERROR: falta CODIGO CECO",IF(G774="CECO NO EXISTE","ERROR: CECO no existe en el catálogo",IF(C774="","ERROR: falta CUENTA",IF(ISERROR(--C774),"ERROR: CUENTA debe tener solo dígitos",IF(ISERROR(FIND(LEFT(C774,1),"567")),"ERROR: CUENTA fuera de las clases de costo",IF(NOT(ISNUMBER(E774)),"ERROR: VALOR debe ser numérico",IF(E774=0,"AVISO: valor cero (no se carga)",IF(J774&lt;&gt;"ACTIVO","NO SE CARGA: CECO en estado "&amp;J774,"OK"))))))))))</f>
        <v/>
      </c>
    </row>
    <row r="775">
      <c r="A775" s="5" t="n"/>
      <c r="B775" s="6" t="n"/>
      <c r="C775" s="5" t="n"/>
      <c r="D775" s="6" t="n"/>
      <c r="E775" s="7" t="n"/>
      <c r="F775" s="6" t="n"/>
      <c r="G775" s="8">
        <f>IF(B775="","",IFERROR(VLOOKUP(--B775,'CATALOGO CECO'!$A$2:$H$550,2,FALSE),"CECO NO EXISTE"))</f>
        <v/>
      </c>
      <c r="H775" s="8">
        <f>IF(B775="","",IFERROR(VLOOKUP(--B775,'CATALOGO CECO'!$A$2:$H$550,3,FALSE),""))</f>
        <v/>
      </c>
      <c r="I775" s="8">
        <f>IF(B775="","",IFERROR(VLOOKUP(--B775,'CATALOGO CECO'!$A$2:$H$550,5,FALSE),""))</f>
        <v/>
      </c>
      <c r="J775" s="8">
        <f>IF(B775="","",IFERROR(VLOOKUP(--B775,'CATALOGO CECO'!$A$2:$H$550,8,FALSE),""))</f>
        <v/>
      </c>
      <c r="K775" s="8">
        <f>IF(COUNTA(A775:F775)=0,"",IF(OR(LEN(A775)&lt;&gt;7,MID(A775,5,1)&lt;&gt;"-",ISERROR(--LEFT(A775,4)),ISERROR(--RIGHT(A775,2))),"ERROR: PERIODO debe ser AAAA-MM",IF(B775="","ERROR: falta CODIGO CECO",IF(G775="CECO NO EXISTE","ERROR: CECO no existe en el catálogo",IF(C775="","ERROR: falta CUENTA",IF(ISERROR(--C775),"ERROR: CUENTA debe tener solo dígitos",IF(ISERROR(FIND(LEFT(C775,1),"567")),"ERROR: CUENTA fuera de las clases de costo",IF(NOT(ISNUMBER(E775)),"ERROR: VALOR debe ser numérico",IF(E775=0,"AVISO: valor cero (no se carga)",IF(J775&lt;&gt;"ACTIVO","NO SE CARGA: CECO en estado "&amp;J775,"OK"))))))))))</f>
        <v/>
      </c>
    </row>
    <row r="776">
      <c r="A776" s="5" t="n"/>
      <c r="B776" s="6" t="n"/>
      <c r="C776" s="5" t="n"/>
      <c r="D776" s="6" t="n"/>
      <c r="E776" s="7" t="n"/>
      <c r="F776" s="6" t="n"/>
      <c r="G776" s="8">
        <f>IF(B776="","",IFERROR(VLOOKUP(--B776,'CATALOGO CECO'!$A$2:$H$550,2,FALSE),"CECO NO EXISTE"))</f>
        <v/>
      </c>
      <c r="H776" s="8">
        <f>IF(B776="","",IFERROR(VLOOKUP(--B776,'CATALOGO CECO'!$A$2:$H$550,3,FALSE),""))</f>
        <v/>
      </c>
      <c r="I776" s="8">
        <f>IF(B776="","",IFERROR(VLOOKUP(--B776,'CATALOGO CECO'!$A$2:$H$550,5,FALSE),""))</f>
        <v/>
      </c>
      <c r="J776" s="8">
        <f>IF(B776="","",IFERROR(VLOOKUP(--B776,'CATALOGO CECO'!$A$2:$H$550,8,FALSE),""))</f>
        <v/>
      </c>
      <c r="K776" s="8">
        <f>IF(COUNTA(A776:F776)=0,"",IF(OR(LEN(A776)&lt;&gt;7,MID(A776,5,1)&lt;&gt;"-",ISERROR(--LEFT(A776,4)),ISERROR(--RIGHT(A776,2))),"ERROR: PERIODO debe ser AAAA-MM",IF(B776="","ERROR: falta CODIGO CECO",IF(G776="CECO NO EXISTE","ERROR: CECO no existe en el catálogo",IF(C776="","ERROR: falta CUENTA",IF(ISERROR(--C776),"ERROR: CUENTA debe tener solo dígitos",IF(ISERROR(FIND(LEFT(C776,1),"567")),"ERROR: CUENTA fuera de las clases de costo",IF(NOT(ISNUMBER(E776)),"ERROR: VALOR debe ser numérico",IF(E776=0,"AVISO: valor cero (no se carga)",IF(J776&lt;&gt;"ACTIVO","NO SE CARGA: CECO en estado "&amp;J776,"OK"))))))))))</f>
        <v/>
      </c>
    </row>
    <row r="777">
      <c r="A777" s="5" t="n"/>
      <c r="B777" s="6" t="n"/>
      <c r="C777" s="5" t="n"/>
      <c r="D777" s="6" t="n"/>
      <c r="E777" s="7" t="n"/>
      <c r="F777" s="6" t="n"/>
      <c r="G777" s="8">
        <f>IF(B777="","",IFERROR(VLOOKUP(--B777,'CATALOGO CECO'!$A$2:$H$550,2,FALSE),"CECO NO EXISTE"))</f>
        <v/>
      </c>
      <c r="H777" s="8">
        <f>IF(B777="","",IFERROR(VLOOKUP(--B777,'CATALOGO CECO'!$A$2:$H$550,3,FALSE),""))</f>
        <v/>
      </c>
      <c r="I777" s="8">
        <f>IF(B777="","",IFERROR(VLOOKUP(--B777,'CATALOGO CECO'!$A$2:$H$550,5,FALSE),""))</f>
        <v/>
      </c>
      <c r="J777" s="8">
        <f>IF(B777="","",IFERROR(VLOOKUP(--B777,'CATALOGO CECO'!$A$2:$H$550,8,FALSE),""))</f>
        <v/>
      </c>
      <c r="K777" s="8">
        <f>IF(COUNTA(A777:F777)=0,"",IF(OR(LEN(A777)&lt;&gt;7,MID(A777,5,1)&lt;&gt;"-",ISERROR(--LEFT(A777,4)),ISERROR(--RIGHT(A777,2))),"ERROR: PERIODO debe ser AAAA-MM",IF(B777="","ERROR: falta CODIGO CECO",IF(G777="CECO NO EXISTE","ERROR: CECO no existe en el catálogo",IF(C777="","ERROR: falta CUENTA",IF(ISERROR(--C777),"ERROR: CUENTA debe tener solo dígitos",IF(ISERROR(FIND(LEFT(C777,1),"567")),"ERROR: CUENTA fuera de las clases de costo",IF(NOT(ISNUMBER(E777)),"ERROR: VALOR debe ser numérico",IF(E777=0,"AVISO: valor cero (no se carga)",IF(J777&lt;&gt;"ACTIVO","NO SE CARGA: CECO en estado "&amp;J777,"OK"))))))))))</f>
        <v/>
      </c>
    </row>
    <row r="778">
      <c r="A778" s="5" t="n"/>
      <c r="B778" s="6" t="n"/>
      <c r="C778" s="5" t="n"/>
      <c r="D778" s="6" t="n"/>
      <c r="E778" s="7" t="n"/>
      <c r="F778" s="6" t="n"/>
      <c r="G778" s="8">
        <f>IF(B778="","",IFERROR(VLOOKUP(--B778,'CATALOGO CECO'!$A$2:$H$550,2,FALSE),"CECO NO EXISTE"))</f>
        <v/>
      </c>
      <c r="H778" s="8">
        <f>IF(B778="","",IFERROR(VLOOKUP(--B778,'CATALOGO CECO'!$A$2:$H$550,3,FALSE),""))</f>
        <v/>
      </c>
      <c r="I778" s="8">
        <f>IF(B778="","",IFERROR(VLOOKUP(--B778,'CATALOGO CECO'!$A$2:$H$550,5,FALSE),""))</f>
        <v/>
      </c>
      <c r="J778" s="8">
        <f>IF(B778="","",IFERROR(VLOOKUP(--B778,'CATALOGO CECO'!$A$2:$H$550,8,FALSE),""))</f>
        <v/>
      </c>
      <c r="K778" s="8">
        <f>IF(COUNTA(A778:F778)=0,"",IF(OR(LEN(A778)&lt;&gt;7,MID(A778,5,1)&lt;&gt;"-",ISERROR(--LEFT(A778,4)),ISERROR(--RIGHT(A778,2))),"ERROR: PERIODO debe ser AAAA-MM",IF(B778="","ERROR: falta CODIGO CECO",IF(G778="CECO NO EXISTE","ERROR: CECO no existe en el catálogo",IF(C778="","ERROR: falta CUENTA",IF(ISERROR(--C778),"ERROR: CUENTA debe tener solo dígitos",IF(ISERROR(FIND(LEFT(C778,1),"567")),"ERROR: CUENTA fuera de las clases de costo",IF(NOT(ISNUMBER(E778)),"ERROR: VALOR debe ser numérico",IF(E778=0,"AVISO: valor cero (no se carga)",IF(J778&lt;&gt;"ACTIVO","NO SE CARGA: CECO en estado "&amp;J778,"OK"))))))))))</f>
        <v/>
      </c>
    </row>
    <row r="779">
      <c r="A779" s="5" t="n"/>
      <c r="B779" s="6" t="n"/>
      <c r="C779" s="5" t="n"/>
      <c r="D779" s="6" t="n"/>
      <c r="E779" s="7" t="n"/>
      <c r="F779" s="6" t="n"/>
      <c r="G779" s="8">
        <f>IF(B779="","",IFERROR(VLOOKUP(--B779,'CATALOGO CECO'!$A$2:$H$550,2,FALSE),"CECO NO EXISTE"))</f>
        <v/>
      </c>
      <c r="H779" s="8">
        <f>IF(B779="","",IFERROR(VLOOKUP(--B779,'CATALOGO CECO'!$A$2:$H$550,3,FALSE),""))</f>
        <v/>
      </c>
      <c r="I779" s="8">
        <f>IF(B779="","",IFERROR(VLOOKUP(--B779,'CATALOGO CECO'!$A$2:$H$550,5,FALSE),""))</f>
        <v/>
      </c>
      <c r="J779" s="8">
        <f>IF(B779="","",IFERROR(VLOOKUP(--B779,'CATALOGO CECO'!$A$2:$H$550,8,FALSE),""))</f>
        <v/>
      </c>
      <c r="K779" s="8">
        <f>IF(COUNTA(A779:F779)=0,"",IF(OR(LEN(A779)&lt;&gt;7,MID(A779,5,1)&lt;&gt;"-",ISERROR(--LEFT(A779,4)),ISERROR(--RIGHT(A779,2))),"ERROR: PERIODO debe ser AAAA-MM",IF(B779="","ERROR: falta CODIGO CECO",IF(G779="CECO NO EXISTE","ERROR: CECO no existe en el catálogo",IF(C779="","ERROR: falta CUENTA",IF(ISERROR(--C779),"ERROR: CUENTA debe tener solo dígitos",IF(ISERROR(FIND(LEFT(C779,1),"567")),"ERROR: CUENTA fuera de las clases de costo",IF(NOT(ISNUMBER(E779)),"ERROR: VALOR debe ser numérico",IF(E779=0,"AVISO: valor cero (no se carga)",IF(J779&lt;&gt;"ACTIVO","NO SE CARGA: CECO en estado "&amp;J779,"OK"))))))))))</f>
        <v/>
      </c>
    </row>
    <row r="780">
      <c r="A780" s="5" t="n"/>
      <c r="B780" s="6" t="n"/>
      <c r="C780" s="5" t="n"/>
      <c r="D780" s="6" t="n"/>
      <c r="E780" s="7" t="n"/>
      <c r="F780" s="6" t="n"/>
      <c r="G780" s="8">
        <f>IF(B780="","",IFERROR(VLOOKUP(--B780,'CATALOGO CECO'!$A$2:$H$550,2,FALSE),"CECO NO EXISTE"))</f>
        <v/>
      </c>
      <c r="H780" s="8">
        <f>IF(B780="","",IFERROR(VLOOKUP(--B780,'CATALOGO CECO'!$A$2:$H$550,3,FALSE),""))</f>
        <v/>
      </c>
      <c r="I780" s="8">
        <f>IF(B780="","",IFERROR(VLOOKUP(--B780,'CATALOGO CECO'!$A$2:$H$550,5,FALSE),""))</f>
        <v/>
      </c>
      <c r="J780" s="8">
        <f>IF(B780="","",IFERROR(VLOOKUP(--B780,'CATALOGO CECO'!$A$2:$H$550,8,FALSE),""))</f>
        <v/>
      </c>
      <c r="K780" s="8">
        <f>IF(COUNTA(A780:F780)=0,"",IF(OR(LEN(A780)&lt;&gt;7,MID(A780,5,1)&lt;&gt;"-",ISERROR(--LEFT(A780,4)),ISERROR(--RIGHT(A780,2))),"ERROR: PERIODO debe ser AAAA-MM",IF(B780="","ERROR: falta CODIGO CECO",IF(G780="CECO NO EXISTE","ERROR: CECO no existe en el catálogo",IF(C780="","ERROR: falta CUENTA",IF(ISERROR(--C780),"ERROR: CUENTA debe tener solo dígitos",IF(ISERROR(FIND(LEFT(C780,1),"567")),"ERROR: CUENTA fuera de las clases de costo",IF(NOT(ISNUMBER(E780)),"ERROR: VALOR debe ser numérico",IF(E780=0,"AVISO: valor cero (no se carga)",IF(J780&lt;&gt;"ACTIVO","NO SE CARGA: CECO en estado "&amp;J780,"OK"))))))))))</f>
        <v/>
      </c>
    </row>
    <row r="781">
      <c r="A781" s="5" t="n"/>
      <c r="B781" s="6" t="n"/>
      <c r="C781" s="5" t="n"/>
      <c r="D781" s="6" t="n"/>
      <c r="E781" s="7" t="n"/>
      <c r="F781" s="6" t="n"/>
      <c r="G781" s="8">
        <f>IF(B781="","",IFERROR(VLOOKUP(--B781,'CATALOGO CECO'!$A$2:$H$550,2,FALSE),"CECO NO EXISTE"))</f>
        <v/>
      </c>
      <c r="H781" s="8">
        <f>IF(B781="","",IFERROR(VLOOKUP(--B781,'CATALOGO CECO'!$A$2:$H$550,3,FALSE),""))</f>
        <v/>
      </c>
      <c r="I781" s="8">
        <f>IF(B781="","",IFERROR(VLOOKUP(--B781,'CATALOGO CECO'!$A$2:$H$550,5,FALSE),""))</f>
        <v/>
      </c>
      <c r="J781" s="8">
        <f>IF(B781="","",IFERROR(VLOOKUP(--B781,'CATALOGO CECO'!$A$2:$H$550,8,FALSE),""))</f>
        <v/>
      </c>
      <c r="K781" s="8">
        <f>IF(COUNTA(A781:F781)=0,"",IF(OR(LEN(A781)&lt;&gt;7,MID(A781,5,1)&lt;&gt;"-",ISERROR(--LEFT(A781,4)),ISERROR(--RIGHT(A781,2))),"ERROR: PERIODO debe ser AAAA-MM",IF(B781="","ERROR: falta CODIGO CECO",IF(G781="CECO NO EXISTE","ERROR: CECO no existe en el catálogo",IF(C781="","ERROR: falta CUENTA",IF(ISERROR(--C781),"ERROR: CUENTA debe tener solo dígitos",IF(ISERROR(FIND(LEFT(C781,1),"567")),"ERROR: CUENTA fuera de las clases de costo",IF(NOT(ISNUMBER(E781)),"ERROR: VALOR debe ser numérico",IF(E781=0,"AVISO: valor cero (no se carga)",IF(J781&lt;&gt;"ACTIVO","NO SE CARGA: CECO en estado "&amp;J781,"OK"))))))))))</f>
        <v/>
      </c>
    </row>
    <row r="782">
      <c r="A782" s="5" t="n"/>
      <c r="B782" s="6" t="n"/>
      <c r="C782" s="5" t="n"/>
      <c r="D782" s="6" t="n"/>
      <c r="E782" s="7" t="n"/>
      <c r="F782" s="6" t="n"/>
      <c r="G782" s="8">
        <f>IF(B782="","",IFERROR(VLOOKUP(--B782,'CATALOGO CECO'!$A$2:$H$550,2,FALSE),"CECO NO EXISTE"))</f>
        <v/>
      </c>
      <c r="H782" s="8">
        <f>IF(B782="","",IFERROR(VLOOKUP(--B782,'CATALOGO CECO'!$A$2:$H$550,3,FALSE),""))</f>
        <v/>
      </c>
      <c r="I782" s="8">
        <f>IF(B782="","",IFERROR(VLOOKUP(--B782,'CATALOGO CECO'!$A$2:$H$550,5,FALSE),""))</f>
        <v/>
      </c>
      <c r="J782" s="8">
        <f>IF(B782="","",IFERROR(VLOOKUP(--B782,'CATALOGO CECO'!$A$2:$H$550,8,FALSE),""))</f>
        <v/>
      </c>
      <c r="K782" s="8">
        <f>IF(COUNTA(A782:F782)=0,"",IF(OR(LEN(A782)&lt;&gt;7,MID(A782,5,1)&lt;&gt;"-",ISERROR(--LEFT(A782,4)),ISERROR(--RIGHT(A782,2))),"ERROR: PERIODO debe ser AAAA-MM",IF(B782="","ERROR: falta CODIGO CECO",IF(G782="CECO NO EXISTE","ERROR: CECO no existe en el catálogo",IF(C782="","ERROR: falta CUENTA",IF(ISERROR(--C782),"ERROR: CUENTA debe tener solo dígitos",IF(ISERROR(FIND(LEFT(C782,1),"567")),"ERROR: CUENTA fuera de las clases de costo",IF(NOT(ISNUMBER(E782)),"ERROR: VALOR debe ser numérico",IF(E782=0,"AVISO: valor cero (no se carga)",IF(J782&lt;&gt;"ACTIVO","NO SE CARGA: CECO en estado "&amp;J782,"OK"))))))))))</f>
        <v/>
      </c>
    </row>
    <row r="783">
      <c r="A783" s="5" t="n"/>
      <c r="B783" s="6" t="n"/>
      <c r="C783" s="5" t="n"/>
      <c r="D783" s="6" t="n"/>
      <c r="E783" s="7" t="n"/>
      <c r="F783" s="6" t="n"/>
      <c r="G783" s="8">
        <f>IF(B783="","",IFERROR(VLOOKUP(--B783,'CATALOGO CECO'!$A$2:$H$550,2,FALSE),"CECO NO EXISTE"))</f>
        <v/>
      </c>
      <c r="H783" s="8">
        <f>IF(B783="","",IFERROR(VLOOKUP(--B783,'CATALOGO CECO'!$A$2:$H$550,3,FALSE),""))</f>
        <v/>
      </c>
      <c r="I783" s="8">
        <f>IF(B783="","",IFERROR(VLOOKUP(--B783,'CATALOGO CECO'!$A$2:$H$550,5,FALSE),""))</f>
        <v/>
      </c>
      <c r="J783" s="8">
        <f>IF(B783="","",IFERROR(VLOOKUP(--B783,'CATALOGO CECO'!$A$2:$H$550,8,FALSE),""))</f>
        <v/>
      </c>
      <c r="K783" s="8">
        <f>IF(COUNTA(A783:F783)=0,"",IF(OR(LEN(A783)&lt;&gt;7,MID(A783,5,1)&lt;&gt;"-",ISERROR(--LEFT(A783,4)),ISERROR(--RIGHT(A783,2))),"ERROR: PERIODO debe ser AAAA-MM",IF(B783="","ERROR: falta CODIGO CECO",IF(G783="CECO NO EXISTE","ERROR: CECO no existe en el catálogo",IF(C783="","ERROR: falta CUENTA",IF(ISERROR(--C783),"ERROR: CUENTA debe tener solo dígitos",IF(ISERROR(FIND(LEFT(C783,1),"567")),"ERROR: CUENTA fuera de las clases de costo",IF(NOT(ISNUMBER(E783)),"ERROR: VALOR debe ser numérico",IF(E783=0,"AVISO: valor cero (no se carga)",IF(J783&lt;&gt;"ACTIVO","NO SE CARGA: CECO en estado "&amp;J783,"OK"))))))))))</f>
        <v/>
      </c>
    </row>
    <row r="784">
      <c r="A784" s="5" t="n"/>
      <c r="B784" s="6" t="n"/>
      <c r="C784" s="5" t="n"/>
      <c r="D784" s="6" t="n"/>
      <c r="E784" s="7" t="n"/>
      <c r="F784" s="6" t="n"/>
      <c r="G784" s="8">
        <f>IF(B784="","",IFERROR(VLOOKUP(--B784,'CATALOGO CECO'!$A$2:$H$550,2,FALSE),"CECO NO EXISTE"))</f>
        <v/>
      </c>
      <c r="H784" s="8">
        <f>IF(B784="","",IFERROR(VLOOKUP(--B784,'CATALOGO CECO'!$A$2:$H$550,3,FALSE),""))</f>
        <v/>
      </c>
      <c r="I784" s="8">
        <f>IF(B784="","",IFERROR(VLOOKUP(--B784,'CATALOGO CECO'!$A$2:$H$550,5,FALSE),""))</f>
        <v/>
      </c>
      <c r="J784" s="8">
        <f>IF(B784="","",IFERROR(VLOOKUP(--B784,'CATALOGO CECO'!$A$2:$H$550,8,FALSE),""))</f>
        <v/>
      </c>
      <c r="K784" s="8">
        <f>IF(COUNTA(A784:F784)=0,"",IF(OR(LEN(A784)&lt;&gt;7,MID(A784,5,1)&lt;&gt;"-",ISERROR(--LEFT(A784,4)),ISERROR(--RIGHT(A784,2))),"ERROR: PERIODO debe ser AAAA-MM",IF(B784="","ERROR: falta CODIGO CECO",IF(G784="CECO NO EXISTE","ERROR: CECO no existe en el catálogo",IF(C784="","ERROR: falta CUENTA",IF(ISERROR(--C784),"ERROR: CUENTA debe tener solo dígitos",IF(ISERROR(FIND(LEFT(C784,1),"567")),"ERROR: CUENTA fuera de las clases de costo",IF(NOT(ISNUMBER(E784)),"ERROR: VALOR debe ser numérico",IF(E784=0,"AVISO: valor cero (no se carga)",IF(J784&lt;&gt;"ACTIVO","NO SE CARGA: CECO en estado "&amp;J784,"OK"))))))))))</f>
        <v/>
      </c>
    </row>
    <row r="785">
      <c r="A785" s="5" t="n"/>
      <c r="B785" s="6" t="n"/>
      <c r="C785" s="5" t="n"/>
      <c r="D785" s="6" t="n"/>
      <c r="E785" s="7" t="n"/>
      <c r="F785" s="6" t="n"/>
      <c r="G785" s="8">
        <f>IF(B785="","",IFERROR(VLOOKUP(--B785,'CATALOGO CECO'!$A$2:$H$550,2,FALSE),"CECO NO EXISTE"))</f>
        <v/>
      </c>
      <c r="H785" s="8">
        <f>IF(B785="","",IFERROR(VLOOKUP(--B785,'CATALOGO CECO'!$A$2:$H$550,3,FALSE),""))</f>
        <v/>
      </c>
      <c r="I785" s="8">
        <f>IF(B785="","",IFERROR(VLOOKUP(--B785,'CATALOGO CECO'!$A$2:$H$550,5,FALSE),""))</f>
        <v/>
      </c>
      <c r="J785" s="8">
        <f>IF(B785="","",IFERROR(VLOOKUP(--B785,'CATALOGO CECO'!$A$2:$H$550,8,FALSE),""))</f>
        <v/>
      </c>
      <c r="K785" s="8">
        <f>IF(COUNTA(A785:F785)=0,"",IF(OR(LEN(A785)&lt;&gt;7,MID(A785,5,1)&lt;&gt;"-",ISERROR(--LEFT(A785,4)),ISERROR(--RIGHT(A785,2))),"ERROR: PERIODO debe ser AAAA-MM",IF(B785="","ERROR: falta CODIGO CECO",IF(G785="CECO NO EXISTE","ERROR: CECO no existe en el catálogo",IF(C785="","ERROR: falta CUENTA",IF(ISERROR(--C785),"ERROR: CUENTA debe tener solo dígitos",IF(ISERROR(FIND(LEFT(C785,1),"567")),"ERROR: CUENTA fuera de las clases de costo",IF(NOT(ISNUMBER(E785)),"ERROR: VALOR debe ser numérico",IF(E785=0,"AVISO: valor cero (no se carga)",IF(J785&lt;&gt;"ACTIVO","NO SE CARGA: CECO en estado "&amp;J785,"OK"))))))))))</f>
        <v/>
      </c>
    </row>
    <row r="786">
      <c r="A786" s="5" t="n"/>
      <c r="B786" s="6" t="n"/>
      <c r="C786" s="5" t="n"/>
      <c r="D786" s="6" t="n"/>
      <c r="E786" s="7" t="n"/>
      <c r="F786" s="6" t="n"/>
      <c r="G786" s="8">
        <f>IF(B786="","",IFERROR(VLOOKUP(--B786,'CATALOGO CECO'!$A$2:$H$550,2,FALSE),"CECO NO EXISTE"))</f>
        <v/>
      </c>
      <c r="H786" s="8">
        <f>IF(B786="","",IFERROR(VLOOKUP(--B786,'CATALOGO CECO'!$A$2:$H$550,3,FALSE),""))</f>
        <v/>
      </c>
      <c r="I786" s="8">
        <f>IF(B786="","",IFERROR(VLOOKUP(--B786,'CATALOGO CECO'!$A$2:$H$550,5,FALSE),""))</f>
        <v/>
      </c>
      <c r="J786" s="8">
        <f>IF(B786="","",IFERROR(VLOOKUP(--B786,'CATALOGO CECO'!$A$2:$H$550,8,FALSE),""))</f>
        <v/>
      </c>
      <c r="K786" s="8">
        <f>IF(COUNTA(A786:F786)=0,"",IF(OR(LEN(A786)&lt;&gt;7,MID(A786,5,1)&lt;&gt;"-",ISERROR(--LEFT(A786,4)),ISERROR(--RIGHT(A786,2))),"ERROR: PERIODO debe ser AAAA-MM",IF(B786="","ERROR: falta CODIGO CECO",IF(G786="CECO NO EXISTE","ERROR: CECO no existe en el catálogo",IF(C786="","ERROR: falta CUENTA",IF(ISERROR(--C786),"ERROR: CUENTA debe tener solo dígitos",IF(ISERROR(FIND(LEFT(C786,1),"567")),"ERROR: CUENTA fuera de las clases de costo",IF(NOT(ISNUMBER(E786)),"ERROR: VALOR debe ser numérico",IF(E786=0,"AVISO: valor cero (no se carga)",IF(J786&lt;&gt;"ACTIVO","NO SE CARGA: CECO en estado "&amp;J786,"OK"))))))))))</f>
        <v/>
      </c>
    </row>
    <row r="787">
      <c r="A787" s="5" t="n"/>
      <c r="B787" s="6" t="n"/>
      <c r="C787" s="5" t="n"/>
      <c r="D787" s="6" t="n"/>
      <c r="E787" s="7" t="n"/>
      <c r="F787" s="6" t="n"/>
      <c r="G787" s="8">
        <f>IF(B787="","",IFERROR(VLOOKUP(--B787,'CATALOGO CECO'!$A$2:$H$550,2,FALSE),"CECO NO EXISTE"))</f>
        <v/>
      </c>
      <c r="H787" s="8">
        <f>IF(B787="","",IFERROR(VLOOKUP(--B787,'CATALOGO CECO'!$A$2:$H$550,3,FALSE),""))</f>
        <v/>
      </c>
      <c r="I787" s="8">
        <f>IF(B787="","",IFERROR(VLOOKUP(--B787,'CATALOGO CECO'!$A$2:$H$550,5,FALSE),""))</f>
        <v/>
      </c>
      <c r="J787" s="8">
        <f>IF(B787="","",IFERROR(VLOOKUP(--B787,'CATALOGO CECO'!$A$2:$H$550,8,FALSE),""))</f>
        <v/>
      </c>
      <c r="K787" s="8">
        <f>IF(COUNTA(A787:F787)=0,"",IF(OR(LEN(A787)&lt;&gt;7,MID(A787,5,1)&lt;&gt;"-",ISERROR(--LEFT(A787,4)),ISERROR(--RIGHT(A787,2))),"ERROR: PERIODO debe ser AAAA-MM",IF(B787="","ERROR: falta CODIGO CECO",IF(G787="CECO NO EXISTE","ERROR: CECO no existe en el catálogo",IF(C787="","ERROR: falta CUENTA",IF(ISERROR(--C787),"ERROR: CUENTA debe tener solo dígitos",IF(ISERROR(FIND(LEFT(C787,1),"567")),"ERROR: CUENTA fuera de las clases de costo",IF(NOT(ISNUMBER(E787)),"ERROR: VALOR debe ser numérico",IF(E787=0,"AVISO: valor cero (no se carga)",IF(J787&lt;&gt;"ACTIVO","NO SE CARGA: CECO en estado "&amp;J787,"OK"))))))))))</f>
        <v/>
      </c>
    </row>
    <row r="788">
      <c r="A788" s="5" t="n"/>
      <c r="B788" s="6" t="n"/>
      <c r="C788" s="5" t="n"/>
      <c r="D788" s="6" t="n"/>
      <c r="E788" s="7" t="n"/>
      <c r="F788" s="6" t="n"/>
      <c r="G788" s="8">
        <f>IF(B788="","",IFERROR(VLOOKUP(--B788,'CATALOGO CECO'!$A$2:$H$550,2,FALSE),"CECO NO EXISTE"))</f>
        <v/>
      </c>
      <c r="H788" s="8">
        <f>IF(B788="","",IFERROR(VLOOKUP(--B788,'CATALOGO CECO'!$A$2:$H$550,3,FALSE),""))</f>
        <v/>
      </c>
      <c r="I788" s="8">
        <f>IF(B788="","",IFERROR(VLOOKUP(--B788,'CATALOGO CECO'!$A$2:$H$550,5,FALSE),""))</f>
        <v/>
      </c>
      <c r="J788" s="8">
        <f>IF(B788="","",IFERROR(VLOOKUP(--B788,'CATALOGO CECO'!$A$2:$H$550,8,FALSE),""))</f>
        <v/>
      </c>
      <c r="K788" s="8">
        <f>IF(COUNTA(A788:F788)=0,"",IF(OR(LEN(A788)&lt;&gt;7,MID(A788,5,1)&lt;&gt;"-",ISERROR(--LEFT(A788,4)),ISERROR(--RIGHT(A788,2))),"ERROR: PERIODO debe ser AAAA-MM",IF(B788="","ERROR: falta CODIGO CECO",IF(G788="CECO NO EXISTE","ERROR: CECO no existe en el catálogo",IF(C788="","ERROR: falta CUENTA",IF(ISERROR(--C788),"ERROR: CUENTA debe tener solo dígitos",IF(ISERROR(FIND(LEFT(C788,1),"567")),"ERROR: CUENTA fuera de las clases de costo",IF(NOT(ISNUMBER(E788)),"ERROR: VALOR debe ser numérico",IF(E788=0,"AVISO: valor cero (no se carga)",IF(J788&lt;&gt;"ACTIVO","NO SE CARGA: CECO en estado "&amp;J788,"OK"))))))))))</f>
        <v/>
      </c>
    </row>
    <row r="789">
      <c r="A789" s="5" t="n"/>
      <c r="B789" s="6" t="n"/>
      <c r="C789" s="5" t="n"/>
      <c r="D789" s="6" t="n"/>
      <c r="E789" s="7" t="n"/>
      <c r="F789" s="6" t="n"/>
      <c r="G789" s="8">
        <f>IF(B789="","",IFERROR(VLOOKUP(--B789,'CATALOGO CECO'!$A$2:$H$550,2,FALSE),"CECO NO EXISTE"))</f>
        <v/>
      </c>
      <c r="H789" s="8">
        <f>IF(B789="","",IFERROR(VLOOKUP(--B789,'CATALOGO CECO'!$A$2:$H$550,3,FALSE),""))</f>
        <v/>
      </c>
      <c r="I789" s="8">
        <f>IF(B789="","",IFERROR(VLOOKUP(--B789,'CATALOGO CECO'!$A$2:$H$550,5,FALSE),""))</f>
        <v/>
      </c>
      <c r="J789" s="8">
        <f>IF(B789="","",IFERROR(VLOOKUP(--B789,'CATALOGO CECO'!$A$2:$H$550,8,FALSE),""))</f>
        <v/>
      </c>
      <c r="K789" s="8">
        <f>IF(COUNTA(A789:F789)=0,"",IF(OR(LEN(A789)&lt;&gt;7,MID(A789,5,1)&lt;&gt;"-",ISERROR(--LEFT(A789,4)),ISERROR(--RIGHT(A789,2))),"ERROR: PERIODO debe ser AAAA-MM",IF(B789="","ERROR: falta CODIGO CECO",IF(G789="CECO NO EXISTE","ERROR: CECO no existe en el catálogo",IF(C789="","ERROR: falta CUENTA",IF(ISERROR(--C789),"ERROR: CUENTA debe tener solo dígitos",IF(ISERROR(FIND(LEFT(C789,1),"567")),"ERROR: CUENTA fuera de las clases de costo",IF(NOT(ISNUMBER(E789)),"ERROR: VALOR debe ser numérico",IF(E789=0,"AVISO: valor cero (no se carga)",IF(J789&lt;&gt;"ACTIVO","NO SE CARGA: CECO en estado "&amp;J789,"OK"))))))))))</f>
        <v/>
      </c>
    </row>
    <row r="790">
      <c r="A790" s="5" t="n"/>
      <c r="B790" s="6" t="n"/>
      <c r="C790" s="5" t="n"/>
      <c r="D790" s="6" t="n"/>
      <c r="E790" s="7" t="n"/>
      <c r="F790" s="6" t="n"/>
      <c r="G790" s="8">
        <f>IF(B790="","",IFERROR(VLOOKUP(--B790,'CATALOGO CECO'!$A$2:$H$550,2,FALSE),"CECO NO EXISTE"))</f>
        <v/>
      </c>
      <c r="H790" s="8">
        <f>IF(B790="","",IFERROR(VLOOKUP(--B790,'CATALOGO CECO'!$A$2:$H$550,3,FALSE),""))</f>
        <v/>
      </c>
      <c r="I790" s="8">
        <f>IF(B790="","",IFERROR(VLOOKUP(--B790,'CATALOGO CECO'!$A$2:$H$550,5,FALSE),""))</f>
        <v/>
      </c>
      <c r="J790" s="8">
        <f>IF(B790="","",IFERROR(VLOOKUP(--B790,'CATALOGO CECO'!$A$2:$H$550,8,FALSE),""))</f>
        <v/>
      </c>
      <c r="K790" s="8">
        <f>IF(COUNTA(A790:F790)=0,"",IF(OR(LEN(A790)&lt;&gt;7,MID(A790,5,1)&lt;&gt;"-",ISERROR(--LEFT(A790,4)),ISERROR(--RIGHT(A790,2))),"ERROR: PERIODO debe ser AAAA-MM",IF(B790="","ERROR: falta CODIGO CECO",IF(G790="CECO NO EXISTE","ERROR: CECO no existe en el catálogo",IF(C790="","ERROR: falta CUENTA",IF(ISERROR(--C790),"ERROR: CUENTA debe tener solo dígitos",IF(ISERROR(FIND(LEFT(C790,1),"567")),"ERROR: CUENTA fuera de las clases de costo",IF(NOT(ISNUMBER(E790)),"ERROR: VALOR debe ser numérico",IF(E790=0,"AVISO: valor cero (no se carga)",IF(J790&lt;&gt;"ACTIVO","NO SE CARGA: CECO en estado "&amp;J790,"OK"))))))))))</f>
        <v/>
      </c>
    </row>
    <row r="791">
      <c r="A791" s="5" t="n"/>
      <c r="B791" s="6" t="n"/>
      <c r="C791" s="5" t="n"/>
      <c r="D791" s="6" t="n"/>
      <c r="E791" s="7" t="n"/>
      <c r="F791" s="6" t="n"/>
      <c r="G791" s="8">
        <f>IF(B791="","",IFERROR(VLOOKUP(--B791,'CATALOGO CECO'!$A$2:$H$550,2,FALSE),"CECO NO EXISTE"))</f>
        <v/>
      </c>
      <c r="H791" s="8">
        <f>IF(B791="","",IFERROR(VLOOKUP(--B791,'CATALOGO CECO'!$A$2:$H$550,3,FALSE),""))</f>
        <v/>
      </c>
      <c r="I791" s="8">
        <f>IF(B791="","",IFERROR(VLOOKUP(--B791,'CATALOGO CECO'!$A$2:$H$550,5,FALSE),""))</f>
        <v/>
      </c>
      <c r="J791" s="8">
        <f>IF(B791="","",IFERROR(VLOOKUP(--B791,'CATALOGO CECO'!$A$2:$H$550,8,FALSE),""))</f>
        <v/>
      </c>
      <c r="K791" s="8">
        <f>IF(COUNTA(A791:F791)=0,"",IF(OR(LEN(A791)&lt;&gt;7,MID(A791,5,1)&lt;&gt;"-",ISERROR(--LEFT(A791,4)),ISERROR(--RIGHT(A791,2))),"ERROR: PERIODO debe ser AAAA-MM",IF(B791="","ERROR: falta CODIGO CECO",IF(G791="CECO NO EXISTE","ERROR: CECO no existe en el catálogo",IF(C791="","ERROR: falta CUENTA",IF(ISERROR(--C791),"ERROR: CUENTA debe tener solo dígitos",IF(ISERROR(FIND(LEFT(C791,1),"567")),"ERROR: CUENTA fuera de las clases de costo",IF(NOT(ISNUMBER(E791)),"ERROR: VALOR debe ser numérico",IF(E791=0,"AVISO: valor cero (no se carga)",IF(J791&lt;&gt;"ACTIVO","NO SE CARGA: CECO en estado "&amp;J791,"OK"))))))))))</f>
        <v/>
      </c>
    </row>
    <row r="792">
      <c r="A792" s="5" t="n"/>
      <c r="B792" s="6" t="n"/>
      <c r="C792" s="5" t="n"/>
      <c r="D792" s="6" t="n"/>
      <c r="E792" s="7" t="n"/>
      <c r="F792" s="6" t="n"/>
      <c r="G792" s="8">
        <f>IF(B792="","",IFERROR(VLOOKUP(--B792,'CATALOGO CECO'!$A$2:$H$550,2,FALSE),"CECO NO EXISTE"))</f>
        <v/>
      </c>
      <c r="H792" s="8">
        <f>IF(B792="","",IFERROR(VLOOKUP(--B792,'CATALOGO CECO'!$A$2:$H$550,3,FALSE),""))</f>
        <v/>
      </c>
      <c r="I792" s="8">
        <f>IF(B792="","",IFERROR(VLOOKUP(--B792,'CATALOGO CECO'!$A$2:$H$550,5,FALSE),""))</f>
        <v/>
      </c>
      <c r="J792" s="8">
        <f>IF(B792="","",IFERROR(VLOOKUP(--B792,'CATALOGO CECO'!$A$2:$H$550,8,FALSE),""))</f>
        <v/>
      </c>
      <c r="K792" s="8">
        <f>IF(COUNTA(A792:F792)=0,"",IF(OR(LEN(A792)&lt;&gt;7,MID(A792,5,1)&lt;&gt;"-",ISERROR(--LEFT(A792,4)),ISERROR(--RIGHT(A792,2))),"ERROR: PERIODO debe ser AAAA-MM",IF(B792="","ERROR: falta CODIGO CECO",IF(G792="CECO NO EXISTE","ERROR: CECO no existe en el catálogo",IF(C792="","ERROR: falta CUENTA",IF(ISERROR(--C792),"ERROR: CUENTA debe tener solo dígitos",IF(ISERROR(FIND(LEFT(C792,1),"567")),"ERROR: CUENTA fuera de las clases de costo",IF(NOT(ISNUMBER(E792)),"ERROR: VALOR debe ser numérico",IF(E792=0,"AVISO: valor cero (no se carga)",IF(J792&lt;&gt;"ACTIVO","NO SE CARGA: CECO en estado "&amp;J792,"OK"))))))))))</f>
        <v/>
      </c>
    </row>
    <row r="793">
      <c r="A793" s="5" t="n"/>
      <c r="B793" s="6" t="n"/>
      <c r="C793" s="5" t="n"/>
      <c r="D793" s="6" t="n"/>
      <c r="E793" s="7" t="n"/>
      <c r="F793" s="6" t="n"/>
      <c r="G793" s="8">
        <f>IF(B793="","",IFERROR(VLOOKUP(--B793,'CATALOGO CECO'!$A$2:$H$550,2,FALSE),"CECO NO EXISTE"))</f>
        <v/>
      </c>
      <c r="H793" s="8">
        <f>IF(B793="","",IFERROR(VLOOKUP(--B793,'CATALOGO CECO'!$A$2:$H$550,3,FALSE),""))</f>
        <v/>
      </c>
      <c r="I793" s="8">
        <f>IF(B793="","",IFERROR(VLOOKUP(--B793,'CATALOGO CECO'!$A$2:$H$550,5,FALSE),""))</f>
        <v/>
      </c>
      <c r="J793" s="8">
        <f>IF(B793="","",IFERROR(VLOOKUP(--B793,'CATALOGO CECO'!$A$2:$H$550,8,FALSE),""))</f>
        <v/>
      </c>
      <c r="K793" s="8">
        <f>IF(COUNTA(A793:F793)=0,"",IF(OR(LEN(A793)&lt;&gt;7,MID(A793,5,1)&lt;&gt;"-",ISERROR(--LEFT(A793,4)),ISERROR(--RIGHT(A793,2))),"ERROR: PERIODO debe ser AAAA-MM",IF(B793="","ERROR: falta CODIGO CECO",IF(G793="CECO NO EXISTE","ERROR: CECO no existe en el catálogo",IF(C793="","ERROR: falta CUENTA",IF(ISERROR(--C793),"ERROR: CUENTA debe tener solo dígitos",IF(ISERROR(FIND(LEFT(C793,1),"567")),"ERROR: CUENTA fuera de las clases de costo",IF(NOT(ISNUMBER(E793)),"ERROR: VALOR debe ser numérico",IF(E793=0,"AVISO: valor cero (no se carga)",IF(J793&lt;&gt;"ACTIVO","NO SE CARGA: CECO en estado "&amp;J793,"OK"))))))))))</f>
        <v/>
      </c>
    </row>
    <row r="794">
      <c r="A794" s="5" t="n"/>
      <c r="B794" s="6" t="n"/>
      <c r="C794" s="5" t="n"/>
      <c r="D794" s="6" t="n"/>
      <c r="E794" s="7" t="n"/>
      <c r="F794" s="6" t="n"/>
      <c r="G794" s="8">
        <f>IF(B794="","",IFERROR(VLOOKUP(--B794,'CATALOGO CECO'!$A$2:$H$550,2,FALSE),"CECO NO EXISTE"))</f>
        <v/>
      </c>
      <c r="H794" s="8">
        <f>IF(B794="","",IFERROR(VLOOKUP(--B794,'CATALOGO CECO'!$A$2:$H$550,3,FALSE),""))</f>
        <v/>
      </c>
      <c r="I794" s="8">
        <f>IF(B794="","",IFERROR(VLOOKUP(--B794,'CATALOGO CECO'!$A$2:$H$550,5,FALSE),""))</f>
        <v/>
      </c>
      <c r="J794" s="8">
        <f>IF(B794="","",IFERROR(VLOOKUP(--B794,'CATALOGO CECO'!$A$2:$H$550,8,FALSE),""))</f>
        <v/>
      </c>
      <c r="K794" s="8">
        <f>IF(COUNTA(A794:F794)=0,"",IF(OR(LEN(A794)&lt;&gt;7,MID(A794,5,1)&lt;&gt;"-",ISERROR(--LEFT(A794,4)),ISERROR(--RIGHT(A794,2))),"ERROR: PERIODO debe ser AAAA-MM",IF(B794="","ERROR: falta CODIGO CECO",IF(G794="CECO NO EXISTE","ERROR: CECO no existe en el catálogo",IF(C794="","ERROR: falta CUENTA",IF(ISERROR(--C794),"ERROR: CUENTA debe tener solo dígitos",IF(ISERROR(FIND(LEFT(C794,1),"567")),"ERROR: CUENTA fuera de las clases de costo",IF(NOT(ISNUMBER(E794)),"ERROR: VALOR debe ser numérico",IF(E794=0,"AVISO: valor cero (no se carga)",IF(J794&lt;&gt;"ACTIVO","NO SE CARGA: CECO en estado "&amp;J794,"OK"))))))))))</f>
        <v/>
      </c>
    </row>
    <row r="795">
      <c r="A795" s="5" t="n"/>
      <c r="B795" s="6" t="n"/>
      <c r="C795" s="5" t="n"/>
      <c r="D795" s="6" t="n"/>
      <c r="E795" s="7" t="n"/>
      <c r="F795" s="6" t="n"/>
      <c r="G795" s="8">
        <f>IF(B795="","",IFERROR(VLOOKUP(--B795,'CATALOGO CECO'!$A$2:$H$550,2,FALSE),"CECO NO EXISTE"))</f>
        <v/>
      </c>
      <c r="H795" s="8">
        <f>IF(B795="","",IFERROR(VLOOKUP(--B795,'CATALOGO CECO'!$A$2:$H$550,3,FALSE),""))</f>
        <v/>
      </c>
      <c r="I795" s="8">
        <f>IF(B795="","",IFERROR(VLOOKUP(--B795,'CATALOGO CECO'!$A$2:$H$550,5,FALSE),""))</f>
        <v/>
      </c>
      <c r="J795" s="8">
        <f>IF(B795="","",IFERROR(VLOOKUP(--B795,'CATALOGO CECO'!$A$2:$H$550,8,FALSE),""))</f>
        <v/>
      </c>
      <c r="K795" s="8">
        <f>IF(COUNTA(A795:F795)=0,"",IF(OR(LEN(A795)&lt;&gt;7,MID(A795,5,1)&lt;&gt;"-",ISERROR(--LEFT(A795,4)),ISERROR(--RIGHT(A795,2))),"ERROR: PERIODO debe ser AAAA-MM",IF(B795="","ERROR: falta CODIGO CECO",IF(G795="CECO NO EXISTE","ERROR: CECO no existe en el catálogo",IF(C795="","ERROR: falta CUENTA",IF(ISERROR(--C795),"ERROR: CUENTA debe tener solo dígitos",IF(ISERROR(FIND(LEFT(C795,1),"567")),"ERROR: CUENTA fuera de las clases de costo",IF(NOT(ISNUMBER(E795)),"ERROR: VALOR debe ser numérico",IF(E795=0,"AVISO: valor cero (no se carga)",IF(J795&lt;&gt;"ACTIVO","NO SE CARGA: CECO en estado "&amp;J795,"OK"))))))))))</f>
        <v/>
      </c>
    </row>
    <row r="796">
      <c r="A796" s="5" t="n"/>
      <c r="B796" s="6" t="n"/>
      <c r="C796" s="5" t="n"/>
      <c r="D796" s="6" t="n"/>
      <c r="E796" s="7" t="n"/>
      <c r="F796" s="6" t="n"/>
      <c r="G796" s="8">
        <f>IF(B796="","",IFERROR(VLOOKUP(--B796,'CATALOGO CECO'!$A$2:$H$550,2,FALSE),"CECO NO EXISTE"))</f>
        <v/>
      </c>
      <c r="H796" s="8">
        <f>IF(B796="","",IFERROR(VLOOKUP(--B796,'CATALOGO CECO'!$A$2:$H$550,3,FALSE),""))</f>
        <v/>
      </c>
      <c r="I796" s="8">
        <f>IF(B796="","",IFERROR(VLOOKUP(--B796,'CATALOGO CECO'!$A$2:$H$550,5,FALSE),""))</f>
        <v/>
      </c>
      <c r="J796" s="8">
        <f>IF(B796="","",IFERROR(VLOOKUP(--B796,'CATALOGO CECO'!$A$2:$H$550,8,FALSE),""))</f>
        <v/>
      </c>
      <c r="K796" s="8">
        <f>IF(COUNTA(A796:F796)=0,"",IF(OR(LEN(A796)&lt;&gt;7,MID(A796,5,1)&lt;&gt;"-",ISERROR(--LEFT(A796,4)),ISERROR(--RIGHT(A796,2))),"ERROR: PERIODO debe ser AAAA-MM",IF(B796="","ERROR: falta CODIGO CECO",IF(G796="CECO NO EXISTE","ERROR: CECO no existe en el catálogo",IF(C796="","ERROR: falta CUENTA",IF(ISERROR(--C796),"ERROR: CUENTA debe tener solo dígitos",IF(ISERROR(FIND(LEFT(C796,1),"567")),"ERROR: CUENTA fuera de las clases de costo",IF(NOT(ISNUMBER(E796)),"ERROR: VALOR debe ser numérico",IF(E796=0,"AVISO: valor cero (no se carga)",IF(J796&lt;&gt;"ACTIVO","NO SE CARGA: CECO en estado "&amp;J796,"OK"))))))))))</f>
        <v/>
      </c>
    </row>
    <row r="797">
      <c r="A797" s="5" t="n"/>
      <c r="B797" s="6" t="n"/>
      <c r="C797" s="5" t="n"/>
      <c r="D797" s="6" t="n"/>
      <c r="E797" s="7" t="n"/>
      <c r="F797" s="6" t="n"/>
      <c r="G797" s="8">
        <f>IF(B797="","",IFERROR(VLOOKUP(--B797,'CATALOGO CECO'!$A$2:$H$550,2,FALSE),"CECO NO EXISTE"))</f>
        <v/>
      </c>
      <c r="H797" s="8">
        <f>IF(B797="","",IFERROR(VLOOKUP(--B797,'CATALOGO CECO'!$A$2:$H$550,3,FALSE),""))</f>
        <v/>
      </c>
      <c r="I797" s="8">
        <f>IF(B797="","",IFERROR(VLOOKUP(--B797,'CATALOGO CECO'!$A$2:$H$550,5,FALSE),""))</f>
        <v/>
      </c>
      <c r="J797" s="8">
        <f>IF(B797="","",IFERROR(VLOOKUP(--B797,'CATALOGO CECO'!$A$2:$H$550,8,FALSE),""))</f>
        <v/>
      </c>
      <c r="K797" s="8">
        <f>IF(COUNTA(A797:F797)=0,"",IF(OR(LEN(A797)&lt;&gt;7,MID(A797,5,1)&lt;&gt;"-",ISERROR(--LEFT(A797,4)),ISERROR(--RIGHT(A797,2))),"ERROR: PERIODO debe ser AAAA-MM",IF(B797="","ERROR: falta CODIGO CECO",IF(G797="CECO NO EXISTE","ERROR: CECO no existe en el catálogo",IF(C797="","ERROR: falta CUENTA",IF(ISERROR(--C797),"ERROR: CUENTA debe tener solo dígitos",IF(ISERROR(FIND(LEFT(C797,1),"567")),"ERROR: CUENTA fuera de las clases de costo",IF(NOT(ISNUMBER(E797)),"ERROR: VALOR debe ser numérico",IF(E797=0,"AVISO: valor cero (no se carga)",IF(J797&lt;&gt;"ACTIVO","NO SE CARGA: CECO en estado "&amp;J797,"OK"))))))))))</f>
        <v/>
      </c>
    </row>
    <row r="798">
      <c r="A798" s="5" t="n"/>
      <c r="B798" s="6" t="n"/>
      <c r="C798" s="5" t="n"/>
      <c r="D798" s="6" t="n"/>
      <c r="E798" s="7" t="n"/>
      <c r="F798" s="6" t="n"/>
      <c r="G798" s="8">
        <f>IF(B798="","",IFERROR(VLOOKUP(--B798,'CATALOGO CECO'!$A$2:$H$550,2,FALSE),"CECO NO EXISTE"))</f>
        <v/>
      </c>
      <c r="H798" s="8">
        <f>IF(B798="","",IFERROR(VLOOKUP(--B798,'CATALOGO CECO'!$A$2:$H$550,3,FALSE),""))</f>
        <v/>
      </c>
      <c r="I798" s="8">
        <f>IF(B798="","",IFERROR(VLOOKUP(--B798,'CATALOGO CECO'!$A$2:$H$550,5,FALSE),""))</f>
        <v/>
      </c>
      <c r="J798" s="8">
        <f>IF(B798="","",IFERROR(VLOOKUP(--B798,'CATALOGO CECO'!$A$2:$H$550,8,FALSE),""))</f>
        <v/>
      </c>
      <c r="K798" s="8">
        <f>IF(COUNTA(A798:F798)=0,"",IF(OR(LEN(A798)&lt;&gt;7,MID(A798,5,1)&lt;&gt;"-",ISERROR(--LEFT(A798,4)),ISERROR(--RIGHT(A798,2))),"ERROR: PERIODO debe ser AAAA-MM",IF(B798="","ERROR: falta CODIGO CECO",IF(G798="CECO NO EXISTE","ERROR: CECO no existe en el catálogo",IF(C798="","ERROR: falta CUENTA",IF(ISERROR(--C798),"ERROR: CUENTA debe tener solo dígitos",IF(ISERROR(FIND(LEFT(C798,1),"567")),"ERROR: CUENTA fuera de las clases de costo",IF(NOT(ISNUMBER(E798)),"ERROR: VALOR debe ser numérico",IF(E798=0,"AVISO: valor cero (no se carga)",IF(J798&lt;&gt;"ACTIVO","NO SE CARGA: CECO en estado "&amp;J798,"OK"))))))))))</f>
        <v/>
      </c>
    </row>
    <row r="799">
      <c r="A799" s="5" t="n"/>
      <c r="B799" s="6" t="n"/>
      <c r="C799" s="5" t="n"/>
      <c r="D799" s="6" t="n"/>
      <c r="E799" s="7" t="n"/>
      <c r="F799" s="6" t="n"/>
      <c r="G799" s="8">
        <f>IF(B799="","",IFERROR(VLOOKUP(--B799,'CATALOGO CECO'!$A$2:$H$550,2,FALSE),"CECO NO EXISTE"))</f>
        <v/>
      </c>
      <c r="H799" s="8">
        <f>IF(B799="","",IFERROR(VLOOKUP(--B799,'CATALOGO CECO'!$A$2:$H$550,3,FALSE),""))</f>
        <v/>
      </c>
      <c r="I799" s="8">
        <f>IF(B799="","",IFERROR(VLOOKUP(--B799,'CATALOGO CECO'!$A$2:$H$550,5,FALSE),""))</f>
        <v/>
      </c>
      <c r="J799" s="8">
        <f>IF(B799="","",IFERROR(VLOOKUP(--B799,'CATALOGO CECO'!$A$2:$H$550,8,FALSE),""))</f>
        <v/>
      </c>
      <c r="K799" s="8">
        <f>IF(COUNTA(A799:F799)=0,"",IF(OR(LEN(A799)&lt;&gt;7,MID(A799,5,1)&lt;&gt;"-",ISERROR(--LEFT(A799,4)),ISERROR(--RIGHT(A799,2))),"ERROR: PERIODO debe ser AAAA-MM",IF(B799="","ERROR: falta CODIGO CECO",IF(G799="CECO NO EXISTE","ERROR: CECO no existe en el catálogo",IF(C799="","ERROR: falta CUENTA",IF(ISERROR(--C799),"ERROR: CUENTA debe tener solo dígitos",IF(ISERROR(FIND(LEFT(C799,1),"567")),"ERROR: CUENTA fuera de las clases de costo",IF(NOT(ISNUMBER(E799)),"ERROR: VALOR debe ser numérico",IF(E799=0,"AVISO: valor cero (no se carga)",IF(J799&lt;&gt;"ACTIVO","NO SE CARGA: CECO en estado "&amp;J799,"OK"))))))))))</f>
        <v/>
      </c>
    </row>
    <row r="800">
      <c r="A800" s="5" t="n"/>
      <c r="B800" s="6" t="n"/>
      <c r="C800" s="5" t="n"/>
      <c r="D800" s="6" t="n"/>
      <c r="E800" s="7" t="n"/>
      <c r="F800" s="6" t="n"/>
      <c r="G800" s="8">
        <f>IF(B800="","",IFERROR(VLOOKUP(--B800,'CATALOGO CECO'!$A$2:$H$550,2,FALSE),"CECO NO EXISTE"))</f>
        <v/>
      </c>
      <c r="H800" s="8">
        <f>IF(B800="","",IFERROR(VLOOKUP(--B800,'CATALOGO CECO'!$A$2:$H$550,3,FALSE),""))</f>
        <v/>
      </c>
      <c r="I800" s="8">
        <f>IF(B800="","",IFERROR(VLOOKUP(--B800,'CATALOGO CECO'!$A$2:$H$550,5,FALSE),""))</f>
        <v/>
      </c>
      <c r="J800" s="8">
        <f>IF(B800="","",IFERROR(VLOOKUP(--B800,'CATALOGO CECO'!$A$2:$H$550,8,FALSE),""))</f>
        <v/>
      </c>
      <c r="K800" s="8">
        <f>IF(COUNTA(A800:F800)=0,"",IF(OR(LEN(A800)&lt;&gt;7,MID(A800,5,1)&lt;&gt;"-",ISERROR(--LEFT(A800,4)),ISERROR(--RIGHT(A800,2))),"ERROR: PERIODO debe ser AAAA-MM",IF(B800="","ERROR: falta CODIGO CECO",IF(G800="CECO NO EXISTE","ERROR: CECO no existe en el catálogo",IF(C800="","ERROR: falta CUENTA",IF(ISERROR(--C800),"ERROR: CUENTA debe tener solo dígitos",IF(ISERROR(FIND(LEFT(C800,1),"567")),"ERROR: CUENTA fuera de las clases de costo",IF(NOT(ISNUMBER(E800)),"ERROR: VALOR debe ser numérico",IF(E800=0,"AVISO: valor cero (no se carga)",IF(J800&lt;&gt;"ACTIVO","NO SE CARGA: CECO en estado "&amp;J800,"OK"))))))))))</f>
        <v/>
      </c>
    </row>
    <row r="801">
      <c r="A801" s="5" t="n"/>
      <c r="B801" s="6" t="n"/>
      <c r="C801" s="5" t="n"/>
      <c r="D801" s="6" t="n"/>
      <c r="E801" s="7" t="n"/>
      <c r="F801" s="6" t="n"/>
      <c r="G801" s="8">
        <f>IF(B801="","",IFERROR(VLOOKUP(--B801,'CATALOGO CECO'!$A$2:$H$550,2,FALSE),"CECO NO EXISTE"))</f>
        <v/>
      </c>
      <c r="H801" s="8">
        <f>IF(B801="","",IFERROR(VLOOKUP(--B801,'CATALOGO CECO'!$A$2:$H$550,3,FALSE),""))</f>
        <v/>
      </c>
      <c r="I801" s="8">
        <f>IF(B801="","",IFERROR(VLOOKUP(--B801,'CATALOGO CECO'!$A$2:$H$550,5,FALSE),""))</f>
        <v/>
      </c>
      <c r="J801" s="8">
        <f>IF(B801="","",IFERROR(VLOOKUP(--B801,'CATALOGO CECO'!$A$2:$H$550,8,FALSE),""))</f>
        <v/>
      </c>
      <c r="K801" s="8">
        <f>IF(COUNTA(A801:F801)=0,"",IF(OR(LEN(A801)&lt;&gt;7,MID(A801,5,1)&lt;&gt;"-",ISERROR(--LEFT(A801,4)),ISERROR(--RIGHT(A801,2))),"ERROR: PERIODO debe ser AAAA-MM",IF(B801="","ERROR: falta CODIGO CECO",IF(G801="CECO NO EXISTE","ERROR: CECO no existe en el catálogo",IF(C801="","ERROR: falta CUENTA",IF(ISERROR(--C801),"ERROR: CUENTA debe tener solo dígitos",IF(ISERROR(FIND(LEFT(C801,1),"567")),"ERROR: CUENTA fuera de las clases de costo",IF(NOT(ISNUMBER(E801)),"ERROR: VALOR debe ser numérico",IF(E801=0,"AVISO: valor cero (no se carga)",IF(J801&lt;&gt;"ACTIVO","NO SE CARGA: CECO en estado "&amp;J801,"OK"))))))))))</f>
        <v/>
      </c>
    </row>
    <row r="802">
      <c r="A802" s="5" t="n"/>
      <c r="B802" s="6" t="n"/>
      <c r="C802" s="5" t="n"/>
      <c r="D802" s="6" t="n"/>
      <c r="E802" s="7" t="n"/>
      <c r="F802" s="6" t="n"/>
      <c r="G802" s="8">
        <f>IF(B802="","",IFERROR(VLOOKUP(--B802,'CATALOGO CECO'!$A$2:$H$550,2,FALSE),"CECO NO EXISTE"))</f>
        <v/>
      </c>
      <c r="H802" s="8">
        <f>IF(B802="","",IFERROR(VLOOKUP(--B802,'CATALOGO CECO'!$A$2:$H$550,3,FALSE),""))</f>
        <v/>
      </c>
      <c r="I802" s="8">
        <f>IF(B802="","",IFERROR(VLOOKUP(--B802,'CATALOGO CECO'!$A$2:$H$550,5,FALSE),""))</f>
        <v/>
      </c>
      <c r="J802" s="8">
        <f>IF(B802="","",IFERROR(VLOOKUP(--B802,'CATALOGO CECO'!$A$2:$H$550,8,FALSE),""))</f>
        <v/>
      </c>
      <c r="K802" s="8">
        <f>IF(COUNTA(A802:F802)=0,"",IF(OR(LEN(A802)&lt;&gt;7,MID(A802,5,1)&lt;&gt;"-",ISERROR(--LEFT(A802,4)),ISERROR(--RIGHT(A802,2))),"ERROR: PERIODO debe ser AAAA-MM",IF(B802="","ERROR: falta CODIGO CECO",IF(G802="CECO NO EXISTE","ERROR: CECO no existe en el catálogo",IF(C802="","ERROR: falta CUENTA",IF(ISERROR(--C802),"ERROR: CUENTA debe tener solo dígitos",IF(ISERROR(FIND(LEFT(C802,1),"567")),"ERROR: CUENTA fuera de las clases de costo",IF(NOT(ISNUMBER(E802)),"ERROR: VALOR debe ser numérico",IF(E802=0,"AVISO: valor cero (no se carga)",IF(J802&lt;&gt;"ACTIVO","NO SE CARGA: CECO en estado "&amp;J802,"OK"))))))))))</f>
        <v/>
      </c>
    </row>
    <row r="803">
      <c r="A803" s="5" t="n"/>
      <c r="B803" s="6" t="n"/>
      <c r="C803" s="5" t="n"/>
      <c r="D803" s="6" t="n"/>
      <c r="E803" s="7" t="n"/>
      <c r="F803" s="6" t="n"/>
      <c r="G803" s="8">
        <f>IF(B803="","",IFERROR(VLOOKUP(--B803,'CATALOGO CECO'!$A$2:$H$550,2,FALSE),"CECO NO EXISTE"))</f>
        <v/>
      </c>
      <c r="H803" s="8">
        <f>IF(B803="","",IFERROR(VLOOKUP(--B803,'CATALOGO CECO'!$A$2:$H$550,3,FALSE),""))</f>
        <v/>
      </c>
      <c r="I803" s="8">
        <f>IF(B803="","",IFERROR(VLOOKUP(--B803,'CATALOGO CECO'!$A$2:$H$550,5,FALSE),""))</f>
        <v/>
      </c>
      <c r="J803" s="8">
        <f>IF(B803="","",IFERROR(VLOOKUP(--B803,'CATALOGO CECO'!$A$2:$H$550,8,FALSE),""))</f>
        <v/>
      </c>
      <c r="K803" s="8">
        <f>IF(COUNTA(A803:F803)=0,"",IF(OR(LEN(A803)&lt;&gt;7,MID(A803,5,1)&lt;&gt;"-",ISERROR(--LEFT(A803,4)),ISERROR(--RIGHT(A803,2))),"ERROR: PERIODO debe ser AAAA-MM",IF(B803="","ERROR: falta CODIGO CECO",IF(G803="CECO NO EXISTE","ERROR: CECO no existe en el catálogo",IF(C803="","ERROR: falta CUENTA",IF(ISERROR(--C803),"ERROR: CUENTA debe tener solo dígitos",IF(ISERROR(FIND(LEFT(C803,1),"567")),"ERROR: CUENTA fuera de las clases de costo",IF(NOT(ISNUMBER(E803)),"ERROR: VALOR debe ser numérico",IF(E803=0,"AVISO: valor cero (no se carga)",IF(J803&lt;&gt;"ACTIVO","NO SE CARGA: CECO en estado "&amp;J803,"OK"))))))))))</f>
        <v/>
      </c>
    </row>
    <row r="804">
      <c r="A804" s="5" t="n"/>
      <c r="B804" s="6" t="n"/>
      <c r="C804" s="5" t="n"/>
      <c r="D804" s="6" t="n"/>
      <c r="E804" s="7" t="n"/>
      <c r="F804" s="6" t="n"/>
      <c r="G804" s="8">
        <f>IF(B804="","",IFERROR(VLOOKUP(--B804,'CATALOGO CECO'!$A$2:$H$550,2,FALSE),"CECO NO EXISTE"))</f>
        <v/>
      </c>
      <c r="H804" s="8">
        <f>IF(B804="","",IFERROR(VLOOKUP(--B804,'CATALOGO CECO'!$A$2:$H$550,3,FALSE),""))</f>
        <v/>
      </c>
      <c r="I804" s="8">
        <f>IF(B804="","",IFERROR(VLOOKUP(--B804,'CATALOGO CECO'!$A$2:$H$550,5,FALSE),""))</f>
        <v/>
      </c>
      <c r="J804" s="8">
        <f>IF(B804="","",IFERROR(VLOOKUP(--B804,'CATALOGO CECO'!$A$2:$H$550,8,FALSE),""))</f>
        <v/>
      </c>
      <c r="K804" s="8">
        <f>IF(COUNTA(A804:F804)=0,"",IF(OR(LEN(A804)&lt;&gt;7,MID(A804,5,1)&lt;&gt;"-",ISERROR(--LEFT(A804,4)),ISERROR(--RIGHT(A804,2))),"ERROR: PERIODO debe ser AAAA-MM",IF(B804="","ERROR: falta CODIGO CECO",IF(G804="CECO NO EXISTE","ERROR: CECO no existe en el catálogo",IF(C804="","ERROR: falta CUENTA",IF(ISERROR(--C804),"ERROR: CUENTA debe tener solo dígitos",IF(ISERROR(FIND(LEFT(C804,1),"567")),"ERROR: CUENTA fuera de las clases de costo",IF(NOT(ISNUMBER(E804)),"ERROR: VALOR debe ser numérico",IF(E804=0,"AVISO: valor cero (no se carga)",IF(J804&lt;&gt;"ACTIVO","NO SE CARGA: CECO en estado "&amp;J804,"OK"))))))))))</f>
        <v/>
      </c>
    </row>
    <row r="805">
      <c r="A805" s="5" t="n"/>
      <c r="B805" s="6" t="n"/>
      <c r="C805" s="5" t="n"/>
      <c r="D805" s="6" t="n"/>
      <c r="E805" s="7" t="n"/>
      <c r="F805" s="6" t="n"/>
      <c r="G805" s="8">
        <f>IF(B805="","",IFERROR(VLOOKUP(--B805,'CATALOGO CECO'!$A$2:$H$550,2,FALSE),"CECO NO EXISTE"))</f>
        <v/>
      </c>
      <c r="H805" s="8">
        <f>IF(B805="","",IFERROR(VLOOKUP(--B805,'CATALOGO CECO'!$A$2:$H$550,3,FALSE),""))</f>
        <v/>
      </c>
      <c r="I805" s="8">
        <f>IF(B805="","",IFERROR(VLOOKUP(--B805,'CATALOGO CECO'!$A$2:$H$550,5,FALSE),""))</f>
        <v/>
      </c>
      <c r="J805" s="8">
        <f>IF(B805="","",IFERROR(VLOOKUP(--B805,'CATALOGO CECO'!$A$2:$H$550,8,FALSE),""))</f>
        <v/>
      </c>
      <c r="K805" s="8">
        <f>IF(COUNTA(A805:F805)=0,"",IF(OR(LEN(A805)&lt;&gt;7,MID(A805,5,1)&lt;&gt;"-",ISERROR(--LEFT(A805,4)),ISERROR(--RIGHT(A805,2))),"ERROR: PERIODO debe ser AAAA-MM",IF(B805="","ERROR: falta CODIGO CECO",IF(G805="CECO NO EXISTE","ERROR: CECO no existe en el catálogo",IF(C805="","ERROR: falta CUENTA",IF(ISERROR(--C805),"ERROR: CUENTA debe tener solo dígitos",IF(ISERROR(FIND(LEFT(C805,1),"567")),"ERROR: CUENTA fuera de las clases de costo",IF(NOT(ISNUMBER(E805)),"ERROR: VALOR debe ser numérico",IF(E805=0,"AVISO: valor cero (no se carga)",IF(J805&lt;&gt;"ACTIVO","NO SE CARGA: CECO en estado "&amp;J805,"OK"))))))))))</f>
        <v/>
      </c>
    </row>
    <row r="806">
      <c r="A806" s="5" t="n"/>
      <c r="B806" s="6" t="n"/>
      <c r="C806" s="5" t="n"/>
      <c r="D806" s="6" t="n"/>
      <c r="E806" s="7" t="n"/>
      <c r="F806" s="6" t="n"/>
      <c r="G806" s="8">
        <f>IF(B806="","",IFERROR(VLOOKUP(--B806,'CATALOGO CECO'!$A$2:$H$550,2,FALSE),"CECO NO EXISTE"))</f>
        <v/>
      </c>
      <c r="H806" s="8">
        <f>IF(B806="","",IFERROR(VLOOKUP(--B806,'CATALOGO CECO'!$A$2:$H$550,3,FALSE),""))</f>
        <v/>
      </c>
      <c r="I806" s="8">
        <f>IF(B806="","",IFERROR(VLOOKUP(--B806,'CATALOGO CECO'!$A$2:$H$550,5,FALSE),""))</f>
        <v/>
      </c>
      <c r="J806" s="8">
        <f>IF(B806="","",IFERROR(VLOOKUP(--B806,'CATALOGO CECO'!$A$2:$H$550,8,FALSE),""))</f>
        <v/>
      </c>
      <c r="K806" s="8">
        <f>IF(COUNTA(A806:F806)=0,"",IF(OR(LEN(A806)&lt;&gt;7,MID(A806,5,1)&lt;&gt;"-",ISERROR(--LEFT(A806,4)),ISERROR(--RIGHT(A806,2))),"ERROR: PERIODO debe ser AAAA-MM",IF(B806="","ERROR: falta CODIGO CECO",IF(G806="CECO NO EXISTE","ERROR: CECO no existe en el catálogo",IF(C806="","ERROR: falta CUENTA",IF(ISERROR(--C806),"ERROR: CUENTA debe tener solo dígitos",IF(ISERROR(FIND(LEFT(C806,1),"567")),"ERROR: CUENTA fuera de las clases de costo",IF(NOT(ISNUMBER(E806)),"ERROR: VALOR debe ser numérico",IF(E806=0,"AVISO: valor cero (no se carga)",IF(J806&lt;&gt;"ACTIVO","NO SE CARGA: CECO en estado "&amp;J806,"OK"))))))))))</f>
        <v/>
      </c>
    </row>
    <row r="807">
      <c r="A807" s="5" t="n"/>
      <c r="B807" s="6" t="n"/>
      <c r="C807" s="5" t="n"/>
      <c r="D807" s="6" t="n"/>
      <c r="E807" s="7" t="n"/>
      <c r="F807" s="6" t="n"/>
      <c r="G807" s="8">
        <f>IF(B807="","",IFERROR(VLOOKUP(--B807,'CATALOGO CECO'!$A$2:$H$550,2,FALSE),"CECO NO EXISTE"))</f>
        <v/>
      </c>
      <c r="H807" s="8">
        <f>IF(B807="","",IFERROR(VLOOKUP(--B807,'CATALOGO CECO'!$A$2:$H$550,3,FALSE),""))</f>
        <v/>
      </c>
      <c r="I807" s="8">
        <f>IF(B807="","",IFERROR(VLOOKUP(--B807,'CATALOGO CECO'!$A$2:$H$550,5,FALSE),""))</f>
        <v/>
      </c>
      <c r="J807" s="8">
        <f>IF(B807="","",IFERROR(VLOOKUP(--B807,'CATALOGO CECO'!$A$2:$H$550,8,FALSE),""))</f>
        <v/>
      </c>
      <c r="K807" s="8">
        <f>IF(COUNTA(A807:F807)=0,"",IF(OR(LEN(A807)&lt;&gt;7,MID(A807,5,1)&lt;&gt;"-",ISERROR(--LEFT(A807,4)),ISERROR(--RIGHT(A807,2))),"ERROR: PERIODO debe ser AAAA-MM",IF(B807="","ERROR: falta CODIGO CECO",IF(G807="CECO NO EXISTE","ERROR: CECO no existe en el catálogo",IF(C807="","ERROR: falta CUENTA",IF(ISERROR(--C807),"ERROR: CUENTA debe tener solo dígitos",IF(ISERROR(FIND(LEFT(C807,1),"567")),"ERROR: CUENTA fuera de las clases de costo",IF(NOT(ISNUMBER(E807)),"ERROR: VALOR debe ser numérico",IF(E807=0,"AVISO: valor cero (no se carga)",IF(J807&lt;&gt;"ACTIVO","NO SE CARGA: CECO en estado "&amp;J807,"OK"))))))))))</f>
        <v/>
      </c>
    </row>
    <row r="808">
      <c r="A808" s="5" t="n"/>
      <c r="B808" s="6" t="n"/>
      <c r="C808" s="5" t="n"/>
      <c r="D808" s="6" t="n"/>
      <c r="E808" s="7" t="n"/>
      <c r="F808" s="6" t="n"/>
      <c r="G808" s="8">
        <f>IF(B808="","",IFERROR(VLOOKUP(--B808,'CATALOGO CECO'!$A$2:$H$550,2,FALSE),"CECO NO EXISTE"))</f>
        <v/>
      </c>
      <c r="H808" s="8">
        <f>IF(B808="","",IFERROR(VLOOKUP(--B808,'CATALOGO CECO'!$A$2:$H$550,3,FALSE),""))</f>
        <v/>
      </c>
      <c r="I808" s="8">
        <f>IF(B808="","",IFERROR(VLOOKUP(--B808,'CATALOGO CECO'!$A$2:$H$550,5,FALSE),""))</f>
        <v/>
      </c>
      <c r="J808" s="8">
        <f>IF(B808="","",IFERROR(VLOOKUP(--B808,'CATALOGO CECO'!$A$2:$H$550,8,FALSE),""))</f>
        <v/>
      </c>
      <c r="K808" s="8">
        <f>IF(COUNTA(A808:F808)=0,"",IF(OR(LEN(A808)&lt;&gt;7,MID(A808,5,1)&lt;&gt;"-",ISERROR(--LEFT(A808,4)),ISERROR(--RIGHT(A808,2))),"ERROR: PERIODO debe ser AAAA-MM",IF(B808="","ERROR: falta CODIGO CECO",IF(G808="CECO NO EXISTE","ERROR: CECO no existe en el catálogo",IF(C808="","ERROR: falta CUENTA",IF(ISERROR(--C808),"ERROR: CUENTA debe tener solo dígitos",IF(ISERROR(FIND(LEFT(C808,1),"567")),"ERROR: CUENTA fuera de las clases de costo",IF(NOT(ISNUMBER(E808)),"ERROR: VALOR debe ser numérico",IF(E808=0,"AVISO: valor cero (no se carga)",IF(J808&lt;&gt;"ACTIVO","NO SE CARGA: CECO en estado "&amp;J808,"OK"))))))))))</f>
        <v/>
      </c>
    </row>
    <row r="809">
      <c r="A809" s="5" t="n"/>
      <c r="B809" s="6" t="n"/>
      <c r="C809" s="5" t="n"/>
      <c r="D809" s="6" t="n"/>
      <c r="E809" s="7" t="n"/>
      <c r="F809" s="6" t="n"/>
      <c r="G809" s="8">
        <f>IF(B809="","",IFERROR(VLOOKUP(--B809,'CATALOGO CECO'!$A$2:$H$550,2,FALSE),"CECO NO EXISTE"))</f>
        <v/>
      </c>
      <c r="H809" s="8">
        <f>IF(B809="","",IFERROR(VLOOKUP(--B809,'CATALOGO CECO'!$A$2:$H$550,3,FALSE),""))</f>
        <v/>
      </c>
      <c r="I809" s="8">
        <f>IF(B809="","",IFERROR(VLOOKUP(--B809,'CATALOGO CECO'!$A$2:$H$550,5,FALSE),""))</f>
        <v/>
      </c>
      <c r="J809" s="8">
        <f>IF(B809="","",IFERROR(VLOOKUP(--B809,'CATALOGO CECO'!$A$2:$H$550,8,FALSE),""))</f>
        <v/>
      </c>
      <c r="K809" s="8">
        <f>IF(COUNTA(A809:F809)=0,"",IF(OR(LEN(A809)&lt;&gt;7,MID(A809,5,1)&lt;&gt;"-",ISERROR(--LEFT(A809,4)),ISERROR(--RIGHT(A809,2))),"ERROR: PERIODO debe ser AAAA-MM",IF(B809="","ERROR: falta CODIGO CECO",IF(G809="CECO NO EXISTE","ERROR: CECO no existe en el catálogo",IF(C809="","ERROR: falta CUENTA",IF(ISERROR(--C809),"ERROR: CUENTA debe tener solo dígitos",IF(ISERROR(FIND(LEFT(C809,1),"567")),"ERROR: CUENTA fuera de las clases de costo",IF(NOT(ISNUMBER(E809)),"ERROR: VALOR debe ser numérico",IF(E809=0,"AVISO: valor cero (no se carga)",IF(J809&lt;&gt;"ACTIVO","NO SE CARGA: CECO en estado "&amp;J809,"OK"))))))))))</f>
        <v/>
      </c>
    </row>
    <row r="810">
      <c r="A810" s="5" t="n"/>
      <c r="B810" s="6" t="n"/>
      <c r="C810" s="5" t="n"/>
      <c r="D810" s="6" t="n"/>
      <c r="E810" s="7" t="n"/>
      <c r="F810" s="6" t="n"/>
      <c r="G810" s="8">
        <f>IF(B810="","",IFERROR(VLOOKUP(--B810,'CATALOGO CECO'!$A$2:$H$550,2,FALSE),"CECO NO EXISTE"))</f>
        <v/>
      </c>
      <c r="H810" s="8">
        <f>IF(B810="","",IFERROR(VLOOKUP(--B810,'CATALOGO CECO'!$A$2:$H$550,3,FALSE),""))</f>
        <v/>
      </c>
      <c r="I810" s="8">
        <f>IF(B810="","",IFERROR(VLOOKUP(--B810,'CATALOGO CECO'!$A$2:$H$550,5,FALSE),""))</f>
        <v/>
      </c>
      <c r="J810" s="8">
        <f>IF(B810="","",IFERROR(VLOOKUP(--B810,'CATALOGO CECO'!$A$2:$H$550,8,FALSE),""))</f>
        <v/>
      </c>
      <c r="K810" s="8">
        <f>IF(COUNTA(A810:F810)=0,"",IF(OR(LEN(A810)&lt;&gt;7,MID(A810,5,1)&lt;&gt;"-",ISERROR(--LEFT(A810,4)),ISERROR(--RIGHT(A810,2))),"ERROR: PERIODO debe ser AAAA-MM",IF(B810="","ERROR: falta CODIGO CECO",IF(G810="CECO NO EXISTE","ERROR: CECO no existe en el catálogo",IF(C810="","ERROR: falta CUENTA",IF(ISERROR(--C810),"ERROR: CUENTA debe tener solo dígitos",IF(ISERROR(FIND(LEFT(C810,1),"567")),"ERROR: CUENTA fuera de las clases de costo",IF(NOT(ISNUMBER(E810)),"ERROR: VALOR debe ser numérico",IF(E810=0,"AVISO: valor cero (no se carga)",IF(J810&lt;&gt;"ACTIVO","NO SE CARGA: CECO en estado "&amp;J810,"OK"))))))))))</f>
        <v/>
      </c>
    </row>
    <row r="811">
      <c r="A811" s="5" t="n"/>
      <c r="B811" s="6" t="n"/>
      <c r="C811" s="5" t="n"/>
      <c r="D811" s="6" t="n"/>
      <c r="E811" s="7" t="n"/>
      <c r="F811" s="6" t="n"/>
      <c r="G811" s="8">
        <f>IF(B811="","",IFERROR(VLOOKUP(--B811,'CATALOGO CECO'!$A$2:$H$550,2,FALSE),"CECO NO EXISTE"))</f>
        <v/>
      </c>
      <c r="H811" s="8">
        <f>IF(B811="","",IFERROR(VLOOKUP(--B811,'CATALOGO CECO'!$A$2:$H$550,3,FALSE),""))</f>
        <v/>
      </c>
      <c r="I811" s="8">
        <f>IF(B811="","",IFERROR(VLOOKUP(--B811,'CATALOGO CECO'!$A$2:$H$550,5,FALSE),""))</f>
        <v/>
      </c>
      <c r="J811" s="8">
        <f>IF(B811="","",IFERROR(VLOOKUP(--B811,'CATALOGO CECO'!$A$2:$H$550,8,FALSE),""))</f>
        <v/>
      </c>
      <c r="K811" s="8">
        <f>IF(COUNTA(A811:F811)=0,"",IF(OR(LEN(A811)&lt;&gt;7,MID(A811,5,1)&lt;&gt;"-",ISERROR(--LEFT(A811,4)),ISERROR(--RIGHT(A811,2))),"ERROR: PERIODO debe ser AAAA-MM",IF(B811="","ERROR: falta CODIGO CECO",IF(G811="CECO NO EXISTE","ERROR: CECO no existe en el catálogo",IF(C811="","ERROR: falta CUENTA",IF(ISERROR(--C811),"ERROR: CUENTA debe tener solo dígitos",IF(ISERROR(FIND(LEFT(C811,1),"567")),"ERROR: CUENTA fuera de las clases de costo",IF(NOT(ISNUMBER(E811)),"ERROR: VALOR debe ser numérico",IF(E811=0,"AVISO: valor cero (no se carga)",IF(J811&lt;&gt;"ACTIVO","NO SE CARGA: CECO en estado "&amp;J811,"OK"))))))))))</f>
        <v/>
      </c>
    </row>
    <row r="812">
      <c r="A812" s="5" t="n"/>
      <c r="B812" s="6" t="n"/>
      <c r="C812" s="5" t="n"/>
      <c r="D812" s="6" t="n"/>
      <c r="E812" s="7" t="n"/>
      <c r="F812" s="6" t="n"/>
      <c r="G812" s="8">
        <f>IF(B812="","",IFERROR(VLOOKUP(--B812,'CATALOGO CECO'!$A$2:$H$550,2,FALSE),"CECO NO EXISTE"))</f>
        <v/>
      </c>
      <c r="H812" s="8">
        <f>IF(B812="","",IFERROR(VLOOKUP(--B812,'CATALOGO CECO'!$A$2:$H$550,3,FALSE),""))</f>
        <v/>
      </c>
      <c r="I812" s="8">
        <f>IF(B812="","",IFERROR(VLOOKUP(--B812,'CATALOGO CECO'!$A$2:$H$550,5,FALSE),""))</f>
        <v/>
      </c>
      <c r="J812" s="8">
        <f>IF(B812="","",IFERROR(VLOOKUP(--B812,'CATALOGO CECO'!$A$2:$H$550,8,FALSE),""))</f>
        <v/>
      </c>
      <c r="K812" s="8">
        <f>IF(COUNTA(A812:F812)=0,"",IF(OR(LEN(A812)&lt;&gt;7,MID(A812,5,1)&lt;&gt;"-",ISERROR(--LEFT(A812,4)),ISERROR(--RIGHT(A812,2))),"ERROR: PERIODO debe ser AAAA-MM",IF(B812="","ERROR: falta CODIGO CECO",IF(G812="CECO NO EXISTE","ERROR: CECO no existe en el catálogo",IF(C812="","ERROR: falta CUENTA",IF(ISERROR(--C812),"ERROR: CUENTA debe tener solo dígitos",IF(ISERROR(FIND(LEFT(C812,1),"567")),"ERROR: CUENTA fuera de las clases de costo",IF(NOT(ISNUMBER(E812)),"ERROR: VALOR debe ser numérico",IF(E812=0,"AVISO: valor cero (no se carga)",IF(J812&lt;&gt;"ACTIVO","NO SE CARGA: CECO en estado "&amp;J812,"OK"))))))))))</f>
        <v/>
      </c>
    </row>
    <row r="813">
      <c r="A813" s="5" t="n"/>
      <c r="B813" s="6" t="n"/>
      <c r="C813" s="5" t="n"/>
      <c r="D813" s="6" t="n"/>
      <c r="E813" s="7" t="n"/>
      <c r="F813" s="6" t="n"/>
      <c r="G813" s="8">
        <f>IF(B813="","",IFERROR(VLOOKUP(--B813,'CATALOGO CECO'!$A$2:$H$550,2,FALSE),"CECO NO EXISTE"))</f>
        <v/>
      </c>
      <c r="H813" s="8">
        <f>IF(B813="","",IFERROR(VLOOKUP(--B813,'CATALOGO CECO'!$A$2:$H$550,3,FALSE),""))</f>
        <v/>
      </c>
      <c r="I813" s="8">
        <f>IF(B813="","",IFERROR(VLOOKUP(--B813,'CATALOGO CECO'!$A$2:$H$550,5,FALSE),""))</f>
        <v/>
      </c>
      <c r="J813" s="8">
        <f>IF(B813="","",IFERROR(VLOOKUP(--B813,'CATALOGO CECO'!$A$2:$H$550,8,FALSE),""))</f>
        <v/>
      </c>
      <c r="K813" s="8">
        <f>IF(COUNTA(A813:F813)=0,"",IF(OR(LEN(A813)&lt;&gt;7,MID(A813,5,1)&lt;&gt;"-",ISERROR(--LEFT(A813,4)),ISERROR(--RIGHT(A813,2))),"ERROR: PERIODO debe ser AAAA-MM",IF(B813="","ERROR: falta CODIGO CECO",IF(G813="CECO NO EXISTE","ERROR: CECO no existe en el catálogo",IF(C813="","ERROR: falta CUENTA",IF(ISERROR(--C813),"ERROR: CUENTA debe tener solo dígitos",IF(ISERROR(FIND(LEFT(C813,1),"567")),"ERROR: CUENTA fuera de las clases de costo",IF(NOT(ISNUMBER(E813)),"ERROR: VALOR debe ser numérico",IF(E813=0,"AVISO: valor cero (no se carga)",IF(J813&lt;&gt;"ACTIVO","NO SE CARGA: CECO en estado "&amp;J813,"OK"))))))))))</f>
        <v/>
      </c>
    </row>
    <row r="814">
      <c r="A814" s="5" t="n"/>
      <c r="B814" s="6" t="n"/>
      <c r="C814" s="5" t="n"/>
      <c r="D814" s="6" t="n"/>
      <c r="E814" s="7" t="n"/>
      <c r="F814" s="6" t="n"/>
      <c r="G814" s="8">
        <f>IF(B814="","",IFERROR(VLOOKUP(--B814,'CATALOGO CECO'!$A$2:$H$550,2,FALSE),"CECO NO EXISTE"))</f>
        <v/>
      </c>
      <c r="H814" s="8">
        <f>IF(B814="","",IFERROR(VLOOKUP(--B814,'CATALOGO CECO'!$A$2:$H$550,3,FALSE),""))</f>
        <v/>
      </c>
      <c r="I814" s="8">
        <f>IF(B814="","",IFERROR(VLOOKUP(--B814,'CATALOGO CECO'!$A$2:$H$550,5,FALSE),""))</f>
        <v/>
      </c>
      <c r="J814" s="8">
        <f>IF(B814="","",IFERROR(VLOOKUP(--B814,'CATALOGO CECO'!$A$2:$H$550,8,FALSE),""))</f>
        <v/>
      </c>
      <c r="K814" s="8">
        <f>IF(COUNTA(A814:F814)=0,"",IF(OR(LEN(A814)&lt;&gt;7,MID(A814,5,1)&lt;&gt;"-",ISERROR(--LEFT(A814,4)),ISERROR(--RIGHT(A814,2))),"ERROR: PERIODO debe ser AAAA-MM",IF(B814="","ERROR: falta CODIGO CECO",IF(G814="CECO NO EXISTE","ERROR: CECO no existe en el catálogo",IF(C814="","ERROR: falta CUENTA",IF(ISERROR(--C814),"ERROR: CUENTA debe tener solo dígitos",IF(ISERROR(FIND(LEFT(C814,1),"567")),"ERROR: CUENTA fuera de las clases de costo",IF(NOT(ISNUMBER(E814)),"ERROR: VALOR debe ser numérico",IF(E814=0,"AVISO: valor cero (no se carga)",IF(J814&lt;&gt;"ACTIVO","NO SE CARGA: CECO en estado "&amp;J814,"OK"))))))))))</f>
        <v/>
      </c>
    </row>
    <row r="815">
      <c r="A815" s="5" t="n"/>
      <c r="B815" s="6" t="n"/>
      <c r="C815" s="5" t="n"/>
      <c r="D815" s="6" t="n"/>
      <c r="E815" s="7" t="n"/>
      <c r="F815" s="6" t="n"/>
      <c r="G815" s="8">
        <f>IF(B815="","",IFERROR(VLOOKUP(--B815,'CATALOGO CECO'!$A$2:$H$550,2,FALSE),"CECO NO EXISTE"))</f>
        <v/>
      </c>
      <c r="H815" s="8">
        <f>IF(B815="","",IFERROR(VLOOKUP(--B815,'CATALOGO CECO'!$A$2:$H$550,3,FALSE),""))</f>
        <v/>
      </c>
      <c r="I815" s="8">
        <f>IF(B815="","",IFERROR(VLOOKUP(--B815,'CATALOGO CECO'!$A$2:$H$550,5,FALSE),""))</f>
        <v/>
      </c>
      <c r="J815" s="8">
        <f>IF(B815="","",IFERROR(VLOOKUP(--B815,'CATALOGO CECO'!$A$2:$H$550,8,FALSE),""))</f>
        <v/>
      </c>
      <c r="K815" s="8">
        <f>IF(COUNTA(A815:F815)=0,"",IF(OR(LEN(A815)&lt;&gt;7,MID(A815,5,1)&lt;&gt;"-",ISERROR(--LEFT(A815,4)),ISERROR(--RIGHT(A815,2))),"ERROR: PERIODO debe ser AAAA-MM",IF(B815="","ERROR: falta CODIGO CECO",IF(G815="CECO NO EXISTE","ERROR: CECO no existe en el catálogo",IF(C815="","ERROR: falta CUENTA",IF(ISERROR(--C815),"ERROR: CUENTA debe tener solo dígitos",IF(ISERROR(FIND(LEFT(C815,1),"567")),"ERROR: CUENTA fuera de las clases de costo",IF(NOT(ISNUMBER(E815)),"ERROR: VALOR debe ser numérico",IF(E815=0,"AVISO: valor cero (no se carga)",IF(J815&lt;&gt;"ACTIVO","NO SE CARGA: CECO en estado "&amp;J815,"OK"))))))))))</f>
        <v/>
      </c>
    </row>
    <row r="816">
      <c r="A816" s="5" t="n"/>
      <c r="B816" s="6" t="n"/>
      <c r="C816" s="5" t="n"/>
      <c r="D816" s="6" t="n"/>
      <c r="E816" s="7" t="n"/>
      <c r="F816" s="6" t="n"/>
      <c r="G816" s="8">
        <f>IF(B816="","",IFERROR(VLOOKUP(--B816,'CATALOGO CECO'!$A$2:$H$550,2,FALSE),"CECO NO EXISTE"))</f>
        <v/>
      </c>
      <c r="H816" s="8">
        <f>IF(B816="","",IFERROR(VLOOKUP(--B816,'CATALOGO CECO'!$A$2:$H$550,3,FALSE),""))</f>
        <v/>
      </c>
      <c r="I816" s="8">
        <f>IF(B816="","",IFERROR(VLOOKUP(--B816,'CATALOGO CECO'!$A$2:$H$550,5,FALSE),""))</f>
        <v/>
      </c>
      <c r="J816" s="8">
        <f>IF(B816="","",IFERROR(VLOOKUP(--B816,'CATALOGO CECO'!$A$2:$H$550,8,FALSE),""))</f>
        <v/>
      </c>
      <c r="K816" s="8">
        <f>IF(COUNTA(A816:F816)=0,"",IF(OR(LEN(A816)&lt;&gt;7,MID(A816,5,1)&lt;&gt;"-",ISERROR(--LEFT(A816,4)),ISERROR(--RIGHT(A816,2))),"ERROR: PERIODO debe ser AAAA-MM",IF(B816="","ERROR: falta CODIGO CECO",IF(G816="CECO NO EXISTE","ERROR: CECO no existe en el catálogo",IF(C816="","ERROR: falta CUENTA",IF(ISERROR(--C816),"ERROR: CUENTA debe tener solo dígitos",IF(ISERROR(FIND(LEFT(C816,1),"567")),"ERROR: CUENTA fuera de las clases de costo",IF(NOT(ISNUMBER(E816)),"ERROR: VALOR debe ser numérico",IF(E816=0,"AVISO: valor cero (no se carga)",IF(J816&lt;&gt;"ACTIVO","NO SE CARGA: CECO en estado "&amp;J816,"OK"))))))))))</f>
        <v/>
      </c>
    </row>
    <row r="817">
      <c r="A817" s="5" t="n"/>
      <c r="B817" s="6" t="n"/>
      <c r="C817" s="5" t="n"/>
      <c r="D817" s="6" t="n"/>
      <c r="E817" s="7" t="n"/>
      <c r="F817" s="6" t="n"/>
      <c r="G817" s="8">
        <f>IF(B817="","",IFERROR(VLOOKUP(--B817,'CATALOGO CECO'!$A$2:$H$550,2,FALSE),"CECO NO EXISTE"))</f>
        <v/>
      </c>
      <c r="H817" s="8">
        <f>IF(B817="","",IFERROR(VLOOKUP(--B817,'CATALOGO CECO'!$A$2:$H$550,3,FALSE),""))</f>
        <v/>
      </c>
      <c r="I817" s="8">
        <f>IF(B817="","",IFERROR(VLOOKUP(--B817,'CATALOGO CECO'!$A$2:$H$550,5,FALSE),""))</f>
        <v/>
      </c>
      <c r="J817" s="8">
        <f>IF(B817="","",IFERROR(VLOOKUP(--B817,'CATALOGO CECO'!$A$2:$H$550,8,FALSE),""))</f>
        <v/>
      </c>
      <c r="K817" s="8">
        <f>IF(COUNTA(A817:F817)=0,"",IF(OR(LEN(A817)&lt;&gt;7,MID(A817,5,1)&lt;&gt;"-",ISERROR(--LEFT(A817,4)),ISERROR(--RIGHT(A817,2))),"ERROR: PERIODO debe ser AAAA-MM",IF(B817="","ERROR: falta CODIGO CECO",IF(G817="CECO NO EXISTE","ERROR: CECO no existe en el catálogo",IF(C817="","ERROR: falta CUENTA",IF(ISERROR(--C817),"ERROR: CUENTA debe tener solo dígitos",IF(ISERROR(FIND(LEFT(C817,1),"567")),"ERROR: CUENTA fuera de las clases de costo",IF(NOT(ISNUMBER(E817)),"ERROR: VALOR debe ser numérico",IF(E817=0,"AVISO: valor cero (no se carga)",IF(J817&lt;&gt;"ACTIVO","NO SE CARGA: CECO en estado "&amp;J817,"OK"))))))))))</f>
        <v/>
      </c>
    </row>
    <row r="818">
      <c r="A818" s="5" t="n"/>
      <c r="B818" s="6" t="n"/>
      <c r="C818" s="5" t="n"/>
      <c r="D818" s="6" t="n"/>
      <c r="E818" s="7" t="n"/>
      <c r="F818" s="6" t="n"/>
      <c r="G818" s="8">
        <f>IF(B818="","",IFERROR(VLOOKUP(--B818,'CATALOGO CECO'!$A$2:$H$550,2,FALSE),"CECO NO EXISTE"))</f>
        <v/>
      </c>
      <c r="H818" s="8">
        <f>IF(B818="","",IFERROR(VLOOKUP(--B818,'CATALOGO CECO'!$A$2:$H$550,3,FALSE),""))</f>
        <v/>
      </c>
      <c r="I818" s="8">
        <f>IF(B818="","",IFERROR(VLOOKUP(--B818,'CATALOGO CECO'!$A$2:$H$550,5,FALSE),""))</f>
        <v/>
      </c>
      <c r="J818" s="8">
        <f>IF(B818="","",IFERROR(VLOOKUP(--B818,'CATALOGO CECO'!$A$2:$H$550,8,FALSE),""))</f>
        <v/>
      </c>
      <c r="K818" s="8">
        <f>IF(COUNTA(A818:F818)=0,"",IF(OR(LEN(A818)&lt;&gt;7,MID(A818,5,1)&lt;&gt;"-",ISERROR(--LEFT(A818,4)),ISERROR(--RIGHT(A818,2))),"ERROR: PERIODO debe ser AAAA-MM",IF(B818="","ERROR: falta CODIGO CECO",IF(G818="CECO NO EXISTE","ERROR: CECO no existe en el catálogo",IF(C818="","ERROR: falta CUENTA",IF(ISERROR(--C818),"ERROR: CUENTA debe tener solo dígitos",IF(ISERROR(FIND(LEFT(C818,1),"567")),"ERROR: CUENTA fuera de las clases de costo",IF(NOT(ISNUMBER(E818)),"ERROR: VALOR debe ser numérico",IF(E818=0,"AVISO: valor cero (no se carga)",IF(J818&lt;&gt;"ACTIVO","NO SE CARGA: CECO en estado "&amp;J818,"OK"))))))))))</f>
        <v/>
      </c>
    </row>
    <row r="819">
      <c r="A819" s="5" t="n"/>
      <c r="B819" s="6" t="n"/>
      <c r="C819" s="5" t="n"/>
      <c r="D819" s="6" t="n"/>
      <c r="E819" s="7" t="n"/>
      <c r="F819" s="6" t="n"/>
      <c r="G819" s="8">
        <f>IF(B819="","",IFERROR(VLOOKUP(--B819,'CATALOGO CECO'!$A$2:$H$550,2,FALSE),"CECO NO EXISTE"))</f>
        <v/>
      </c>
      <c r="H819" s="8">
        <f>IF(B819="","",IFERROR(VLOOKUP(--B819,'CATALOGO CECO'!$A$2:$H$550,3,FALSE),""))</f>
        <v/>
      </c>
      <c r="I819" s="8">
        <f>IF(B819="","",IFERROR(VLOOKUP(--B819,'CATALOGO CECO'!$A$2:$H$550,5,FALSE),""))</f>
        <v/>
      </c>
      <c r="J819" s="8">
        <f>IF(B819="","",IFERROR(VLOOKUP(--B819,'CATALOGO CECO'!$A$2:$H$550,8,FALSE),""))</f>
        <v/>
      </c>
      <c r="K819" s="8">
        <f>IF(COUNTA(A819:F819)=0,"",IF(OR(LEN(A819)&lt;&gt;7,MID(A819,5,1)&lt;&gt;"-",ISERROR(--LEFT(A819,4)),ISERROR(--RIGHT(A819,2))),"ERROR: PERIODO debe ser AAAA-MM",IF(B819="","ERROR: falta CODIGO CECO",IF(G819="CECO NO EXISTE","ERROR: CECO no existe en el catálogo",IF(C819="","ERROR: falta CUENTA",IF(ISERROR(--C819),"ERROR: CUENTA debe tener solo dígitos",IF(ISERROR(FIND(LEFT(C819,1),"567")),"ERROR: CUENTA fuera de las clases de costo",IF(NOT(ISNUMBER(E819)),"ERROR: VALOR debe ser numérico",IF(E819=0,"AVISO: valor cero (no se carga)",IF(J819&lt;&gt;"ACTIVO","NO SE CARGA: CECO en estado "&amp;J819,"OK"))))))))))</f>
        <v/>
      </c>
    </row>
    <row r="820">
      <c r="A820" s="5" t="n"/>
      <c r="B820" s="6" t="n"/>
      <c r="C820" s="5" t="n"/>
      <c r="D820" s="6" t="n"/>
      <c r="E820" s="7" t="n"/>
      <c r="F820" s="6" t="n"/>
      <c r="G820" s="8">
        <f>IF(B820="","",IFERROR(VLOOKUP(--B820,'CATALOGO CECO'!$A$2:$H$550,2,FALSE),"CECO NO EXISTE"))</f>
        <v/>
      </c>
      <c r="H820" s="8">
        <f>IF(B820="","",IFERROR(VLOOKUP(--B820,'CATALOGO CECO'!$A$2:$H$550,3,FALSE),""))</f>
        <v/>
      </c>
      <c r="I820" s="8">
        <f>IF(B820="","",IFERROR(VLOOKUP(--B820,'CATALOGO CECO'!$A$2:$H$550,5,FALSE),""))</f>
        <v/>
      </c>
      <c r="J820" s="8">
        <f>IF(B820="","",IFERROR(VLOOKUP(--B820,'CATALOGO CECO'!$A$2:$H$550,8,FALSE),""))</f>
        <v/>
      </c>
      <c r="K820" s="8">
        <f>IF(COUNTA(A820:F820)=0,"",IF(OR(LEN(A820)&lt;&gt;7,MID(A820,5,1)&lt;&gt;"-",ISERROR(--LEFT(A820,4)),ISERROR(--RIGHT(A820,2))),"ERROR: PERIODO debe ser AAAA-MM",IF(B820="","ERROR: falta CODIGO CECO",IF(G820="CECO NO EXISTE","ERROR: CECO no existe en el catálogo",IF(C820="","ERROR: falta CUENTA",IF(ISERROR(--C820),"ERROR: CUENTA debe tener solo dígitos",IF(ISERROR(FIND(LEFT(C820,1),"567")),"ERROR: CUENTA fuera de las clases de costo",IF(NOT(ISNUMBER(E820)),"ERROR: VALOR debe ser numérico",IF(E820=0,"AVISO: valor cero (no se carga)",IF(J820&lt;&gt;"ACTIVO","NO SE CARGA: CECO en estado "&amp;J820,"OK"))))))))))</f>
        <v/>
      </c>
    </row>
    <row r="821">
      <c r="A821" s="5" t="n"/>
      <c r="B821" s="6" t="n"/>
      <c r="C821" s="5" t="n"/>
      <c r="D821" s="6" t="n"/>
      <c r="E821" s="7" t="n"/>
      <c r="F821" s="6" t="n"/>
      <c r="G821" s="8">
        <f>IF(B821="","",IFERROR(VLOOKUP(--B821,'CATALOGO CECO'!$A$2:$H$550,2,FALSE),"CECO NO EXISTE"))</f>
        <v/>
      </c>
      <c r="H821" s="8">
        <f>IF(B821="","",IFERROR(VLOOKUP(--B821,'CATALOGO CECO'!$A$2:$H$550,3,FALSE),""))</f>
        <v/>
      </c>
      <c r="I821" s="8">
        <f>IF(B821="","",IFERROR(VLOOKUP(--B821,'CATALOGO CECO'!$A$2:$H$550,5,FALSE),""))</f>
        <v/>
      </c>
      <c r="J821" s="8">
        <f>IF(B821="","",IFERROR(VLOOKUP(--B821,'CATALOGO CECO'!$A$2:$H$550,8,FALSE),""))</f>
        <v/>
      </c>
      <c r="K821" s="8">
        <f>IF(COUNTA(A821:F821)=0,"",IF(OR(LEN(A821)&lt;&gt;7,MID(A821,5,1)&lt;&gt;"-",ISERROR(--LEFT(A821,4)),ISERROR(--RIGHT(A821,2))),"ERROR: PERIODO debe ser AAAA-MM",IF(B821="","ERROR: falta CODIGO CECO",IF(G821="CECO NO EXISTE","ERROR: CECO no existe en el catálogo",IF(C821="","ERROR: falta CUENTA",IF(ISERROR(--C821),"ERROR: CUENTA debe tener solo dígitos",IF(ISERROR(FIND(LEFT(C821,1),"567")),"ERROR: CUENTA fuera de las clases de costo",IF(NOT(ISNUMBER(E821)),"ERROR: VALOR debe ser numérico",IF(E821=0,"AVISO: valor cero (no se carga)",IF(J821&lt;&gt;"ACTIVO","NO SE CARGA: CECO en estado "&amp;J821,"OK"))))))))))</f>
        <v/>
      </c>
    </row>
    <row r="822">
      <c r="A822" s="5" t="n"/>
      <c r="B822" s="6" t="n"/>
      <c r="C822" s="5" t="n"/>
      <c r="D822" s="6" t="n"/>
      <c r="E822" s="7" t="n"/>
      <c r="F822" s="6" t="n"/>
      <c r="G822" s="8">
        <f>IF(B822="","",IFERROR(VLOOKUP(--B822,'CATALOGO CECO'!$A$2:$H$550,2,FALSE),"CECO NO EXISTE"))</f>
        <v/>
      </c>
      <c r="H822" s="8">
        <f>IF(B822="","",IFERROR(VLOOKUP(--B822,'CATALOGO CECO'!$A$2:$H$550,3,FALSE),""))</f>
        <v/>
      </c>
      <c r="I822" s="8">
        <f>IF(B822="","",IFERROR(VLOOKUP(--B822,'CATALOGO CECO'!$A$2:$H$550,5,FALSE),""))</f>
        <v/>
      </c>
      <c r="J822" s="8">
        <f>IF(B822="","",IFERROR(VLOOKUP(--B822,'CATALOGO CECO'!$A$2:$H$550,8,FALSE),""))</f>
        <v/>
      </c>
      <c r="K822" s="8">
        <f>IF(COUNTA(A822:F822)=0,"",IF(OR(LEN(A822)&lt;&gt;7,MID(A822,5,1)&lt;&gt;"-",ISERROR(--LEFT(A822,4)),ISERROR(--RIGHT(A822,2))),"ERROR: PERIODO debe ser AAAA-MM",IF(B822="","ERROR: falta CODIGO CECO",IF(G822="CECO NO EXISTE","ERROR: CECO no existe en el catálogo",IF(C822="","ERROR: falta CUENTA",IF(ISERROR(--C822),"ERROR: CUENTA debe tener solo dígitos",IF(ISERROR(FIND(LEFT(C822,1),"567")),"ERROR: CUENTA fuera de las clases de costo",IF(NOT(ISNUMBER(E822)),"ERROR: VALOR debe ser numérico",IF(E822=0,"AVISO: valor cero (no se carga)",IF(J822&lt;&gt;"ACTIVO","NO SE CARGA: CECO en estado "&amp;J822,"OK"))))))))))</f>
        <v/>
      </c>
    </row>
    <row r="823">
      <c r="A823" s="5" t="n"/>
      <c r="B823" s="6" t="n"/>
      <c r="C823" s="5" t="n"/>
      <c r="D823" s="6" t="n"/>
      <c r="E823" s="7" t="n"/>
      <c r="F823" s="6" t="n"/>
      <c r="G823" s="8">
        <f>IF(B823="","",IFERROR(VLOOKUP(--B823,'CATALOGO CECO'!$A$2:$H$550,2,FALSE),"CECO NO EXISTE"))</f>
        <v/>
      </c>
      <c r="H823" s="8">
        <f>IF(B823="","",IFERROR(VLOOKUP(--B823,'CATALOGO CECO'!$A$2:$H$550,3,FALSE),""))</f>
        <v/>
      </c>
      <c r="I823" s="8">
        <f>IF(B823="","",IFERROR(VLOOKUP(--B823,'CATALOGO CECO'!$A$2:$H$550,5,FALSE),""))</f>
        <v/>
      </c>
      <c r="J823" s="8">
        <f>IF(B823="","",IFERROR(VLOOKUP(--B823,'CATALOGO CECO'!$A$2:$H$550,8,FALSE),""))</f>
        <v/>
      </c>
      <c r="K823" s="8">
        <f>IF(COUNTA(A823:F823)=0,"",IF(OR(LEN(A823)&lt;&gt;7,MID(A823,5,1)&lt;&gt;"-",ISERROR(--LEFT(A823,4)),ISERROR(--RIGHT(A823,2))),"ERROR: PERIODO debe ser AAAA-MM",IF(B823="","ERROR: falta CODIGO CECO",IF(G823="CECO NO EXISTE","ERROR: CECO no existe en el catálogo",IF(C823="","ERROR: falta CUENTA",IF(ISERROR(--C823),"ERROR: CUENTA debe tener solo dígitos",IF(ISERROR(FIND(LEFT(C823,1),"567")),"ERROR: CUENTA fuera de las clases de costo",IF(NOT(ISNUMBER(E823)),"ERROR: VALOR debe ser numérico",IF(E823=0,"AVISO: valor cero (no se carga)",IF(J823&lt;&gt;"ACTIVO","NO SE CARGA: CECO en estado "&amp;J823,"OK"))))))))))</f>
        <v/>
      </c>
    </row>
    <row r="824">
      <c r="A824" s="5" t="n"/>
      <c r="B824" s="6" t="n"/>
      <c r="C824" s="5" t="n"/>
      <c r="D824" s="6" t="n"/>
      <c r="E824" s="7" t="n"/>
      <c r="F824" s="6" t="n"/>
      <c r="G824" s="8">
        <f>IF(B824="","",IFERROR(VLOOKUP(--B824,'CATALOGO CECO'!$A$2:$H$550,2,FALSE),"CECO NO EXISTE"))</f>
        <v/>
      </c>
      <c r="H824" s="8">
        <f>IF(B824="","",IFERROR(VLOOKUP(--B824,'CATALOGO CECO'!$A$2:$H$550,3,FALSE),""))</f>
        <v/>
      </c>
      <c r="I824" s="8">
        <f>IF(B824="","",IFERROR(VLOOKUP(--B824,'CATALOGO CECO'!$A$2:$H$550,5,FALSE),""))</f>
        <v/>
      </c>
      <c r="J824" s="8">
        <f>IF(B824="","",IFERROR(VLOOKUP(--B824,'CATALOGO CECO'!$A$2:$H$550,8,FALSE),""))</f>
        <v/>
      </c>
      <c r="K824" s="8">
        <f>IF(COUNTA(A824:F824)=0,"",IF(OR(LEN(A824)&lt;&gt;7,MID(A824,5,1)&lt;&gt;"-",ISERROR(--LEFT(A824,4)),ISERROR(--RIGHT(A824,2))),"ERROR: PERIODO debe ser AAAA-MM",IF(B824="","ERROR: falta CODIGO CECO",IF(G824="CECO NO EXISTE","ERROR: CECO no existe en el catálogo",IF(C824="","ERROR: falta CUENTA",IF(ISERROR(--C824),"ERROR: CUENTA debe tener solo dígitos",IF(ISERROR(FIND(LEFT(C824,1),"567")),"ERROR: CUENTA fuera de las clases de costo",IF(NOT(ISNUMBER(E824)),"ERROR: VALOR debe ser numérico",IF(E824=0,"AVISO: valor cero (no se carga)",IF(J824&lt;&gt;"ACTIVO","NO SE CARGA: CECO en estado "&amp;J824,"OK"))))))))))</f>
        <v/>
      </c>
    </row>
    <row r="825">
      <c r="A825" s="5" t="n"/>
      <c r="B825" s="6" t="n"/>
      <c r="C825" s="5" t="n"/>
      <c r="D825" s="6" t="n"/>
      <c r="E825" s="7" t="n"/>
      <c r="F825" s="6" t="n"/>
      <c r="G825" s="8">
        <f>IF(B825="","",IFERROR(VLOOKUP(--B825,'CATALOGO CECO'!$A$2:$H$550,2,FALSE),"CECO NO EXISTE"))</f>
        <v/>
      </c>
      <c r="H825" s="8">
        <f>IF(B825="","",IFERROR(VLOOKUP(--B825,'CATALOGO CECO'!$A$2:$H$550,3,FALSE),""))</f>
        <v/>
      </c>
      <c r="I825" s="8">
        <f>IF(B825="","",IFERROR(VLOOKUP(--B825,'CATALOGO CECO'!$A$2:$H$550,5,FALSE),""))</f>
        <v/>
      </c>
      <c r="J825" s="8">
        <f>IF(B825="","",IFERROR(VLOOKUP(--B825,'CATALOGO CECO'!$A$2:$H$550,8,FALSE),""))</f>
        <v/>
      </c>
      <c r="K825" s="8">
        <f>IF(COUNTA(A825:F825)=0,"",IF(OR(LEN(A825)&lt;&gt;7,MID(A825,5,1)&lt;&gt;"-",ISERROR(--LEFT(A825,4)),ISERROR(--RIGHT(A825,2))),"ERROR: PERIODO debe ser AAAA-MM",IF(B825="","ERROR: falta CODIGO CECO",IF(G825="CECO NO EXISTE","ERROR: CECO no existe en el catálogo",IF(C825="","ERROR: falta CUENTA",IF(ISERROR(--C825),"ERROR: CUENTA debe tener solo dígitos",IF(ISERROR(FIND(LEFT(C825,1),"567")),"ERROR: CUENTA fuera de las clases de costo",IF(NOT(ISNUMBER(E825)),"ERROR: VALOR debe ser numérico",IF(E825=0,"AVISO: valor cero (no se carga)",IF(J825&lt;&gt;"ACTIVO","NO SE CARGA: CECO en estado "&amp;J825,"OK"))))))))))</f>
        <v/>
      </c>
    </row>
    <row r="826">
      <c r="A826" s="5" t="n"/>
      <c r="B826" s="6" t="n"/>
      <c r="C826" s="5" t="n"/>
      <c r="D826" s="6" t="n"/>
      <c r="E826" s="7" t="n"/>
      <c r="F826" s="6" t="n"/>
      <c r="G826" s="8">
        <f>IF(B826="","",IFERROR(VLOOKUP(--B826,'CATALOGO CECO'!$A$2:$H$550,2,FALSE),"CECO NO EXISTE"))</f>
        <v/>
      </c>
      <c r="H826" s="8">
        <f>IF(B826="","",IFERROR(VLOOKUP(--B826,'CATALOGO CECO'!$A$2:$H$550,3,FALSE),""))</f>
        <v/>
      </c>
      <c r="I826" s="8">
        <f>IF(B826="","",IFERROR(VLOOKUP(--B826,'CATALOGO CECO'!$A$2:$H$550,5,FALSE),""))</f>
        <v/>
      </c>
      <c r="J826" s="8">
        <f>IF(B826="","",IFERROR(VLOOKUP(--B826,'CATALOGO CECO'!$A$2:$H$550,8,FALSE),""))</f>
        <v/>
      </c>
      <c r="K826" s="8">
        <f>IF(COUNTA(A826:F826)=0,"",IF(OR(LEN(A826)&lt;&gt;7,MID(A826,5,1)&lt;&gt;"-",ISERROR(--LEFT(A826,4)),ISERROR(--RIGHT(A826,2))),"ERROR: PERIODO debe ser AAAA-MM",IF(B826="","ERROR: falta CODIGO CECO",IF(G826="CECO NO EXISTE","ERROR: CECO no existe en el catálogo",IF(C826="","ERROR: falta CUENTA",IF(ISERROR(--C826),"ERROR: CUENTA debe tener solo dígitos",IF(ISERROR(FIND(LEFT(C826,1),"567")),"ERROR: CUENTA fuera de las clases de costo",IF(NOT(ISNUMBER(E826)),"ERROR: VALOR debe ser numérico",IF(E826=0,"AVISO: valor cero (no se carga)",IF(J826&lt;&gt;"ACTIVO","NO SE CARGA: CECO en estado "&amp;J826,"OK"))))))))))</f>
        <v/>
      </c>
    </row>
    <row r="827">
      <c r="A827" s="5" t="n"/>
      <c r="B827" s="6" t="n"/>
      <c r="C827" s="5" t="n"/>
      <c r="D827" s="6" t="n"/>
      <c r="E827" s="7" t="n"/>
      <c r="F827" s="6" t="n"/>
      <c r="G827" s="8">
        <f>IF(B827="","",IFERROR(VLOOKUP(--B827,'CATALOGO CECO'!$A$2:$H$550,2,FALSE),"CECO NO EXISTE"))</f>
        <v/>
      </c>
      <c r="H827" s="8">
        <f>IF(B827="","",IFERROR(VLOOKUP(--B827,'CATALOGO CECO'!$A$2:$H$550,3,FALSE),""))</f>
        <v/>
      </c>
      <c r="I827" s="8">
        <f>IF(B827="","",IFERROR(VLOOKUP(--B827,'CATALOGO CECO'!$A$2:$H$550,5,FALSE),""))</f>
        <v/>
      </c>
      <c r="J827" s="8">
        <f>IF(B827="","",IFERROR(VLOOKUP(--B827,'CATALOGO CECO'!$A$2:$H$550,8,FALSE),""))</f>
        <v/>
      </c>
      <c r="K827" s="8">
        <f>IF(COUNTA(A827:F827)=0,"",IF(OR(LEN(A827)&lt;&gt;7,MID(A827,5,1)&lt;&gt;"-",ISERROR(--LEFT(A827,4)),ISERROR(--RIGHT(A827,2))),"ERROR: PERIODO debe ser AAAA-MM",IF(B827="","ERROR: falta CODIGO CECO",IF(G827="CECO NO EXISTE","ERROR: CECO no existe en el catálogo",IF(C827="","ERROR: falta CUENTA",IF(ISERROR(--C827),"ERROR: CUENTA debe tener solo dígitos",IF(ISERROR(FIND(LEFT(C827,1),"567")),"ERROR: CUENTA fuera de las clases de costo",IF(NOT(ISNUMBER(E827)),"ERROR: VALOR debe ser numérico",IF(E827=0,"AVISO: valor cero (no se carga)",IF(J827&lt;&gt;"ACTIVO","NO SE CARGA: CECO en estado "&amp;J827,"OK"))))))))))</f>
        <v/>
      </c>
    </row>
    <row r="828">
      <c r="A828" s="5" t="n"/>
      <c r="B828" s="6" t="n"/>
      <c r="C828" s="5" t="n"/>
      <c r="D828" s="6" t="n"/>
      <c r="E828" s="7" t="n"/>
      <c r="F828" s="6" t="n"/>
      <c r="G828" s="8">
        <f>IF(B828="","",IFERROR(VLOOKUP(--B828,'CATALOGO CECO'!$A$2:$H$550,2,FALSE),"CECO NO EXISTE"))</f>
        <v/>
      </c>
      <c r="H828" s="8">
        <f>IF(B828="","",IFERROR(VLOOKUP(--B828,'CATALOGO CECO'!$A$2:$H$550,3,FALSE),""))</f>
        <v/>
      </c>
      <c r="I828" s="8">
        <f>IF(B828="","",IFERROR(VLOOKUP(--B828,'CATALOGO CECO'!$A$2:$H$550,5,FALSE),""))</f>
        <v/>
      </c>
      <c r="J828" s="8">
        <f>IF(B828="","",IFERROR(VLOOKUP(--B828,'CATALOGO CECO'!$A$2:$H$550,8,FALSE),""))</f>
        <v/>
      </c>
      <c r="K828" s="8">
        <f>IF(COUNTA(A828:F828)=0,"",IF(OR(LEN(A828)&lt;&gt;7,MID(A828,5,1)&lt;&gt;"-",ISERROR(--LEFT(A828,4)),ISERROR(--RIGHT(A828,2))),"ERROR: PERIODO debe ser AAAA-MM",IF(B828="","ERROR: falta CODIGO CECO",IF(G828="CECO NO EXISTE","ERROR: CECO no existe en el catálogo",IF(C828="","ERROR: falta CUENTA",IF(ISERROR(--C828),"ERROR: CUENTA debe tener solo dígitos",IF(ISERROR(FIND(LEFT(C828,1),"567")),"ERROR: CUENTA fuera de las clases de costo",IF(NOT(ISNUMBER(E828)),"ERROR: VALOR debe ser numérico",IF(E828=0,"AVISO: valor cero (no se carga)",IF(J828&lt;&gt;"ACTIVO","NO SE CARGA: CECO en estado "&amp;J828,"OK"))))))))))</f>
        <v/>
      </c>
    </row>
    <row r="829">
      <c r="A829" s="5" t="n"/>
      <c r="B829" s="6" t="n"/>
      <c r="C829" s="5" t="n"/>
      <c r="D829" s="6" t="n"/>
      <c r="E829" s="7" t="n"/>
      <c r="F829" s="6" t="n"/>
      <c r="G829" s="8">
        <f>IF(B829="","",IFERROR(VLOOKUP(--B829,'CATALOGO CECO'!$A$2:$H$550,2,FALSE),"CECO NO EXISTE"))</f>
        <v/>
      </c>
      <c r="H829" s="8">
        <f>IF(B829="","",IFERROR(VLOOKUP(--B829,'CATALOGO CECO'!$A$2:$H$550,3,FALSE),""))</f>
        <v/>
      </c>
      <c r="I829" s="8">
        <f>IF(B829="","",IFERROR(VLOOKUP(--B829,'CATALOGO CECO'!$A$2:$H$550,5,FALSE),""))</f>
        <v/>
      </c>
      <c r="J829" s="8">
        <f>IF(B829="","",IFERROR(VLOOKUP(--B829,'CATALOGO CECO'!$A$2:$H$550,8,FALSE),""))</f>
        <v/>
      </c>
      <c r="K829" s="8">
        <f>IF(COUNTA(A829:F829)=0,"",IF(OR(LEN(A829)&lt;&gt;7,MID(A829,5,1)&lt;&gt;"-",ISERROR(--LEFT(A829,4)),ISERROR(--RIGHT(A829,2))),"ERROR: PERIODO debe ser AAAA-MM",IF(B829="","ERROR: falta CODIGO CECO",IF(G829="CECO NO EXISTE","ERROR: CECO no existe en el catálogo",IF(C829="","ERROR: falta CUENTA",IF(ISERROR(--C829),"ERROR: CUENTA debe tener solo dígitos",IF(ISERROR(FIND(LEFT(C829,1),"567")),"ERROR: CUENTA fuera de las clases de costo",IF(NOT(ISNUMBER(E829)),"ERROR: VALOR debe ser numérico",IF(E829=0,"AVISO: valor cero (no se carga)",IF(J829&lt;&gt;"ACTIVO","NO SE CARGA: CECO en estado "&amp;J829,"OK"))))))))))</f>
        <v/>
      </c>
    </row>
    <row r="830">
      <c r="A830" s="5" t="n"/>
      <c r="B830" s="6" t="n"/>
      <c r="C830" s="5" t="n"/>
      <c r="D830" s="6" t="n"/>
      <c r="E830" s="7" t="n"/>
      <c r="F830" s="6" t="n"/>
      <c r="G830" s="8">
        <f>IF(B830="","",IFERROR(VLOOKUP(--B830,'CATALOGO CECO'!$A$2:$H$550,2,FALSE),"CECO NO EXISTE"))</f>
        <v/>
      </c>
      <c r="H830" s="8">
        <f>IF(B830="","",IFERROR(VLOOKUP(--B830,'CATALOGO CECO'!$A$2:$H$550,3,FALSE),""))</f>
        <v/>
      </c>
      <c r="I830" s="8">
        <f>IF(B830="","",IFERROR(VLOOKUP(--B830,'CATALOGO CECO'!$A$2:$H$550,5,FALSE),""))</f>
        <v/>
      </c>
      <c r="J830" s="8">
        <f>IF(B830="","",IFERROR(VLOOKUP(--B830,'CATALOGO CECO'!$A$2:$H$550,8,FALSE),""))</f>
        <v/>
      </c>
      <c r="K830" s="8">
        <f>IF(COUNTA(A830:F830)=0,"",IF(OR(LEN(A830)&lt;&gt;7,MID(A830,5,1)&lt;&gt;"-",ISERROR(--LEFT(A830,4)),ISERROR(--RIGHT(A830,2))),"ERROR: PERIODO debe ser AAAA-MM",IF(B830="","ERROR: falta CODIGO CECO",IF(G830="CECO NO EXISTE","ERROR: CECO no existe en el catálogo",IF(C830="","ERROR: falta CUENTA",IF(ISERROR(--C830),"ERROR: CUENTA debe tener solo dígitos",IF(ISERROR(FIND(LEFT(C830,1),"567")),"ERROR: CUENTA fuera de las clases de costo",IF(NOT(ISNUMBER(E830)),"ERROR: VALOR debe ser numérico",IF(E830=0,"AVISO: valor cero (no se carga)",IF(J830&lt;&gt;"ACTIVO","NO SE CARGA: CECO en estado "&amp;J830,"OK"))))))))))</f>
        <v/>
      </c>
    </row>
    <row r="831">
      <c r="A831" s="5" t="n"/>
      <c r="B831" s="6" t="n"/>
      <c r="C831" s="5" t="n"/>
      <c r="D831" s="6" t="n"/>
      <c r="E831" s="7" t="n"/>
      <c r="F831" s="6" t="n"/>
      <c r="G831" s="8">
        <f>IF(B831="","",IFERROR(VLOOKUP(--B831,'CATALOGO CECO'!$A$2:$H$550,2,FALSE),"CECO NO EXISTE"))</f>
        <v/>
      </c>
      <c r="H831" s="8">
        <f>IF(B831="","",IFERROR(VLOOKUP(--B831,'CATALOGO CECO'!$A$2:$H$550,3,FALSE),""))</f>
        <v/>
      </c>
      <c r="I831" s="8">
        <f>IF(B831="","",IFERROR(VLOOKUP(--B831,'CATALOGO CECO'!$A$2:$H$550,5,FALSE),""))</f>
        <v/>
      </c>
      <c r="J831" s="8">
        <f>IF(B831="","",IFERROR(VLOOKUP(--B831,'CATALOGO CECO'!$A$2:$H$550,8,FALSE),""))</f>
        <v/>
      </c>
      <c r="K831" s="8">
        <f>IF(COUNTA(A831:F831)=0,"",IF(OR(LEN(A831)&lt;&gt;7,MID(A831,5,1)&lt;&gt;"-",ISERROR(--LEFT(A831,4)),ISERROR(--RIGHT(A831,2))),"ERROR: PERIODO debe ser AAAA-MM",IF(B831="","ERROR: falta CODIGO CECO",IF(G831="CECO NO EXISTE","ERROR: CECO no existe en el catálogo",IF(C831="","ERROR: falta CUENTA",IF(ISERROR(--C831),"ERROR: CUENTA debe tener solo dígitos",IF(ISERROR(FIND(LEFT(C831,1),"567")),"ERROR: CUENTA fuera de las clases de costo",IF(NOT(ISNUMBER(E831)),"ERROR: VALOR debe ser numérico",IF(E831=0,"AVISO: valor cero (no se carga)",IF(J831&lt;&gt;"ACTIVO","NO SE CARGA: CECO en estado "&amp;J831,"OK"))))))))))</f>
        <v/>
      </c>
    </row>
    <row r="832">
      <c r="A832" s="5" t="n"/>
      <c r="B832" s="6" t="n"/>
      <c r="C832" s="5" t="n"/>
      <c r="D832" s="6" t="n"/>
      <c r="E832" s="7" t="n"/>
      <c r="F832" s="6" t="n"/>
      <c r="G832" s="8">
        <f>IF(B832="","",IFERROR(VLOOKUP(--B832,'CATALOGO CECO'!$A$2:$H$550,2,FALSE),"CECO NO EXISTE"))</f>
        <v/>
      </c>
      <c r="H832" s="8">
        <f>IF(B832="","",IFERROR(VLOOKUP(--B832,'CATALOGO CECO'!$A$2:$H$550,3,FALSE),""))</f>
        <v/>
      </c>
      <c r="I832" s="8">
        <f>IF(B832="","",IFERROR(VLOOKUP(--B832,'CATALOGO CECO'!$A$2:$H$550,5,FALSE),""))</f>
        <v/>
      </c>
      <c r="J832" s="8">
        <f>IF(B832="","",IFERROR(VLOOKUP(--B832,'CATALOGO CECO'!$A$2:$H$550,8,FALSE),""))</f>
        <v/>
      </c>
      <c r="K832" s="8">
        <f>IF(COUNTA(A832:F832)=0,"",IF(OR(LEN(A832)&lt;&gt;7,MID(A832,5,1)&lt;&gt;"-",ISERROR(--LEFT(A832,4)),ISERROR(--RIGHT(A832,2))),"ERROR: PERIODO debe ser AAAA-MM",IF(B832="","ERROR: falta CODIGO CECO",IF(G832="CECO NO EXISTE","ERROR: CECO no existe en el catálogo",IF(C832="","ERROR: falta CUENTA",IF(ISERROR(--C832),"ERROR: CUENTA debe tener solo dígitos",IF(ISERROR(FIND(LEFT(C832,1),"567")),"ERROR: CUENTA fuera de las clases de costo",IF(NOT(ISNUMBER(E832)),"ERROR: VALOR debe ser numérico",IF(E832=0,"AVISO: valor cero (no se carga)",IF(J832&lt;&gt;"ACTIVO","NO SE CARGA: CECO en estado "&amp;J832,"OK"))))))))))</f>
        <v/>
      </c>
    </row>
    <row r="833">
      <c r="A833" s="5" t="n"/>
      <c r="B833" s="6" t="n"/>
      <c r="C833" s="5" t="n"/>
      <c r="D833" s="6" t="n"/>
      <c r="E833" s="7" t="n"/>
      <c r="F833" s="6" t="n"/>
      <c r="G833" s="8">
        <f>IF(B833="","",IFERROR(VLOOKUP(--B833,'CATALOGO CECO'!$A$2:$H$550,2,FALSE),"CECO NO EXISTE"))</f>
        <v/>
      </c>
      <c r="H833" s="8">
        <f>IF(B833="","",IFERROR(VLOOKUP(--B833,'CATALOGO CECO'!$A$2:$H$550,3,FALSE),""))</f>
        <v/>
      </c>
      <c r="I833" s="8">
        <f>IF(B833="","",IFERROR(VLOOKUP(--B833,'CATALOGO CECO'!$A$2:$H$550,5,FALSE),""))</f>
        <v/>
      </c>
      <c r="J833" s="8">
        <f>IF(B833="","",IFERROR(VLOOKUP(--B833,'CATALOGO CECO'!$A$2:$H$550,8,FALSE),""))</f>
        <v/>
      </c>
      <c r="K833" s="8">
        <f>IF(COUNTA(A833:F833)=0,"",IF(OR(LEN(A833)&lt;&gt;7,MID(A833,5,1)&lt;&gt;"-",ISERROR(--LEFT(A833,4)),ISERROR(--RIGHT(A833,2))),"ERROR: PERIODO debe ser AAAA-MM",IF(B833="","ERROR: falta CODIGO CECO",IF(G833="CECO NO EXISTE","ERROR: CECO no existe en el catálogo",IF(C833="","ERROR: falta CUENTA",IF(ISERROR(--C833),"ERROR: CUENTA debe tener solo dígitos",IF(ISERROR(FIND(LEFT(C833,1),"567")),"ERROR: CUENTA fuera de las clases de costo",IF(NOT(ISNUMBER(E833)),"ERROR: VALOR debe ser numérico",IF(E833=0,"AVISO: valor cero (no se carga)",IF(J833&lt;&gt;"ACTIVO","NO SE CARGA: CECO en estado "&amp;J833,"OK"))))))))))</f>
        <v/>
      </c>
    </row>
    <row r="834">
      <c r="A834" s="5" t="n"/>
      <c r="B834" s="6" t="n"/>
      <c r="C834" s="5" t="n"/>
      <c r="D834" s="6" t="n"/>
      <c r="E834" s="7" t="n"/>
      <c r="F834" s="6" t="n"/>
      <c r="G834" s="8">
        <f>IF(B834="","",IFERROR(VLOOKUP(--B834,'CATALOGO CECO'!$A$2:$H$550,2,FALSE),"CECO NO EXISTE"))</f>
        <v/>
      </c>
      <c r="H834" s="8">
        <f>IF(B834="","",IFERROR(VLOOKUP(--B834,'CATALOGO CECO'!$A$2:$H$550,3,FALSE),""))</f>
        <v/>
      </c>
      <c r="I834" s="8">
        <f>IF(B834="","",IFERROR(VLOOKUP(--B834,'CATALOGO CECO'!$A$2:$H$550,5,FALSE),""))</f>
        <v/>
      </c>
      <c r="J834" s="8">
        <f>IF(B834="","",IFERROR(VLOOKUP(--B834,'CATALOGO CECO'!$A$2:$H$550,8,FALSE),""))</f>
        <v/>
      </c>
      <c r="K834" s="8">
        <f>IF(COUNTA(A834:F834)=0,"",IF(OR(LEN(A834)&lt;&gt;7,MID(A834,5,1)&lt;&gt;"-",ISERROR(--LEFT(A834,4)),ISERROR(--RIGHT(A834,2))),"ERROR: PERIODO debe ser AAAA-MM",IF(B834="","ERROR: falta CODIGO CECO",IF(G834="CECO NO EXISTE","ERROR: CECO no existe en el catálogo",IF(C834="","ERROR: falta CUENTA",IF(ISERROR(--C834),"ERROR: CUENTA debe tener solo dígitos",IF(ISERROR(FIND(LEFT(C834,1),"567")),"ERROR: CUENTA fuera de las clases de costo",IF(NOT(ISNUMBER(E834)),"ERROR: VALOR debe ser numérico",IF(E834=0,"AVISO: valor cero (no se carga)",IF(J834&lt;&gt;"ACTIVO","NO SE CARGA: CECO en estado "&amp;J834,"OK"))))))))))</f>
        <v/>
      </c>
    </row>
    <row r="835">
      <c r="A835" s="5" t="n"/>
      <c r="B835" s="6" t="n"/>
      <c r="C835" s="5" t="n"/>
      <c r="D835" s="6" t="n"/>
      <c r="E835" s="7" t="n"/>
      <c r="F835" s="6" t="n"/>
      <c r="G835" s="8">
        <f>IF(B835="","",IFERROR(VLOOKUP(--B835,'CATALOGO CECO'!$A$2:$H$550,2,FALSE),"CECO NO EXISTE"))</f>
        <v/>
      </c>
      <c r="H835" s="8">
        <f>IF(B835="","",IFERROR(VLOOKUP(--B835,'CATALOGO CECO'!$A$2:$H$550,3,FALSE),""))</f>
        <v/>
      </c>
      <c r="I835" s="8">
        <f>IF(B835="","",IFERROR(VLOOKUP(--B835,'CATALOGO CECO'!$A$2:$H$550,5,FALSE),""))</f>
        <v/>
      </c>
      <c r="J835" s="8">
        <f>IF(B835="","",IFERROR(VLOOKUP(--B835,'CATALOGO CECO'!$A$2:$H$550,8,FALSE),""))</f>
        <v/>
      </c>
      <c r="K835" s="8">
        <f>IF(COUNTA(A835:F835)=0,"",IF(OR(LEN(A835)&lt;&gt;7,MID(A835,5,1)&lt;&gt;"-",ISERROR(--LEFT(A835,4)),ISERROR(--RIGHT(A835,2))),"ERROR: PERIODO debe ser AAAA-MM",IF(B835="","ERROR: falta CODIGO CECO",IF(G835="CECO NO EXISTE","ERROR: CECO no existe en el catálogo",IF(C835="","ERROR: falta CUENTA",IF(ISERROR(--C835),"ERROR: CUENTA debe tener solo dígitos",IF(ISERROR(FIND(LEFT(C835,1),"567")),"ERROR: CUENTA fuera de las clases de costo",IF(NOT(ISNUMBER(E835)),"ERROR: VALOR debe ser numérico",IF(E835=0,"AVISO: valor cero (no se carga)",IF(J835&lt;&gt;"ACTIVO","NO SE CARGA: CECO en estado "&amp;J835,"OK"))))))))))</f>
        <v/>
      </c>
    </row>
    <row r="836">
      <c r="A836" s="5" t="n"/>
      <c r="B836" s="6" t="n"/>
      <c r="C836" s="5" t="n"/>
      <c r="D836" s="6" t="n"/>
      <c r="E836" s="7" t="n"/>
      <c r="F836" s="6" t="n"/>
      <c r="G836" s="8">
        <f>IF(B836="","",IFERROR(VLOOKUP(--B836,'CATALOGO CECO'!$A$2:$H$550,2,FALSE),"CECO NO EXISTE"))</f>
        <v/>
      </c>
      <c r="H836" s="8">
        <f>IF(B836="","",IFERROR(VLOOKUP(--B836,'CATALOGO CECO'!$A$2:$H$550,3,FALSE),""))</f>
        <v/>
      </c>
      <c r="I836" s="8">
        <f>IF(B836="","",IFERROR(VLOOKUP(--B836,'CATALOGO CECO'!$A$2:$H$550,5,FALSE),""))</f>
        <v/>
      </c>
      <c r="J836" s="8">
        <f>IF(B836="","",IFERROR(VLOOKUP(--B836,'CATALOGO CECO'!$A$2:$H$550,8,FALSE),""))</f>
        <v/>
      </c>
      <c r="K836" s="8">
        <f>IF(COUNTA(A836:F836)=0,"",IF(OR(LEN(A836)&lt;&gt;7,MID(A836,5,1)&lt;&gt;"-",ISERROR(--LEFT(A836,4)),ISERROR(--RIGHT(A836,2))),"ERROR: PERIODO debe ser AAAA-MM",IF(B836="","ERROR: falta CODIGO CECO",IF(G836="CECO NO EXISTE","ERROR: CECO no existe en el catálogo",IF(C836="","ERROR: falta CUENTA",IF(ISERROR(--C836),"ERROR: CUENTA debe tener solo dígitos",IF(ISERROR(FIND(LEFT(C836,1),"567")),"ERROR: CUENTA fuera de las clases de costo",IF(NOT(ISNUMBER(E836)),"ERROR: VALOR debe ser numérico",IF(E836=0,"AVISO: valor cero (no se carga)",IF(J836&lt;&gt;"ACTIVO","NO SE CARGA: CECO en estado "&amp;J836,"OK"))))))))))</f>
        <v/>
      </c>
    </row>
    <row r="837">
      <c r="A837" s="5" t="n"/>
      <c r="B837" s="6" t="n"/>
      <c r="C837" s="5" t="n"/>
      <c r="D837" s="6" t="n"/>
      <c r="E837" s="7" t="n"/>
      <c r="F837" s="6" t="n"/>
      <c r="G837" s="8">
        <f>IF(B837="","",IFERROR(VLOOKUP(--B837,'CATALOGO CECO'!$A$2:$H$550,2,FALSE),"CECO NO EXISTE"))</f>
        <v/>
      </c>
      <c r="H837" s="8">
        <f>IF(B837="","",IFERROR(VLOOKUP(--B837,'CATALOGO CECO'!$A$2:$H$550,3,FALSE),""))</f>
        <v/>
      </c>
      <c r="I837" s="8">
        <f>IF(B837="","",IFERROR(VLOOKUP(--B837,'CATALOGO CECO'!$A$2:$H$550,5,FALSE),""))</f>
        <v/>
      </c>
      <c r="J837" s="8">
        <f>IF(B837="","",IFERROR(VLOOKUP(--B837,'CATALOGO CECO'!$A$2:$H$550,8,FALSE),""))</f>
        <v/>
      </c>
      <c r="K837" s="8">
        <f>IF(COUNTA(A837:F837)=0,"",IF(OR(LEN(A837)&lt;&gt;7,MID(A837,5,1)&lt;&gt;"-",ISERROR(--LEFT(A837,4)),ISERROR(--RIGHT(A837,2))),"ERROR: PERIODO debe ser AAAA-MM",IF(B837="","ERROR: falta CODIGO CECO",IF(G837="CECO NO EXISTE","ERROR: CECO no existe en el catálogo",IF(C837="","ERROR: falta CUENTA",IF(ISERROR(--C837),"ERROR: CUENTA debe tener solo dígitos",IF(ISERROR(FIND(LEFT(C837,1),"567")),"ERROR: CUENTA fuera de las clases de costo",IF(NOT(ISNUMBER(E837)),"ERROR: VALOR debe ser numérico",IF(E837=0,"AVISO: valor cero (no se carga)",IF(J837&lt;&gt;"ACTIVO","NO SE CARGA: CECO en estado "&amp;J837,"OK"))))))))))</f>
        <v/>
      </c>
    </row>
    <row r="838">
      <c r="A838" s="5" t="n"/>
      <c r="B838" s="6" t="n"/>
      <c r="C838" s="5" t="n"/>
      <c r="D838" s="6" t="n"/>
      <c r="E838" s="7" t="n"/>
      <c r="F838" s="6" t="n"/>
      <c r="G838" s="8">
        <f>IF(B838="","",IFERROR(VLOOKUP(--B838,'CATALOGO CECO'!$A$2:$H$550,2,FALSE),"CECO NO EXISTE"))</f>
        <v/>
      </c>
      <c r="H838" s="8">
        <f>IF(B838="","",IFERROR(VLOOKUP(--B838,'CATALOGO CECO'!$A$2:$H$550,3,FALSE),""))</f>
        <v/>
      </c>
      <c r="I838" s="8">
        <f>IF(B838="","",IFERROR(VLOOKUP(--B838,'CATALOGO CECO'!$A$2:$H$550,5,FALSE),""))</f>
        <v/>
      </c>
      <c r="J838" s="8">
        <f>IF(B838="","",IFERROR(VLOOKUP(--B838,'CATALOGO CECO'!$A$2:$H$550,8,FALSE),""))</f>
        <v/>
      </c>
      <c r="K838" s="8">
        <f>IF(COUNTA(A838:F838)=0,"",IF(OR(LEN(A838)&lt;&gt;7,MID(A838,5,1)&lt;&gt;"-",ISERROR(--LEFT(A838,4)),ISERROR(--RIGHT(A838,2))),"ERROR: PERIODO debe ser AAAA-MM",IF(B838="","ERROR: falta CODIGO CECO",IF(G838="CECO NO EXISTE","ERROR: CECO no existe en el catálogo",IF(C838="","ERROR: falta CUENTA",IF(ISERROR(--C838),"ERROR: CUENTA debe tener solo dígitos",IF(ISERROR(FIND(LEFT(C838,1),"567")),"ERROR: CUENTA fuera de las clases de costo",IF(NOT(ISNUMBER(E838)),"ERROR: VALOR debe ser numérico",IF(E838=0,"AVISO: valor cero (no se carga)",IF(J838&lt;&gt;"ACTIVO","NO SE CARGA: CECO en estado "&amp;J838,"OK"))))))))))</f>
        <v/>
      </c>
    </row>
    <row r="839">
      <c r="A839" s="5" t="n"/>
      <c r="B839" s="6" t="n"/>
      <c r="C839" s="5" t="n"/>
      <c r="D839" s="6" t="n"/>
      <c r="E839" s="7" t="n"/>
      <c r="F839" s="6" t="n"/>
      <c r="G839" s="8">
        <f>IF(B839="","",IFERROR(VLOOKUP(--B839,'CATALOGO CECO'!$A$2:$H$550,2,FALSE),"CECO NO EXISTE"))</f>
        <v/>
      </c>
      <c r="H839" s="8">
        <f>IF(B839="","",IFERROR(VLOOKUP(--B839,'CATALOGO CECO'!$A$2:$H$550,3,FALSE),""))</f>
        <v/>
      </c>
      <c r="I839" s="8">
        <f>IF(B839="","",IFERROR(VLOOKUP(--B839,'CATALOGO CECO'!$A$2:$H$550,5,FALSE),""))</f>
        <v/>
      </c>
      <c r="J839" s="8">
        <f>IF(B839="","",IFERROR(VLOOKUP(--B839,'CATALOGO CECO'!$A$2:$H$550,8,FALSE),""))</f>
        <v/>
      </c>
      <c r="K839" s="8">
        <f>IF(COUNTA(A839:F839)=0,"",IF(OR(LEN(A839)&lt;&gt;7,MID(A839,5,1)&lt;&gt;"-",ISERROR(--LEFT(A839,4)),ISERROR(--RIGHT(A839,2))),"ERROR: PERIODO debe ser AAAA-MM",IF(B839="","ERROR: falta CODIGO CECO",IF(G839="CECO NO EXISTE","ERROR: CECO no existe en el catálogo",IF(C839="","ERROR: falta CUENTA",IF(ISERROR(--C839),"ERROR: CUENTA debe tener solo dígitos",IF(ISERROR(FIND(LEFT(C839,1),"567")),"ERROR: CUENTA fuera de las clases de costo",IF(NOT(ISNUMBER(E839)),"ERROR: VALOR debe ser numérico",IF(E839=0,"AVISO: valor cero (no se carga)",IF(J839&lt;&gt;"ACTIVO","NO SE CARGA: CECO en estado "&amp;J839,"OK"))))))))))</f>
        <v/>
      </c>
    </row>
    <row r="840">
      <c r="A840" s="5" t="n"/>
      <c r="B840" s="6" t="n"/>
      <c r="C840" s="5" t="n"/>
      <c r="D840" s="6" t="n"/>
      <c r="E840" s="7" t="n"/>
      <c r="F840" s="6" t="n"/>
      <c r="G840" s="8">
        <f>IF(B840="","",IFERROR(VLOOKUP(--B840,'CATALOGO CECO'!$A$2:$H$550,2,FALSE),"CECO NO EXISTE"))</f>
        <v/>
      </c>
      <c r="H840" s="8">
        <f>IF(B840="","",IFERROR(VLOOKUP(--B840,'CATALOGO CECO'!$A$2:$H$550,3,FALSE),""))</f>
        <v/>
      </c>
      <c r="I840" s="8">
        <f>IF(B840="","",IFERROR(VLOOKUP(--B840,'CATALOGO CECO'!$A$2:$H$550,5,FALSE),""))</f>
        <v/>
      </c>
      <c r="J840" s="8">
        <f>IF(B840="","",IFERROR(VLOOKUP(--B840,'CATALOGO CECO'!$A$2:$H$550,8,FALSE),""))</f>
        <v/>
      </c>
      <c r="K840" s="8">
        <f>IF(COUNTA(A840:F840)=0,"",IF(OR(LEN(A840)&lt;&gt;7,MID(A840,5,1)&lt;&gt;"-",ISERROR(--LEFT(A840,4)),ISERROR(--RIGHT(A840,2))),"ERROR: PERIODO debe ser AAAA-MM",IF(B840="","ERROR: falta CODIGO CECO",IF(G840="CECO NO EXISTE","ERROR: CECO no existe en el catálogo",IF(C840="","ERROR: falta CUENTA",IF(ISERROR(--C840),"ERROR: CUENTA debe tener solo dígitos",IF(ISERROR(FIND(LEFT(C840,1),"567")),"ERROR: CUENTA fuera de las clases de costo",IF(NOT(ISNUMBER(E840)),"ERROR: VALOR debe ser numérico",IF(E840=0,"AVISO: valor cero (no se carga)",IF(J840&lt;&gt;"ACTIVO","NO SE CARGA: CECO en estado "&amp;J840,"OK"))))))))))</f>
        <v/>
      </c>
    </row>
    <row r="841">
      <c r="A841" s="5" t="n"/>
      <c r="B841" s="6" t="n"/>
      <c r="C841" s="5" t="n"/>
      <c r="D841" s="6" t="n"/>
      <c r="E841" s="7" t="n"/>
      <c r="F841" s="6" t="n"/>
      <c r="G841" s="8">
        <f>IF(B841="","",IFERROR(VLOOKUP(--B841,'CATALOGO CECO'!$A$2:$H$550,2,FALSE),"CECO NO EXISTE"))</f>
        <v/>
      </c>
      <c r="H841" s="8">
        <f>IF(B841="","",IFERROR(VLOOKUP(--B841,'CATALOGO CECO'!$A$2:$H$550,3,FALSE),""))</f>
        <v/>
      </c>
      <c r="I841" s="8">
        <f>IF(B841="","",IFERROR(VLOOKUP(--B841,'CATALOGO CECO'!$A$2:$H$550,5,FALSE),""))</f>
        <v/>
      </c>
      <c r="J841" s="8">
        <f>IF(B841="","",IFERROR(VLOOKUP(--B841,'CATALOGO CECO'!$A$2:$H$550,8,FALSE),""))</f>
        <v/>
      </c>
      <c r="K841" s="8">
        <f>IF(COUNTA(A841:F841)=0,"",IF(OR(LEN(A841)&lt;&gt;7,MID(A841,5,1)&lt;&gt;"-",ISERROR(--LEFT(A841,4)),ISERROR(--RIGHT(A841,2))),"ERROR: PERIODO debe ser AAAA-MM",IF(B841="","ERROR: falta CODIGO CECO",IF(G841="CECO NO EXISTE","ERROR: CECO no existe en el catálogo",IF(C841="","ERROR: falta CUENTA",IF(ISERROR(--C841),"ERROR: CUENTA debe tener solo dígitos",IF(ISERROR(FIND(LEFT(C841,1),"567")),"ERROR: CUENTA fuera de las clases de costo",IF(NOT(ISNUMBER(E841)),"ERROR: VALOR debe ser numérico",IF(E841=0,"AVISO: valor cero (no se carga)",IF(J841&lt;&gt;"ACTIVO","NO SE CARGA: CECO en estado "&amp;J841,"OK"))))))))))</f>
        <v/>
      </c>
    </row>
    <row r="842">
      <c r="A842" s="5" t="n"/>
      <c r="B842" s="6" t="n"/>
      <c r="C842" s="5" t="n"/>
      <c r="D842" s="6" t="n"/>
      <c r="E842" s="7" t="n"/>
      <c r="F842" s="6" t="n"/>
      <c r="G842" s="8">
        <f>IF(B842="","",IFERROR(VLOOKUP(--B842,'CATALOGO CECO'!$A$2:$H$550,2,FALSE),"CECO NO EXISTE"))</f>
        <v/>
      </c>
      <c r="H842" s="8">
        <f>IF(B842="","",IFERROR(VLOOKUP(--B842,'CATALOGO CECO'!$A$2:$H$550,3,FALSE),""))</f>
        <v/>
      </c>
      <c r="I842" s="8">
        <f>IF(B842="","",IFERROR(VLOOKUP(--B842,'CATALOGO CECO'!$A$2:$H$550,5,FALSE),""))</f>
        <v/>
      </c>
      <c r="J842" s="8">
        <f>IF(B842="","",IFERROR(VLOOKUP(--B842,'CATALOGO CECO'!$A$2:$H$550,8,FALSE),""))</f>
        <v/>
      </c>
      <c r="K842" s="8">
        <f>IF(COUNTA(A842:F842)=0,"",IF(OR(LEN(A842)&lt;&gt;7,MID(A842,5,1)&lt;&gt;"-",ISERROR(--LEFT(A842,4)),ISERROR(--RIGHT(A842,2))),"ERROR: PERIODO debe ser AAAA-MM",IF(B842="","ERROR: falta CODIGO CECO",IF(G842="CECO NO EXISTE","ERROR: CECO no existe en el catálogo",IF(C842="","ERROR: falta CUENTA",IF(ISERROR(--C842),"ERROR: CUENTA debe tener solo dígitos",IF(ISERROR(FIND(LEFT(C842,1),"567")),"ERROR: CUENTA fuera de las clases de costo",IF(NOT(ISNUMBER(E842)),"ERROR: VALOR debe ser numérico",IF(E842=0,"AVISO: valor cero (no se carga)",IF(J842&lt;&gt;"ACTIVO","NO SE CARGA: CECO en estado "&amp;J842,"OK"))))))))))</f>
        <v/>
      </c>
    </row>
    <row r="843">
      <c r="A843" s="5" t="n"/>
      <c r="B843" s="6" t="n"/>
      <c r="C843" s="5" t="n"/>
      <c r="D843" s="6" t="n"/>
      <c r="E843" s="7" t="n"/>
      <c r="F843" s="6" t="n"/>
      <c r="G843" s="8">
        <f>IF(B843="","",IFERROR(VLOOKUP(--B843,'CATALOGO CECO'!$A$2:$H$550,2,FALSE),"CECO NO EXISTE"))</f>
        <v/>
      </c>
      <c r="H843" s="8">
        <f>IF(B843="","",IFERROR(VLOOKUP(--B843,'CATALOGO CECO'!$A$2:$H$550,3,FALSE),""))</f>
        <v/>
      </c>
      <c r="I843" s="8">
        <f>IF(B843="","",IFERROR(VLOOKUP(--B843,'CATALOGO CECO'!$A$2:$H$550,5,FALSE),""))</f>
        <v/>
      </c>
      <c r="J843" s="8">
        <f>IF(B843="","",IFERROR(VLOOKUP(--B843,'CATALOGO CECO'!$A$2:$H$550,8,FALSE),""))</f>
        <v/>
      </c>
      <c r="K843" s="8">
        <f>IF(COUNTA(A843:F843)=0,"",IF(OR(LEN(A843)&lt;&gt;7,MID(A843,5,1)&lt;&gt;"-",ISERROR(--LEFT(A843,4)),ISERROR(--RIGHT(A843,2))),"ERROR: PERIODO debe ser AAAA-MM",IF(B843="","ERROR: falta CODIGO CECO",IF(G843="CECO NO EXISTE","ERROR: CECO no existe en el catálogo",IF(C843="","ERROR: falta CUENTA",IF(ISERROR(--C843),"ERROR: CUENTA debe tener solo dígitos",IF(ISERROR(FIND(LEFT(C843,1),"567")),"ERROR: CUENTA fuera de las clases de costo",IF(NOT(ISNUMBER(E843)),"ERROR: VALOR debe ser numérico",IF(E843=0,"AVISO: valor cero (no se carga)",IF(J843&lt;&gt;"ACTIVO","NO SE CARGA: CECO en estado "&amp;J843,"OK"))))))))))</f>
        <v/>
      </c>
    </row>
    <row r="844">
      <c r="A844" s="5" t="n"/>
      <c r="B844" s="6" t="n"/>
      <c r="C844" s="5" t="n"/>
      <c r="D844" s="6" t="n"/>
      <c r="E844" s="7" t="n"/>
      <c r="F844" s="6" t="n"/>
      <c r="G844" s="8">
        <f>IF(B844="","",IFERROR(VLOOKUP(--B844,'CATALOGO CECO'!$A$2:$H$550,2,FALSE),"CECO NO EXISTE"))</f>
        <v/>
      </c>
      <c r="H844" s="8">
        <f>IF(B844="","",IFERROR(VLOOKUP(--B844,'CATALOGO CECO'!$A$2:$H$550,3,FALSE),""))</f>
        <v/>
      </c>
      <c r="I844" s="8">
        <f>IF(B844="","",IFERROR(VLOOKUP(--B844,'CATALOGO CECO'!$A$2:$H$550,5,FALSE),""))</f>
        <v/>
      </c>
      <c r="J844" s="8">
        <f>IF(B844="","",IFERROR(VLOOKUP(--B844,'CATALOGO CECO'!$A$2:$H$550,8,FALSE),""))</f>
        <v/>
      </c>
      <c r="K844" s="8">
        <f>IF(COUNTA(A844:F844)=0,"",IF(OR(LEN(A844)&lt;&gt;7,MID(A844,5,1)&lt;&gt;"-",ISERROR(--LEFT(A844,4)),ISERROR(--RIGHT(A844,2))),"ERROR: PERIODO debe ser AAAA-MM",IF(B844="","ERROR: falta CODIGO CECO",IF(G844="CECO NO EXISTE","ERROR: CECO no existe en el catálogo",IF(C844="","ERROR: falta CUENTA",IF(ISERROR(--C844),"ERROR: CUENTA debe tener solo dígitos",IF(ISERROR(FIND(LEFT(C844,1),"567")),"ERROR: CUENTA fuera de las clases de costo",IF(NOT(ISNUMBER(E844)),"ERROR: VALOR debe ser numérico",IF(E844=0,"AVISO: valor cero (no se carga)",IF(J844&lt;&gt;"ACTIVO","NO SE CARGA: CECO en estado "&amp;J844,"OK"))))))))))</f>
        <v/>
      </c>
    </row>
    <row r="845">
      <c r="A845" s="5" t="n"/>
      <c r="B845" s="6" t="n"/>
      <c r="C845" s="5" t="n"/>
      <c r="D845" s="6" t="n"/>
      <c r="E845" s="7" t="n"/>
      <c r="F845" s="6" t="n"/>
      <c r="G845" s="8">
        <f>IF(B845="","",IFERROR(VLOOKUP(--B845,'CATALOGO CECO'!$A$2:$H$550,2,FALSE),"CECO NO EXISTE"))</f>
        <v/>
      </c>
      <c r="H845" s="8">
        <f>IF(B845="","",IFERROR(VLOOKUP(--B845,'CATALOGO CECO'!$A$2:$H$550,3,FALSE),""))</f>
        <v/>
      </c>
      <c r="I845" s="8">
        <f>IF(B845="","",IFERROR(VLOOKUP(--B845,'CATALOGO CECO'!$A$2:$H$550,5,FALSE),""))</f>
        <v/>
      </c>
      <c r="J845" s="8">
        <f>IF(B845="","",IFERROR(VLOOKUP(--B845,'CATALOGO CECO'!$A$2:$H$550,8,FALSE),""))</f>
        <v/>
      </c>
      <c r="K845" s="8">
        <f>IF(COUNTA(A845:F845)=0,"",IF(OR(LEN(A845)&lt;&gt;7,MID(A845,5,1)&lt;&gt;"-",ISERROR(--LEFT(A845,4)),ISERROR(--RIGHT(A845,2))),"ERROR: PERIODO debe ser AAAA-MM",IF(B845="","ERROR: falta CODIGO CECO",IF(G845="CECO NO EXISTE","ERROR: CECO no existe en el catálogo",IF(C845="","ERROR: falta CUENTA",IF(ISERROR(--C845),"ERROR: CUENTA debe tener solo dígitos",IF(ISERROR(FIND(LEFT(C845,1),"567")),"ERROR: CUENTA fuera de las clases de costo",IF(NOT(ISNUMBER(E845)),"ERROR: VALOR debe ser numérico",IF(E845=0,"AVISO: valor cero (no se carga)",IF(J845&lt;&gt;"ACTIVO","NO SE CARGA: CECO en estado "&amp;J845,"OK"))))))))))</f>
        <v/>
      </c>
    </row>
    <row r="846">
      <c r="A846" s="5" t="n"/>
      <c r="B846" s="6" t="n"/>
      <c r="C846" s="5" t="n"/>
      <c r="D846" s="6" t="n"/>
      <c r="E846" s="7" t="n"/>
      <c r="F846" s="6" t="n"/>
      <c r="G846" s="8">
        <f>IF(B846="","",IFERROR(VLOOKUP(--B846,'CATALOGO CECO'!$A$2:$H$550,2,FALSE),"CECO NO EXISTE"))</f>
        <v/>
      </c>
      <c r="H846" s="8">
        <f>IF(B846="","",IFERROR(VLOOKUP(--B846,'CATALOGO CECO'!$A$2:$H$550,3,FALSE),""))</f>
        <v/>
      </c>
      <c r="I846" s="8">
        <f>IF(B846="","",IFERROR(VLOOKUP(--B846,'CATALOGO CECO'!$A$2:$H$550,5,FALSE),""))</f>
        <v/>
      </c>
      <c r="J846" s="8">
        <f>IF(B846="","",IFERROR(VLOOKUP(--B846,'CATALOGO CECO'!$A$2:$H$550,8,FALSE),""))</f>
        <v/>
      </c>
      <c r="K846" s="8">
        <f>IF(COUNTA(A846:F846)=0,"",IF(OR(LEN(A846)&lt;&gt;7,MID(A846,5,1)&lt;&gt;"-",ISERROR(--LEFT(A846,4)),ISERROR(--RIGHT(A846,2))),"ERROR: PERIODO debe ser AAAA-MM",IF(B846="","ERROR: falta CODIGO CECO",IF(G846="CECO NO EXISTE","ERROR: CECO no existe en el catálogo",IF(C846="","ERROR: falta CUENTA",IF(ISERROR(--C846),"ERROR: CUENTA debe tener solo dígitos",IF(ISERROR(FIND(LEFT(C846,1),"567")),"ERROR: CUENTA fuera de las clases de costo",IF(NOT(ISNUMBER(E846)),"ERROR: VALOR debe ser numérico",IF(E846=0,"AVISO: valor cero (no se carga)",IF(J846&lt;&gt;"ACTIVO","NO SE CARGA: CECO en estado "&amp;J846,"OK"))))))))))</f>
        <v/>
      </c>
    </row>
    <row r="847">
      <c r="A847" s="5" t="n"/>
      <c r="B847" s="6" t="n"/>
      <c r="C847" s="5" t="n"/>
      <c r="D847" s="6" t="n"/>
      <c r="E847" s="7" t="n"/>
      <c r="F847" s="6" t="n"/>
      <c r="G847" s="8">
        <f>IF(B847="","",IFERROR(VLOOKUP(--B847,'CATALOGO CECO'!$A$2:$H$550,2,FALSE),"CECO NO EXISTE"))</f>
        <v/>
      </c>
      <c r="H847" s="8">
        <f>IF(B847="","",IFERROR(VLOOKUP(--B847,'CATALOGO CECO'!$A$2:$H$550,3,FALSE),""))</f>
        <v/>
      </c>
      <c r="I847" s="8">
        <f>IF(B847="","",IFERROR(VLOOKUP(--B847,'CATALOGO CECO'!$A$2:$H$550,5,FALSE),""))</f>
        <v/>
      </c>
      <c r="J847" s="8">
        <f>IF(B847="","",IFERROR(VLOOKUP(--B847,'CATALOGO CECO'!$A$2:$H$550,8,FALSE),""))</f>
        <v/>
      </c>
      <c r="K847" s="8">
        <f>IF(COUNTA(A847:F847)=0,"",IF(OR(LEN(A847)&lt;&gt;7,MID(A847,5,1)&lt;&gt;"-",ISERROR(--LEFT(A847,4)),ISERROR(--RIGHT(A847,2))),"ERROR: PERIODO debe ser AAAA-MM",IF(B847="","ERROR: falta CODIGO CECO",IF(G847="CECO NO EXISTE","ERROR: CECO no existe en el catálogo",IF(C847="","ERROR: falta CUENTA",IF(ISERROR(--C847),"ERROR: CUENTA debe tener solo dígitos",IF(ISERROR(FIND(LEFT(C847,1),"567")),"ERROR: CUENTA fuera de las clases de costo",IF(NOT(ISNUMBER(E847)),"ERROR: VALOR debe ser numérico",IF(E847=0,"AVISO: valor cero (no se carga)",IF(J847&lt;&gt;"ACTIVO","NO SE CARGA: CECO en estado "&amp;J847,"OK"))))))))))</f>
        <v/>
      </c>
    </row>
    <row r="848">
      <c r="A848" s="5" t="n"/>
      <c r="B848" s="6" t="n"/>
      <c r="C848" s="5" t="n"/>
      <c r="D848" s="6" t="n"/>
      <c r="E848" s="7" t="n"/>
      <c r="F848" s="6" t="n"/>
      <c r="G848" s="8">
        <f>IF(B848="","",IFERROR(VLOOKUP(--B848,'CATALOGO CECO'!$A$2:$H$550,2,FALSE),"CECO NO EXISTE"))</f>
        <v/>
      </c>
      <c r="H848" s="8">
        <f>IF(B848="","",IFERROR(VLOOKUP(--B848,'CATALOGO CECO'!$A$2:$H$550,3,FALSE),""))</f>
        <v/>
      </c>
      <c r="I848" s="8">
        <f>IF(B848="","",IFERROR(VLOOKUP(--B848,'CATALOGO CECO'!$A$2:$H$550,5,FALSE),""))</f>
        <v/>
      </c>
      <c r="J848" s="8">
        <f>IF(B848="","",IFERROR(VLOOKUP(--B848,'CATALOGO CECO'!$A$2:$H$550,8,FALSE),""))</f>
        <v/>
      </c>
      <c r="K848" s="8">
        <f>IF(COUNTA(A848:F848)=0,"",IF(OR(LEN(A848)&lt;&gt;7,MID(A848,5,1)&lt;&gt;"-",ISERROR(--LEFT(A848,4)),ISERROR(--RIGHT(A848,2))),"ERROR: PERIODO debe ser AAAA-MM",IF(B848="","ERROR: falta CODIGO CECO",IF(G848="CECO NO EXISTE","ERROR: CECO no existe en el catálogo",IF(C848="","ERROR: falta CUENTA",IF(ISERROR(--C848),"ERROR: CUENTA debe tener solo dígitos",IF(ISERROR(FIND(LEFT(C848,1),"567")),"ERROR: CUENTA fuera de las clases de costo",IF(NOT(ISNUMBER(E848)),"ERROR: VALOR debe ser numérico",IF(E848=0,"AVISO: valor cero (no se carga)",IF(J848&lt;&gt;"ACTIVO","NO SE CARGA: CECO en estado "&amp;J848,"OK"))))))))))</f>
        <v/>
      </c>
    </row>
    <row r="849">
      <c r="A849" s="5" t="n"/>
      <c r="B849" s="6" t="n"/>
      <c r="C849" s="5" t="n"/>
      <c r="D849" s="6" t="n"/>
      <c r="E849" s="7" t="n"/>
      <c r="F849" s="6" t="n"/>
      <c r="G849" s="8">
        <f>IF(B849="","",IFERROR(VLOOKUP(--B849,'CATALOGO CECO'!$A$2:$H$550,2,FALSE),"CECO NO EXISTE"))</f>
        <v/>
      </c>
      <c r="H849" s="8">
        <f>IF(B849="","",IFERROR(VLOOKUP(--B849,'CATALOGO CECO'!$A$2:$H$550,3,FALSE),""))</f>
        <v/>
      </c>
      <c r="I849" s="8">
        <f>IF(B849="","",IFERROR(VLOOKUP(--B849,'CATALOGO CECO'!$A$2:$H$550,5,FALSE),""))</f>
        <v/>
      </c>
      <c r="J849" s="8">
        <f>IF(B849="","",IFERROR(VLOOKUP(--B849,'CATALOGO CECO'!$A$2:$H$550,8,FALSE),""))</f>
        <v/>
      </c>
      <c r="K849" s="8">
        <f>IF(COUNTA(A849:F849)=0,"",IF(OR(LEN(A849)&lt;&gt;7,MID(A849,5,1)&lt;&gt;"-",ISERROR(--LEFT(A849,4)),ISERROR(--RIGHT(A849,2))),"ERROR: PERIODO debe ser AAAA-MM",IF(B849="","ERROR: falta CODIGO CECO",IF(G849="CECO NO EXISTE","ERROR: CECO no existe en el catálogo",IF(C849="","ERROR: falta CUENTA",IF(ISERROR(--C849),"ERROR: CUENTA debe tener solo dígitos",IF(ISERROR(FIND(LEFT(C849,1),"567")),"ERROR: CUENTA fuera de las clases de costo",IF(NOT(ISNUMBER(E849)),"ERROR: VALOR debe ser numérico",IF(E849=0,"AVISO: valor cero (no se carga)",IF(J849&lt;&gt;"ACTIVO","NO SE CARGA: CECO en estado "&amp;J849,"OK"))))))))))</f>
        <v/>
      </c>
    </row>
    <row r="850">
      <c r="A850" s="5" t="n"/>
      <c r="B850" s="6" t="n"/>
      <c r="C850" s="5" t="n"/>
      <c r="D850" s="6" t="n"/>
      <c r="E850" s="7" t="n"/>
      <c r="F850" s="6" t="n"/>
      <c r="G850" s="8">
        <f>IF(B850="","",IFERROR(VLOOKUP(--B850,'CATALOGO CECO'!$A$2:$H$550,2,FALSE),"CECO NO EXISTE"))</f>
        <v/>
      </c>
      <c r="H850" s="8">
        <f>IF(B850="","",IFERROR(VLOOKUP(--B850,'CATALOGO CECO'!$A$2:$H$550,3,FALSE),""))</f>
        <v/>
      </c>
      <c r="I850" s="8">
        <f>IF(B850="","",IFERROR(VLOOKUP(--B850,'CATALOGO CECO'!$A$2:$H$550,5,FALSE),""))</f>
        <v/>
      </c>
      <c r="J850" s="8">
        <f>IF(B850="","",IFERROR(VLOOKUP(--B850,'CATALOGO CECO'!$A$2:$H$550,8,FALSE),""))</f>
        <v/>
      </c>
      <c r="K850" s="8">
        <f>IF(COUNTA(A850:F850)=0,"",IF(OR(LEN(A850)&lt;&gt;7,MID(A850,5,1)&lt;&gt;"-",ISERROR(--LEFT(A850,4)),ISERROR(--RIGHT(A850,2))),"ERROR: PERIODO debe ser AAAA-MM",IF(B850="","ERROR: falta CODIGO CECO",IF(G850="CECO NO EXISTE","ERROR: CECO no existe en el catálogo",IF(C850="","ERROR: falta CUENTA",IF(ISERROR(--C850),"ERROR: CUENTA debe tener solo dígitos",IF(ISERROR(FIND(LEFT(C850,1),"567")),"ERROR: CUENTA fuera de las clases de costo",IF(NOT(ISNUMBER(E850)),"ERROR: VALOR debe ser numérico",IF(E850=0,"AVISO: valor cero (no se carga)",IF(J850&lt;&gt;"ACTIVO","NO SE CARGA: CECO en estado "&amp;J850,"OK"))))))))))</f>
        <v/>
      </c>
    </row>
    <row r="851">
      <c r="A851" s="5" t="n"/>
      <c r="B851" s="6" t="n"/>
      <c r="C851" s="5" t="n"/>
      <c r="D851" s="6" t="n"/>
      <c r="E851" s="7" t="n"/>
      <c r="F851" s="6" t="n"/>
      <c r="G851" s="8">
        <f>IF(B851="","",IFERROR(VLOOKUP(--B851,'CATALOGO CECO'!$A$2:$H$550,2,FALSE),"CECO NO EXISTE"))</f>
        <v/>
      </c>
      <c r="H851" s="8">
        <f>IF(B851="","",IFERROR(VLOOKUP(--B851,'CATALOGO CECO'!$A$2:$H$550,3,FALSE),""))</f>
        <v/>
      </c>
      <c r="I851" s="8">
        <f>IF(B851="","",IFERROR(VLOOKUP(--B851,'CATALOGO CECO'!$A$2:$H$550,5,FALSE),""))</f>
        <v/>
      </c>
      <c r="J851" s="8">
        <f>IF(B851="","",IFERROR(VLOOKUP(--B851,'CATALOGO CECO'!$A$2:$H$550,8,FALSE),""))</f>
        <v/>
      </c>
      <c r="K851" s="8">
        <f>IF(COUNTA(A851:F851)=0,"",IF(OR(LEN(A851)&lt;&gt;7,MID(A851,5,1)&lt;&gt;"-",ISERROR(--LEFT(A851,4)),ISERROR(--RIGHT(A851,2))),"ERROR: PERIODO debe ser AAAA-MM",IF(B851="","ERROR: falta CODIGO CECO",IF(G851="CECO NO EXISTE","ERROR: CECO no existe en el catálogo",IF(C851="","ERROR: falta CUENTA",IF(ISERROR(--C851),"ERROR: CUENTA debe tener solo dígitos",IF(ISERROR(FIND(LEFT(C851,1),"567")),"ERROR: CUENTA fuera de las clases de costo",IF(NOT(ISNUMBER(E851)),"ERROR: VALOR debe ser numérico",IF(E851=0,"AVISO: valor cero (no se carga)",IF(J851&lt;&gt;"ACTIVO","NO SE CARGA: CECO en estado "&amp;J851,"OK"))))))))))</f>
        <v/>
      </c>
    </row>
    <row r="852">
      <c r="A852" s="5" t="n"/>
      <c r="B852" s="6" t="n"/>
      <c r="C852" s="5" t="n"/>
      <c r="D852" s="6" t="n"/>
      <c r="E852" s="7" t="n"/>
      <c r="F852" s="6" t="n"/>
      <c r="G852" s="8">
        <f>IF(B852="","",IFERROR(VLOOKUP(--B852,'CATALOGO CECO'!$A$2:$H$550,2,FALSE),"CECO NO EXISTE"))</f>
        <v/>
      </c>
      <c r="H852" s="8">
        <f>IF(B852="","",IFERROR(VLOOKUP(--B852,'CATALOGO CECO'!$A$2:$H$550,3,FALSE),""))</f>
        <v/>
      </c>
      <c r="I852" s="8">
        <f>IF(B852="","",IFERROR(VLOOKUP(--B852,'CATALOGO CECO'!$A$2:$H$550,5,FALSE),""))</f>
        <v/>
      </c>
      <c r="J852" s="8">
        <f>IF(B852="","",IFERROR(VLOOKUP(--B852,'CATALOGO CECO'!$A$2:$H$550,8,FALSE),""))</f>
        <v/>
      </c>
      <c r="K852" s="8">
        <f>IF(COUNTA(A852:F852)=0,"",IF(OR(LEN(A852)&lt;&gt;7,MID(A852,5,1)&lt;&gt;"-",ISERROR(--LEFT(A852,4)),ISERROR(--RIGHT(A852,2))),"ERROR: PERIODO debe ser AAAA-MM",IF(B852="","ERROR: falta CODIGO CECO",IF(G852="CECO NO EXISTE","ERROR: CECO no existe en el catálogo",IF(C852="","ERROR: falta CUENTA",IF(ISERROR(--C852),"ERROR: CUENTA debe tener solo dígitos",IF(ISERROR(FIND(LEFT(C852,1),"567")),"ERROR: CUENTA fuera de las clases de costo",IF(NOT(ISNUMBER(E852)),"ERROR: VALOR debe ser numérico",IF(E852=0,"AVISO: valor cero (no se carga)",IF(J852&lt;&gt;"ACTIVO","NO SE CARGA: CECO en estado "&amp;J852,"OK"))))))))))</f>
        <v/>
      </c>
    </row>
    <row r="853">
      <c r="A853" s="5" t="n"/>
      <c r="B853" s="6" t="n"/>
      <c r="C853" s="5" t="n"/>
      <c r="D853" s="6" t="n"/>
      <c r="E853" s="7" t="n"/>
      <c r="F853" s="6" t="n"/>
      <c r="G853" s="8">
        <f>IF(B853="","",IFERROR(VLOOKUP(--B853,'CATALOGO CECO'!$A$2:$H$550,2,FALSE),"CECO NO EXISTE"))</f>
        <v/>
      </c>
      <c r="H853" s="8">
        <f>IF(B853="","",IFERROR(VLOOKUP(--B853,'CATALOGO CECO'!$A$2:$H$550,3,FALSE),""))</f>
        <v/>
      </c>
      <c r="I853" s="8">
        <f>IF(B853="","",IFERROR(VLOOKUP(--B853,'CATALOGO CECO'!$A$2:$H$550,5,FALSE),""))</f>
        <v/>
      </c>
      <c r="J853" s="8">
        <f>IF(B853="","",IFERROR(VLOOKUP(--B853,'CATALOGO CECO'!$A$2:$H$550,8,FALSE),""))</f>
        <v/>
      </c>
      <c r="K853" s="8">
        <f>IF(COUNTA(A853:F853)=0,"",IF(OR(LEN(A853)&lt;&gt;7,MID(A853,5,1)&lt;&gt;"-",ISERROR(--LEFT(A853,4)),ISERROR(--RIGHT(A853,2))),"ERROR: PERIODO debe ser AAAA-MM",IF(B853="","ERROR: falta CODIGO CECO",IF(G853="CECO NO EXISTE","ERROR: CECO no existe en el catálogo",IF(C853="","ERROR: falta CUENTA",IF(ISERROR(--C853),"ERROR: CUENTA debe tener solo dígitos",IF(ISERROR(FIND(LEFT(C853,1),"567")),"ERROR: CUENTA fuera de las clases de costo",IF(NOT(ISNUMBER(E853)),"ERROR: VALOR debe ser numérico",IF(E853=0,"AVISO: valor cero (no se carga)",IF(J853&lt;&gt;"ACTIVO","NO SE CARGA: CECO en estado "&amp;J853,"OK"))))))))))</f>
        <v/>
      </c>
    </row>
    <row r="854">
      <c r="A854" s="5" t="n"/>
      <c r="B854" s="6" t="n"/>
      <c r="C854" s="5" t="n"/>
      <c r="D854" s="6" t="n"/>
      <c r="E854" s="7" t="n"/>
      <c r="F854" s="6" t="n"/>
      <c r="G854" s="8">
        <f>IF(B854="","",IFERROR(VLOOKUP(--B854,'CATALOGO CECO'!$A$2:$H$550,2,FALSE),"CECO NO EXISTE"))</f>
        <v/>
      </c>
      <c r="H854" s="8">
        <f>IF(B854="","",IFERROR(VLOOKUP(--B854,'CATALOGO CECO'!$A$2:$H$550,3,FALSE),""))</f>
        <v/>
      </c>
      <c r="I854" s="8">
        <f>IF(B854="","",IFERROR(VLOOKUP(--B854,'CATALOGO CECO'!$A$2:$H$550,5,FALSE),""))</f>
        <v/>
      </c>
      <c r="J854" s="8">
        <f>IF(B854="","",IFERROR(VLOOKUP(--B854,'CATALOGO CECO'!$A$2:$H$550,8,FALSE),""))</f>
        <v/>
      </c>
      <c r="K854" s="8">
        <f>IF(COUNTA(A854:F854)=0,"",IF(OR(LEN(A854)&lt;&gt;7,MID(A854,5,1)&lt;&gt;"-",ISERROR(--LEFT(A854,4)),ISERROR(--RIGHT(A854,2))),"ERROR: PERIODO debe ser AAAA-MM",IF(B854="","ERROR: falta CODIGO CECO",IF(G854="CECO NO EXISTE","ERROR: CECO no existe en el catálogo",IF(C854="","ERROR: falta CUENTA",IF(ISERROR(--C854),"ERROR: CUENTA debe tener solo dígitos",IF(ISERROR(FIND(LEFT(C854,1),"567")),"ERROR: CUENTA fuera de las clases de costo",IF(NOT(ISNUMBER(E854)),"ERROR: VALOR debe ser numérico",IF(E854=0,"AVISO: valor cero (no se carga)",IF(J854&lt;&gt;"ACTIVO","NO SE CARGA: CECO en estado "&amp;J854,"OK"))))))))))</f>
        <v/>
      </c>
    </row>
    <row r="855">
      <c r="A855" s="5" t="n"/>
      <c r="B855" s="6" t="n"/>
      <c r="C855" s="5" t="n"/>
      <c r="D855" s="6" t="n"/>
      <c r="E855" s="7" t="n"/>
      <c r="F855" s="6" t="n"/>
      <c r="G855" s="8">
        <f>IF(B855="","",IFERROR(VLOOKUP(--B855,'CATALOGO CECO'!$A$2:$H$550,2,FALSE),"CECO NO EXISTE"))</f>
        <v/>
      </c>
      <c r="H855" s="8">
        <f>IF(B855="","",IFERROR(VLOOKUP(--B855,'CATALOGO CECO'!$A$2:$H$550,3,FALSE),""))</f>
        <v/>
      </c>
      <c r="I855" s="8">
        <f>IF(B855="","",IFERROR(VLOOKUP(--B855,'CATALOGO CECO'!$A$2:$H$550,5,FALSE),""))</f>
        <v/>
      </c>
      <c r="J855" s="8">
        <f>IF(B855="","",IFERROR(VLOOKUP(--B855,'CATALOGO CECO'!$A$2:$H$550,8,FALSE),""))</f>
        <v/>
      </c>
      <c r="K855" s="8">
        <f>IF(COUNTA(A855:F855)=0,"",IF(OR(LEN(A855)&lt;&gt;7,MID(A855,5,1)&lt;&gt;"-",ISERROR(--LEFT(A855,4)),ISERROR(--RIGHT(A855,2))),"ERROR: PERIODO debe ser AAAA-MM",IF(B855="","ERROR: falta CODIGO CECO",IF(G855="CECO NO EXISTE","ERROR: CECO no existe en el catálogo",IF(C855="","ERROR: falta CUENTA",IF(ISERROR(--C855),"ERROR: CUENTA debe tener solo dígitos",IF(ISERROR(FIND(LEFT(C855,1),"567")),"ERROR: CUENTA fuera de las clases de costo",IF(NOT(ISNUMBER(E855)),"ERROR: VALOR debe ser numérico",IF(E855=0,"AVISO: valor cero (no se carga)",IF(J855&lt;&gt;"ACTIVO","NO SE CARGA: CECO en estado "&amp;J855,"OK"))))))))))</f>
        <v/>
      </c>
    </row>
    <row r="856">
      <c r="A856" s="5" t="n"/>
      <c r="B856" s="6" t="n"/>
      <c r="C856" s="5" t="n"/>
      <c r="D856" s="6" t="n"/>
      <c r="E856" s="7" t="n"/>
      <c r="F856" s="6" t="n"/>
      <c r="G856" s="8">
        <f>IF(B856="","",IFERROR(VLOOKUP(--B856,'CATALOGO CECO'!$A$2:$H$550,2,FALSE),"CECO NO EXISTE"))</f>
        <v/>
      </c>
      <c r="H856" s="8">
        <f>IF(B856="","",IFERROR(VLOOKUP(--B856,'CATALOGO CECO'!$A$2:$H$550,3,FALSE),""))</f>
        <v/>
      </c>
      <c r="I856" s="8">
        <f>IF(B856="","",IFERROR(VLOOKUP(--B856,'CATALOGO CECO'!$A$2:$H$550,5,FALSE),""))</f>
        <v/>
      </c>
      <c r="J856" s="8">
        <f>IF(B856="","",IFERROR(VLOOKUP(--B856,'CATALOGO CECO'!$A$2:$H$550,8,FALSE),""))</f>
        <v/>
      </c>
      <c r="K856" s="8">
        <f>IF(COUNTA(A856:F856)=0,"",IF(OR(LEN(A856)&lt;&gt;7,MID(A856,5,1)&lt;&gt;"-",ISERROR(--LEFT(A856,4)),ISERROR(--RIGHT(A856,2))),"ERROR: PERIODO debe ser AAAA-MM",IF(B856="","ERROR: falta CODIGO CECO",IF(G856="CECO NO EXISTE","ERROR: CECO no existe en el catálogo",IF(C856="","ERROR: falta CUENTA",IF(ISERROR(--C856),"ERROR: CUENTA debe tener solo dígitos",IF(ISERROR(FIND(LEFT(C856,1),"567")),"ERROR: CUENTA fuera de las clases de costo",IF(NOT(ISNUMBER(E856)),"ERROR: VALOR debe ser numérico",IF(E856=0,"AVISO: valor cero (no se carga)",IF(J856&lt;&gt;"ACTIVO","NO SE CARGA: CECO en estado "&amp;J856,"OK"))))))))))</f>
        <v/>
      </c>
    </row>
    <row r="857">
      <c r="A857" s="5" t="n"/>
      <c r="B857" s="6" t="n"/>
      <c r="C857" s="5" t="n"/>
      <c r="D857" s="6" t="n"/>
      <c r="E857" s="7" t="n"/>
      <c r="F857" s="6" t="n"/>
      <c r="G857" s="8">
        <f>IF(B857="","",IFERROR(VLOOKUP(--B857,'CATALOGO CECO'!$A$2:$H$550,2,FALSE),"CECO NO EXISTE"))</f>
        <v/>
      </c>
      <c r="H857" s="8">
        <f>IF(B857="","",IFERROR(VLOOKUP(--B857,'CATALOGO CECO'!$A$2:$H$550,3,FALSE),""))</f>
        <v/>
      </c>
      <c r="I857" s="8">
        <f>IF(B857="","",IFERROR(VLOOKUP(--B857,'CATALOGO CECO'!$A$2:$H$550,5,FALSE),""))</f>
        <v/>
      </c>
      <c r="J857" s="8">
        <f>IF(B857="","",IFERROR(VLOOKUP(--B857,'CATALOGO CECO'!$A$2:$H$550,8,FALSE),""))</f>
        <v/>
      </c>
      <c r="K857" s="8">
        <f>IF(COUNTA(A857:F857)=0,"",IF(OR(LEN(A857)&lt;&gt;7,MID(A857,5,1)&lt;&gt;"-",ISERROR(--LEFT(A857,4)),ISERROR(--RIGHT(A857,2))),"ERROR: PERIODO debe ser AAAA-MM",IF(B857="","ERROR: falta CODIGO CECO",IF(G857="CECO NO EXISTE","ERROR: CECO no existe en el catálogo",IF(C857="","ERROR: falta CUENTA",IF(ISERROR(--C857),"ERROR: CUENTA debe tener solo dígitos",IF(ISERROR(FIND(LEFT(C857,1),"567")),"ERROR: CUENTA fuera de las clases de costo",IF(NOT(ISNUMBER(E857)),"ERROR: VALOR debe ser numérico",IF(E857=0,"AVISO: valor cero (no se carga)",IF(J857&lt;&gt;"ACTIVO","NO SE CARGA: CECO en estado "&amp;J857,"OK"))))))))))</f>
        <v/>
      </c>
    </row>
    <row r="858">
      <c r="A858" s="5" t="n"/>
      <c r="B858" s="6" t="n"/>
      <c r="C858" s="5" t="n"/>
      <c r="D858" s="6" t="n"/>
      <c r="E858" s="7" t="n"/>
      <c r="F858" s="6" t="n"/>
      <c r="G858" s="8">
        <f>IF(B858="","",IFERROR(VLOOKUP(--B858,'CATALOGO CECO'!$A$2:$H$550,2,FALSE),"CECO NO EXISTE"))</f>
        <v/>
      </c>
      <c r="H858" s="8">
        <f>IF(B858="","",IFERROR(VLOOKUP(--B858,'CATALOGO CECO'!$A$2:$H$550,3,FALSE),""))</f>
        <v/>
      </c>
      <c r="I858" s="8">
        <f>IF(B858="","",IFERROR(VLOOKUP(--B858,'CATALOGO CECO'!$A$2:$H$550,5,FALSE),""))</f>
        <v/>
      </c>
      <c r="J858" s="8">
        <f>IF(B858="","",IFERROR(VLOOKUP(--B858,'CATALOGO CECO'!$A$2:$H$550,8,FALSE),""))</f>
        <v/>
      </c>
      <c r="K858" s="8">
        <f>IF(COUNTA(A858:F858)=0,"",IF(OR(LEN(A858)&lt;&gt;7,MID(A858,5,1)&lt;&gt;"-",ISERROR(--LEFT(A858,4)),ISERROR(--RIGHT(A858,2))),"ERROR: PERIODO debe ser AAAA-MM",IF(B858="","ERROR: falta CODIGO CECO",IF(G858="CECO NO EXISTE","ERROR: CECO no existe en el catálogo",IF(C858="","ERROR: falta CUENTA",IF(ISERROR(--C858),"ERROR: CUENTA debe tener solo dígitos",IF(ISERROR(FIND(LEFT(C858,1),"567")),"ERROR: CUENTA fuera de las clases de costo",IF(NOT(ISNUMBER(E858)),"ERROR: VALOR debe ser numérico",IF(E858=0,"AVISO: valor cero (no se carga)",IF(J858&lt;&gt;"ACTIVO","NO SE CARGA: CECO en estado "&amp;J858,"OK"))))))))))</f>
        <v/>
      </c>
    </row>
    <row r="859">
      <c r="A859" s="5" t="n"/>
      <c r="B859" s="6" t="n"/>
      <c r="C859" s="5" t="n"/>
      <c r="D859" s="6" t="n"/>
      <c r="E859" s="7" t="n"/>
      <c r="F859" s="6" t="n"/>
      <c r="G859" s="8">
        <f>IF(B859="","",IFERROR(VLOOKUP(--B859,'CATALOGO CECO'!$A$2:$H$550,2,FALSE),"CECO NO EXISTE"))</f>
        <v/>
      </c>
      <c r="H859" s="8">
        <f>IF(B859="","",IFERROR(VLOOKUP(--B859,'CATALOGO CECO'!$A$2:$H$550,3,FALSE),""))</f>
        <v/>
      </c>
      <c r="I859" s="8">
        <f>IF(B859="","",IFERROR(VLOOKUP(--B859,'CATALOGO CECO'!$A$2:$H$550,5,FALSE),""))</f>
        <v/>
      </c>
      <c r="J859" s="8">
        <f>IF(B859="","",IFERROR(VLOOKUP(--B859,'CATALOGO CECO'!$A$2:$H$550,8,FALSE),""))</f>
        <v/>
      </c>
      <c r="K859" s="8">
        <f>IF(COUNTA(A859:F859)=0,"",IF(OR(LEN(A859)&lt;&gt;7,MID(A859,5,1)&lt;&gt;"-",ISERROR(--LEFT(A859,4)),ISERROR(--RIGHT(A859,2))),"ERROR: PERIODO debe ser AAAA-MM",IF(B859="","ERROR: falta CODIGO CECO",IF(G859="CECO NO EXISTE","ERROR: CECO no existe en el catálogo",IF(C859="","ERROR: falta CUENTA",IF(ISERROR(--C859),"ERROR: CUENTA debe tener solo dígitos",IF(ISERROR(FIND(LEFT(C859,1),"567")),"ERROR: CUENTA fuera de las clases de costo",IF(NOT(ISNUMBER(E859)),"ERROR: VALOR debe ser numérico",IF(E859=0,"AVISO: valor cero (no se carga)",IF(J859&lt;&gt;"ACTIVO","NO SE CARGA: CECO en estado "&amp;J859,"OK"))))))))))</f>
        <v/>
      </c>
    </row>
    <row r="860">
      <c r="A860" s="5" t="n"/>
      <c r="B860" s="6" t="n"/>
      <c r="C860" s="5" t="n"/>
      <c r="D860" s="6" t="n"/>
      <c r="E860" s="7" t="n"/>
      <c r="F860" s="6" t="n"/>
      <c r="G860" s="8">
        <f>IF(B860="","",IFERROR(VLOOKUP(--B860,'CATALOGO CECO'!$A$2:$H$550,2,FALSE),"CECO NO EXISTE"))</f>
        <v/>
      </c>
      <c r="H860" s="8">
        <f>IF(B860="","",IFERROR(VLOOKUP(--B860,'CATALOGO CECO'!$A$2:$H$550,3,FALSE),""))</f>
        <v/>
      </c>
      <c r="I860" s="8">
        <f>IF(B860="","",IFERROR(VLOOKUP(--B860,'CATALOGO CECO'!$A$2:$H$550,5,FALSE),""))</f>
        <v/>
      </c>
      <c r="J860" s="8">
        <f>IF(B860="","",IFERROR(VLOOKUP(--B860,'CATALOGO CECO'!$A$2:$H$550,8,FALSE),""))</f>
        <v/>
      </c>
      <c r="K860" s="8">
        <f>IF(COUNTA(A860:F860)=0,"",IF(OR(LEN(A860)&lt;&gt;7,MID(A860,5,1)&lt;&gt;"-",ISERROR(--LEFT(A860,4)),ISERROR(--RIGHT(A860,2))),"ERROR: PERIODO debe ser AAAA-MM",IF(B860="","ERROR: falta CODIGO CECO",IF(G860="CECO NO EXISTE","ERROR: CECO no existe en el catálogo",IF(C860="","ERROR: falta CUENTA",IF(ISERROR(--C860),"ERROR: CUENTA debe tener solo dígitos",IF(ISERROR(FIND(LEFT(C860,1),"567")),"ERROR: CUENTA fuera de las clases de costo",IF(NOT(ISNUMBER(E860)),"ERROR: VALOR debe ser numérico",IF(E860=0,"AVISO: valor cero (no se carga)",IF(J860&lt;&gt;"ACTIVO","NO SE CARGA: CECO en estado "&amp;J860,"OK"))))))))))</f>
        <v/>
      </c>
    </row>
    <row r="861">
      <c r="A861" s="5" t="n"/>
      <c r="B861" s="6" t="n"/>
      <c r="C861" s="5" t="n"/>
      <c r="D861" s="6" t="n"/>
      <c r="E861" s="7" t="n"/>
      <c r="F861" s="6" t="n"/>
      <c r="G861" s="8">
        <f>IF(B861="","",IFERROR(VLOOKUP(--B861,'CATALOGO CECO'!$A$2:$H$550,2,FALSE),"CECO NO EXISTE"))</f>
        <v/>
      </c>
      <c r="H861" s="8">
        <f>IF(B861="","",IFERROR(VLOOKUP(--B861,'CATALOGO CECO'!$A$2:$H$550,3,FALSE),""))</f>
        <v/>
      </c>
      <c r="I861" s="8">
        <f>IF(B861="","",IFERROR(VLOOKUP(--B861,'CATALOGO CECO'!$A$2:$H$550,5,FALSE),""))</f>
        <v/>
      </c>
      <c r="J861" s="8">
        <f>IF(B861="","",IFERROR(VLOOKUP(--B861,'CATALOGO CECO'!$A$2:$H$550,8,FALSE),""))</f>
        <v/>
      </c>
      <c r="K861" s="8">
        <f>IF(COUNTA(A861:F861)=0,"",IF(OR(LEN(A861)&lt;&gt;7,MID(A861,5,1)&lt;&gt;"-",ISERROR(--LEFT(A861,4)),ISERROR(--RIGHT(A861,2))),"ERROR: PERIODO debe ser AAAA-MM",IF(B861="","ERROR: falta CODIGO CECO",IF(G861="CECO NO EXISTE","ERROR: CECO no existe en el catálogo",IF(C861="","ERROR: falta CUENTA",IF(ISERROR(--C861),"ERROR: CUENTA debe tener solo dígitos",IF(ISERROR(FIND(LEFT(C861,1),"567")),"ERROR: CUENTA fuera de las clases de costo",IF(NOT(ISNUMBER(E861)),"ERROR: VALOR debe ser numérico",IF(E861=0,"AVISO: valor cero (no se carga)",IF(J861&lt;&gt;"ACTIVO","NO SE CARGA: CECO en estado "&amp;J861,"OK"))))))))))</f>
        <v/>
      </c>
    </row>
    <row r="862">
      <c r="A862" s="5" t="n"/>
      <c r="B862" s="6" t="n"/>
      <c r="C862" s="5" t="n"/>
      <c r="D862" s="6" t="n"/>
      <c r="E862" s="7" t="n"/>
      <c r="F862" s="6" t="n"/>
      <c r="G862" s="8">
        <f>IF(B862="","",IFERROR(VLOOKUP(--B862,'CATALOGO CECO'!$A$2:$H$550,2,FALSE),"CECO NO EXISTE"))</f>
        <v/>
      </c>
      <c r="H862" s="8">
        <f>IF(B862="","",IFERROR(VLOOKUP(--B862,'CATALOGO CECO'!$A$2:$H$550,3,FALSE),""))</f>
        <v/>
      </c>
      <c r="I862" s="8">
        <f>IF(B862="","",IFERROR(VLOOKUP(--B862,'CATALOGO CECO'!$A$2:$H$550,5,FALSE),""))</f>
        <v/>
      </c>
      <c r="J862" s="8">
        <f>IF(B862="","",IFERROR(VLOOKUP(--B862,'CATALOGO CECO'!$A$2:$H$550,8,FALSE),""))</f>
        <v/>
      </c>
      <c r="K862" s="8">
        <f>IF(COUNTA(A862:F862)=0,"",IF(OR(LEN(A862)&lt;&gt;7,MID(A862,5,1)&lt;&gt;"-",ISERROR(--LEFT(A862,4)),ISERROR(--RIGHT(A862,2))),"ERROR: PERIODO debe ser AAAA-MM",IF(B862="","ERROR: falta CODIGO CECO",IF(G862="CECO NO EXISTE","ERROR: CECO no existe en el catálogo",IF(C862="","ERROR: falta CUENTA",IF(ISERROR(--C862),"ERROR: CUENTA debe tener solo dígitos",IF(ISERROR(FIND(LEFT(C862,1),"567")),"ERROR: CUENTA fuera de las clases de costo",IF(NOT(ISNUMBER(E862)),"ERROR: VALOR debe ser numérico",IF(E862=0,"AVISO: valor cero (no se carga)",IF(J862&lt;&gt;"ACTIVO","NO SE CARGA: CECO en estado "&amp;J862,"OK"))))))))))</f>
        <v/>
      </c>
    </row>
    <row r="863">
      <c r="A863" s="5" t="n"/>
      <c r="B863" s="6" t="n"/>
      <c r="C863" s="5" t="n"/>
      <c r="D863" s="6" t="n"/>
      <c r="E863" s="7" t="n"/>
      <c r="F863" s="6" t="n"/>
      <c r="G863" s="8">
        <f>IF(B863="","",IFERROR(VLOOKUP(--B863,'CATALOGO CECO'!$A$2:$H$550,2,FALSE),"CECO NO EXISTE"))</f>
        <v/>
      </c>
      <c r="H863" s="8">
        <f>IF(B863="","",IFERROR(VLOOKUP(--B863,'CATALOGO CECO'!$A$2:$H$550,3,FALSE),""))</f>
        <v/>
      </c>
      <c r="I863" s="8">
        <f>IF(B863="","",IFERROR(VLOOKUP(--B863,'CATALOGO CECO'!$A$2:$H$550,5,FALSE),""))</f>
        <v/>
      </c>
      <c r="J863" s="8">
        <f>IF(B863="","",IFERROR(VLOOKUP(--B863,'CATALOGO CECO'!$A$2:$H$550,8,FALSE),""))</f>
        <v/>
      </c>
      <c r="K863" s="8">
        <f>IF(COUNTA(A863:F863)=0,"",IF(OR(LEN(A863)&lt;&gt;7,MID(A863,5,1)&lt;&gt;"-",ISERROR(--LEFT(A863,4)),ISERROR(--RIGHT(A863,2))),"ERROR: PERIODO debe ser AAAA-MM",IF(B863="","ERROR: falta CODIGO CECO",IF(G863="CECO NO EXISTE","ERROR: CECO no existe en el catálogo",IF(C863="","ERROR: falta CUENTA",IF(ISERROR(--C863),"ERROR: CUENTA debe tener solo dígitos",IF(ISERROR(FIND(LEFT(C863,1),"567")),"ERROR: CUENTA fuera de las clases de costo",IF(NOT(ISNUMBER(E863)),"ERROR: VALOR debe ser numérico",IF(E863=0,"AVISO: valor cero (no se carga)",IF(J863&lt;&gt;"ACTIVO","NO SE CARGA: CECO en estado "&amp;J863,"OK"))))))))))</f>
        <v/>
      </c>
    </row>
    <row r="864">
      <c r="A864" s="5" t="n"/>
      <c r="B864" s="6" t="n"/>
      <c r="C864" s="5" t="n"/>
      <c r="D864" s="6" t="n"/>
      <c r="E864" s="7" t="n"/>
      <c r="F864" s="6" t="n"/>
      <c r="G864" s="8">
        <f>IF(B864="","",IFERROR(VLOOKUP(--B864,'CATALOGO CECO'!$A$2:$H$550,2,FALSE),"CECO NO EXISTE"))</f>
        <v/>
      </c>
      <c r="H864" s="8">
        <f>IF(B864="","",IFERROR(VLOOKUP(--B864,'CATALOGO CECO'!$A$2:$H$550,3,FALSE),""))</f>
        <v/>
      </c>
      <c r="I864" s="8">
        <f>IF(B864="","",IFERROR(VLOOKUP(--B864,'CATALOGO CECO'!$A$2:$H$550,5,FALSE),""))</f>
        <v/>
      </c>
      <c r="J864" s="8">
        <f>IF(B864="","",IFERROR(VLOOKUP(--B864,'CATALOGO CECO'!$A$2:$H$550,8,FALSE),""))</f>
        <v/>
      </c>
      <c r="K864" s="8">
        <f>IF(COUNTA(A864:F864)=0,"",IF(OR(LEN(A864)&lt;&gt;7,MID(A864,5,1)&lt;&gt;"-",ISERROR(--LEFT(A864,4)),ISERROR(--RIGHT(A864,2))),"ERROR: PERIODO debe ser AAAA-MM",IF(B864="","ERROR: falta CODIGO CECO",IF(G864="CECO NO EXISTE","ERROR: CECO no existe en el catálogo",IF(C864="","ERROR: falta CUENTA",IF(ISERROR(--C864),"ERROR: CUENTA debe tener solo dígitos",IF(ISERROR(FIND(LEFT(C864,1),"567")),"ERROR: CUENTA fuera de las clases de costo",IF(NOT(ISNUMBER(E864)),"ERROR: VALOR debe ser numérico",IF(E864=0,"AVISO: valor cero (no se carga)",IF(J864&lt;&gt;"ACTIVO","NO SE CARGA: CECO en estado "&amp;J864,"OK"))))))))))</f>
        <v/>
      </c>
    </row>
    <row r="865">
      <c r="A865" s="5" t="n"/>
      <c r="B865" s="6" t="n"/>
      <c r="C865" s="5" t="n"/>
      <c r="D865" s="6" t="n"/>
      <c r="E865" s="7" t="n"/>
      <c r="F865" s="6" t="n"/>
      <c r="G865" s="8">
        <f>IF(B865="","",IFERROR(VLOOKUP(--B865,'CATALOGO CECO'!$A$2:$H$550,2,FALSE),"CECO NO EXISTE"))</f>
        <v/>
      </c>
      <c r="H865" s="8">
        <f>IF(B865="","",IFERROR(VLOOKUP(--B865,'CATALOGO CECO'!$A$2:$H$550,3,FALSE),""))</f>
        <v/>
      </c>
      <c r="I865" s="8">
        <f>IF(B865="","",IFERROR(VLOOKUP(--B865,'CATALOGO CECO'!$A$2:$H$550,5,FALSE),""))</f>
        <v/>
      </c>
      <c r="J865" s="8">
        <f>IF(B865="","",IFERROR(VLOOKUP(--B865,'CATALOGO CECO'!$A$2:$H$550,8,FALSE),""))</f>
        <v/>
      </c>
      <c r="K865" s="8">
        <f>IF(COUNTA(A865:F865)=0,"",IF(OR(LEN(A865)&lt;&gt;7,MID(A865,5,1)&lt;&gt;"-",ISERROR(--LEFT(A865,4)),ISERROR(--RIGHT(A865,2))),"ERROR: PERIODO debe ser AAAA-MM",IF(B865="","ERROR: falta CODIGO CECO",IF(G865="CECO NO EXISTE","ERROR: CECO no existe en el catálogo",IF(C865="","ERROR: falta CUENTA",IF(ISERROR(--C865),"ERROR: CUENTA debe tener solo dígitos",IF(ISERROR(FIND(LEFT(C865,1),"567")),"ERROR: CUENTA fuera de las clases de costo",IF(NOT(ISNUMBER(E865)),"ERROR: VALOR debe ser numérico",IF(E865=0,"AVISO: valor cero (no se carga)",IF(J865&lt;&gt;"ACTIVO","NO SE CARGA: CECO en estado "&amp;J865,"OK"))))))))))</f>
        <v/>
      </c>
    </row>
    <row r="866">
      <c r="A866" s="5" t="n"/>
      <c r="B866" s="6" t="n"/>
      <c r="C866" s="5" t="n"/>
      <c r="D866" s="6" t="n"/>
      <c r="E866" s="7" t="n"/>
      <c r="F866" s="6" t="n"/>
      <c r="G866" s="8">
        <f>IF(B866="","",IFERROR(VLOOKUP(--B866,'CATALOGO CECO'!$A$2:$H$550,2,FALSE),"CECO NO EXISTE"))</f>
        <v/>
      </c>
      <c r="H866" s="8">
        <f>IF(B866="","",IFERROR(VLOOKUP(--B866,'CATALOGO CECO'!$A$2:$H$550,3,FALSE),""))</f>
        <v/>
      </c>
      <c r="I866" s="8">
        <f>IF(B866="","",IFERROR(VLOOKUP(--B866,'CATALOGO CECO'!$A$2:$H$550,5,FALSE),""))</f>
        <v/>
      </c>
      <c r="J866" s="8">
        <f>IF(B866="","",IFERROR(VLOOKUP(--B866,'CATALOGO CECO'!$A$2:$H$550,8,FALSE),""))</f>
        <v/>
      </c>
      <c r="K866" s="8">
        <f>IF(COUNTA(A866:F866)=0,"",IF(OR(LEN(A866)&lt;&gt;7,MID(A866,5,1)&lt;&gt;"-",ISERROR(--LEFT(A866,4)),ISERROR(--RIGHT(A866,2))),"ERROR: PERIODO debe ser AAAA-MM",IF(B866="","ERROR: falta CODIGO CECO",IF(G866="CECO NO EXISTE","ERROR: CECO no existe en el catálogo",IF(C866="","ERROR: falta CUENTA",IF(ISERROR(--C866),"ERROR: CUENTA debe tener solo dígitos",IF(ISERROR(FIND(LEFT(C866,1),"567")),"ERROR: CUENTA fuera de las clases de costo",IF(NOT(ISNUMBER(E866)),"ERROR: VALOR debe ser numérico",IF(E866=0,"AVISO: valor cero (no se carga)",IF(J866&lt;&gt;"ACTIVO","NO SE CARGA: CECO en estado "&amp;J866,"OK"))))))))))</f>
        <v/>
      </c>
    </row>
    <row r="867">
      <c r="A867" s="5" t="n"/>
      <c r="B867" s="6" t="n"/>
      <c r="C867" s="5" t="n"/>
      <c r="D867" s="6" t="n"/>
      <c r="E867" s="7" t="n"/>
      <c r="F867" s="6" t="n"/>
      <c r="G867" s="8">
        <f>IF(B867="","",IFERROR(VLOOKUP(--B867,'CATALOGO CECO'!$A$2:$H$550,2,FALSE),"CECO NO EXISTE"))</f>
        <v/>
      </c>
      <c r="H867" s="8">
        <f>IF(B867="","",IFERROR(VLOOKUP(--B867,'CATALOGO CECO'!$A$2:$H$550,3,FALSE),""))</f>
        <v/>
      </c>
      <c r="I867" s="8">
        <f>IF(B867="","",IFERROR(VLOOKUP(--B867,'CATALOGO CECO'!$A$2:$H$550,5,FALSE),""))</f>
        <v/>
      </c>
      <c r="J867" s="8">
        <f>IF(B867="","",IFERROR(VLOOKUP(--B867,'CATALOGO CECO'!$A$2:$H$550,8,FALSE),""))</f>
        <v/>
      </c>
      <c r="K867" s="8">
        <f>IF(COUNTA(A867:F867)=0,"",IF(OR(LEN(A867)&lt;&gt;7,MID(A867,5,1)&lt;&gt;"-",ISERROR(--LEFT(A867,4)),ISERROR(--RIGHT(A867,2))),"ERROR: PERIODO debe ser AAAA-MM",IF(B867="","ERROR: falta CODIGO CECO",IF(G867="CECO NO EXISTE","ERROR: CECO no existe en el catálogo",IF(C867="","ERROR: falta CUENTA",IF(ISERROR(--C867),"ERROR: CUENTA debe tener solo dígitos",IF(ISERROR(FIND(LEFT(C867,1),"567")),"ERROR: CUENTA fuera de las clases de costo",IF(NOT(ISNUMBER(E867)),"ERROR: VALOR debe ser numérico",IF(E867=0,"AVISO: valor cero (no se carga)",IF(J867&lt;&gt;"ACTIVO","NO SE CARGA: CECO en estado "&amp;J867,"OK"))))))))))</f>
        <v/>
      </c>
    </row>
    <row r="868">
      <c r="A868" s="5" t="n"/>
      <c r="B868" s="6" t="n"/>
      <c r="C868" s="5" t="n"/>
      <c r="D868" s="6" t="n"/>
      <c r="E868" s="7" t="n"/>
      <c r="F868" s="6" t="n"/>
      <c r="G868" s="8">
        <f>IF(B868="","",IFERROR(VLOOKUP(--B868,'CATALOGO CECO'!$A$2:$H$550,2,FALSE),"CECO NO EXISTE"))</f>
        <v/>
      </c>
      <c r="H868" s="8">
        <f>IF(B868="","",IFERROR(VLOOKUP(--B868,'CATALOGO CECO'!$A$2:$H$550,3,FALSE),""))</f>
        <v/>
      </c>
      <c r="I868" s="8">
        <f>IF(B868="","",IFERROR(VLOOKUP(--B868,'CATALOGO CECO'!$A$2:$H$550,5,FALSE),""))</f>
        <v/>
      </c>
      <c r="J868" s="8">
        <f>IF(B868="","",IFERROR(VLOOKUP(--B868,'CATALOGO CECO'!$A$2:$H$550,8,FALSE),""))</f>
        <v/>
      </c>
      <c r="K868" s="8">
        <f>IF(COUNTA(A868:F868)=0,"",IF(OR(LEN(A868)&lt;&gt;7,MID(A868,5,1)&lt;&gt;"-",ISERROR(--LEFT(A868,4)),ISERROR(--RIGHT(A868,2))),"ERROR: PERIODO debe ser AAAA-MM",IF(B868="","ERROR: falta CODIGO CECO",IF(G868="CECO NO EXISTE","ERROR: CECO no existe en el catálogo",IF(C868="","ERROR: falta CUENTA",IF(ISERROR(--C868),"ERROR: CUENTA debe tener solo dígitos",IF(ISERROR(FIND(LEFT(C868,1),"567")),"ERROR: CUENTA fuera de las clases de costo",IF(NOT(ISNUMBER(E868)),"ERROR: VALOR debe ser numérico",IF(E868=0,"AVISO: valor cero (no se carga)",IF(J868&lt;&gt;"ACTIVO","NO SE CARGA: CECO en estado "&amp;J868,"OK"))))))))))</f>
        <v/>
      </c>
    </row>
    <row r="869">
      <c r="A869" s="5" t="n"/>
      <c r="B869" s="6" t="n"/>
      <c r="C869" s="5" t="n"/>
      <c r="D869" s="6" t="n"/>
      <c r="E869" s="7" t="n"/>
      <c r="F869" s="6" t="n"/>
      <c r="G869" s="8">
        <f>IF(B869="","",IFERROR(VLOOKUP(--B869,'CATALOGO CECO'!$A$2:$H$550,2,FALSE),"CECO NO EXISTE"))</f>
        <v/>
      </c>
      <c r="H869" s="8">
        <f>IF(B869="","",IFERROR(VLOOKUP(--B869,'CATALOGO CECO'!$A$2:$H$550,3,FALSE),""))</f>
        <v/>
      </c>
      <c r="I869" s="8">
        <f>IF(B869="","",IFERROR(VLOOKUP(--B869,'CATALOGO CECO'!$A$2:$H$550,5,FALSE),""))</f>
        <v/>
      </c>
      <c r="J869" s="8">
        <f>IF(B869="","",IFERROR(VLOOKUP(--B869,'CATALOGO CECO'!$A$2:$H$550,8,FALSE),""))</f>
        <v/>
      </c>
      <c r="K869" s="8">
        <f>IF(COUNTA(A869:F869)=0,"",IF(OR(LEN(A869)&lt;&gt;7,MID(A869,5,1)&lt;&gt;"-",ISERROR(--LEFT(A869,4)),ISERROR(--RIGHT(A869,2))),"ERROR: PERIODO debe ser AAAA-MM",IF(B869="","ERROR: falta CODIGO CECO",IF(G869="CECO NO EXISTE","ERROR: CECO no existe en el catálogo",IF(C869="","ERROR: falta CUENTA",IF(ISERROR(--C869),"ERROR: CUENTA debe tener solo dígitos",IF(ISERROR(FIND(LEFT(C869,1),"567")),"ERROR: CUENTA fuera de las clases de costo",IF(NOT(ISNUMBER(E869)),"ERROR: VALOR debe ser numérico",IF(E869=0,"AVISO: valor cero (no se carga)",IF(J869&lt;&gt;"ACTIVO","NO SE CARGA: CECO en estado "&amp;J869,"OK"))))))))))</f>
        <v/>
      </c>
    </row>
    <row r="870">
      <c r="A870" s="5" t="n"/>
      <c r="B870" s="6" t="n"/>
      <c r="C870" s="5" t="n"/>
      <c r="D870" s="6" t="n"/>
      <c r="E870" s="7" t="n"/>
      <c r="F870" s="6" t="n"/>
      <c r="G870" s="8">
        <f>IF(B870="","",IFERROR(VLOOKUP(--B870,'CATALOGO CECO'!$A$2:$H$550,2,FALSE),"CECO NO EXISTE"))</f>
        <v/>
      </c>
      <c r="H870" s="8">
        <f>IF(B870="","",IFERROR(VLOOKUP(--B870,'CATALOGO CECO'!$A$2:$H$550,3,FALSE),""))</f>
        <v/>
      </c>
      <c r="I870" s="8">
        <f>IF(B870="","",IFERROR(VLOOKUP(--B870,'CATALOGO CECO'!$A$2:$H$550,5,FALSE),""))</f>
        <v/>
      </c>
      <c r="J870" s="8">
        <f>IF(B870="","",IFERROR(VLOOKUP(--B870,'CATALOGO CECO'!$A$2:$H$550,8,FALSE),""))</f>
        <v/>
      </c>
      <c r="K870" s="8">
        <f>IF(COUNTA(A870:F870)=0,"",IF(OR(LEN(A870)&lt;&gt;7,MID(A870,5,1)&lt;&gt;"-",ISERROR(--LEFT(A870,4)),ISERROR(--RIGHT(A870,2))),"ERROR: PERIODO debe ser AAAA-MM",IF(B870="","ERROR: falta CODIGO CECO",IF(G870="CECO NO EXISTE","ERROR: CECO no existe en el catálogo",IF(C870="","ERROR: falta CUENTA",IF(ISERROR(--C870),"ERROR: CUENTA debe tener solo dígitos",IF(ISERROR(FIND(LEFT(C870,1),"567")),"ERROR: CUENTA fuera de las clases de costo",IF(NOT(ISNUMBER(E870)),"ERROR: VALOR debe ser numérico",IF(E870=0,"AVISO: valor cero (no se carga)",IF(J870&lt;&gt;"ACTIVO","NO SE CARGA: CECO en estado "&amp;J870,"OK"))))))))))</f>
        <v/>
      </c>
    </row>
    <row r="871">
      <c r="A871" s="5" t="n"/>
      <c r="B871" s="6" t="n"/>
      <c r="C871" s="5" t="n"/>
      <c r="D871" s="6" t="n"/>
      <c r="E871" s="7" t="n"/>
      <c r="F871" s="6" t="n"/>
      <c r="G871" s="8">
        <f>IF(B871="","",IFERROR(VLOOKUP(--B871,'CATALOGO CECO'!$A$2:$H$550,2,FALSE),"CECO NO EXISTE"))</f>
        <v/>
      </c>
      <c r="H871" s="8">
        <f>IF(B871="","",IFERROR(VLOOKUP(--B871,'CATALOGO CECO'!$A$2:$H$550,3,FALSE),""))</f>
        <v/>
      </c>
      <c r="I871" s="8">
        <f>IF(B871="","",IFERROR(VLOOKUP(--B871,'CATALOGO CECO'!$A$2:$H$550,5,FALSE),""))</f>
        <v/>
      </c>
      <c r="J871" s="8">
        <f>IF(B871="","",IFERROR(VLOOKUP(--B871,'CATALOGO CECO'!$A$2:$H$550,8,FALSE),""))</f>
        <v/>
      </c>
      <c r="K871" s="8">
        <f>IF(COUNTA(A871:F871)=0,"",IF(OR(LEN(A871)&lt;&gt;7,MID(A871,5,1)&lt;&gt;"-",ISERROR(--LEFT(A871,4)),ISERROR(--RIGHT(A871,2))),"ERROR: PERIODO debe ser AAAA-MM",IF(B871="","ERROR: falta CODIGO CECO",IF(G871="CECO NO EXISTE","ERROR: CECO no existe en el catálogo",IF(C871="","ERROR: falta CUENTA",IF(ISERROR(--C871),"ERROR: CUENTA debe tener solo dígitos",IF(ISERROR(FIND(LEFT(C871,1),"567")),"ERROR: CUENTA fuera de las clases de costo",IF(NOT(ISNUMBER(E871)),"ERROR: VALOR debe ser numérico",IF(E871=0,"AVISO: valor cero (no se carga)",IF(J871&lt;&gt;"ACTIVO","NO SE CARGA: CECO en estado "&amp;J871,"OK"))))))))))</f>
        <v/>
      </c>
    </row>
    <row r="872">
      <c r="A872" s="5" t="n"/>
      <c r="B872" s="6" t="n"/>
      <c r="C872" s="5" t="n"/>
      <c r="D872" s="6" t="n"/>
      <c r="E872" s="7" t="n"/>
      <c r="F872" s="6" t="n"/>
      <c r="G872" s="8">
        <f>IF(B872="","",IFERROR(VLOOKUP(--B872,'CATALOGO CECO'!$A$2:$H$550,2,FALSE),"CECO NO EXISTE"))</f>
        <v/>
      </c>
      <c r="H872" s="8">
        <f>IF(B872="","",IFERROR(VLOOKUP(--B872,'CATALOGO CECO'!$A$2:$H$550,3,FALSE),""))</f>
        <v/>
      </c>
      <c r="I872" s="8">
        <f>IF(B872="","",IFERROR(VLOOKUP(--B872,'CATALOGO CECO'!$A$2:$H$550,5,FALSE),""))</f>
        <v/>
      </c>
      <c r="J872" s="8">
        <f>IF(B872="","",IFERROR(VLOOKUP(--B872,'CATALOGO CECO'!$A$2:$H$550,8,FALSE),""))</f>
        <v/>
      </c>
      <c r="K872" s="8">
        <f>IF(COUNTA(A872:F872)=0,"",IF(OR(LEN(A872)&lt;&gt;7,MID(A872,5,1)&lt;&gt;"-",ISERROR(--LEFT(A872,4)),ISERROR(--RIGHT(A872,2))),"ERROR: PERIODO debe ser AAAA-MM",IF(B872="","ERROR: falta CODIGO CECO",IF(G872="CECO NO EXISTE","ERROR: CECO no existe en el catálogo",IF(C872="","ERROR: falta CUENTA",IF(ISERROR(--C872),"ERROR: CUENTA debe tener solo dígitos",IF(ISERROR(FIND(LEFT(C872,1),"567")),"ERROR: CUENTA fuera de las clases de costo",IF(NOT(ISNUMBER(E872)),"ERROR: VALOR debe ser numérico",IF(E872=0,"AVISO: valor cero (no se carga)",IF(J872&lt;&gt;"ACTIVO","NO SE CARGA: CECO en estado "&amp;J872,"OK"))))))))))</f>
        <v/>
      </c>
    </row>
    <row r="873">
      <c r="A873" s="5" t="n"/>
      <c r="B873" s="6" t="n"/>
      <c r="C873" s="5" t="n"/>
      <c r="D873" s="6" t="n"/>
      <c r="E873" s="7" t="n"/>
      <c r="F873" s="6" t="n"/>
      <c r="G873" s="8">
        <f>IF(B873="","",IFERROR(VLOOKUP(--B873,'CATALOGO CECO'!$A$2:$H$550,2,FALSE),"CECO NO EXISTE"))</f>
        <v/>
      </c>
      <c r="H873" s="8">
        <f>IF(B873="","",IFERROR(VLOOKUP(--B873,'CATALOGO CECO'!$A$2:$H$550,3,FALSE),""))</f>
        <v/>
      </c>
      <c r="I873" s="8">
        <f>IF(B873="","",IFERROR(VLOOKUP(--B873,'CATALOGO CECO'!$A$2:$H$550,5,FALSE),""))</f>
        <v/>
      </c>
      <c r="J873" s="8">
        <f>IF(B873="","",IFERROR(VLOOKUP(--B873,'CATALOGO CECO'!$A$2:$H$550,8,FALSE),""))</f>
        <v/>
      </c>
      <c r="K873" s="8">
        <f>IF(COUNTA(A873:F873)=0,"",IF(OR(LEN(A873)&lt;&gt;7,MID(A873,5,1)&lt;&gt;"-",ISERROR(--LEFT(A873,4)),ISERROR(--RIGHT(A873,2))),"ERROR: PERIODO debe ser AAAA-MM",IF(B873="","ERROR: falta CODIGO CECO",IF(G873="CECO NO EXISTE","ERROR: CECO no existe en el catálogo",IF(C873="","ERROR: falta CUENTA",IF(ISERROR(--C873),"ERROR: CUENTA debe tener solo dígitos",IF(ISERROR(FIND(LEFT(C873,1),"567")),"ERROR: CUENTA fuera de las clases de costo",IF(NOT(ISNUMBER(E873)),"ERROR: VALOR debe ser numérico",IF(E873=0,"AVISO: valor cero (no se carga)",IF(J873&lt;&gt;"ACTIVO","NO SE CARGA: CECO en estado "&amp;J873,"OK"))))))))))</f>
        <v/>
      </c>
    </row>
    <row r="874">
      <c r="A874" s="5" t="n"/>
      <c r="B874" s="6" t="n"/>
      <c r="C874" s="5" t="n"/>
      <c r="D874" s="6" t="n"/>
      <c r="E874" s="7" t="n"/>
      <c r="F874" s="6" t="n"/>
      <c r="G874" s="8">
        <f>IF(B874="","",IFERROR(VLOOKUP(--B874,'CATALOGO CECO'!$A$2:$H$550,2,FALSE),"CECO NO EXISTE"))</f>
        <v/>
      </c>
      <c r="H874" s="8">
        <f>IF(B874="","",IFERROR(VLOOKUP(--B874,'CATALOGO CECO'!$A$2:$H$550,3,FALSE),""))</f>
        <v/>
      </c>
      <c r="I874" s="8">
        <f>IF(B874="","",IFERROR(VLOOKUP(--B874,'CATALOGO CECO'!$A$2:$H$550,5,FALSE),""))</f>
        <v/>
      </c>
      <c r="J874" s="8">
        <f>IF(B874="","",IFERROR(VLOOKUP(--B874,'CATALOGO CECO'!$A$2:$H$550,8,FALSE),""))</f>
        <v/>
      </c>
      <c r="K874" s="8">
        <f>IF(COUNTA(A874:F874)=0,"",IF(OR(LEN(A874)&lt;&gt;7,MID(A874,5,1)&lt;&gt;"-",ISERROR(--LEFT(A874,4)),ISERROR(--RIGHT(A874,2))),"ERROR: PERIODO debe ser AAAA-MM",IF(B874="","ERROR: falta CODIGO CECO",IF(G874="CECO NO EXISTE","ERROR: CECO no existe en el catálogo",IF(C874="","ERROR: falta CUENTA",IF(ISERROR(--C874),"ERROR: CUENTA debe tener solo dígitos",IF(ISERROR(FIND(LEFT(C874,1),"567")),"ERROR: CUENTA fuera de las clases de costo",IF(NOT(ISNUMBER(E874)),"ERROR: VALOR debe ser numérico",IF(E874=0,"AVISO: valor cero (no se carga)",IF(J874&lt;&gt;"ACTIVO","NO SE CARGA: CECO en estado "&amp;J874,"OK"))))))))))</f>
        <v/>
      </c>
    </row>
    <row r="875">
      <c r="A875" s="5" t="n"/>
      <c r="B875" s="6" t="n"/>
      <c r="C875" s="5" t="n"/>
      <c r="D875" s="6" t="n"/>
      <c r="E875" s="7" t="n"/>
      <c r="F875" s="6" t="n"/>
      <c r="G875" s="8">
        <f>IF(B875="","",IFERROR(VLOOKUP(--B875,'CATALOGO CECO'!$A$2:$H$550,2,FALSE),"CECO NO EXISTE"))</f>
        <v/>
      </c>
      <c r="H875" s="8">
        <f>IF(B875="","",IFERROR(VLOOKUP(--B875,'CATALOGO CECO'!$A$2:$H$550,3,FALSE),""))</f>
        <v/>
      </c>
      <c r="I875" s="8">
        <f>IF(B875="","",IFERROR(VLOOKUP(--B875,'CATALOGO CECO'!$A$2:$H$550,5,FALSE),""))</f>
        <v/>
      </c>
      <c r="J875" s="8">
        <f>IF(B875="","",IFERROR(VLOOKUP(--B875,'CATALOGO CECO'!$A$2:$H$550,8,FALSE),""))</f>
        <v/>
      </c>
      <c r="K875" s="8">
        <f>IF(COUNTA(A875:F875)=0,"",IF(OR(LEN(A875)&lt;&gt;7,MID(A875,5,1)&lt;&gt;"-",ISERROR(--LEFT(A875,4)),ISERROR(--RIGHT(A875,2))),"ERROR: PERIODO debe ser AAAA-MM",IF(B875="","ERROR: falta CODIGO CECO",IF(G875="CECO NO EXISTE","ERROR: CECO no existe en el catálogo",IF(C875="","ERROR: falta CUENTA",IF(ISERROR(--C875),"ERROR: CUENTA debe tener solo dígitos",IF(ISERROR(FIND(LEFT(C875,1),"567")),"ERROR: CUENTA fuera de las clases de costo",IF(NOT(ISNUMBER(E875)),"ERROR: VALOR debe ser numérico",IF(E875=0,"AVISO: valor cero (no se carga)",IF(J875&lt;&gt;"ACTIVO","NO SE CARGA: CECO en estado "&amp;J875,"OK"))))))))))</f>
        <v/>
      </c>
    </row>
    <row r="876">
      <c r="A876" s="5" t="n"/>
      <c r="B876" s="6" t="n"/>
      <c r="C876" s="5" t="n"/>
      <c r="D876" s="6" t="n"/>
      <c r="E876" s="7" t="n"/>
      <c r="F876" s="6" t="n"/>
      <c r="G876" s="8">
        <f>IF(B876="","",IFERROR(VLOOKUP(--B876,'CATALOGO CECO'!$A$2:$H$550,2,FALSE),"CECO NO EXISTE"))</f>
        <v/>
      </c>
      <c r="H876" s="8">
        <f>IF(B876="","",IFERROR(VLOOKUP(--B876,'CATALOGO CECO'!$A$2:$H$550,3,FALSE),""))</f>
        <v/>
      </c>
      <c r="I876" s="8">
        <f>IF(B876="","",IFERROR(VLOOKUP(--B876,'CATALOGO CECO'!$A$2:$H$550,5,FALSE),""))</f>
        <v/>
      </c>
      <c r="J876" s="8">
        <f>IF(B876="","",IFERROR(VLOOKUP(--B876,'CATALOGO CECO'!$A$2:$H$550,8,FALSE),""))</f>
        <v/>
      </c>
      <c r="K876" s="8">
        <f>IF(COUNTA(A876:F876)=0,"",IF(OR(LEN(A876)&lt;&gt;7,MID(A876,5,1)&lt;&gt;"-",ISERROR(--LEFT(A876,4)),ISERROR(--RIGHT(A876,2))),"ERROR: PERIODO debe ser AAAA-MM",IF(B876="","ERROR: falta CODIGO CECO",IF(G876="CECO NO EXISTE","ERROR: CECO no existe en el catálogo",IF(C876="","ERROR: falta CUENTA",IF(ISERROR(--C876),"ERROR: CUENTA debe tener solo dígitos",IF(ISERROR(FIND(LEFT(C876,1),"567")),"ERROR: CUENTA fuera de las clases de costo",IF(NOT(ISNUMBER(E876)),"ERROR: VALOR debe ser numérico",IF(E876=0,"AVISO: valor cero (no se carga)",IF(J876&lt;&gt;"ACTIVO","NO SE CARGA: CECO en estado "&amp;J876,"OK"))))))))))</f>
        <v/>
      </c>
    </row>
    <row r="877">
      <c r="A877" s="5" t="n"/>
      <c r="B877" s="6" t="n"/>
      <c r="C877" s="5" t="n"/>
      <c r="D877" s="6" t="n"/>
      <c r="E877" s="7" t="n"/>
      <c r="F877" s="6" t="n"/>
      <c r="G877" s="8">
        <f>IF(B877="","",IFERROR(VLOOKUP(--B877,'CATALOGO CECO'!$A$2:$H$550,2,FALSE),"CECO NO EXISTE"))</f>
        <v/>
      </c>
      <c r="H877" s="8">
        <f>IF(B877="","",IFERROR(VLOOKUP(--B877,'CATALOGO CECO'!$A$2:$H$550,3,FALSE),""))</f>
        <v/>
      </c>
      <c r="I877" s="8">
        <f>IF(B877="","",IFERROR(VLOOKUP(--B877,'CATALOGO CECO'!$A$2:$H$550,5,FALSE),""))</f>
        <v/>
      </c>
      <c r="J877" s="8">
        <f>IF(B877="","",IFERROR(VLOOKUP(--B877,'CATALOGO CECO'!$A$2:$H$550,8,FALSE),""))</f>
        <v/>
      </c>
      <c r="K877" s="8">
        <f>IF(COUNTA(A877:F877)=0,"",IF(OR(LEN(A877)&lt;&gt;7,MID(A877,5,1)&lt;&gt;"-",ISERROR(--LEFT(A877,4)),ISERROR(--RIGHT(A877,2))),"ERROR: PERIODO debe ser AAAA-MM",IF(B877="","ERROR: falta CODIGO CECO",IF(G877="CECO NO EXISTE","ERROR: CECO no existe en el catálogo",IF(C877="","ERROR: falta CUENTA",IF(ISERROR(--C877),"ERROR: CUENTA debe tener solo dígitos",IF(ISERROR(FIND(LEFT(C877,1),"567")),"ERROR: CUENTA fuera de las clases de costo",IF(NOT(ISNUMBER(E877)),"ERROR: VALOR debe ser numérico",IF(E877=0,"AVISO: valor cero (no se carga)",IF(J877&lt;&gt;"ACTIVO","NO SE CARGA: CECO en estado "&amp;J877,"OK"))))))))))</f>
        <v/>
      </c>
    </row>
    <row r="878">
      <c r="A878" s="5" t="n"/>
      <c r="B878" s="6" t="n"/>
      <c r="C878" s="5" t="n"/>
      <c r="D878" s="6" t="n"/>
      <c r="E878" s="7" t="n"/>
      <c r="F878" s="6" t="n"/>
      <c r="G878" s="8">
        <f>IF(B878="","",IFERROR(VLOOKUP(--B878,'CATALOGO CECO'!$A$2:$H$550,2,FALSE),"CECO NO EXISTE"))</f>
        <v/>
      </c>
      <c r="H878" s="8">
        <f>IF(B878="","",IFERROR(VLOOKUP(--B878,'CATALOGO CECO'!$A$2:$H$550,3,FALSE),""))</f>
        <v/>
      </c>
      <c r="I878" s="8">
        <f>IF(B878="","",IFERROR(VLOOKUP(--B878,'CATALOGO CECO'!$A$2:$H$550,5,FALSE),""))</f>
        <v/>
      </c>
      <c r="J878" s="8">
        <f>IF(B878="","",IFERROR(VLOOKUP(--B878,'CATALOGO CECO'!$A$2:$H$550,8,FALSE),""))</f>
        <v/>
      </c>
      <c r="K878" s="8">
        <f>IF(COUNTA(A878:F878)=0,"",IF(OR(LEN(A878)&lt;&gt;7,MID(A878,5,1)&lt;&gt;"-",ISERROR(--LEFT(A878,4)),ISERROR(--RIGHT(A878,2))),"ERROR: PERIODO debe ser AAAA-MM",IF(B878="","ERROR: falta CODIGO CECO",IF(G878="CECO NO EXISTE","ERROR: CECO no existe en el catálogo",IF(C878="","ERROR: falta CUENTA",IF(ISERROR(--C878),"ERROR: CUENTA debe tener solo dígitos",IF(ISERROR(FIND(LEFT(C878,1),"567")),"ERROR: CUENTA fuera de las clases de costo",IF(NOT(ISNUMBER(E878)),"ERROR: VALOR debe ser numérico",IF(E878=0,"AVISO: valor cero (no se carga)",IF(J878&lt;&gt;"ACTIVO","NO SE CARGA: CECO en estado "&amp;J878,"OK"))))))))))</f>
        <v/>
      </c>
    </row>
    <row r="879">
      <c r="A879" s="5" t="n"/>
      <c r="B879" s="6" t="n"/>
      <c r="C879" s="5" t="n"/>
      <c r="D879" s="6" t="n"/>
      <c r="E879" s="7" t="n"/>
      <c r="F879" s="6" t="n"/>
      <c r="G879" s="8">
        <f>IF(B879="","",IFERROR(VLOOKUP(--B879,'CATALOGO CECO'!$A$2:$H$550,2,FALSE),"CECO NO EXISTE"))</f>
        <v/>
      </c>
      <c r="H879" s="8">
        <f>IF(B879="","",IFERROR(VLOOKUP(--B879,'CATALOGO CECO'!$A$2:$H$550,3,FALSE),""))</f>
        <v/>
      </c>
      <c r="I879" s="8">
        <f>IF(B879="","",IFERROR(VLOOKUP(--B879,'CATALOGO CECO'!$A$2:$H$550,5,FALSE),""))</f>
        <v/>
      </c>
      <c r="J879" s="8">
        <f>IF(B879="","",IFERROR(VLOOKUP(--B879,'CATALOGO CECO'!$A$2:$H$550,8,FALSE),""))</f>
        <v/>
      </c>
      <c r="K879" s="8">
        <f>IF(COUNTA(A879:F879)=0,"",IF(OR(LEN(A879)&lt;&gt;7,MID(A879,5,1)&lt;&gt;"-",ISERROR(--LEFT(A879,4)),ISERROR(--RIGHT(A879,2))),"ERROR: PERIODO debe ser AAAA-MM",IF(B879="","ERROR: falta CODIGO CECO",IF(G879="CECO NO EXISTE","ERROR: CECO no existe en el catálogo",IF(C879="","ERROR: falta CUENTA",IF(ISERROR(--C879),"ERROR: CUENTA debe tener solo dígitos",IF(ISERROR(FIND(LEFT(C879,1),"567")),"ERROR: CUENTA fuera de las clases de costo",IF(NOT(ISNUMBER(E879)),"ERROR: VALOR debe ser numérico",IF(E879=0,"AVISO: valor cero (no se carga)",IF(J879&lt;&gt;"ACTIVO","NO SE CARGA: CECO en estado "&amp;J879,"OK"))))))))))</f>
        <v/>
      </c>
    </row>
    <row r="880">
      <c r="A880" s="5" t="n"/>
      <c r="B880" s="6" t="n"/>
      <c r="C880" s="5" t="n"/>
      <c r="D880" s="6" t="n"/>
      <c r="E880" s="7" t="n"/>
      <c r="F880" s="6" t="n"/>
      <c r="G880" s="8">
        <f>IF(B880="","",IFERROR(VLOOKUP(--B880,'CATALOGO CECO'!$A$2:$H$550,2,FALSE),"CECO NO EXISTE"))</f>
        <v/>
      </c>
      <c r="H880" s="8">
        <f>IF(B880="","",IFERROR(VLOOKUP(--B880,'CATALOGO CECO'!$A$2:$H$550,3,FALSE),""))</f>
        <v/>
      </c>
      <c r="I880" s="8">
        <f>IF(B880="","",IFERROR(VLOOKUP(--B880,'CATALOGO CECO'!$A$2:$H$550,5,FALSE),""))</f>
        <v/>
      </c>
      <c r="J880" s="8">
        <f>IF(B880="","",IFERROR(VLOOKUP(--B880,'CATALOGO CECO'!$A$2:$H$550,8,FALSE),""))</f>
        <v/>
      </c>
      <c r="K880" s="8">
        <f>IF(COUNTA(A880:F880)=0,"",IF(OR(LEN(A880)&lt;&gt;7,MID(A880,5,1)&lt;&gt;"-",ISERROR(--LEFT(A880,4)),ISERROR(--RIGHT(A880,2))),"ERROR: PERIODO debe ser AAAA-MM",IF(B880="","ERROR: falta CODIGO CECO",IF(G880="CECO NO EXISTE","ERROR: CECO no existe en el catálogo",IF(C880="","ERROR: falta CUENTA",IF(ISERROR(--C880),"ERROR: CUENTA debe tener solo dígitos",IF(ISERROR(FIND(LEFT(C880,1),"567")),"ERROR: CUENTA fuera de las clases de costo",IF(NOT(ISNUMBER(E880)),"ERROR: VALOR debe ser numérico",IF(E880=0,"AVISO: valor cero (no se carga)",IF(J880&lt;&gt;"ACTIVO","NO SE CARGA: CECO en estado "&amp;J880,"OK"))))))))))</f>
        <v/>
      </c>
    </row>
    <row r="881">
      <c r="A881" s="5" t="n"/>
      <c r="B881" s="6" t="n"/>
      <c r="C881" s="5" t="n"/>
      <c r="D881" s="6" t="n"/>
      <c r="E881" s="7" t="n"/>
      <c r="F881" s="6" t="n"/>
      <c r="G881" s="8">
        <f>IF(B881="","",IFERROR(VLOOKUP(--B881,'CATALOGO CECO'!$A$2:$H$550,2,FALSE),"CECO NO EXISTE"))</f>
        <v/>
      </c>
      <c r="H881" s="8">
        <f>IF(B881="","",IFERROR(VLOOKUP(--B881,'CATALOGO CECO'!$A$2:$H$550,3,FALSE),""))</f>
        <v/>
      </c>
      <c r="I881" s="8">
        <f>IF(B881="","",IFERROR(VLOOKUP(--B881,'CATALOGO CECO'!$A$2:$H$550,5,FALSE),""))</f>
        <v/>
      </c>
      <c r="J881" s="8">
        <f>IF(B881="","",IFERROR(VLOOKUP(--B881,'CATALOGO CECO'!$A$2:$H$550,8,FALSE),""))</f>
        <v/>
      </c>
      <c r="K881" s="8">
        <f>IF(COUNTA(A881:F881)=0,"",IF(OR(LEN(A881)&lt;&gt;7,MID(A881,5,1)&lt;&gt;"-",ISERROR(--LEFT(A881,4)),ISERROR(--RIGHT(A881,2))),"ERROR: PERIODO debe ser AAAA-MM",IF(B881="","ERROR: falta CODIGO CECO",IF(G881="CECO NO EXISTE","ERROR: CECO no existe en el catálogo",IF(C881="","ERROR: falta CUENTA",IF(ISERROR(--C881),"ERROR: CUENTA debe tener solo dígitos",IF(ISERROR(FIND(LEFT(C881,1),"567")),"ERROR: CUENTA fuera de las clases de costo",IF(NOT(ISNUMBER(E881)),"ERROR: VALOR debe ser numérico",IF(E881=0,"AVISO: valor cero (no se carga)",IF(J881&lt;&gt;"ACTIVO","NO SE CARGA: CECO en estado "&amp;J881,"OK"))))))))))</f>
        <v/>
      </c>
    </row>
    <row r="882">
      <c r="A882" s="5" t="n"/>
      <c r="B882" s="6" t="n"/>
      <c r="C882" s="5" t="n"/>
      <c r="D882" s="6" t="n"/>
      <c r="E882" s="7" t="n"/>
      <c r="F882" s="6" t="n"/>
      <c r="G882" s="8">
        <f>IF(B882="","",IFERROR(VLOOKUP(--B882,'CATALOGO CECO'!$A$2:$H$550,2,FALSE),"CECO NO EXISTE"))</f>
        <v/>
      </c>
      <c r="H882" s="8">
        <f>IF(B882="","",IFERROR(VLOOKUP(--B882,'CATALOGO CECO'!$A$2:$H$550,3,FALSE),""))</f>
        <v/>
      </c>
      <c r="I882" s="8">
        <f>IF(B882="","",IFERROR(VLOOKUP(--B882,'CATALOGO CECO'!$A$2:$H$550,5,FALSE),""))</f>
        <v/>
      </c>
      <c r="J882" s="8">
        <f>IF(B882="","",IFERROR(VLOOKUP(--B882,'CATALOGO CECO'!$A$2:$H$550,8,FALSE),""))</f>
        <v/>
      </c>
      <c r="K882" s="8">
        <f>IF(COUNTA(A882:F882)=0,"",IF(OR(LEN(A882)&lt;&gt;7,MID(A882,5,1)&lt;&gt;"-",ISERROR(--LEFT(A882,4)),ISERROR(--RIGHT(A882,2))),"ERROR: PERIODO debe ser AAAA-MM",IF(B882="","ERROR: falta CODIGO CECO",IF(G882="CECO NO EXISTE","ERROR: CECO no existe en el catálogo",IF(C882="","ERROR: falta CUENTA",IF(ISERROR(--C882),"ERROR: CUENTA debe tener solo dígitos",IF(ISERROR(FIND(LEFT(C882,1),"567")),"ERROR: CUENTA fuera de las clases de costo",IF(NOT(ISNUMBER(E882)),"ERROR: VALOR debe ser numérico",IF(E882=0,"AVISO: valor cero (no se carga)",IF(J882&lt;&gt;"ACTIVO","NO SE CARGA: CECO en estado "&amp;J882,"OK"))))))))))</f>
        <v/>
      </c>
    </row>
    <row r="883">
      <c r="A883" s="5" t="n"/>
      <c r="B883" s="6" t="n"/>
      <c r="C883" s="5" t="n"/>
      <c r="D883" s="6" t="n"/>
      <c r="E883" s="7" t="n"/>
      <c r="F883" s="6" t="n"/>
      <c r="G883" s="8">
        <f>IF(B883="","",IFERROR(VLOOKUP(--B883,'CATALOGO CECO'!$A$2:$H$550,2,FALSE),"CECO NO EXISTE"))</f>
        <v/>
      </c>
      <c r="H883" s="8">
        <f>IF(B883="","",IFERROR(VLOOKUP(--B883,'CATALOGO CECO'!$A$2:$H$550,3,FALSE),""))</f>
        <v/>
      </c>
      <c r="I883" s="8">
        <f>IF(B883="","",IFERROR(VLOOKUP(--B883,'CATALOGO CECO'!$A$2:$H$550,5,FALSE),""))</f>
        <v/>
      </c>
      <c r="J883" s="8">
        <f>IF(B883="","",IFERROR(VLOOKUP(--B883,'CATALOGO CECO'!$A$2:$H$550,8,FALSE),""))</f>
        <v/>
      </c>
      <c r="K883" s="8">
        <f>IF(COUNTA(A883:F883)=0,"",IF(OR(LEN(A883)&lt;&gt;7,MID(A883,5,1)&lt;&gt;"-",ISERROR(--LEFT(A883,4)),ISERROR(--RIGHT(A883,2))),"ERROR: PERIODO debe ser AAAA-MM",IF(B883="","ERROR: falta CODIGO CECO",IF(G883="CECO NO EXISTE","ERROR: CECO no existe en el catálogo",IF(C883="","ERROR: falta CUENTA",IF(ISERROR(--C883),"ERROR: CUENTA debe tener solo dígitos",IF(ISERROR(FIND(LEFT(C883,1),"567")),"ERROR: CUENTA fuera de las clases de costo",IF(NOT(ISNUMBER(E883)),"ERROR: VALOR debe ser numérico",IF(E883=0,"AVISO: valor cero (no se carga)",IF(J883&lt;&gt;"ACTIVO","NO SE CARGA: CECO en estado "&amp;J883,"OK"))))))))))</f>
        <v/>
      </c>
    </row>
    <row r="884">
      <c r="A884" s="5" t="n"/>
      <c r="B884" s="6" t="n"/>
      <c r="C884" s="5" t="n"/>
      <c r="D884" s="6" t="n"/>
      <c r="E884" s="7" t="n"/>
      <c r="F884" s="6" t="n"/>
      <c r="G884" s="8">
        <f>IF(B884="","",IFERROR(VLOOKUP(--B884,'CATALOGO CECO'!$A$2:$H$550,2,FALSE),"CECO NO EXISTE"))</f>
        <v/>
      </c>
      <c r="H884" s="8">
        <f>IF(B884="","",IFERROR(VLOOKUP(--B884,'CATALOGO CECO'!$A$2:$H$550,3,FALSE),""))</f>
        <v/>
      </c>
      <c r="I884" s="8">
        <f>IF(B884="","",IFERROR(VLOOKUP(--B884,'CATALOGO CECO'!$A$2:$H$550,5,FALSE),""))</f>
        <v/>
      </c>
      <c r="J884" s="8">
        <f>IF(B884="","",IFERROR(VLOOKUP(--B884,'CATALOGO CECO'!$A$2:$H$550,8,FALSE),""))</f>
        <v/>
      </c>
      <c r="K884" s="8">
        <f>IF(COUNTA(A884:F884)=0,"",IF(OR(LEN(A884)&lt;&gt;7,MID(A884,5,1)&lt;&gt;"-",ISERROR(--LEFT(A884,4)),ISERROR(--RIGHT(A884,2))),"ERROR: PERIODO debe ser AAAA-MM",IF(B884="","ERROR: falta CODIGO CECO",IF(G884="CECO NO EXISTE","ERROR: CECO no existe en el catálogo",IF(C884="","ERROR: falta CUENTA",IF(ISERROR(--C884),"ERROR: CUENTA debe tener solo dígitos",IF(ISERROR(FIND(LEFT(C884,1),"567")),"ERROR: CUENTA fuera de las clases de costo",IF(NOT(ISNUMBER(E884)),"ERROR: VALOR debe ser numérico",IF(E884=0,"AVISO: valor cero (no se carga)",IF(J884&lt;&gt;"ACTIVO","NO SE CARGA: CECO en estado "&amp;J884,"OK"))))))))))</f>
        <v/>
      </c>
    </row>
    <row r="885">
      <c r="A885" s="5" t="n"/>
      <c r="B885" s="6" t="n"/>
      <c r="C885" s="5" t="n"/>
      <c r="D885" s="6" t="n"/>
      <c r="E885" s="7" t="n"/>
      <c r="F885" s="6" t="n"/>
      <c r="G885" s="8">
        <f>IF(B885="","",IFERROR(VLOOKUP(--B885,'CATALOGO CECO'!$A$2:$H$550,2,FALSE),"CECO NO EXISTE"))</f>
        <v/>
      </c>
      <c r="H885" s="8">
        <f>IF(B885="","",IFERROR(VLOOKUP(--B885,'CATALOGO CECO'!$A$2:$H$550,3,FALSE),""))</f>
        <v/>
      </c>
      <c r="I885" s="8">
        <f>IF(B885="","",IFERROR(VLOOKUP(--B885,'CATALOGO CECO'!$A$2:$H$550,5,FALSE),""))</f>
        <v/>
      </c>
      <c r="J885" s="8">
        <f>IF(B885="","",IFERROR(VLOOKUP(--B885,'CATALOGO CECO'!$A$2:$H$550,8,FALSE),""))</f>
        <v/>
      </c>
      <c r="K885" s="8">
        <f>IF(COUNTA(A885:F885)=0,"",IF(OR(LEN(A885)&lt;&gt;7,MID(A885,5,1)&lt;&gt;"-",ISERROR(--LEFT(A885,4)),ISERROR(--RIGHT(A885,2))),"ERROR: PERIODO debe ser AAAA-MM",IF(B885="","ERROR: falta CODIGO CECO",IF(G885="CECO NO EXISTE","ERROR: CECO no existe en el catálogo",IF(C885="","ERROR: falta CUENTA",IF(ISERROR(--C885),"ERROR: CUENTA debe tener solo dígitos",IF(ISERROR(FIND(LEFT(C885,1),"567")),"ERROR: CUENTA fuera de las clases de costo",IF(NOT(ISNUMBER(E885)),"ERROR: VALOR debe ser numérico",IF(E885=0,"AVISO: valor cero (no se carga)",IF(J885&lt;&gt;"ACTIVO","NO SE CARGA: CECO en estado "&amp;J885,"OK"))))))))))</f>
        <v/>
      </c>
    </row>
    <row r="886">
      <c r="A886" s="5" t="n"/>
      <c r="B886" s="6" t="n"/>
      <c r="C886" s="5" t="n"/>
      <c r="D886" s="6" t="n"/>
      <c r="E886" s="7" t="n"/>
      <c r="F886" s="6" t="n"/>
      <c r="G886" s="8">
        <f>IF(B886="","",IFERROR(VLOOKUP(--B886,'CATALOGO CECO'!$A$2:$H$550,2,FALSE),"CECO NO EXISTE"))</f>
        <v/>
      </c>
      <c r="H886" s="8">
        <f>IF(B886="","",IFERROR(VLOOKUP(--B886,'CATALOGO CECO'!$A$2:$H$550,3,FALSE),""))</f>
        <v/>
      </c>
      <c r="I886" s="8">
        <f>IF(B886="","",IFERROR(VLOOKUP(--B886,'CATALOGO CECO'!$A$2:$H$550,5,FALSE),""))</f>
        <v/>
      </c>
      <c r="J886" s="8">
        <f>IF(B886="","",IFERROR(VLOOKUP(--B886,'CATALOGO CECO'!$A$2:$H$550,8,FALSE),""))</f>
        <v/>
      </c>
      <c r="K886" s="8">
        <f>IF(COUNTA(A886:F886)=0,"",IF(OR(LEN(A886)&lt;&gt;7,MID(A886,5,1)&lt;&gt;"-",ISERROR(--LEFT(A886,4)),ISERROR(--RIGHT(A886,2))),"ERROR: PERIODO debe ser AAAA-MM",IF(B886="","ERROR: falta CODIGO CECO",IF(G886="CECO NO EXISTE","ERROR: CECO no existe en el catálogo",IF(C886="","ERROR: falta CUENTA",IF(ISERROR(--C886),"ERROR: CUENTA debe tener solo dígitos",IF(ISERROR(FIND(LEFT(C886,1),"567")),"ERROR: CUENTA fuera de las clases de costo",IF(NOT(ISNUMBER(E886)),"ERROR: VALOR debe ser numérico",IF(E886=0,"AVISO: valor cero (no se carga)",IF(J886&lt;&gt;"ACTIVO","NO SE CARGA: CECO en estado "&amp;J886,"OK"))))))))))</f>
        <v/>
      </c>
    </row>
    <row r="887">
      <c r="A887" s="5" t="n"/>
      <c r="B887" s="6" t="n"/>
      <c r="C887" s="5" t="n"/>
      <c r="D887" s="6" t="n"/>
      <c r="E887" s="7" t="n"/>
      <c r="F887" s="6" t="n"/>
      <c r="G887" s="8">
        <f>IF(B887="","",IFERROR(VLOOKUP(--B887,'CATALOGO CECO'!$A$2:$H$550,2,FALSE),"CECO NO EXISTE"))</f>
        <v/>
      </c>
      <c r="H887" s="8">
        <f>IF(B887="","",IFERROR(VLOOKUP(--B887,'CATALOGO CECO'!$A$2:$H$550,3,FALSE),""))</f>
        <v/>
      </c>
      <c r="I887" s="8">
        <f>IF(B887="","",IFERROR(VLOOKUP(--B887,'CATALOGO CECO'!$A$2:$H$550,5,FALSE),""))</f>
        <v/>
      </c>
      <c r="J887" s="8">
        <f>IF(B887="","",IFERROR(VLOOKUP(--B887,'CATALOGO CECO'!$A$2:$H$550,8,FALSE),""))</f>
        <v/>
      </c>
      <c r="K887" s="8">
        <f>IF(COUNTA(A887:F887)=0,"",IF(OR(LEN(A887)&lt;&gt;7,MID(A887,5,1)&lt;&gt;"-",ISERROR(--LEFT(A887,4)),ISERROR(--RIGHT(A887,2))),"ERROR: PERIODO debe ser AAAA-MM",IF(B887="","ERROR: falta CODIGO CECO",IF(G887="CECO NO EXISTE","ERROR: CECO no existe en el catálogo",IF(C887="","ERROR: falta CUENTA",IF(ISERROR(--C887),"ERROR: CUENTA debe tener solo dígitos",IF(ISERROR(FIND(LEFT(C887,1),"567")),"ERROR: CUENTA fuera de las clases de costo",IF(NOT(ISNUMBER(E887)),"ERROR: VALOR debe ser numérico",IF(E887=0,"AVISO: valor cero (no se carga)",IF(J887&lt;&gt;"ACTIVO","NO SE CARGA: CECO en estado "&amp;J887,"OK"))))))))))</f>
        <v/>
      </c>
    </row>
    <row r="888">
      <c r="A888" s="5" t="n"/>
      <c r="B888" s="6" t="n"/>
      <c r="C888" s="5" t="n"/>
      <c r="D888" s="6" t="n"/>
      <c r="E888" s="7" t="n"/>
      <c r="F888" s="6" t="n"/>
      <c r="G888" s="8">
        <f>IF(B888="","",IFERROR(VLOOKUP(--B888,'CATALOGO CECO'!$A$2:$H$550,2,FALSE),"CECO NO EXISTE"))</f>
        <v/>
      </c>
      <c r="H888" s="8">
        <f>IF(B888="","",IFERROR(VLOOKUP(--B888,'CATALOGO CECO'!$A$2:$H$550,3,FALSE),""))</f>
        <v/>
      </c>
      <c r="I888" s="8">
        <f>IF(B888="","",IFERROR(VLOOKUP(--B888,'CATALOGO CECO'!$A$2:$H$550,5,FALSE),""))</f>
        <v/>
      </c>
      <c r="J888" s="8">
        <f>IF(B888="","",IFERROR(VLOOKUP(--B888,'CATALOGO CECO'!$A$2:$H$550,8,FALSE),""))</f>
        <v/>
      </c>
      <c r="K888" s="8">
        <f>IF(COUNTA(A888:F888)=0,"",IF(OR(LEN(A888)&lt;&gt;7,MID(A888,5,1)&lt;&gt;"-",ISERROR(--LEFT(A888,4)),ISERROR(--RIGHT(A888,2))),"ERROR: PERIODO debe ser AAAA-MM",IF(B888="","ERROR: falta CODIGO CECO",IF(G888="CECO NO EXISTE","ERROR: CECO no existe en el catálogo",IF(C888="","ERROR: falta CUENTA",IF(ISERROR(--C888),"ERROR: CUENTA debe tener solo dígitos",IF(ISERROR(FIND(LEFT(C888,1),"567")),"ERROR: CUENTA fuera de las clases de costo",IF(NOT(ISNUMBER(E888)),"ERROR: VALOR debe ser numérico",IF(E888=0,"AVISO: valor cero (no se carga)",IF(J888&lt;&gt;"ACTIVO","NO SE CARGA: CECO en estado "&amp;J888,"OK"))))))))))</f>
        <v/>
      </c>
    </row>
    <row r="889">
      <c r="A889" s="5" t="n"/>
      <c r="B889" s="6" t="n"/>
      <c r="C889" s="5" t="n"/>
      <c r="D889" s="6" t="n"/>
      <c r="E889" s="7" t="n"/>
      <c r="F889" s="6" t="n"/>
      <c r="G889" s="8">
        <f>IF(B889="","",IFERROR(VLOOKUP(--B889,'CATALOGO CECO'!$A$2:$H$550,2,FALSE),"CECO NO EXISTE"))</f>
        <v/>
      </c>
      <c r="H889" s="8">
        <f>IF(B889="","",IFERROR(VLOOKUP(--B889,'CATALOGO CECO'!$A$2:$H$550,3,FALSE),""))</f>
        <v/>
      </c>
      <c r="I889" s="8">
        <f>IF(B889="","",IFERROR(VLOOKUP(--B889,'CATALOGO CECO'!$A$2:$H$550,5,FALSE),""))</f>
        <v/>
      </c>
      <c r="J889" s="8">
        <f>IF(B889="","",IFERROR(VLOOKUP(--B889,'CATALOGO CECO'!$A$2:$H$550,8,FALSE),""))</f>
        <v/>
      </c>
      <c r="K889" s="8">
        <f>IF(COUNTA(A889:F889)=0,"",IF(OR(LEN(A889)&lt;&gt;7,MID(A889,5,1)&lt;&gt;"-",ISERROR(--LEFT(A889,4)),ISERROR(--RIGHT(A889,2))),"ERROR: PERIODO debe ser AAAA-MM",IF(B889="","ERROR: falta CODIGO CECO",IF(G889="CECO NO EXISTE","ERROR: CECO no existe en el catálogo",IF(C889="","ERROR: falta CUENTA",IF(ISERROR(--C889),"ERROR: CUENTA debe tener solo dígitos",IF(ISERROR(FIND(LEFT(C889,1),"567")),"ERROR: CUENTA fuera de las clases de costo",IF(NOT(ISNUMBER(E889)),"ERROR: VALOR debe ser numérico",IF(E889=0,"AVISO: valor cero (no se carga)",IF(J889&lt;&gt;"ACTIVO","NO SE CARGA: CECO en estado "&amp;J889,"OK"))))))))))</f>
        <v/>
      </c>
    </row>
    <row r="890">
      <c r="A890" s="5" t="n"/>
      <c r="B890" s="6" t="n"/>
      <c r="C890" s="5" t="n"/>
      <c r="D890" s="6" t="n"/>
      <c r="E890" s="7" t="n"/>
      <c r="F890" s="6" t="n"/>
      <c r="G890" s="8">
        <f>IF(B890="","",IFERROR(VLOOKUP(--B890,'CATALOGO CECO'!$A$2:$H$550,2,FALSE),"CECO NO EXISTE"))</f>
        <v/>
      </c>
      <c r="H890" s="8">
        <f>IF(B890="","",IFERROR(VLOOKUP(--B890,'CATALOGO CECO'!$A$2:$H$550,3,FALSE),""))</f>
        <v/>
      </c>
      <c r="I890" s="8">
        <f>IF(B890="","",IFERROR(VLOOKUP(--B890,'CATALOGO CECO'!$A$2:$H$550,5,FALSE),""))</f>
        <v/>
      </c>
      <c r="J890" s="8">
        <f>IF(B890="","",IFERROR(VLOOKUP(--B890,'CATALOGO CECO'!$A$2:$H$550,8,FALSE),""))</f>
        <v/>
      </c>
      <c r="K890" s="8">
        <f>IF(COUNTA(A890:F890)=0,"",IF(OR(LEN(A890)&lt;&gt;7,MID(A890,5,1)&lt;&gt;"-",ISERROR(--LEFT(A890,4)),ISERROR(--RIGHT(A890,2))),"ERROR: PERIODO debe ser AAAA-MM",IF(B890="","ERROR: falta CODIGO CECO",IF(G890="CECO NO EXISTE","ERROR: CECO no existe en el catálogo",IF(C890="","ERROR: falta CUENTA",IF(ISERROR(--C890),"ERROR: CUENTA debe tener solo dígitos",IF(ISERROR(FIND(LEFT(C890,1),"567")),"ERROR: CUENTA fuera de las clases de costo",IF(NOT(ISNUMBER(E890)),"ERROR: VALOR debe ser numérico",IF(E890=0,"AVISO: valor cero (no se carga)",IF(J890&lt;&gt;"ACTIVO","NO SE CARGA: CECO en estado "&amp;J890,"OK"))))))))))</f>
        <v/>
      </c>
    </row>
    <row r="891">
      <c r="A891" s="5" t="n"/>
      <c r="B891" s="6" t="n"/>
      <c r="C891" s="5" t="n"/>
      <c r="D891" s="6" t="n"/>
      <c r="E891" s="7" t="n"/>
      <c r="F891" s="6" t="n"/>
      <c r="G891" s="8">
        <f>IF(B891="","",IFERROR(VLOOKUP(--B891,'CATALOGO CECO'!$A$2:$H$550,2,FALSE),"CECO NO EXISTE"))</f>
        <v/>
      </c>
      <c r="H891" s="8">
        <f>IF(B891="","",IFERROR(VLOOKUP(--B891,'CATALOGO CECO'!$A$2:$H$550,3,FALSE),""))</f>
        <v/>
      </c>
      <c r="I891" s="8">
        <f>IF(B891="","",IFERROR(VLOOKUP(--B891,'CATALOGO CECO'!$A$2:$H$550,5,FALSE),""))</f>
        <v/>
      </c>
      <c r="J891" s="8">
        <f>IF(B891="","",IFERROR(VLOOKUP(--B891,'CATALOGO CECO'!$A$2:$H$550,8,FALSE),""))</f>
        <v/>
      </c>
      <c r="K891" s="8">
        <f>IF(COUNTA(A891:F891)=0,"",IF(OR(LEN(A891)&lt;&gt;7,MID(A891,5,1)&lt;&gt;"-",ISERROR(--LEFT(A891,4)),ISERROR(--RIGHT(A891,2))),"ERROR: PERIODO debe ser AAAA-MM",IF(B891="","ERROR: falta CODIGO CECO",IF(G891="CECO NO EXISTE","ERROR: CECO no existe en el catálogo",IF(C891="","ERROR: falta CUENTA",IF(ISERROR(--C891),"ERROR: CUENTA debe tener solo dígitos",IF(ISERROR(FIND(LEFT(C891,1),"567")),"ERROR: CUENTA fuera de las clases de costo",IF(NOT(ISNUMBER(E891)),"ERROR: VALOR debe ser numérico",IF(E891=0,"AVISO: valor cero (no se carga)",IF(J891&lt;&gt;"ACTIVO","NO SE CARGA: CECO en estado "&amp;J891,"OK"))))))))))</f>
        <v/>
      </c>
    </row>
    <row r="892">
      <c r="A892" s="5" t="n"/>
      <c r="B892" s="6" t="n"/>
      <c r="C892" s="5" t="n"/>
      <c r="D892" s="6" t="n"/>
      <c r="E892" s="7" t="n"/>
      <c r="F892" s="6" t="n"/>
      <c r="G892" s="8">
        <f>IF(B892="","",IFERROR(VLOOKUP(--B892,'CATALOGO CECO'!$A$2:$H$550,2,FALSE),"CECO NO EXISTE"))</f>
        <v/>
      </c>
      <c r="H892" s="8">
        <f>IF(B892="","",IFERROR(VLOOKUP(--B892,'CATALOGO CECO'!$A$2:$H$550,3,FALSE),""))</f>
        <v/>
      </c>
      <c r="I892" s="8">
        <f>IF(B892="","",IFERROR(VLOOKUP(--B892,'CATALOGO CECO'!$A$2:$H$550,5,FALSE),""))</f>
        <v/>
      </c>
      <c r="J892" s="8">
        <f>IF(B892="","",IFERROR(VLOOKUP(--B892,'CATALOGO CECO'!$A$2:$H$550,8,FALSE),""))</f>
        <v/>
      </c>
      <c r="K892" s="8">
        <f>IF(COUNTA(A892:F892)=0,"",IF(OR(LEN(A892)&lt;&gt;7,MID(A892,5,1)&lt;&gt;"-",ISERROR(--LEFT(A892,4)),ISERROR(--RIGHT(A892,2))),"ERROR: PERIODO debe ser AAAA-MM",IF(B892="","ERROR: falta CODIGO CECO",IF(G892="CECO NO EXISTE","ERROR: CECO no existe en el catálogo",IF(C892="","ERROR: falta CUENTA",IF(ISERROR(--C892),"ERROR: CUENTA debe tener solo dígitos",IF(ISERROR(FIND(LEFT(C892,1),"567")),"ERROR: CUENTA fuera de las clases de costo",IF(NOT(ISNUMBER(E892)),"ERROR: VALOR debe ser numérico",IF(E892=0,"AVISO: valor cero (no se carga)",IF(J892&lt;&gt;"ACTIVO","NO SE CARGA: CECO en estado "&amp;J892,"OK"))))))))))</f>
        <v/>
      </c>
    </row>
    <row r="893">
      <c r="A893" s="5" t="n"/>
      <c r="B893" s="6" t="n"/>
      <c r="C893" s="5" t="n"/>
      <c r="D893" s="6" t="n"/>
      <c r="E893" s="7" t="n"/>
      <c r="F893" s="6" t="n"/>
      <c r="G893" s="8">
        <f>IF(B893="","",IFERROR(VLOOKUP(--B893,'CATALOGO CECO'!$A$2:$H$550,2,FALSE),"CECO NO EXISTE"))</f>
        <v/>
      </c>
      <c r="H893" s="8">
        <f>IF(B893="","",IFERROR(VLOOKUP(--B893,'CATALOGO CECO'!$A$2:$H$550,3,FALSE),""))</f>
        <v/>
      </c>
      <c r="I893" s="8">
        <f>IF(B893="","",IFERROR(VLOOKUP(--B893,'CATALOGO CECO'!$A$2:$H$550,5,FALSE),""))</f>
        <v/>
      </c>
      <c r="J893" s="8">
        <f>IF(B893="","",IFERROR(VLOOKUP(--B893,'CATALOGO CECO'!$A$2:$H$550,8,FALSE),""))</f>
        <v/>
      </c>
      <c r="K893" s="8">
        <f>IF(COUNTA(A893:F893)=0,"",IF(OR(LEN(A893)&lt;&gt;7,MID(A893,5,1)&lt;&gt;"-",ISERROR(--LEFT(A893,4)),ISERROR(--RIGHT(A893,2))),"ERROR: PERIODO debe ser AAAA-MM",IF(B893="","ERROR: falta CODIGO CECO",IF(G893="CECO NO EXISTE","ERROR: CECO no existe en el catálogo",IF(C893="","ERROR: falta CUENTA",IF(ISERROR(--C893),"ERROR: CUENTA debe tener solo dígitos",IF(ISERROR(FIND(LEFT(C893,1),"567")),"ERROR: CUENTA fuera de las clases de costo",IF(NOT(ISNUMBER(E893)),"ERROR: VALOR debe ser numérico",IF(E893=0,"AVISO: valor cero (no se carga)",IF(J893&lt;&gt;"ACTIVO","NO SE CARGA: CECO en estado "&amp;J893,"OK"))))))))))</f>
        <v/>
      </c>
    </row>
    <row r="894">
      <c r="A894" s="5" t="n"/>
      <c r="B894" s="6" t="n"/>
      <c r="C894" s="5" t="n"/>
      <c r="D894" s="6" t="n"/>
      <c r="E894" s="7" t="n"/>
      <c r="F894" s="6" t="n"/>
      <c r="G894" s="8">
        <f>IF(B894="","",IFERROR(VLOOKUP(--B894,'CATALOGO CECO'!$A$2:$H$550,2,FALSE),"CECO NO EXISTE"))</f>
        <v/>
      </c>
      <c r="H894" s="8">
        <f>IF(B894="","",IFERROR(VLOOKUP(--B894,'CATALOGO CECO'!$A$2:$H$550,3,FALSE),""))</f>
        <v/>
      </c>
      <c r="I894" s="8">
        <f>IF(B894="","",IFERROR(VLOOKUP(--B894,'CATALOGO CECO'!$A$2:$H$550,5,FALSE),""))</f>
        <v/>
      </c>
      <c r="J894" s="8">
        <f>IF(B894="","",IFERROR(VLOOKUP(--B894,'CATALOGO CECO'!$A$2:$H$550,8,FALSE),""))</f>
        <v/>
      </c>
      <c r="K894" s="8">
        <f>IF(COUNTA(A894:F894)=0,"",IF(OR(LEN(A894)&lt;&gt;7,MID(A894,5,1)&lt;&gt;"-",ISERROR(--LEFT(A894,4)),ISERROR(--RIGHT(A894,2))),"ERROR: PERIODO debe ser AAAA-MM",IF(B894="","ERROR: falta CODIGO CECO",IF(G894="CECO NO EXISTE","ERROR: CECO no existe en el catálogo",IF(C894="","ERROR: falta CUENTA",IF(ISERROR(--C894),"ERROR: CUENTA debe tener solo dígitos",IF(ISERROR(FIND(LEFT(C894,1),"567")),"ERROR: CUENTA fuera de las clases de costo",IF(NOT(ISNUMBER(E894)),"ERROR: VALOR debe ser numérico",IF(E894=0,"AVISO: valor cero (no se carga)",IF(J894&lt;&gt;"ACTIVO","NO SE CARGA: CECO en estado "&amp;J894,"OK"))))))))))</f>
        <v/>
      </c>
    </row>
    <row r="895">
      <c r="A895" s="5" t="n"/>
      <c r="B895" s="6" t="n"/>
      <c r="C895" s="5" t="n"/>
      <c r="D895" s="6" t="n"/>
      <c r="E895" s="7" t="n"/>
      <c r="F895" s="6" t="n"/>
      <c r="G895" s="8">
        <f>IF(B895="","",IFERROR(VLOOKUP(--B895,'CATALOGO CECO'!$A$2:$H$550,2,FALSE),"CECO NO EXISTE"))</f>
        <v/>
      </c>
      <c r="H895" s="8">
        <f>IF(B895="","",IFERROR(VLOOKUP(--B895,'CATALOGO CECO'!$A$2:$H$550,3,FALSE),""))</f>
        <v/>
      </c>
      <c r="I895" s="8">
        <f>IF(B895="","",IFERROR(VLOOKUP(--B895,'CATALOGO CECO'!$A$2:$H$550,5,FALSE),""))</f>
        <v/>
      </c>
      <c r="J895" s="8">
        <f>IF(B895="","",IFERROR(VLOOKUP(--B895,'CATALOGO CECO'!$A$2:$H$550,8,FALSE),""))</f>
        <v/>
      </c>
      <c r="K895" s="8">
        <f>IF(COUNTA(A895:F895)=0,"",IF(OR(LEN(A895)&lt;&gt;7,MID(A895,5,1)&lt;&gt;"-",ISERROR(--LEFT(A895,4)),ISERROR(--RIGHT(A895,2))),"ERROR: PERIODO debe ser AAAA-MM",IF(B895="","ERROR: falta CODIGO CECO",IF(G895="CECO NO EXISTE","ERROR: CECO no existe en el catálogo",IF(C895="","ERROR: falta CUENTA",IF(ISERROR(--C895),"ERROR: CUENTA debe tener solo dígitos",IF(ISERROR(FIND(LEFT(C895,1),"567")),"ERROR: CUENTA fuera de las clases de costo",IF(NOT(ISNUMBER(E895)),"ERROR: VALOR debe ser numérico",IF(E895=0,"AVISO: valor cero (no se carga)",IF(J895&lt;&gt;"ACTIVO","NO SE CARGA: CECO en estado "&amp;J895,"OK"))))))))))</f>
        <v/>
      </c>
    </row>
    <row r="896">
      <c r="A896" s="5" t="n"/>
      <c r="B896" s="6" t="n"/>
      <c r="C896" s="5" t="n"/>
      <c r="D896" s="6" t="n"/>
      <c r="E896" s="7" t="n"/>
      <c r="F896" s="6" t="n"/>
      <c r="G896" s="8">
        <f>IF(B896="","",IFERROR(VLOOKUP(--B896,'CATALOGO CECO'!$A$2:$H$550,2,FALSE),"CECO NO EXISTE"))</f>
        <v/>
      </c>
      <c r="H896" s="8">
        <f>IF(B896="","",IFERROR(VLOOKUP(--B896,'CATALOGO CECO'!$A$2:$H$550,3,FALSE),""))</f>
        <v/>
      </c>
      <c r="I896" s="8">
        <f>IF(B896="","",IFERROR(VLOOKUP(--B896,'CATALOGO CECO'!$A$2:$H$550,5,FALSE),""))</f>
        <v/>
      </c>
      <c r="J896" s="8">
        <f>IF(B896="","",IFERROR(VLOOKUP(--B896,'CATALOGO CECO'!$A$2:$H$550,8,FALSE),""))</f>
        <v/>
      </c>
      <c r="K896" s="8">
        <f>IF(COUNTA(A896:F896)=0,"",IF(OR(LEN(A896)&lt;&gt;7,MID(A896,5,1)&lt;&gt;"-",ISERROR(--LEFT(A896,4)),ISERROR(--RIGHT(A896,2))),"ERROR: PERIODO debe ser AAAA-MM",IF(B896="","ERROR: falta CODIGO CECO",IF(G896="CECO NO EXISTE","ERROR: CECO no existe en el catálogo",IF(C896="","ERROR: falta CUENTA",IF(ISERROR(--C896),"ERROR: CUENTA debe tener solo dígitos",IF(ISERROR(FIND(LEFT(C896,1),"567")),"ERROR: CUENTA fuera de las clases de costo",IF(NOT(ISNUMBER(E896)),"ERROR: VALOR debe ser numérico",IF(E896=0,"AVISO: valor cero (no se carga)",IF(J896&lt;&gt;"ACTIVO","NO SE CARGA: CECO en estado "&amp;J896,"OK"))))))))))</f>
        <v/>
      </c>
    </row>
    <row r="897">
      <c r="A897" s="5" t="n"/>
      <c r="B897" s="6" t="n"/>
      <c r="C897" s="5" t="n"/>
      <c r="D897" s="6" t="n"/>
      <c r="E897" s="7" t="n"/>
      <c r="F897" s="6" t="n"/>
      <c r="G897" s="8">
        <f>IF(B897="","",IFERROR(VLOOKUP(--B897,'CATALOGO CECO'!$A$2:$H$550,2,FALSE),"CECO NO EXISTE"))</f>
        <v/>
      </c>
      <c r="H897" s="8">
        <f>IF(B897="","",IFERROR(VLOOKUP(--B897,'CATALOGO CECO'!$A$2:$H$550,3,FALSE),""))</f>
        <v/>
      </c>
      <c r="I897" s="8">
        <f>IF(B897="","",IFERROR(VLOOKUP(--B897,'CATALOGO CECO'!$A$2:$H$550,5,FALSE),""))</f>
        <v/>
      </c>
      <c r="J897" s="8">
        <f>IF(B897="","",IFERROR(VLOOKUP(--B897,'CATALOGO CECO'!$A$2:$H$550,8,FALSE),""))</f>
        <v/>
      </c>
      <c r="K897" s="8">
        <f>IF(COUNTA(A897:F897)=0,"",IF(OR(LEN(A897)&lt;&gt;7,MID(A897,5,1)&lt;&gt;"-",ISERROR(--LEFT(A897,4)),ISERROR(--RIGHT(A897,2))),"ERROR: PERIODO debe ser AAAA-MM",IF(B897="","ERROR: falta CODIGO CECO",IF(G897="CECO NO EXISTE","ERROR: CECO no existe en el catálogo",IF(C897="","ERROR: falta CUENTA",IF(ISERROR(--C897),"ERROR: CUENTA debe tener solo dígitos",IF(ISERROR(FIND(LEFT(C897,1),"567")),"ERROR: CUENTA fuera de las clases de costo",IF(NOT(ISNUMBER(E897)),"ERROR: VALOR debe ser numérico",IF(E897=0,"AVISO: valor cero (no se carga)",IF(J897&lt;&gt;"ACTIVO","NO SE CARGA: CECO en estado "&amp;J897,"OK"))))))))))</f>
        <v/>
      </c>
    </row>
    <row r="898">
      <c r="A898" s="5" t="n"/>
      <c r="B898" s="6" t="n"/>
      <c r="C898" s="5" t="n"/>
      <c r="D898" s="6" t="n"/>
      <c r="E898" s="7" t="n"/>
      <c r="F898" s="6" t="n"/>
      <c r="G898" s="8">
        <f>IF(B898="","",IFERROR(VLOOKUP(--B898,'CATALOGO CECO'!$A$2:$H$550,2,FALSE),"CECO NO EXISTE"))</f>
        <v/>
      </c>
      <c r="H898" s="8">
        <f>IF(B898="","",IFERROR(VLOOKUP(--B898,'CATALOGO CECO'!$A$2:$H$550,3,FALSE),""))</f>
        <v/>
      </c>
      <c r="I898" s="8">
        <f>IF(B898="","",IFERROR(VLOOKUP(--B898,'CATALOGO CECO'!$A$2:$H$550,5,FALSE),""))</f>
        <v/>
      </c>
      <c r="J898" s="8">
        <f>IF(B898="","",IFERROR(VLOOKUP(--B898,'CATALOGO CECO'!$A$2:$H$550,8,FALSE),""))</f>
        <v/>
      </c>
      <c r="K898" s="8">
        <f>IF(COUNTA(A898:F898)=0,"",IF(OR(LEN(A898)&lt;&gt;7,MID(A898,5,1)&lt;&gt;"-",ISERROR(--LEFT(A898,4)),ISERROR(--RIGHT(A898,2))),"ERROR: PERIODO debe ser AAAA-MM",IF(B898="","ERROR: falta CODIGO CECO",IF(G898="CECO NO EXISTE","ERROR: CECO no existe en el catálogo",IF(C898="","ERROR: falta CUENTA",IF(ISERROR(--C898),"ERROR: CUENTA debe tener solo dígitos",IF(ISERROR(FIND(LEFT(C898,1),"567")),"ERROR: CUENTA fuera de las clases de costo",IF(NOT(ISNUMBER(E898)),"ERROR: VALOR debe ser numérico",IF(E898=0,"AVISO: valor cero (no se carga)",IF(J898&lt;&gt;"ACTIVO","NO SE CARGA: CECO en estado "&amp;J898,"OK"))))))))))</f>
        <v/>
      </c>
    </row>
    <row r="899">
      <c r="A899" s="5" t="n"/>
      <c r="B899" s="6" t="n"/>
      <c r="C899" s="5" t="n"/>
      <c r="D899" s="6" t="n"/>
      <c r="E899" s="7" t="n"/>
      <c r="F899" s="6" t="n"/>
      <c r="G899" s="8">
        <f>IF(B899="","",IFERROR(VLOOKUP(--B899,'CATALOGO CECO'!$A$2:$H$550,2,FALSE),"CECO NO EXISTE"))</f>
        <v/>
      </c>
      <c r="H899" s="8">
        <f>IF(B899="","",IFERROR(VLOOKUP(--B899,'CATALOGO CECO'!$A$2:$H$550,3,FALSE),""))</f>
        <v/>
      </c>
      <c r="I899" s="8">
        <f>IF(B899="","",IFERROR(VLOOKUP(--B899,'CATALOGO CECO'!$A$2:$H$550,5,FALSE),""))</f>
        <v/>
      </c>
      <c r="J899" s="8">
        <f>IF(B899="","",IFERROR(VLOOKUP(--B899,'CATALOGO CECO'!$A$2:$H$550,8,FALSE),""))</f>
        <v/>
      </c>
      <c r="K899" s="8">
        <f>IF(COUNTA(A899:F899)=0,"",IF(OR(LEN(A899)&lt;&gt;7,MID(A899,5,1)&lt;&gt;"-",ISERROR(--LEFT(A899,4)),ISERROR(--RIGHT(A899,2))),"ERROR: PERIODO debe ser AAAA-MM",IF(B899="","ERROR: falta CODIGO CECO",IF(G899="CECO NO EXISTE","ERROR: CECO no existe en el catálogo",IF(C899="","ERROR: falta CUENTA",IF(ISERROR(--C899),"ERROR: CUENTA debe tener solo dígitos",IF(ISERROR(FIND(LEFT(C899,1),"567")),"ERROR: CUENTA fuera de las clases de costo",IF(NOT(ISNUMBER(E899)),"ERROR: VALOR debe ser numérico",IF(E899=0,"AVISO: valor cero (no se carga)",IF(J899&lt;&gt;"ACTIVO","NO SE CARGA: CECO en estado "&amp;J899,"OK"))))))))))</f>
        <v/>
      </c>
    </row>
    <row r="900">
      <c r="A900" s="5" t="n"/>
      <c r="B900" s="6" t="n"/>
      <c r="C900" s="5" t="n"/>
      <c r="D900" s="6" t="n"/>
      <c r="E900" s="7" t="n"/>
      <c r="F900" s="6" t="n"/>
      <c r="G900" s="8">
        <f>IF(B900="","",IFERROR(VLOOKUP(--B900,'CATALOGO CECO'!$A$2:$H$550,2,FALSE),"CECO NO EXISTE"))</f>
        <v/>
      </c>
      <c r="H900" s="8">
        <f>IF(B900="","",IFERROR(VLOOKUP(--B900,'CATALOGO CECO'!$A$2:$H$550,3,FALSE),""))</f>
        <v/>
      </c>
      <c r="I900" s="8">
        <f>IF(B900="","",IFERROR(VLOOKUP(--B900,'CATALOGO CECO'!$A$2:$H$550,5,FALSE),""))</f>
        <v/>
      </c>
      <c r="J900" s="8">
        <f>IF(B900="","",IFERROR(VLOOKUP(--B900,'CATALOGO CECO'!$A$2:$H$550,8,FALSE),""))</f>
        <v/>
      </c>
      <c r="K900" s="8">
        <f>IF(COUNTA(A900:F900)=0,"",IF(OR(LEN(A900)&lt;&gt;7,MID(A900,5,1)&lt;&gt;"-",ISERROR(--LEFT(A900,4)),ISERROR(--RIGHT(A900,2))),"ERROR: PERIODO debe ser AAAA-MM",IF(B900="","ERROR: falta CODIGO CECO",IF(G900="CECO NO EXISTE","ERROR: CECO no existe en el catálogo",IF(C900="","ERROR: falta CUENTA",IF(ISERROR(--C900),"ERROR: CUENTA debe tener solo dígitos",IF(ISERROR(FIND(LEFT(C900,1),"567")),"ERROR: CUENTA fuera de las clases de costo",IF(NOT(ISNUMBER(E900)),"ERROR: VALOR debe ser numérico",IF(E900=0,"AVISO: valor cero (no se carga)",IF(J900&lt;&gt;"ACTIVO","NO SE CARGA: CECO en estado "&amp;J900,"OK"))))))))))</f>
        <v/>
      </c>
    </row>
    <row r="901">
      <c r="A901" s="5" t="n"/>
      <c r="B901" s="6" t="n"/>
      <c r="C901" s="5" t="n"/>
      <c r="D901" s="6" t="n"/>
      <c r="E901" s="7" t="n"/>
      <c r="F901" s="6" t="n"/>
      <c r="G901" s="8">
        <f>IF(B901="","",IFERROR(VLOOKUP(--B901,'CATALOGO CECO'!$A$2:$H$550,2,FALSE),"CECO NO EXISTE"))</f>
        <v/>
      </c>
      <c r="H901" s="8">
        <f>IF(B901="","",IFERROR(VLOOKUP(--B901,'CATALOGO CECO'!$A$2:$H$550,3,FALSE),""))</f>
        <v/>
      </c>
      <c r="I901" s="8">
        <f>IF(B901="","",IFERROR(VLOOKUP(--B901,'CATALOGO CECO'!$A$2:$H$550,5,FALSE),""))</f>
        <v/>
      </c>
      <c r="J901" s="8">
        <f>IF(B901="","",IFERROR(VLOOKUP(--B901,'CATALOGO CECO'!$A$2:$H$550,8,FALSE),""))</f>
        <v/>
      </c>
      <c r="K901" s="8">
        <f>IF(COUNTA(A901:F901)=0,"",IF(OR(LEN(A901)&lt;&gt;7,MID(A901,5,1)&lt;&gt;"-",ISERROR(--LEFT(A901,4)),ISERROR(--RIGHT(A901,2))),"ERROR: PERIODO debe ser AAAA-MM",IF(B901="","ERROR: falta CODIGO CECO",IF(G901="CECO NO EXISTE","ERROR: CECO no existe en el catálogo",IF(C901="","ERROR: falta CUENTA",IF(ISERROR(--C901),"ERROR: CUENTA debe tener solo dígitos",IF(ISERROR(FIND(LEFT(C901,1),"567")),"ERROR: CUENTA fuera de las clases de costo",IF(NOT(ISNUMBER(E901)),"ERROR: VALOR debe ser numérico",IF(E901=0,"AVISO: valor cero (no se carga)",IF(J901&lt;&gt;"ACTIVO","NO SE CARGA: CECO en estado "&amp;J901,"OK"))))))))))</f>
        <v/>
      </c>
    </row>
    <row r="902">
      <c r="A902" s="5" t="n"/>
      <c r="B902" s="6" t="n"/>
      <c r="C902" s="5" t="n"/>
      <c r="D902" s="6" t="n"/>
      <c r="E902" s="7" t="n"/>
      <c r="F902" s="6" t="n"/>
      <c r="G902" s="8">
        <f>IF(B902="","",IFERROR(VLOOKUP(--B902,'CATALOGO CECO'!$A$2:$H$550,2,FALSE),"CECO NO EXISTE"))</f>
        <v/>
      </c>
      <c r="H902" s="8">
        <f>IF(B902="","",IFERROR(VLOOKUP(--B902,'CATALOGO CECO'!$A$2:$H$550,3,FALSE),""))</f>
        <v/>
      </c>
      <c r="I902" s="8">
        <f>IF(B902="","",IFERROR(VLOOKUP(--B902,'CATALOGO CECO'!$A$2:$H$550,5,FALSE),""))</f>
        <v/>
      </c>
      <c r="J902" s="8">
        <f>IF(B902="","",IFERROR(VLOOKUP(--B902,'CATALOGO CECO'!$A$2:$H$550,8,FALSE),""))</f>
        <v/>
      </c>
      <c r="K902" s="8">
        <f>IF(COUNTA(A902:F902)=0,"",IF(OR(LEN(A902)&lt;&gt;7,MID(A902,5,1)&lt;&gt;"-",ISERROR(--LEFT(A902,4)),ISERROR(--RIGHT(A902,2))),"ERROR: PERIODO debe ser AAAA-MM",IF(B902="","ERROR: falta CODIGO CECO",IF(G902="CECO NO EXISTE","ERROR: CECO no existe en el catálogo",IF(C902="","ERROR: falta CUENTA",IF(ISERROR(--C902),"ERROR: CUENTA debe tener solo dígitos",IF(ISERROR(FIND(LEFT(C902,1),"567")),"ERROR: CUENTA fuera de las clases de costo",IF(NOT(ISNUMBER(E902)),"ERROR: VALOR debe ser numérico",IF(E902=0,"AVISO: valor cero (no se carga)",IF(J902&lt;&gt;"ACTIVO","NO SE CARGA: CECO en estado "&amp;J902,"OK"))))))))))</f>
        <v/>
      </c>
    </row>
    <row r="903">
      <c r="A903" s="5" t="n"/>
      <c r="B903" s="6" t="n"/>
      <c r="C903" s="5" t="n"/>
      <c r="D903" s="6" t="n"/>
      <c r="E903" s="7" t="n"/>
      <c r="F903" s="6" t="n"/>
      <c r="G903" s="8">
        <f>IF(B903="","",IFERROR(VLOOKUP(--B903,'CATALOGO CECO'!$A$2:$H$550,2,FALSE),"CECO NO EXISTE"))</f>
        <v/>
      </c>
      <c r="H903" s="8">
        <f>IF(B903="","",IFERROR(VLOOKUP(--B903,'CATALOGO CECO'!$A$2:$H$550,3,FALSE),""))</f>
        <v/>
      </c>
      <c r="I903" s="8">
        <f>IF(B903="","",IFERROR(VLOOKUP(--B903,'CATALOGO CECO'!$A$2:$H$550,5,FALSE),""))</f>
        <v/>
      </c>
      <c r="J903" s="8">
        <f>IF(B903="","",IFERROR(VLOOKUP(--B903,'CATALOGO CECO'!$A$2:$H$550,8,FALSE),""))</f>
        <v/>
      </c>
      <c r="K903" s="8">
        <f>IF(COUNTA(A903:F903)=0,"",IF(OR(LEN(A903)&lt;&gt;7,MID(A903,5,1)&lt;&gt;"-",ISERROR(--LEFT(A903,4)),ISERROR(--RIGHT(A903,2))),"ERROR: PERIODO debe ser AAAA-MM",IF(B903="","ERROR: falta CODIGO CECO",IF(G903="CECO NO EXISTE","ERROR: CECO no existe en el catálogo",IF(C903="","ERROR: falta CUENTA",IF(ISERROR(--C903),"ERROR: CUENTA debe tener solo dígitos",IF(ISERROR(FIND(LEFT(C903,1),"567")),"ERROR: CUENTA fuera de las clases de costo",IF(NOT(ISNUMBER(E903)),"ERROR: VALOR debe ser numérico",IF(E903=0,"AVISO: valor cero (no se carga)",IF(J903&lt;&gt;"ACTIVO","NO SE CARGA: CECO en estado "&amp;J903,"OK"))))))))))</f>
        <v/>
      </c>
    </row>
    <row r="904">
      <c r="A904" s="5" t="n"/>
      <c r="B904" s="6" t="n"/>
      <c r="C904" s="5" t="n"/>
      <c r="D904" s="6" t="n"/>
      <c r="E904" s="7" t="n"/>
      <c r="F904" s="6" t="n"/>
      <c r="G904" s="8">
        <f>IF(B904="","",IFERROR(VLOOKUP(--B904,'CATALOGO CECO'!$A$2:$H$550,2,FALSE),"CECO NO EXISTE"))</f>
        <v/>
      </c>
      <c r="H904" s="8">
        <f>IF(B904="","",IFERROR(VLOOKUP(--B904,'CATALOGO CECO'!$A$2:$H$550,3,FALSE),""))</f>
        <v/>
      </c>
      <c r="I904" s="8">
        <f>IF(B904="","",IFERROR(VLOOKUP(--B904,'CATALOGO CECO'!$A$2:$H$550,5,FALSE),""))</f>
        <v/>
      </c>
      <c r="J904" s="8">
        <f>IF(B904="","",IFERROR(VLOOKUP(--B904,'CATALOGO CECO'!$A$2:$H$550,8,FALSE),""))</f>
        <v/>
      </c>
      <c r="K904" s="8">
        <f>IF(COUNTA(A904:F904)=0,"",IF(OR(LEN(A904)&lt;&gt;7,MID(A904,5,1)&lt;&gt;"-",ISERROR(--LEFT(A904,4)),ISERROR(--RIGHT(A904,2))),"ERROR: PERIODO debe ser AAAA-MM",IF(B904="","ERROR: falta CODIGO CECO",IF(G904="CECO NO EXISTE","ERROR: CECO no existe en el catálogo",IF(C904="","ERROR: falta CUENTA",IF(ISERROR(--C904),"ERROR: CUENTA debe tener solo dígitos",IF(ISERROR(FIND(LEFT(C904,1),"567")),"ERROR: CUENTA fuera de las clases de costo",IF(NOT(ISNUMBER(E904)),"ERROR: VALOR debe ser numérico",IF(E904=0,"AVISO: valor cero (no se carga)",IF(J904&lt;&gt;"ACTIVO","NO SE CARGA: CECO en estado "&amp;J904,"OK"))))))))))</f>
        <v/>
      </c>
    </row>
    <row r="905">
      <c r="A905" s="5" t="n"/>
      <c r="B905" s="6" t="n"/>
      <c r="C905" s="5" t="n"/>
      <c r="D905" s="6" t="n"/>
      <c r="E905" s="7" t="n"/>
      <c r="F905" s="6" t="n"/>
      <c r="G905" s="8">
        <f>IF(B905="","",IFERROR(VLOOKUP(--B905,'CATALOGO CECO'!$A$2:$H$550,2,FALSE),"CECO NO EXISTE"))</f>
        <v/>
      </c>
      <c r="H905" s="8">
        <f>IF(B905="","",IFERROR(VLOOKUP(--B905,'CATALOGO CECO'!$A$2:$H$550,3,FALSE),""))</f>
        <v/>
      </c>
      <c r="I905" s="8">
        <f>IF(B905="","",IFERROR(VLOOKUP(--B905,'CATALOGO CECO'!$A$2:$H$550,5,FALSE),""))</f>
        <v/>
      </c>
      <c r="J905" s="8">
        <f>IF(B905="","",IFERROR(VLOOKUP(--B905,'CATALOGO CECO'!$A$2:$H$550,8,FALSE),""))</f>
        <v/>
      </c>
      <c r="K905" s="8">
        <f>IF(COUNTA(A905:F905)=0,"",IF(OR(LEN(A905)&lt;&gt;7,MID(A905,5,1)&lt;&gt;"-",ISERROR(--LEFT(A905,4)),ISERROR(--RIGHT(A905,2))),"ERROR: PERIODO debe ser AAAA-MM",IF(B905="","ERROR: falta CODIGO CECO",IF(G905="CECO NO EXISTE","ERROR: CECO no existe en el catálogo",IF(C905="","ERROR: falta CUENTA",IF(ISERROR(--C905),"ERROR: CUENTA debe tener solo dígitos",IF(ISERROR(FIND(LEFT(C905,1),"567")),"ERROR: CUENTA fuera de las clases de costo",IF(NOT(ISNUMBER(E905)),"ERROR: VALOR debe ser numérico",IF(E905=0,"AVISO: valor cero (no se carga)",IF(J905&lt;&gt;"ACTIVO","NO SE CARGA: CECO en estado "&amp;J905,"OK"))))))))))</f>
        <v/>
      </c>
    </row>
    <row r="906">
      <c r="A906" s="5" t="n"/>
      <c r="B906" s="6" t="n"/>
      <c r="C906" s="5" t="n"/>
      <c r="D906" s="6" t="n"/>
      <c r="E906" s="7" t="n"/>
      <c r="F906" s="6" t="n"/>
      <c r="G906" s="8">
        <f>IF(B906="","",IFERROR(VLOOKUP(--B906,'CATALOGO CECO'!$A$2:$H$550,2,FALSE),"CECO NO EXISTE"))</f>
        <v/>
      </c>
      <c r="H906" s="8">
        <f>IF(B906="","",IFERROR(VLOOKUP(--B906,'CATALOGO CECO'!$A$2:$H$550,3,FALSE),""))</f>
        <v/>
      </c>
      <c r="I906" s="8">
        <f>IF(B906="","",IFERROR(VLOOKUP(--B906,'CATALOGO CECO'!$A$2:$H$550,5,FALSE),""))</f>
        <v/>
      </c>
      <c r="J906" s="8">
        <f>IF(B906="","",IFERROR(VLOOKUP(--B906,'CATALOGO CECO'!$A$2:$H$550,8,FALSE),""))</f>
        <v/>
      </c>
      <c r="K906" s="8">
        <f>IF(COUNTA(A906:F906)=0,"",IF(OR(LEN(A906)&lt;&gt;7,MID(A906,5,1)&lt;&gt;"-",ISERROR(--LEFT(A906,4)),ISERROR(--RIGHT(A906,2))),"ERROR: PERIODO debe ser AAAA-MM",IF(B906="","ERROR: falta CODIGO CECO",IF(G906="CECO NO EXISTE","ERROR: CECO no existe en el catálogo",IF(C906="","ERROR: falta CUENTA",IF(ISERROR(--C906),"ERROR: CUENTA debe tener solo dígitos",IF(ISERROR(FIND(LEFT(C906,1),"567")),"ERROR: CUENTA fuera de las clases de costo",IF(NOT(ISNUMBER(E906)),"ERROR: VALOR debe ser numérico",IF(E906=0,"AVISO: valor cero (no se carga)",IF(J906&lt;&gt;"ACTIVO","NO SE CARGA: CECO en estado "&amp;J906,"OK"))))))))))</f>
        <v/>
      </c>
    </row>
    <row r="907">
      <c r="A907" s="5" t="n"/>
      <c r="B907" s="6" t="n"/>
      <c r="C907" s="5" t="n"/>
      <c r="D907" s="6" t="n"/>
      <c r="E907" s="7" t="n"/>
      <c r="F907" s="6" t="n"/>
      <c r="G907" s="8">
        <f>IF(B907="","",IFERROR(VLOOKUP(--B907,'CATALOGO CECO'!$A$2:$H$550,2,FALSE),"CECO NO EXISTE"))</f>
        <v/>
      </c>
      <c r="H907" s="8">
        <f>IF(B907="","",IFERROR(VLOOKUP(--B907,'CATALOGO CECO'!$A$2:$H$550,3,FALSE),""))</f>
        <v/>
      </c>
      <c r="I907" s="8">
        <f>IF(B907="","",IFERROR(VLOOKUP(--B907,'CATALOGO CECO'!$A$2:$H$550,5,FALSE),""))</f>
        <v/>
      </c>
      <c r="J907" s="8">
        <f>IF(B907="","",IFERROR(VLOOKUP(--B907,'CATALOGO CECO'!$A$2:$H$550,8,FALSE),""))</f>
        <v/>
      </c>
      <c r="K907" s="8">
        <f>IF(COUNTA(A907:F907)=0,"",IF(OR(LEN(A907)&lt;&gt;7,MID(A907,5,1)&lt;&gt;"-",ISERROR(--LEFT(A907,4)),ISERROR(--RIGHT(A907,2))),"ERROR: PERIODO debe ser AAAA-MM",IF(B907="","ERROR: falta CODIGO CECO",IF(G907="CECO NO EXISTE","ERROR: CECO no existe en el catálogo",IF(C907="","ERROR: falta CUENTA",IF(ISERROR(--C907),"ERROR: CUENTA debe tener solo dígitos",IF(ISERROR(FIND(LEFT(C907,1),"567")),"ERROR: CUENTA fuera de las clases de costo",IF(NOT(ISNUMBER(E907)),"ERROR: VALOR debe ser numérico",IF(E907=0,"AVISO: valor cero (no se carga)",IF(J907&lt;&gt;"ACTIVO","NO SE CARGA: CECO en estado "&amp;J907,"OK"))))))))))</f>
        <v/>
      </c>
    </row>
    <row r="908">
      <c r="A908" s="5" t="n"/>
      <c r="B908" s="6" t="n"/>
      <c r="C908" s="5" t="n"/>
      <c r="D908" s="6" t="n"/>
      <c r="E908" s="7" t="n"/>
      <c r="F908" s="6" t="n"/>
      <c r="G908" s="8">
        <f>IF(B908="","",IFERROR(VLOOKUP(--B908,'CATALOGO CECO'!$A$2:$H$550,2,FALSE),"CECO NO EXISTE"))</f>
        <v/>
      </c>
      <c r="H908" s="8">
        <f>IF(B908="","",IFERROR(VLOOKUP(--B908,'CATALOGO CECO'!$A$2:$H$550,3,FALSE),""))</f>
        <v/>
      </c>
      <c r="I908" s="8">
        <f>IF(B908="","",IFERROR(VLOOKUP(--B908,'CATALOGO CECO'!$A$2:$H$550,5,FALSE),""))</f>
        <v/>
      </c>
      <c r="J908" s="8">
        <f>IF(B908="","",IFERROR(VLOOKUP(--B908,'CATALOGO CECO'!$A$2:$H$550,8,FALSE),""))</f>
        <v/>
      </c>
      <c r="K908" s="8">
        <f>IF(COUNTA(A908:F908)=0,"",IF(OR(LEN(A908)&lt;&gt;7,MID(A908,5,1)&lt;&gt;"-",ISERROR(--LEFT(A908,4)),ISERROR(--RIGHT(A908,2))),"ERROR: PERIODO debe ser AAAA-MM",IF(B908="","ERROR: falta CODIGO CECO",IF(G908="CECO NO EXISTE","ERROR: CECO no existe en el catálogo",IF(C908="","ERROR: falta CUENTA",IF(ISERROR(--C908),"ERROR: CUENTA debe tener solo dígitos",IF(ISERROR(FIND(LEFT(C908,1),"567")),"ERROR: CUENTA fuera de las clases de costo",IF(NOT(ISNUMBER(E908)),"ERROR: VALOR debe ser numérico",IF(E908=0,"AVISO: valor cero (no se carga)",IF(J908&lt;&gt;"ACTIVO","NO SE CARGA: CECO en estado "&amp;J908,"OK"))))))))))</f>
        <v/>
      </c>
    </row>
    <row r="909">
      <c r="A909" s="5" t="n"/>
      <c r="B909" s="6" t="n"/>
      <c r="C909" s="5" t="n"/>
      <c r="D909" s="6" t="n"/>
      <c r="E909" s="7" t="n"/>
      <c r="F909" s="6" t="n"/>
      <c r="G909" s="8">
        <f>IF(B909="","",IFERROR(VLOOKUP(--B909,'CATALOGO CECO'!$A$2:$H$550,2,FALSE),"CECO NO EXISTE"))</f>
        <v/>
      </c>
      <c r="H909" s="8">
        <f>IF(B909="","",IFERROR(VLOOKUP(--B909,'CATALOGO CECO'!$A$2:$H$550,3,FALSE),""))</f>
        <v/>
      </c>
      <c r="I909" s="8">
        <f>IF(B909="","",IFERROR(VLOOKUP(--B909,'CATALOGO CECO'!$A$2:$H$550,5,FALSE),""))</f>
        <v/>
      </c>
      <c r="J909" s="8">
        <f>IF(B909="","",IFERROR(VLOOKUP(--B909,'CATALOGO CECO'!$A$2:$H$550,8,FALSE),""))</f>
        <v/>
      </c>
      <c r="K909" s="8">
        <f>IF(COUNTA(A909:F909)=0,"",IF(OR(LEN(A909)&lt;&gt;7,MID(A909,5,1)&lt;&gt;"-",ISERROR(--LEFT(A909,4)),ISERROR(--RIGHT(A909,2))),"ERROR: PERIODO debe ser AAAA-MM",IF(B909="","ERROR: falta CODIGO CECO",IF(G909="CECO NO EXISTE","ERROR: CECO no existe en el catálogo",IF(C909="","ERROR: falta CUENTA",IF(ISERROR(--C909),"ERROR: CUENTA debe tener solo dígitos",IF(ISERROR(FIND(LEFT(C909,1),"567")),"ERROR: CUENTA fuera de las clases de costo",IF(NOT(ISNUMBER(E909)),"ERROR: VALOR debe ser numérico",IF(E909=0,"AVISO: valor cero (no se carga)",IF(J909&lt;&gt;"ACTIVO","NO SE CARGA: CECO en estado "&amp;J909,"OK"))))))))))</f>
        <v/>
      </c>
    </row>
    <row r="910">
      <c r="A910" s="5" t="n"/>
      <c r="B910" s="6" t="n"/>
      <c r="C910" s="5" t="n"/>
      <c r="D910" s="6" t="n"/>
      <c r="E910" s="7" t="n"/>
      <c r="F910" s="6" t="n"/>
      <c r="G910" s="8">
        <f>IF(B910="","",IFERROR(VLOOKUP(--B910,'CATALOGO CECO'!$A$2:$H$550,2,FALSE),"CECO NO EXISTE"))</f>
        <v/>
      </c>
      <c r="H910" s="8">
        <f>IF(B910="","",IFERROR(VLOOKUP(--B910,'CATALOGO CECO'!$A$2:$H$550,3,FALSE),""))</f>
        <v/>
      </c>
      <c r="I910" s="8">
        <f>IF(B910="","",IFERROR(VLOOKUP(--B910,'CATALOGO CECO'!$A$2:$H$550,5,FALSE),""))</f>
        <v/>
      </c>
      <c r="J910" s="8">
        <f>IF(B910="","",IFERROR(VLOOKUP(--B910,'CATALOGO CECO'!$A$2:$H$550,8,FALSE),""))</f>
        <v/>
      </c>
      <c r="K910" s="8">
        <f>IF(COUNTA(A910:F910)=0,"",IF(OR(LEN(A910)&lt;&gt;7,MID(A910,5,1)&lt;&gt;"-",ISERROR(--LEFT(A910,4)),ISERROR(--RIGHT(A910,2))),"ERROR: PERIODO debe ser AAAA-MM",IF(B910="","ERROR: falta CODIGO CECO",IF(G910="CECO NO EXISTE","ERROR: CECO no existe en el catálogo",IF(C910="","ERROR: falta CUENTA",IF(ISERROR(--C910),"ERROR: CUENTA debe tener solo dígitos",IF(ISERROR(FIND(LEFT(C910,1),"567")),"ERROR: CUENTA fuera de las clases de costo",IF(NOT(ISNUMBER(E910)),"ERROR: VALOR debe ser numérico",IF(E910=0,"AVISO: valor cero (no se carga)",IF(J910&lt;&gt;"ACTIVO","NO SE CARGA: CECO en estado "&amp;J910,"OK"))))))))))</f>
        <v/>
      </c>
    </row>
    <row r="911">
      <c r="A911" s="5" t="n"/>
      <c r="B911" s="6" t="n"/>
      <c r="C911" s="5" t="n"/>
      <c r="D911" s="6" t="n"/>
      <c r="E911" s="7" t="n"/>
      <c r="F911" s="6" t="n"/>
      <c r="G911" s="8">
        <f>IF(B911="","",IFERROR(VLOOKUP(--B911,'CATALOGO CECO'!$A$2:$H$550,2,FALSE),"CECO NO EXISTE"))</f>
        <v/>
      </c>
      <c r="H911" s="8">
        <f>IF(B911="","",IFERROR(VLOOKUP(--B911,'CATALOGO CECO'!$A$2:$H$550,3,FALSE),""))</f>
        <v/>
      </c>
      <c r="I911" s="8">
        <f>IF(B911="","",IFERROR(VLOOKUP(--B911,'CATALOGO CECO'!$A$2:$H$550,5,FALSE),""))</f>
        <v/>
      </c>
      <c r="J911" s="8">
        <f>IF(B911="","",IFERROR(VLOOKUP(--B911,'CATALOGO CECO'!$A$2:$H$550,8,FALSE),""))</f>
        <v/>
      </c>
      <c r="K911" s="8">
        <f>IF(COUNTA(A911:F911)=0,"",IF(OR(LEN(A911)&lt;&gt;7,MID(A911,5,1)&lt;&gt;"-",ISERROR(--LEFT(A911,4)),ISERROR(--RIGHT(A911,2))),"ERROR: PERIODO debe ser AAAA-MM",IF(B911="","ERROR: falta CODIGO CECO",IF(G911="CECO NO EXISTE","ERROR: CECO no existe en el catálogo",IF(C911="","ERROR: falta CUENTA",IF(ISERROR(--C911),"ERROR: CUENTA debe tener solo dígitos",IF(ISERROR(FIND(LEFT(C911,1),"567")),"ERROR: CUENTA fuera de las clases de costo",IF(NOT(ISNUMBER(E911)),"ERROR: VALOR debe ser numérico",IF(E911=0,"AVISO: valor cero (no se carga)",IF(J911&lt;&gt;"ACTIVO","NO SE CARGA: CECO en estado "&amp;J911,"OK"))))))))))</f>
        <v/>
      </c>
    </row>
    <row r="912">
      <c r="A912" s="5" t="n"/>
      <c r="B912" s="6" t="n"/>
      <c r="C912" s="5" t="n"/>
      <c r="D912" s="6" t="n"/>
      <c r="E912" s="7" t="n"/>
      <c r="F912" s="6" t="n"/>
      <c r="G912" s="8">
        <f>IF(B912="","",IFERROR(VLOOKUP(--B912,'CATALOGO CECO'!$A$2:$H$550,2,FALSE),"CECO NO EXISTE"))</f>
        <v/>
      </c>
      <c r="H912" s="8">
        <f>IF(B912="","",IFERROR(VLOOKUP(--B912,'CATALOGO CECO'!$A$2:$H$550,3,FALSE),""))</f>
        <v/>
      </c>
      <c r="I912" s="8">
        <f>IF(B912="","",IFERROR(VLOOKUP(--B912,'CATALOGO CECO'!$A$2:$H$550,5,FALSE),""))</f>
        <v/>
      </c>
      <c r="J912" s="8">
        <f>IF(B912="","",IFERROR(VLOOKUP(--B912,'CATALOGO CECO'!$A$2:$H$550,8,FALSE),""))</f>
        <v/>
      </c>
      <c r="K912" s="8">
        <f>IF(COUNTA(A912:F912)=0,"",IF(OR(LEN(A912)&lt;&gt;7,MID(A912,5,1)&lt;&gt;"-",ISERROR(--LEFT(A912,4)),ISERROR(--RIGHT(A912,2))),"ERROR: PERIODO debe ser AAAA-MM",IF(B912="","ERROR: falta CODIGO CECO",IF(G912="CECO NO EXISTE","ERROR: CECO no existe en el catálogo",IF(C912="","ERROR: falta CUENTA",IF(ISERROR(--C912),"ERROR: CUENTA debe tener solo dígitos",IF(ISERROR(FIND(LEFT(C912,1),"567")),"ERROR: CUENTA fuera de las clases de costo",IF(NOT(ISNUMBER(E912)),"ERROR: VALOR debe ser numérico",IF(E912=0,"AVISO: valor cero (no se carga)",IF(J912&lt;&gt;"ACTIVO","NO SE CARGA: CECO en estado "&amp;J912,"OK"))))))))))</f>
        <v/>
      </c>
    </row>
    <row r="913">
      <c r="A913" s="5" t="n"/>
      <c r="B913" s="6" t="n"/>
      <c r="C913" s="5" t="n"/>
      <c r="D913" s="6" t="n"/>
      <c r="E913" s="7" t="n"/>
      <c r="F913" s="6" t="n"/>
      <c r="G913" s="8">
        <f>IF(B913="","",IFERROR(VLOOKUP(--B913,'CATALOGO CECO'!$A$2:$H$550,2,FALSE),"CECO NO EXISTE"))</f>
        <v/>
      </c>
      <c r="H913" s="8">
        <f>IF(B913="","",IFERROR(VLOOKUP(--B913,'CATALOGO CECO'!$A$2:$H$550,3,FALSE),""))</f>
        <v/>
      </c>
      <c r="I913" s="8">
        <f>IF(B913="","",IFERROR(VLOOKUP(--B913,'CATALOGO CECO'!$A$2:$H$550,5,FALSE),""))</f>
        <v/>
      </c>
      <c r="J913" s="8">
        <f>IF(B913="","",IFERROR(VLOOKUP(--B913,'CATALOGO CECO'!$A$2:$H$550,8,FALSE),""))</f>
        <v/>
      </c>
      <c r="K913" s="8">
        <f>IF(COUNTA(A913:F913)=0,"",IF(OR(LEN(A913)&lt;&gt;7,MID(A913,5,1)&lt;&gt;"-",ISERROR(--LEFT(A913,4)),ISERROR(--RIGHT(A913,2))),"ERROR: PERIODO debe ser AAAA-MM",IF(B913="","ERROR: falta CODIGO CECO",IF(G913="CECO NO EXISTE","ERROR: CECO no existe en el catálogo",IF(C913="","ERROR: falta CUENTA",IF(ISERROR(--C913),"ERROR: CUENTA debe tener solo dígitos",IF(ISERROR(FIND(LEFT(C913,1),"567")),"ERROR: CUENTA fuera de las clases de costo",IF(NOT(ISNUMBER(E913)),"ERROR: VALOR debe ser numérico",IF(E913=0,"AVISO: valor cero (no se carga)",IF(J913&lt;&gt;"ACTIVO","NO SE CARGA: CECO en estado "&amp;J913,"OK"))))))))))</f>
        <v/>
      </c>
    </row>
    <row r="914">
      <c r="A914" s="5" t="n"/>
      <c r="B914" s="6" t="n"/>
      <c r="C914" s="5" t="n"/>
      <c r="D914" s="6" t="n"/>
      <c r="E914" s="7" t="n"/>
      <c r="F914" s="6" t="n"/>
      <c r="G914" s="8">
        <f>IF(B914="","",IFERROR(VLOOKUP(--B914,'CATALOGO CECO'!$A$2:$H$550,2,FALSE),"CECO NO EXISTE"))</f>
        <v/>
      </c>
      <c r="H914" s="8">
        <f>IF(B914="","",IFERROR(VLOOKUP(--B914,'CATALOGO CECO'!$A$2:$H$550,3,FALSE),""))</f>
        <v/>
      </c>
      <c r="I914" s="8">
        <f>IF(B914="","",IFERROR(VLOOKUP(--B914,'CATALOGO CECO'!$A$2:$H$550,5,FALSE),""))</f>
        <v/>
      </c>
      <c r="J914" s="8">
        <f>IF(B914="","",IFERROR(VLOOKUP(--B914,'CATALOGO CECO'!$A$2:$H$550,8,FALSE),""))</f>
        <v/>
      </c>
      <c r="K914" s="8">
        <f>IF(COUNTA(A914:F914)=0,"",IF(OR(LEN(A914)&lt;&gt;7,MID(A914,5,1)&lt;&gt;"-",ISERROR(--LEFT(A914,4)),ISERROR(--RIGHT(A914,2))),"ERROR: PERIODO debe ser AAAA-MM",IF(B914="","ERROR: falta CODIGO CECO",IF(G914="CECO NO EXISTE","ERROR: CECO no existe en el catálogo",IF(C914="","ERROR: falta CUENTA",IF(ISERROR(--C914),"ERROR: CUENTA debe tener solo dígitos",IF(ISERROR(FIND(LEFT(C914,1),"567")),"ERROR: CUENTA fuera de las clases de costo",IF(NOT(ISNUMBER(E914)),"ERROR: VALOR debe ser numérico",IF(E914=0,"AVISO: valor cero (no se carga)",IF(J914&lt;&gt;"ACTIVO","NO SE CARGA: CECO en estado "&amp;J914,"OK"))))))))))</f>
        <v/>
      </c>
    </row>
    <row r="915">
      <c r="A915" s="5" t="n"/>
      <c r="B915" s="6" t="n"/>
      <c r="C915" s="5" t="n"/>
      <c r="D915" s="6" t="n"/>
      <c r="E915" s="7" t="n"/>
      <c r="F915" s="6" t="n"/>
      <c r="G915" s="8">
        <f>IF(B915="","",IFERROR(VLOOKUP(--B915,'CATALOGO CECO'!$A$2:$H$550,2,FALSE),"CECO NO EXISTE"))</f>
        <v/>
      </c>
      <c r="H915" s="8">
        <f>IF(B915="","",IFERROR(VLOOKUP(--B915,'CATALOGO CECO'!$A$2:$H$550,3,FALSE),""))</f>
        <v/>
      </c>
      <c r="I915" s="8">
        <f>IF(B915="","",IFERROR(VLOOKUP(--B915,'CATALOGO CECO'!$A$2:$H$550,5,FALSE),""))</f>
        <v/>
      </c>
      <c r="J915" s="8">
        <f>IF(B915="","",IFERROR(VLOOKUP(--B915,'CATALOGO CECO'!$A$2:$H$550,8,FALSE),""))</f>
        <v/>
      </c>
      <c r="K915" s="8">
        <f>IF(COUNTA(A915:F915)=0,"",IF(OR(LEN(A915)&lt;&gt;7,MID(A915,5,1)&lt;&gt;"-",ISERROR(--LEFT(A915,4)),ISERROR(--RIGHT(A915,2))),"ERROR: PERIODO debe ser AAAA-MM",IF(B915="","ERROR: falta CODIGO CECO",IF(G915="CECO NO EXISTE","ERROR: CECO no existe en el catálogo",IF(C915="","ERROR: falta CUENTA",IF(ISERROR(--C915),"ERROR: CUENTA debe tener solo dígitos",IF(ISERROR(FIND(LEFT(C915,1),"567")),"ERROR: CUENTA fuera de las clases de costo",IF(NOT(ISNUMBER(E915)),"ERROR: VALOR debe ser numérico",IF(E915=0,"AVISO: valor cero (no se carga)",IF(J915&lt;&gt;"ACTIVO","NO SE CARGA: CECO en estado "&amp;J915,"OK"))))))))))</f>
        <v/>
      </c>
    </row>
    <row r="916">
      <c r="A916" s="5" t="n"/>
      <c r="B916" s="6" t="n"/>
      <c r="C916" s="5" t="n"/>
      <c r="D916" s="6" t="n"/>
      <c r="E916" s="7" t="n"/>
      <c r="F916" s="6" t="n"/>
      <c r="G916" s="8">
        <f>IF(B916="","",IFERROR(VLOOKUP(--B916,'CATALOGO CECO'!$A$2:$H$550,2,FALSE),"CECO NO EXISTE"))</f>
        <v/>
      </c>
      <c r="H916" s="8">
        <f>IF(B916="","",IFERROR(VLOOKUP(--B916,'CATALOGO CECO'!$A$2:$H$550,3,FALSE),""))</f>
        <v/>
      </c>
      <c r="I916" s="8">
        <f>IF(B916="","",IFERROR(VLOOKUP(--B916,'CATALOGO CECO'!$A$2:$H$550,5,FALSE),""))</f>
        <v/>
      </c>
      <c r="J916" s="8">
        <f>IF(B916="","",IFERROR(VLOOKUP(--B916,'CATALOGO CECO'!$A$2:$H$550,8,FALSE),""))</f>
        <v/>
      </c>
      <c r="K916" s="8">
        <f>IF(COUNTA(A916:F916)=0,"",IF(OR(LEN(A916)&lt;&gt;7,MID(A916,5,1)&lt;&gt;"-",ISERROR(--LEFT(A916,4)),ISERROR(--RIGHT(A916,2))),"ERROR: PERIODO debe ser AAAA-MM",IF(B916="","ERROR: falta CODIGO CECO",IF(G916="CECO NO EXISTE","ERROR: CECO no existe en el catálogo",IF(C916="","ERROR: falta CUENTA",IF(ISERROR(--C916),"ERROR: CUENTA debe tener solo dígitos",IF(ISERROR(FIND(LEFT(C916,1),"567")),"ERROR: CUENTA fuera de las clases de costo",IF(NOT(ISNUMBER(E916)),"ERROR: VALOR debe ser numérico",IF(E916=0,"AVISO: valor cero (no se carga)",IF(J916&lt;&gt;"ACTIVO","NO SE CARGA: CECO en estado "&amp;J916,"OK"))))))))))</f>
        <v/>
      </c>
    </row>
    <row r="917">
      <c r="A917" s="5" t="n"/>
      <c r="B917" s="6" t="n"/>
      <c r="C917" s="5" t="n"/>
      <c r="D917" s="6" t="n"/>
      <c r="E917" s="7" t="n"/>
      <c r="F917" s="6" t="n"/>
      <c r="G917" s="8">
        <f>IF(B917="","",IFERROR(VLOOKUP(--B917,'CATALOGO CECO'!$A$2:$H$550,2,FALSE),"CECO NO EXISTE"))</f>
        <v/>
      </c>
      <c r="H917" s="8">
        <f>IF(B917="","",IFERROR(VLOOKUP(--B917,'CATALOGO CECO'!$A$2:$H$550,3,FALSE),""))</f>
        <v/>
      </c>
      <c r="I917" s="8">
        <f>IF(B917="","",IFERROR(VLOOKUP(--B917,'CATALOGO CECO'!$A$2:$H$550,5,FALSE),""))</f>
        <v/>
      </c>
      <c r="J917" s="8">
        <f>IF(B917="","",IFERROR(VLOOKUP(--B917,'CATALOGO CECO'!$A$2:$H$550,8,FALSE),""))</f>
        <v/>
      </c>
      <c r="K917" s="8">
        <f>IF(COUNTA(A917:F917)=0,"",IF(OR(LEN(A917)&lt;&gt;7,MID(A917,5,1)&lt;&gt;"-",ISERROR(--LEFT(A917,4)),ISERROR(--RIGHT(A917,2))),"ERROR: PERIODO debe ser AAAA-MM",IF(B917="","ERROR: falta CODIGO CECO",IF(G917="CECO NO EXISTE","ERROR: CECO no existe en el catálogo",IF(C917="","ERROR: falta CUENTA",IF(ISERROR(--C917),"ERROR: CUENTA debe tener solo dígitos",IF(ISERROR(FIND(LEFT(C917,1),"567")),"ERROR: CUENTA fuera de las clases de costo",IF(NOT(ISNUMBER(E917)),"ERROR: VALOR debe ser numérico",IF(E917=0,"AVISO: valor cero (no se carga)",IF(J917&lt;&gt;"ACTIVO","NO SE CARGA: CECO en estado "&amp;J917,"OK"))))))))))</f>
        <v/>
      </c>
    </row>
    <row r="918">
      <c r="A918" s="5" t="n"/>
      <c r="B918" s="6" t="n"/>
      <c r="C918" s="5" t="n"/>
      <c r="D918" s="6" t="n"/>
      <c r="E918" s="7" t="n"/>
      <c r="F918" s="6" t="n"/>
      <c r="G918" s="8">
        <f>IF(B918="","",IFERROR(VLOOKUP(--B918,'CATALOGO CECO'!$A$2:$H$550,2,FALSE),"CECO NO EXISTE"))</f>
        <v/>
      </c>
      <c r="H918" s="8">
        <f>IF(B918="","",IFERROR(VLOOKUP(--B918,'CATALOGO CECO'!$A$2:$H$550,3,FALSE),""))</f>
        <v/>
      </c>
      <c r="I918" s="8">
        <f>IF(B918="","",IFERROR(VLOOKUP(--B918,'CATALOGO CECO'!$A$2:$H$550,5,FALSE),""))</f>
        <v/>
      </c>
      <c r="J918" s="8">
        <f>IF(B918="","",IFERROR(VLOOKUP(--B918,'CATALOGO CECO'!$A$2:$H$550,8,FALSE),""))</f>
        <v/>
      </c>
      <c r="K918" s="8">
        <f>IF(COUNTA(A918:F918)=0,"",IF(OR(LEN(A918)&lt;&gt;7,MID(A918,5,1)&lt;&gt;"-",ISERROR(--LEFT(A918,4)),ISERROR(--RIGHT(A918,2))),"ERROR: PERIODO debe ser AAAA-MM",IF(B918="","ERROR: falta CODIGO CECO",IF(G918="CECO NO EXISTE","ERROR: CECO no existe en el catálogo",IF(C918="","ERROR: falta CUENTA",IF(ISERROR(--C918),"ERROR: CUENTA debe tener solo dígitos",IF(ISERROR(FIND(LEFT(C918,1),"567")),"ERROR: CUENTA fuera de las clases de costo",IF(NOT(ISNUMBER(E918)),"ERROR: VALOR debe ser numérico",IF(E918=0,"AVISO: valor cero (no se carga)",IF(J918&lt;&gt;"ACTIVO","NO SE CARGA: CECO en estado "&amp;J918,"OK"))))))))))</f>
        <v/>
      </c>
    </row>
    <row r="919">
      <c r="A919" s="5" t="n"/>
      <c r="B919" s="6" t="n"/>
      <c r="C919" s="5" t="n"/>
      <c r="D919" s="6" t="n"/>
      <c r="E919" s="7" t="n"/>
      <c r="F919" s="6" t="n"/>
      <c r="G919" s="8">
        <f>IF(B919="","",IFERROR(VLOOKUP(--B919,'CATALOGO CECO'!$A$2:$H$550,2,FALSE),"CECO NO EXISTE"))</f>
        <v/>
      </c>
      <c r="H919" s="8">
        <f>IF(B919="","",IFERROR(VLOOKUP(--B919,'CATALOGO CECO'!$A$2:$H$550,3,FALSE),""))</f>
        <v/>
      </c>
      <c r="I919" s="8">
        <f>IF(B919="","",IFERROR(VLOOKUP(--B919,'CATALOGO CECO'!$A$2:$H$550,5,FALSE),""))</f>
        <v/>
      </c>
      <c r="J919" s="8">
        <f>IF(B919="","",IFERROR(VLOOKUP(--B919,'CATALOGO CECO'!$A$2:$H$550,8,FALSE),""))</f>
        <v/>
      </c>
      <c r="K919" s="8">
        <f>IF(COUNTA(A919:F919)=0,"",IF(OR(LEN(A919)&lt;&gt;7,MID(A919,5,1)&lt;&gt;"-",ISERROR(--LEFT(A919,4)),ISERROR(--RIGHT(A919,2))),"ERROR: PERIODO debe ser AAAA-MM",IF(B919="","ERROR: falta CODIGO CECO",IF(G919="CECO NO EXISTE","ERROR: CECO no existe en el catálogo",IF(C919="","ERROR: falta CUENTA",IF(ISERROR(--C919),"ERROR: CUENTA debe tener solo dígitos",IF(ISERROR(FIND(LEFT(C919,1),"567")),"ERROR: CUENTA fuera de las clases de costo",IF(NOT(ISNUMBER(E919)),"ERROR: VALOR debe ser numérico",IF(E919=0,"AVISO: valor cero (no se carga)",IF(J919&lt;&gt;"ACTIVO","NO SE CARGA: CECO en estado "&amp;J919,"OK"))))))))))</f>
        <v/>
      </c>
    </row>
    <row r="920">
      <c r="A920" s="5" t="n"/>
      <c r="B920" s="6" t="n"/>
      <c r="C920" s="5" t="n"/>
      <c r="D920" s="6" t="n"/>
      <c r="E920" s="7" t="n"/>
      <c r="F920" s="6" t="n"/>
      <c r="G920" s="8">
        <f>IF(B920="","",IFERROR(VLOOKUP(--B920,'CATALOGO CECO'!$A$2:$H$550,2,FALSE),"CECO NO EXISTE"))</f>
        <v/>
      </c>
      <c r="H920" s="8">
        <f>IF(B920="","",IFERROR(VLOOKUP(--B920,'CATALOGO CECO'!$A$2:$H$550,3,FALSE),""))</f>
        <v/>
      </c>
      <c r="I920" s="8">
        <f>IF(B920="","",IFERROR(VLOOKUP(--B920,'CATALOGO CECO'!$A$2:$H$550,5,FALSE),""))</f>
        <v/>
      </c>
      <c r="J920" s="8">
        <f>IF(B920="","",IFERROR(VLOOKUP(--B920,'CATALOGO CECO'!$A$2:$H$550,8,FALSE),""))</f>
        <v/>
      </c>
      <c r="K920" s="8">
        <f>IF(COUNTA(A920:F920)=0,"",IF(OR(LEN(A920)&lt;&gt;7,MID(A920,5,1)&lt;&gt;"-",ISERROR(--LEFT(A920,4)),ISERROR(--RIGHT(A920,2))),"ERROR: PERIODO debe ser AAAA-MM",IF(B920="","ERROR: falta CODIGO CECO",IF(G920="CECO NO EXISTE","ERROR: CECO no existe en el catálogo",IF(C920="","ERROR: falta CUENTA",IF(ISERROR(--C920),"ERROR: CUENTA debe tener solo dígitos",IF(ISERROR(FIND(LEFT(C920,1),"567")),"ERROR: CUENTA fuera de las clases de costo",IF(NOT(ISNUMBER(E920)),"ERROR: VALOR debe ser numérico",IF(E920=0,"AVISO: valor cero (no se carga)",IF(J920&lt;&gt;"ACTIVO","NO SE CARGA: CECO en estado "&amp;J920,"OK"))))))))))</f>
        <v/>
      </c>
    </row>
    <row r="921">
      <c r="A921" s="5" t="n"/>
      <c r="B921" s="6" t="n"/>
      <c r="C921" s="5" t="n"/>
      <c r="D921" s="6" t="n"/>
      <c r="E921" s="7" t="n"/>
      <c r="F921" s="6" t="n"/>
      <c r="G921" s="8">
        <f>IF(B921="","",IFERROR(VLOOKUP(--B921,'CATALOGO CECO'!$A$2:$H$550,2,FALSE),"CECO NO EXISTE"))</f>
        <v/>
      </c>
      <c r="H921" s="8">
        <f>IF(B921="","",IFERROR(VLOOKUP(--B921,'CATALOGO CECO'!$A$2:$H$550,3,FALSE),""))</f>
        <v/>
      </c>
      <c r="I921" s="8">
        <f>IF(B921="","",IFERROR(VLOOKUP(--B921,'CATALOGO CECO'!$A$2:$H$550,5,FALSE),""))</f>
        <v/>
      </c>
      <c r="J921" s="8">
        <f>IF(B921="","",IFERROR(VLOOKUP(--B921,'CATALOGO CECO'!$A$2:$H$550,8,FALSE),""))</f>
        <v/>
      </c>
      <c r="K921" s="8">
        <f>IF(COUNTA(A921:F921)=0,"",IF(OR(LEN(A921)&lt;&gt;7,MID(A921,5,1)&lt;&gt;"-",ISERROR(--LEFT(A921,4)),ISERROR(--RIGHT(A921,2))),"ERROR: PERIODO debe ser AAAA-MM",IF(B921="","ERROR: falta CODIGO CECO",IF(G921="CECO NO EXISTE","ERROR: CECO no existe en el catálogo",IF(C921="","ERROR: falta CUENTA",IF(ISERROR(--C921),"ERROR: CUENTA debe tener solo dígitos",IF(ISERROR(FIND(LEFT(C921,1),"567")),"ERROR: CUENTA fuera de las clases de costo",IF(NOT(ISNUMBER(E921)),"ERROR: VALOR debe ser numérico",IF(E921=0,"AVISO: valor cero (no se carga)",IF(J921&lt;&gt;"ACTIVO","NO SE CARGA: CECO en estado "&amp;J921,"OK"))))))))))</f>
        <v/>
      </c>
    </row>
    <row r="922">
      <c r="A922" s="5" t="n"/>
      <c r="B922" s="6" t="n"/>
      <c r="C922" s="5" t="n"/>
      <c r="D922" s="6" t="n"/>
      <c r="E922" s="7" t="n"/>
      <c r="F922" s="6" t="n"/>
      <c r="G922" s="8">
        <f>IF(B922="","",IFERROR(VLOOKUP(--B922,'CATALOGO CECO'!$A$2:$H$550,2,FALSE),"CECO NO EXISTE"))</f>
        <v/>
      </c>
      <c r="H922" s="8">
        <f>IF(B922="","",IFERROR(VLOOKUP(--B922,'CATALOGO CECO'!$A$2:$H$550,3,FALSE),""))</f>
        <v/>
      </c>
      <c r="I922" s="8">
        <f>IF(B922="","",IFERROR(VLOOKUP(--B922,'CATALOGO CECO'!$A$2:$H$550,5,FALSE),""))</f>
        <v/>
      </c>
      <c r="J922" s="8">
        <f>IF(B922="","",IFERROR(VLOOKUP(--B922,'CATALOGO CECO'!$A$2:$H$550,8,FALSE),""))</f>
        <v/>
      </c>
      <c r="K922" s="8">
        <f>IF(COUNTA(A922:F922)=0,"",IF(OR(LEN(A922)&lt;&gt;7,MID(A922,5,1)&lt;&gt;"-",ISERROR(--LEFT(A922,4)),ISERROR(--RIGHT(A922,2))),"ERROR: PERIODO debe ser AAAA-MM",IF(B922="","ERROR: falta CODIGO CECO",IF(G922="CECO NO EXISTE","ERROR: CECO no existe en el catálogo",IF(C922="","ERROR: falta CUENTA",IF(ISERROR(--C922),"ERROR: CUENTA debe tener solo dígitos",IF(ISERROR(FIND(LEFT(C922,1),"567")),"ERROR: CUENTA fuera de las clases de costo",IF(NOT(ISNUMBER(E922)),"ERROR: VALOR debe ser numérico",IF(E922=0,"AVISO: valor cero (no se carga)",IF(J922&lt;&gt;"ACTIVO","NO SE CARGA: CECO en estado "&amp;J922,"OK"))))))))))</f>
        <v/>
      </c>
    </row>
    <row r="923">
      <c r="A923" s="5" t="n"/>
      <c r="B923" s="6" t="n"/>
      <c r="C923" s="5" t="n"/>
      <c r="D923" s="6" t="n"/>
      <c r="E923" s="7" t="n"/>
      <c r="F923" s="6" t="n"/>
      <c r="G923" s="8">
        <f>IF(B923="","",IFERROR(VLOOKUP(--B923,'CATALOGO CECO'!$A$2:$H$550,2,FALSE),"CECO NO EXISTE"))</f>
        <v/>
      </c>
      <c r="H923" s="8">
        <f>IF(B923="","",IFERROR(VLOOKUP(--B923,'CATALOGO CECO'!$A$2:$H$550,3,FALSE),""))</f>
        <v/>
      </c>
      <c r="I923" s="8">
        <f>IF(B923="","",IFERROR(VLOOKUP(--B923,'CATALOGO CECO'!$A$2:$H$550,5,FALSE),""))</f>
        <v/>
      </c>
      <c r="J923" s="8">
        <f>IF(B923="","",IFERROR(VLOOKUP(--B923,'CATALOGO CECO'!$A$2:$H$550,8,FALSE),""))</f>
        <v/>
      </c>
      <c r="K923" s="8">
        <f>IF(COUNTA(A923:F923)=0,"",IF(OR(LEN(A923)&lt;&gt;7,MID(A923,5,1)&lt;&gt;"-",ISERROR(--LEFT(A923,4)),ISERROR(--RIGHT(A923,2))),"ERROR: PERIODO debe ser AAAA-MM",IF(B923="","ERROR: falta CODIGO CECO",IF(G923="CECO NO EXISTE","ERROR: CECO no existe en el catálogo",IF(C923="","ERROR: falta CUENTA",IF(ISERROR(--C923),"ERROR: CUENTA debe tener solo dígitos",IF(ISERROR(FIND(LEFT(C923,1),"567")),"ERROR: CUENTA fuera de las clases de costo",IF(NOT(ISNUMBER(E923)),"ERROR: VALOR debe ser numérico",IF(E923=0,"AVISO: valor cero (no se carga)",IF(J923&lt;&gt;"ACTIVO","NO SE CARGA: CECO en estado "&amp;J923,"OK"))))))))))</f>
        <v/>
      </c>
    </row>
    <row r="924">
      <c r="A924" s="5" t="n"/>
      <c r="B924" s="6" t="n"/>
      <c r="C924" s="5" t="n"/>
      <c r="D924" s="6" t="n"/>
      <c r="E924" s="7" t="n"/>
      <c r="F924" s="6" t="n"/>
      <c r="G924" s="8">
        <f>IF(B924="","",IFERROR(VLOOKUP(--B924,'CATALOGO CECO'!$A$2:$H$550,2,FALSE),"CECO NO EXISTE"))</f>
        <v/>
      </c>
      <c r="H924" s="8">
        <f>IF(B924="","",IFERROR(VLOOKUP(--B924,'CATALOGO CECO'!$A$2:$H$550,3,FALSE),""))</f>
        <v/>
      </c>
      <c r="I924" s="8">
        <f>IF(B924="","",IFERROR(VLOOKUP(--B924,'CATALOGO CECO'!$A$2:$H$550,5,FALSE),""))</f>
        <v/>
      </c>
      <c r="J924" s="8">
        <f>IF(B924="","",IFERROR(VLOOKUP(--B924,'CATALOGO CECO'!$A$2:$H$550,8,FALSE),""))</f>
        <v/>
      </c>
      <c r="K924" s="8">
        <f>IF(COUNTA(A924:F924)=0,"",IF(OR(LEN(A924)&lt;&gt;7,MID(A924,5,1)&lt;&gt;"-",ISERROR(--LEFT(A924,4)),ISERROR(--RIGHT(A924,2))),"ERROR: PERIODO debe ser AAAA-MM",IF(B924="","ERROR: falta CODIGO CECO",IF(G924="CECO NO EXISTE","ERROR: CECO no existe en el catálogo",IF(C924="","ERROR: falta CUENTA",IF(ISERROR(--C924),"ERROR: CUENTA debe tener solo dígitos",IF(ISERROR(FIND(LEFT(C924,1),"567")),"ERROR: CUENTA fuera de las clases de costo",IF(NOT(ISNUMBER(E924)),"ERROR: VALOR debe ser numérico",IF(E924=0,"AVISO: valor cero (no se carga)",IF(J924&lt;&gt;"ACTIVO","NO SE CARGA: CECO en estado "&amp;J924,"OK"))))))))))</f>
        <v/>
      </c>
    </row>
    <row r="925">
      <c r="A925" s="5" t="n"/>
      <c r="B925" s="6" t="n"/>
      <c r="C925" s="5" t="n"/>
      <c r="D925" s="6" t="n"/>
      <c r="E925" s="7" t="n"/>
      <c r="F925" s="6" t="n"/>
      <c r="G925" s="8">
        <f>IF(B925="","",IFERROR(VLOOKUP(--B925,'CATALOGO CECO'!$A$2:$H$550,2,FALSE),"CECO NO EXISTE"))</f>
        <v/>
      </c>
      <c r="H925" s="8">
        <f>IF(B925="","",IFERROR(VLOOKUP(--B925,'CATALOGO CECO'!$A$2:$H$550,3,FALSE),""))</f>
        <v/>
      </c>
      <c r="I925" s="8">
        <f>IF(B925="","",IFERROR(VLOOKUP(--B925,'CATALOGO CECO'!$A$2:$H$550,5,FALSE),""))</f>
        <v/>
      </c>
      <c r="J925" s="8">
        <f>IF(B925="","",IFERROR(VLOOKUP(--B925,'CATALOGO CECO'!$A$2:$H$550,8,FALSE),""))</f>
        <v/>
      </c>
      <c r="K925" s="8">
        <f>IF(COUNTA(A925:F925)=0,"",IF(OR(LEN(A925)&lt;&gt;7,MID(A925,5,1)&lt;&gt;"-",ISERROR(--LEFT(A925,4)),ISERROR(--RIGHT(A925,2))),"ERROR: PERIODO debe ser AAAA-MM",IF(B925="","ERROR: falta CODIGO CECO",IF(G925="CECO NO EXISTE","ERROR: CECO no existe en el catálogo",IF(C925="","ERROR: falta CUENTA",IF(ISERROR(--C925),"ERROR: CUENTA debe tener solo dígitos",IF(ISERROR(FIND(LEFT(C925,1),"567")),"ERROR: CUENTA fuera de las clases de costo",IF(NOT(ISNUMBER(E925)),"ERROR: VALOR debe ser numérico",IF(E925=0,"AVISO: valor cero (no se carga)",IF(J925&lt;&gt;"ACTIVO","NO SE CARGA: CECO en estado "&amp;J925,"OK"))))))))))</f>
        <v/>
      </c>
    </row>
    <row r="926">
      <c r="A926" s="5" t="n"/>
      <c r="B926" s="6" t="n"/>
      <c r="C926" s="5" t="n"/>
      <c r="D926" s="6" t="n"/>
      <c r="E926" s="7" t="n"/>
      <c r="F926" s="6" t="n"/>
      <c r="G926" s="8">
        <f>IF(B926="","",IFERROR(VLOOKUP(--B926,'CATALOGO CECO'!$A$2:$H$550,2,FALSE),"CECO NO EXISTE"))</f>
        <v/>
      </c>
      <c r="H926" s="8">
        <f>IF(B926="","",IFERROR(VLOOKUP(--B926,'CATALOGO CECO'!$A$2:$H$550,3,FALSE),""))</f>
        <v/>
      </c>
      <c r="I926" s="8">
        <f>IF(B926="","",IFERROR(VLOOKUP(--B926,'CATALOGO CECO'!$A$2:$H$550,5,FALSE),""))</f>
        <v/>
      </c>
      <c r="J926" s="8">
        <f>IF(B926="","",IFERROR(VLOOKUP(--B926,'CATALOGO CECO'!$A$2:$H$550,8,FALSE),""))</f>
        <v/>
      </c>
      <c r="K926" s="8">
        <f>IF(COUNTA(A926:F926)=0,"",IF(OR(LEN(A926)&lt;&gt;7,MID(A926,5,1)&lt;&gt;"-",ISERROR(--LEFT(A926,4)),ISERROR(--RIGHT(A926,2))),"ERROR: PERIODO debe ser AAAA-MM",IF(B926="","ERROR: falta CODIGO CECO",IF(G926="CECO NO EXISTE","ERROR: CECO no existe en el catálogo",IF(C926="","ERROR: falta CUENTA",IF(ISERROR(--C926),"ERROR: CUENTA debe tener solo dígitos",IF(ISERROR(FIND(LEFT(C926,1),"567")),"ERROR: CUENTA fuera de las clases de costo",IF(NOT(ISNUMBER(E926)),"ERROR: VALOR debe ser numérico",IF(E926=0,"AVISO: valor cero (no se carga)",IF(J926&lt;&gt;"ACTIVO","NO SE CARGA: CECO en estado "&amp;J926,"OK"))))))))))</f>
        <v/>
      </c>
    </row>
    <row r="927">
      <c r="A927" s="5" t="n"/>
      <c r="B927" s="6" t="n"/>
      <c r="C927" s="5" t="n"/>
      <c r="D927" s="6" t="n"/>
      <c r="E927" s="7" t="n"/>
      <c r="F927" s="6" t="n"/>
      <c r="G927" s="8">
        <f>IF(B927="","",IFERROR(VLOOKUP(--B927,'CATALOGO CECO'!$A$2:$H$550,2,FALSE),"CECO NO EXISTE"))</f>
        <v/>
      </c>
      <c r="H927" s="8">
        <f>IF(B927="","",IFERROR(VLOOKUP(--B927,'CATALOGO CECO'!$A$2:$H$550,3,FALSE),""))</f>
        <v/>
      </c>
      <c r="I927" s="8">
        <f>IF(B927="","",IFERROR(VLOOKUP(--B927,'CATALOGO CECO'!$A$2:$H$550,5,FALSE),""))</f>
        <v/>
      </c>
      <c r="J927" s="8">
        <f>IF(B927="","",IFERROR(VLOOKUP(--B927,'CATALOGO CECO'!$A$2:$H$550,8,FALSE),""))</f>
        <v/>
      </c>
      <c r="K927" s="8">
        <f>IF(COUNTA(A927:F927)=0,"",IF(OR(LEN(A927)&lt;&gt;7,MID(A927,5,1)&lt;&gt;"-",ISERROR(--LEFT(A927,4)),ISERROR(--RIGHT(A927,2))),"ERROR: PERIODO debe ser AAAA-MM",IF(B927="","ERROR: falta CODIGO CECO",IF(G927="CECO NO EXISTE","ERROR: CECO no existe en el catálogo",IF(C927="","ERROR: falta CUENTA",IF(ISERROR(--C927),"ERROR: CUENTA debe tener solo dígitos",IF(ISERROR(FIND(LEFT(C927,1),"567")),"ERROR: CUENTA fuera de las clases de costo",IF(NOT(ISNUMBER(E927)),"ERROR: VALOR debe ser numérico",IF(E927=0,"AVISO: valor cero (no se carga)",IF(J927&lt;&gt;"ACTIVO","NO SE CARGA: CECO en estado "&amp;J927,"OK"))))))))))</f>
        <v/>
      </c>
    </row>
    <row r="928">
      <c r="A928" s="5" t="n"/>
      <c r="B928" s="6" t="n"/>
      <c r="C928" s="5" t="n"/>
      <c r="D928" s="6" t="n"/>
      <c r="E928" s="7" t="n"/>
      <c r="F928" s="6" t="n"/>
      <c r="G928" s="8">
        <f>IF(B928="","",IFERROR(VLOOKUP(--B928,'CATALOGO CECO'!$A$2:$H$550,2,FALSE),"CECO NO EXISTE"))</f>
        <v/>
      </c>
      <c r="H928" s="8">
        <f>IF(B928="","",IFERROR(VLOOKUP(--B928,'CATALOGO CECO'!$A$2:$H$550,3,FALSE),""))</f>
        <v/>
      </c>
      <c r="I928" s="8">
        <f>IF(B928="","",IFERROR(VLOOKUP(--B928,'CATALOGO CECO'!$A$2:$H$550,5,FALSE),""))</f>
        <v/>
      </c>
      <c r="J928" s="8">
        <f>IF(B928="","",IFERROR(VLOOKUP(--B928,'CATALOGO CECO'!$A$2:$H$550,8,FALSE),""))</f>
        <v/>
      </c>
      <c r="K928" s="8">
        <f>IF(COUNTA(A928:F928)=0,"",IF(OR(LEN(A928)&lt;&gt;7,MID(A928,5,1)&lt;&gt;"-",ISERROR(--LEFT(A928,4)),ISERROR(--RIGHT(A928,2))),"ERROR: PERIODO debe ser AAAA-MM",IF(B928="","ERROR: falta CODIGO CECO",IF(G928="CECO NO EXISTE","ERROR: CECO no existe en el catálogo",IF(C928="","ERROR: falta CUENTA",IF(ISERROR(--C928),"ERROR: CUENTA debe tener solo dígitos",IF(ISERROR(FIND(LEFT(C928,1),"567")),"ERROR: CUENTA fuera de las clases de costo",IF(NOT(ISNUMBER(E928)),"ERROR: VALOR debe ser numérico",IF(E928=0,"AVISO: valor cero (no se carga)",IF(J928&lt;&gt;"ACTIVO","NO SE CARGA: CECO en estado "&amp;J928,"OK"))))))))))</f>
        <v/>
      </c>
    </row>
    <row r="929">
      <c r="A929" s="5" t="n"/>
      <c r="B929" s="6" t="n"/>
      <c r="C929" s="5" t="n"/>
      <c r="D929" s="6" t="n"/>
      <c r="E929" s="7" t="n"/>
      <c r="F929" s="6" t="n"/>
      <c r="G929" s="8">
        <f>IF(B929="","",IFERROR(VLOOKUP(--B929,'CATALOGO CECO'!$A$2:$H$550,2,FALSE),"CECO NO EXISTE"))</f>
        <v/>
      </c>
      <c r="H929" s="8">
        <f>IF(B929="","",IFERROR(VLOOKUP(--B929,'CATALOGO CECO'!$A$2:$H$550,3,FALSE),""))</f>
        <v/>
      </c>
      <c r="I929" s="8">
        <f>IF(B929="","",IFERROR(VLOOKUP(--B929,'CATALOGO CECO'!$A$2:$H$550,5,FALSE),""))</f>
        <v/>
      </c>
      <c r="J929" s="8">
        <f>IF(B929="","",IFERROR(VLOOKUP(--B929,'CATALOGO CECO'!$A$2:$H$550,8,FALSE),""))</f>
        <v/>
      </c>
      <c r="K929" s="8">
        <f>IF(COUNTA(A929:F929)=0,"",IF(OR(LEN(A929)&lt;&gt;7,MID(A929,5,1)&lt;&gt;"-",ISERROR(--LEFT(A929,4)),ISERROR(--RIGHT(A929,2))),"ERROR: PERIODO debe ser AAAA-MM",IF(B929="","ERROR: falta CODIGO CECO",IF(G929="CECO NO EXISTE","ERROR: CECO no existe en el catálogo",IF(C929="","ERROR: falta CUENTA",IF(ISERROR(--C929),"ERROR: CUENTA debe tener solo dígitos",IF(ISERROR(FIND(LEFT(C929,1),"567")),"ERROR: CUENTA fuera de las clases de costo",IF(NOT(ISNUMBER(E929)),"ERROR: VALOR debe ser numérico",IF(E929=0,"AVISO: valor cero (no se carga)",IF(J929&lt;&gt;"ACTIVO","NO SE CARGA: CECO en estado "&amp;J929,"OK"))))))))))</f>
        <v/>
      </c>
    </row>
    <row r="930">
      <c r="A930" s="5" t="n"/>
      <c r="B930" s="6" t="n"/>
      <c r="C930" s="5" t="n"/>
      <c r="D930" s="6" t="n"/>
      <c r="E930" s="7" t="n"/>
      <c r="F930" s="6" t="n"/>
      <c r="G930" s="8">
        <f>IF(B930="","",IFERROR(VLOOKUP(--B930,'CATALOGO CECO'!$A$2:$H$550,2,FALSE),"CECO NO EXISTE"))</f>
        <v/>
      </c>
      <c r="H930" s="8">
        <f>IF(B930="","",IFERROR(VLOOKUP(--B930,'CATALOGO CECO'!$A$2:$H$550,3,FALSE),""))</f>
        <v/>
      </c>
      <c r="I930" s="8">
        <f>IF(B930="","",IFERROR(VLOOKUP(--B930,'CATALOGO CECO'!$A$2:$H$550,5,FALSE),""))</f>
        <v/>
      </c>
      <c r="J930" s="8">
        <f>IF(B930="","",IFERROR(VLOOKUP(--B930,'CATALOGO CECO'!$A$2:$H$550,8,FALSE),""))</f>
        <v/>
      </c>
      <c r="K930" s="8">
        <f>IF(COUNTA(A930:F930)=0,"",IF(OR(LEN(A930)&lt;&gt;7,MID(A930,5,1)&lt;&gt;"-",ISERROR(--LEFT(A930,4)),ISERROR(--RIGHT(A930,2))),"ERROR: PERIODO debe ser AAAA-MM",IF(B930="","ERROR: falta CODIGO CECO",IF(G930="CECO NO EXISTE","ERROR: CECO no existe en el catálogo",IF(C930="","ERROR: falta CUENTA",IF(ISERROR(--C930),"ERROR: CUENTA debe tener solo dígitos",IF(ISERROR(FIND(LEFT(C930,1),"567")),"ERROR: CUENTA fuera de las clases de costo",IF(NOT(ISNUMBER(E930)),"ERROR: VALOR debe ser numérico",IF(E930=0,"AVISO: valor cero (no se carga)",IF(J930&lt;&gt;"ACTIVO","NO SE CARGA: CECO en estado "&amp;J930,"OK"))))))))))</f>
        <v/>
      </c>
    </row>
    <row r="931">
      <c r="A931" s="5" t="n"/>
      <c r="B931" s="6" t="n"/>
      <c r="C931" s="5" t="n"/>
      <c r="D931" s="6" t="n"/>
      <c r="E931" s="7" t="n"/>
      <c r="F931" s="6" t="n"/>
      <c r="G931" s="8">
        <f>IF(B931="","",IFERROR(VLOOKUP(--B931,'CATALOGO CECO'!$A$2:$H$550,2,FALSE),"CECO NO EXISTE"))</f>
        <v/>
      </c>
      <c r="H931" s="8">
        <f>IF(B931="","",IFERROR(VLOOKUP(--B931,'CATALOGO CECO'!$A$2:$H$550,3,FALSE),""))</f>
        <v/>
      </c>
      <c r="I931" s="8">
        <f>IF(B931="","",IFERROR(VLOOKUP(--B931,'CATALOGO CECO'!$A$2:$H$550,5,FALSE),""))</f>
        <v/>
      </c>
      <c r="J931" s="8">
        <f>IF(B931="","",IFERROR(VLOOKUP(--B931,'CATALOGO CECO'!$A$2:$H$550,8,FALSE),""))</f>
        <v/>
      </c>
      <c r="K931" s="8">
        <f>IF(COUNTA(A931:F931)=0,"",IF(OR(LEN(A931)&lt;&gt;7,MID(A931,5,1)&lt;&gt;"-",ISERROR(--LEFT(A931,4)),ISERROR(--RIGHT(A931,2))),"ERROR: PERIODO debe ser AAAA-MM",IF(B931="","ERROR: falta CODIGO CECO",IF(G931="CECO NO EXISTE","ERROR: CECO no existe en el catálogo",IF(C931="","ERROR: falta CUENTA",IF(ISERROR(--C931),"ERROR: CUENTA debe tener solo dígitos",IF(ISERROR(FIND(LEFT(C931,1),"567")),"ERROR: CUENTA fuera de las clases de costo",IF(NOT(ISNUMBER(E931)),"ERROR: VALOR debe ser numérico",IF(E931=0,"AVISO: valor cero (no se carga)",IF(J931&lt;&gt;"ACTIVO","NO SE CARGA: CECO en estado "&amp;J931,"OK"))))))))))</f>
        <v/>
      </c>
    </row>
    <row r="932">
      <c r="A932" s="5" t="n"/>
      <c r="B932" s="6" t="n"/>
      <c r="C932" s="5" t="n"/>
      <c r="D932" s="6" t="n"/>
      <c r="E932" s="7" t="n"/>
      <c r="F932" s="6" t="n"/>
      <c r="G932" s="8">
        <f>IF(B932="","",IFERROR(VLOOKUP(--B932,'CATALOGO CECO'!$A$2:$H$550,2,FALSE),"CECO NO EXISTE"))</f>
        <v/>
      </c>
      <c r="H932" s="8">
        <f>IF(B932="","",IFERROR(VLOOKUP(--B932,'CATALOGO CECO'!$A$2:$H$550,3,FALSE),""))</f>
        <v/>
      </c>
      <c r="I932" s="8">
        <f>IF(B932="","",IFERROR(VLOOKUP(--B932,'CATALOGO CECO'!$A$2:$H$550,5,FALSE),""))</f>
        <v/>
      </c>
      <c r="J932" s="8">
        <f>IF(B932="","",IFERROR(VLOOKUP(--B932,'CATALOGO CECO'!$A$2:$H$550,8,FALSE),""))</f>
        <v/>
      </c>
      <c r="K932" s="8">
        <f>IF(COUNTA(A932:F932)=0,"",IF(OR(LEN(A932)&lt;&gt;7,MID(A932,5,1)&lt;&gt;"-",ISERROR(--LEFT(A932,4)),ISERROR(--RIGHT(A932,2))),"ERROR: PERIODO debe ser AAAA-MM",IF(B932="","ERROR: falta CODIGO CECO",IF(G932="CECO NO EXISTE","ERROR: CECO no existe en el catálogo",IF(C932="","ERROR: falta CUENTA",IF(ISERROR(--C932),"ERROR: CUENTA debe tener solo dígitos",IF(ISERROR(FIND(LEFT(C932,1),"567")),"ERROR: CUENTA fuera de las clases de costo",IF(NOT(ISNUMBER(E932)),"ERROR: VALOR debe ser numérico",IF(E932=0,"AVISO: valor cero (no se carga)",IF(J932&lt;&gt;"ACTIVO","NO SE CARGA: CECO en estado "&amp;J932,"OK"))))))))))</f>
        <v/>
      </c>
    </row>
    <row r="933">
      <c r="A933" s="5" t="n"/>
      <c r="B933" s="6" t="n"/>
      <c r="C933" s="5" t="n"/>
      <c r="D933" s="6" t="n"/>
      <c r="E933" s="7" t="n"/>
      <c r="F933" s="6" t="n"/>
      <c r="G933" s="8">
        <f>IF(B933="","",IFERROR(VLOOKUP(--B933,'CATALOGO CECO'!$A$2:$H$550,2,FALSE),"CECO NO EXISTE"))</f>
        <v/>
      </c>
      <c r="H933" s="8">
        <f>IF(B933="","",IFERROR(VLOOKUP(--B933,'CATALOGO CECO'!$A$2:$H$550,3,FALSE),""))</f>
        <v/>
      </c>
      <c r="I933" s="8">
        <f>IF(B933="","",IFERROR(VLOOKUP(--B933,'CATALOGO CECO'!$A$2:$H$550,5,FALSE),""))</f>
        <v/>
      </c>
      <c r="J933" s="8">
        <f>IF(B933="","",IFERROR(VLOOKUP(--B933,'CATALOGO CECO'!$A$2:$H$550,8,FALSE),""))</f>
        <v/>
      </c>
      <c r="K933" s="8">
        <f>IF(COUNTA(A933:F933)=0,"",IF(OR(LEN(A933)&lt;&gt;7,MID(A933,5,1)&lt;&gt;"-",ISERROR(--LEFT(A933,4)),ISERROR(--RIGHT(A933,2))),"ERROR: PERIODO debe ser AAAA-MM",IF(B933="","ERROR: falta CODIGO CECO",IF(G933="CECO NO EXISTE","ERROR: CECO no existe en el catálogo",IF(C933="","ERROR: falta CUENTA",IF(ISERROR(--C933),"ERROR: CUENTA debe tener solo dígitos",IF(ISERROR(FIND(LEFT(C933,1),"567")),"ERROR: CUENTA fuera de las clases de costo",IF(NOT(ISNUMBER(E933)),"ERROR: VALOR debe ser numérico",IF(E933=0,"AVISO: valor cero (no se carga)",IF(J933&lt;&gt;"ACTIVO","NO SE CARGA: CECO en estado "&amp;J933,"OK"))))))))))</f>
        <v/>
      </c>
    </row>
    <row r="934">
      <c r="A934" s="5" t="n"/>
      <c r="B934" s="6" t="n"/>
      <c r="C934" s="5" t="n"/>
      <c r="D934" s="6" t="n"/>
      <c r="E934" s="7" t="n"/>
      <c r="F934" s="6" t="n"/>
      <c r="G934" s="8">
        <f>IF(B934="","",IFERROR(VLOOKUP(--B934,'CATALOGO CECO'!$A$2:$H$550,2,FALSE),"CECO NO EXISTE"))</f>
        <v/>
      </c>
      <c r="H934" s="8">
        <f>IF(B934="","",IFERROR(VLOOKUP(--B934,'CATALOGO CECO'!$A$2:$H$550,3,FALSE),""))</f>
        <v/>
      </c>
      <c r="I934" s="8">
        <f>IF(B934="","",IFERROR(VLOOKUP(--B934,'CATALOGO CECO'!$A$2:$H$550,5,FALSE),""))</f>
        <v/>
      </c>
      <c r="J934" s="8">
        <f>IF(B934="","",IFERROR(VLOOKUP(--B934,'CATALOGO CECO'!$A$2:$H$550,8,FALSE),""))</f>
        <v/>
      </c>
      <c r="K934" s="8">
        <f>IF(COUNTA(A934:F934)=0,"",IF(OR(LEN(A934)&lt;&gt;7,MID(A934,5,1)&lt;&gt;"-",ISERROR(--LEFT(A934,4)),ISERROR(--RIGHT(A934,2))),"ERROR: PERIODO debe ser AAAA-MM",IF(B934="","ERROR: falta CODIGO CECO",IF(G934="CECO NO EXISTE","ERROR: CECO no existe en el catálogo",IF(C934="","ERROR: falta CUENTA",IF(ISERROR(--C934),"ERROR: CUENTA debe tener solo dígitos",IF(ISERROR(FIND(LEFT(C934,1),"567")),"ERROR: CUENTA fuera de las clases de costo",IF(NOT(ISNUMBER(E934)),"ERROR: VALOR debe ser numérico",IF(E934=0,"AVISO: valor cero (no se carga)",IF(J934&lt;&gt;"ACTIVO","NO SE CARGA: CECO en estado "&amp;J934,"OK"))))))))))</f>
        <v/>
      </c>
    </row>
    <row r="935">
      <c r="A935" s="5" t="n"/>
      <c r="B935" s="6" t="n"/>
      <c r="C935" s="5" t="n"/>
      <c r="D935" s="6" t="n"/>
      <c r="E935" s="7" t="n"/>
      <c r="F935" s="6" t="n"/>
      <c r="G935" s="8">
        <f>IF(B935="","",IFERROR(VLOOKUP(--B935,'CATALOGO CECO'!$A$2:$H$550,2,FALSE),"CECO NO EXISTE"))</f>
        <v/>
      </c>
      <c r="H935" s="8">
        <f>IF(B935="","",IFERROR(VLOOKUP(--B935,'CATALOGO CECO'!$A$2:$H$550,3,FALSE),""))</f>
        <v/>
      </c>
      <c r="I935" s="8">
        <f>IF(B935="","",IFERROR(VLOOKUP(--B935,'CATALOGO CECO'!$A$2:$H$550,5,FALSE),""))</f>
        <v/>
      </c>
      <c r="J935" s="8">
        <f>IF(B935="","",IFERROR(VLOOKUP(--B935,'CATALOGO CECO'!$A$2:$H$550,8,FALSE),""))</f>
        <v/>
      </c>
      <c r="K935" s="8">
        <f>IF(COUNTA(A935:F935)=0,"",IF(OR(LEN(A935)&lt;&gt;7,MID(A935,5,1)&lt;&gt;"-",ISERROR(--LEFT(A935,4)),ISERROR(--RIGHT(A935,2))),"ERROR: PERIODO debe ser AAAA-MM",IF(B935="","ERROR: falta CODIGO CECO",IF(G935="CECO NO EXISTE","ERROR: CECO no existe en el catálogo",IF(C935="","ERROR: falta CUENTA",IF(ISERROR(--C935),"ERROR: CUENTA debe tener solo dígitos",IF(ISERROR(FIND(LEFT(C935,1),"567")),"ERROR: CUENTA fuera de las clases de costo",IF(NOT(ISNUMBER(E935)),"ERROR: VALOR debe ser numérico",IF(E935=0,"AVISO: valor cero (no se carga)",IF(J935&lt;&gt;"ACTIVO","NO SE CARGA: CECO en estado "&amp;J935,"OK"))))))))))</f>
        <v/>
      </c>
    </row>
    <row r="936">
      <c r="A936" s="5" t="n"/>
      <c r="B936" s="6" t="n"/>
      <c r="C936" s="5" t="n"/>
      <c r="D936" s="6" t="n"/>
      <c r="E936" s="7" t="n"/>
      <c r="F936" s="6" t="n"/>
      <c r="G936" s="8">
        <f>IF(B936="","",IFERROR(VLOOKUP(--B936,'CATALOGO CECO'!$A$2:$H$550,2,FALSE),"CECO NO EXISTE"))</f>
        <v/>
      </c>
      <c r="H936" s="8">
        <f>IF(B936="","",IFERROR(VLOOKUP(--B936,'CATALOGO CECO'!$A$2:$H$550,3,FALSE),""))</f>
        <v/>
      </c>
      <c r="I936" s="8">
        <f>IF(B936="","",IFERROR(VLOOKUP(--B936,'CATALOGO CECO'!$A$2:$H$550,5,FALSE),""))</f>
        <v/>
      </c>
      <c r="J936" s="8">
        <f>IF(B936="","",IFERROR(VLOOKUP(--B936,'CATALOGO CECO'!$A$2:$H$550,8,FALSE),""))</f>
        <v/>
      </c>
      <c r="K936" s="8">
        <f>IF(COUNTA(A936:F936)=0,"",IF(OR(LEN(A936)&lt;&gt;7,MID(A936,5,1)&lt;&gt;"-",ISERROR(--LEFT(A936,4)),ISERROR(--RIGHT(A936,2))),"ERROR: PERIODO debe ser AAAA-MM",IF(B936="","ERROR: falta CODIGO CECO",IF(G936="CECO NO EXISTE","ERROR: CECO no existe en el catálogo",IF(C936="","ERROR: falta CUENTA",IF(ISERROR(--C936),"ERROR: CUENTA debe tener solo dígitos",IF(ISERROR(FIND(LEFT(C936,1),"567")),"ERROR: CUENTA fuera de las clases de costo",IF(NOT(ISNUMBER(E936)),"ERROR: VALOR debe ser numérico",IF(E936=0,"AVISO: valor cero (no se carga)",IF(J936&lt;&gt;"ACTIVO","NO SE CARGA: CECO en estado "&amp;J936,"OK"))))))))))</f>
        <v/>
      </c>
    </row>
    <row r="937">
      <c r="A937" s="5" t="n"/>
      <c r="B937" s="6" t="n"/>
      <c r="C937" s="5" t="n"/>
      <c r="D937" s="6" t="n"/>
      <c r="E937" s="7" t="n"/>
      <c r="F937" s="6" t="n"/>
      <c r="G937" s="8">
        <f>IF(B937="","",IFERROR(VLOOKUP(--B937,'CATALOGO CECO'!$A$2:$H$550,2,FALSE),"CECO NO EXISTE"))</f>
        <v/>
      </c>
      <c r="H937" s="8">
        <f>IF(B937="","",IFERROR(VLOOKUP(--B937,'CATALOGO CECO'!$A$2:$H$550,3,FALSE),""))</f>
        <v/>
      </c>
      <c r="I937" s="8">
        <f>IF(B937="","",IFERROR(VLOOKUP(--B937,'CATALOGO CECO'!$A$2:$H$550,5,FALSE),""))</f>
        <v/>
      </c>
      <c r="J937" s="8">
        <f>IF(B937="","",IFERROR(VLOOKUP(--B937,'CATALOGO CECO'!$A$2:$H$550,8,FALSE),""))</f>
        <v/>
      </c>
      <c r="K937" s="8">
        <f>IF(COUNTA(A937:F937)=0,"",IF(OR(LEN(A937)&lt;&gt;7,MID(A937,5,1)&lt;&gt;"-",ISERROR(--LEFT(A937,4)),ISERROR(--RIGHT(A937,2))),"ERROR: PERIODO debe ser AAAA-MM",IF(B937="","ERROR: falta CODIGO CECO",IF(G937="CECO NO EXISTE","ERROR: CECO no existe en el catálogo",IF(C937="","ERROR: falta CUENTA",IF(ISERROR(--C937),"ERROR: CUENTA debe tener solo dígitos",IF(ISERROR(FIND(LEFT(C937,1),"567")),"ERROR: CUENTA fuera de las clases de costo",IF(NOT(ISNUMBER(E937)),"ERROR: VALOR debe ser numérico",IF(E937=0,"AVISO: valor cero (no se carga)",IF(J937&lt;&gt;"ACTIVO","NO SE CARGA: CECO en estado "&amp;J937,"OK"))))))))))</f>
        <v/>
      </c>
    </row>
    <row r="938">
      <c r="A938" s="5" t="n"/>
      <c r="B938" s="6" t="n"/>
      <c r="C938" s="5" t="n"/>
      <c r="D938" s="6" t="n"/>
      <c r="E938" s="7" t="n"/>
      <c r="F938" s="6" t="n"/>
      <c r="G938" s="8">
        <f>IF(B938="","",IFERROR(VLOOKUP(--B938,'CATALOGO CECO'!$A$2:$H$550,2,FALSE),"CECO NO EXISTE"))</f>
        <v/>
      </c>
      <c r="H938" s="8">
        <f>IF(B938="","",IFERROR(VLOOKUP(--B938,'CATALOGO CECO'!$A$2:$H$550,3,FALSE),""))</f>
        <v/>
      </c>
      <c r="I938" s="8">
        <f>IF(B938="","",IFERROR(VLOOKUP(--B938,'CATALOGO CECO'!$A$2:$H$550,5,FALSE),""))</f>
        <v/>
      </c>
      <c r="J938" s="8">
        <f>IF(B938="","",IFERROR(VLOOKUP(--B938,'CATALOGO CECO'!$A$2:$H$550,8,FALSE),""))</f>
        <v/>
      </c>
      <c r="K938" s="8">
        <f>IF(COUNTA(A938:F938)=0,"",IF(OR(LEN(A938)&lt;&gt;7,MID(A938,5,1)&lt;&gt;"-",ISERROR(--LEFT(A938,4)),ISERROR(--RIGHT(A938,2))),"ERROR: PERIODO debe ser AAAA-MM",IF(B938="","ERROR: falta CODIGO CECO",IF(G938="CECO NO EXISTE","ERROR: CECO no existe en el catálogo",IF(C938="","ERROR: falta CUENTA",IF(ISERROR(--C938),"ERROR: CUENTA debe tener solo dígitos",IF(ISERROR(FIND(LEFT(C938,1),"567")),"ERROR: CUENTA fuera de las clases de costo",IF(NOT(ISNUMBER(E938)),"ERROR: VALOR debe ser numérico",IF(E938=0,"AVISO: valor cero (no se carga)",IF(J938&lt;&gt;"ACTIVO","NO SE CARGA: CECO en estado "&amp;J938,"OK"))))))))))</f>
        <v/>
      </c>
    </row>
    <row r="939">
      <c r="A939" s="5" t="n"/>
      <c r="B939" s="6" t="n"/>
      <c r="C939" s="5" t="n"/>
      <c r="D939" s="6" t="n"/>
      <c r="E939" s="7" t="n"/>
      <c r="F939" s="6" t="n"/>
      <c r="G939" s="8">
        <f>IF(B939="","",IFERROR(VLOOKUP(--B939,'CATALOGO CECO'!$A$2:$H$550,2,FALSE),"CECO NO EXISTE"))</f>
        <v/>
      </c>
      <c r="H939" s="8">
        <f>IF(B939="","",IFERROR(VLOOKUP(--B939,'CATALOGO CECO'!$A$2:$H$550,3,FALSE),""))</f>
        <v/>
      </c>
      <c r="I939" s="8">
        <f>IF(B939="","",IFERROR(VLOOKUP(--B939,'CATALOGO CECO'!$A$2:$H$550,5,FALSE),""))</f>
        <v/>
      </c>
      <c r="J939" s="8">
        <f>IF(B939="","",IFERROR(VLOOKUP(--B939,'CATALOGO CECO'!$A$2:$H$550,8,FALSE),""))</f>
        <v/>
      </c>
      <c r="K939" s="8">
        <f>IF(COUNTA(A939:F939)=0,"",IF(OR(LEN(A939)&lt;&gt;7,MID(A939,5,1)&lt;&gt;"-",ISERROR(--LEFT(A939,4)),ISERROR(--RIGHT(A939,2))),"ERROR: PERIODO debe ser AAAA-MM",IF(B939="","ERROR: falta CODIGO CECO",IF(G939="CECO NO EXISTE","ERROR: CECO no existe en el catálogo",IF(C939="","ERROR: falta CUENTA",IF(ISERROR(--C939),"ERROR: CUENTA debe tener solo dígitos",IF(ISERROR(FIND(LEFT(C939,1),"567")),"ERROR: CUENTA fuera de las clases de costo",IF(NOT(ISNUMBER(E939)),"ERROR: VALOR debe ser numérico",IF(E939=0,"AVISO: valor cero (no se carga)",IF(J939&lt;&gt;"ACTIVO","NO SE CARGA: CECO en estado "&amp;J939,"OK"))))))))))</f>
        <v/>
      </c>
    </row>
    <row r="940">
      <c r="A940" s="5" t="n"/>
      <c r="B940" s="6" t="n"/>
      <c r="C940" s="5" t="n"/>
      <c r="D940" s="6" t="n"/>
      <c r="E940" s="7" t="n"/>
      <c r="F940" s="6" t="n"/>
      <c r="G940" s="8">
        <f>IF(B940="","",IFERROR(VLOOKUP(--B940,'CATALOGO CECO'!$A$2:$H$550,2,FALSE),"CECO NO EXISTE"))</f>
        <v/>
      </c>
      <c r="H940" s="8">
        <f>IF(B940="","",IFERROR(VLOOKUP(--B940,'CATALOGO CECO'!$A$2:$H$550,3,FALSE),""))</f>
        <v/>
      </c>
      <c r="I940" s="8">
        <f>IF(B940="","",IFERROR(VLOOKUP(--B940,'CATALOGO CECO'!$A$2:$H$550,5,FALSE),""))</f>
        <v/>
      </c>
      <c r="J940" s="8">
        <f>IF(B940="","",IFERROR(VLOOKUP(--B940,'CATALOGO CECO'!$A$2:$H$550,8,FALSE),""))</f>
        <v/>
      </c>
      <c r="K940" s="8">
        <f>IF(COUNTA(A940:F940)=0,"",IF(OR(LEN(A940)&lt;&gt;7,MID(A940,5,1)&lt;&gt;"-",ISERROR(--LEFT(A940,4)),ISERROR(--RIGHT(A940,2))),"ERROR: PERIODO debe ser AAAA-MM",IF(B940="","ERROR: falta CODIGO CECO",IF(G940="CECO NO EXISTE","ERROR: CECO no existe en el catálogo",IF(C940="","ERROR: falta CUENTA",IF(ISERROR(--C940),"ERROR: CUENTA debe tener solo dígitos",IF(ISERROR(FIND(LEFT(C940,1),"567")),"ERROR: CUENTA fuera de las clases de costo",IF(NOT(ISNUMBER(E940)),"ERROR: VALOR debe ser numérico",IF(E940=0,"AVISO: valor cero (no se carga)",IF(J940&lt;&gt;"ACTIVO","NO SE CARGA: CECO en estado "&amp;J940,"OK"))))))))))</f>
        <v/>
      </c>
    </row>
    <row r="941">
      <c r="A941" s="5" t="n"/>
      <c r="B941" s="6" t="n"/>
      <c r="C941" s="5" t="n"/>
      <c r="D941" s="6" t="n"/>
      <c r="E941" s="7" t="n"/>
      <c r="F941" s="6" t="n"/>
      <c r="G941" s="8">
        <f>IF(B941="","",IFERROR(VLOOKUP(--B941,'CATALOGO CECO'!$A$2:$H$550,2,FALSE),"CECO NO EXISTE"))</f>
        <v/>
      </c>
      <c r="H941" s="8">
        <f>IF(B941="","",IFERROR(VLOOKUP(--B941,'CATALOGO CECO'!$A$2:$H$550,3,FALSE),""))</f>
        <v/>
      </c>
      <c r="I941" s="8">
        <f>IF(B941="","",IFERROR(VLOOKUP(--B941,'CATALOGO CECO'!$A$2:$H$550,5,FALSE),""))</f>
        <v/>
      </c>
      <c r="J941" s="8">
        <f>IF(B941="","",IFERROR(VLOOKUP(--B941,'CATALOGO CECO'!$A$2:$H$550,8,FALSE),""))</f>
        <v/>
      </c>
      <c r="K941" s="8">
        <f>IF(COUNTA(A941:F941)=0,"",IF(OR(LEN(A941)&lt;&gt;7,MID(A941,5,1)&lt;&gt;"-",ISERROR(--LEFT(A941,4)),ISERROR(--RIGHT(A941,2))),"ERROR: PERIODO debe ser AAAA-MM",IF(B941="","ERROR: falta CODIGO CECO",IF(G941="CECO NO EXISTE","ERROR: CECO no existe en el catálogo",IF(C941="","ERROR: falta CUENTA",IF(ISERROR(--C941),"ERROR: CUENTA debe tener solo dígitos",IF(ISERROR(FIND(LEFT(C941,1),"567")),"ERROR: CUENTA fuera de las clases de costo",IF(NOT(ISNUMBER(E941)),"ERROR: VALOR debe ser numérico",IF(E941=0,"AVISO: valor cero (no se carga)",IF(J941&lt;&gt;"ACTIVO","NO SE CARGA: CECO en estado "&amp;J941,"OK"))))))))))</f>
        <v/>
      </c>
    </row>
    <row r="942">
      <c r="A942" s="5" t="n"/>
      <c r="B942" s="6" t="n"/>
      <c r="C942" s="5" t="n"/>
      <c r="D942" s="6" t="n"/>
      <c r="E942" s="7" t="n"/>
      <c r="F942" s="6" t="n"/>
      <c r="G942" s="8">
        <f>IF(B942="","",IFERROR(VLOOKUP(--B942,'CATALOGO CECO'!$A$2:$H$550,2,FALSE),"CECO NO EXISTE"))</f>
        <v/>
      </c>
      <c r="H942" s="8">
        <f>IF(B942="","",IFERROR(VLOOKUP(--B942,'CATALOGO CECO'!$A$2:$H$550,3,FALSE),""))</f>
        <v/>
      </c>
      <c r="I942" s="8">
        <f>IF(B942="","",IFERROR(VLOOKUP(--B942,'CATALOGO CECO'!$A$2:$H$550,5,FALSE),""))</f>
        <v/>
      </c>
      <c r="J942" s="8">
        <f>IF(B942="","",IFERROR(VLOOKUP(--B942,'CATALOGO CECO'!$A$2:$H$550,8,FALSE),""))</f>
        <v/>
      </c>
      <c r="K942" s="8">
        <f>IF(COUNTA(A942:F942)=0,"",IF(OR(LEN(A942)&lt;&gt;7,MID(A942,5,1)&lt;&gt;"-",ISERROR(--LEFT(A942,4)),ISERROR(--RIGHT(A942,2))),"ERROR: PERIODO debe ser AAAA-MM",IF(B942="","ERROR: falta CODIGO CECO",IF(G942="CECO NO EXISTE","ERROR: CECO no existe en el catálogo",IF(C942="","ERROR: falta CUENTA",IF(ISERROR(--C942),"ERROR: CUENTA debe tener solo dígitos",IF(ISERROR(FIND(LEFT(C942,1),"567")),"ERROR: CUENTA fuera de las clases de costo",IF(NOT(ISNUMBER(E942)),"ERROR: VALOR debe ser numérico",IF(E942=0,"AVISO: valor cero (no se carga)",IF(J942&lt;&gt;"ACTIVO","NO SE CARGA: CECO en estado "&amp;J942,"OK"))))))))))</f>
        <v/>
      </c>
    </row>
    <row r="943">
      <c r="A943" s="5" t="n"/>
      <c r="B943" s="6" t="n"/>
      <c r="C943" s="5" t="n"/>
      <c r="D943" s="6" t="n"/>
      <c r="E943" s="7" t="n"/>
      <c r="F943" s="6" t="n"/>
      <c r="G943" s="8">
        <f>IF(B943="","",IFERROR(VLOOKUP(--B943,'CATALOGO CECO'!$A$2:$H$550,2,FALSE),"CECO NO EXISTE"))</f>
        <v/>
      </c>
      <c r="H943" s="8">
        <f>IF(B943="","",IFERROR(VLOOKUP(--B943,'CATALOGO CECO'!$A$2:$H$550,3,FALSE),""))</f>
        <v/>
      </c>
      <c r="I943" s="8">
        <f>IF(B943="","",IFERROR(VLOOKUP(--B943,'CATALOGO CECO'!$A$2:$H$550,5,FALSE),""))</f>
        <v/>
      </c>
      <c r="J943" s="8">
        <f>IF(B943="","",IFERROR(VLOOKUP(--B943,'CATALOGO CECO'!$A$2:$H$550,8,FALSE),""))</f>
        <v/>
      </c>
      <c r="K943" s="8">
        <f>IF(COUNTA(A943:F943)=0,"",IF(OR(LEN(A943)&lt;&gt;7,MID(A943,5,1)&lt;&gt;"-",ISERROR(--LEFT(A943,4)),ISERROR(--RIGHT(A943,2))),"ERROR: PERIODO debe ser AAAA-MM",IF(B943="","ERROR: falta CODIGO CECO",IF(G943="CECO NO EXISTE","ERROR: CECO no existe en el catálogo",IF(C943="","ERROR: falta CUENTA",IF(ISERROR(--C943),"ERROR: CUENTA debe tener solo dígitos",IF(ISERROR(FIND(LEFT(C943,1),"567")),"ERROR: CUENTA fuera de las clases de costo",IF(NOT(ISNUMBER(E943)),"ERROR: VALOR debe ser numérico",IF(E943=0,"AVISO: valor cero (no se carga)",IF(J943&lt;&gt;"ACTIVO","NO SE CARGA: CECO en estado "&amp;J943,"OK"))))))))))</f>
        <v/>
      </c>
    </row>
    <row r="944">
      <c r="A944" s="5" t="n"/>
      <c r="B944" s="6" t="n"/>
      <c r="C944" s="5" t="n"/>
      <c r="D944" s="6" t="n"/>
      <c r="E944" s="7" t="n"/>
      <c r="F944" s="6" t="n"/>
      <c r="G944" s="8">
        <f>IF(B944="","",IFERROR(VLOOKUP(--B944,'CATALOGO CECO'!$A$2:$H$550,2,FALSE),"CECO NO EXISTE"))</f>
        <v/>
      </c>
      <c r="H944" s="8">
        <f>IF(B944="","",IFERROR(VLOOKUP(--B944,'CATALOGO CECO'!$A$2:$H$550,3,FALSE),""))</f>
        <v/>
      </c>
      <c r="I944" s="8">
        <f>IF(B944="","",IFERROR(VLOOKUP(--B944,'CATALOGO CECO'!$A$2:$H$550,5,FALSE),""))</f>
        <v/>
      </c>
      <c r="J944" s="8">
        <f>IF(B944="","",IFERROR(VLOOKUP(--B944,'CATALOGO CECO'!$A$2:$H$550,8,FALSE),""))</f>
        <v/>
      </c>
      <c r="K944" s="8">
        <f>IF(COUNTA(A944:F944)=0,"",IF(OR(LEN(A944)&lt;&gt;7,MID(A944,5,1)&lt;&gt;"-",ISERROR(--LEFT(A944,4)),ISERROR(--RIGHT(A944,2))),"ERROR: PERIODO debe ser AAAA-MM",IF(B944="","ERROR: falta CODIGO CECO",IF(G944="CECO NO EXISTE","ERROR: CECO no existe en el catálogo",IF(C944="","ERROR: falta CUENTA",IF(ISERROR(--C944),"ERROR: CUENTA debe tener solo dígitos",IF(ISERROR(FIND(LEFT(C944,1),"567")),"ERROR: CUENTA fuera de las clases de costo",IF(NOT(ISNUMBER(E944)),"ERROR: VALOR debe ser numérico",IF(E944=0,"AVISO: valor cero (no se carga)",IF(J944&lt;&gt;"ACTIVO","NO SE CARGA: CECO en estado "&amp;J944,"OK"))))))))))</f>
        <v/>
      </c>
    </row>
    <row r="945">
      <c r="A945" s="5" t="n"/>
      <c r="B945" s="6" t="n"/>
      <c r="C945" s="5" t="n"/>
      <c r="D945" s="6" t="n"/>
      <c r="E945" s="7" t="n"/>
      <c r="F945" s="6" t="n"/>
      <c r="G945" s="8">
        <f>IF(B945="","",IFERROR(VLOOKUP(--B945,'CATALOGO CECO'!$A$2:$H$550,2,FALSE),"CECO NO EXISTE"))</f>
        <v/>
      </c>
      <c r="H945" s="8">
        <f>IF(B945="","",IFERROR(VLOOKUP(--B945,'CATALOGO CECO'!$A$2:$H$550,3,FALSE),""))</f>
        <v/>
      </c>
      <c r="I945" s="8">
        <f>IF(B945="","",IFERROR(VLOOKUP(--B945,'CATALOGO CECO'!$A$2:$H$550,5,FALSE),""))</f>
        <v/>
      </c>
      <c r="J945" s="8">
        <f>IF(B945="","",IFERROR(VLOOKUP(--B945,'CATALOGO CECO'!$A$2:$H$550,8,FALSE),""))</f>
        <v/>
      </c>
      <c r="K945" s="8">
        <f>IF(COUNTA(A945:F945)=0,"",IF(OR(LEN(A945)&lt;&gt;7,MID(A945,5,1)&lt;&gt;"-",ISERROR(--LEFT(A945,4)),ISERROR(--RIGHT(A945,2))),"ERROR: PERIODO debe ser AAAA-MM",IF(B945="","ERROR: falta CODIGO CECO",IF(G945="CECO NO EXISTE","ERROR: CECO no existe en el catálogo",IF(C945="","ERROR: falta CUENTA",IF(ISERROR(--C945),"ERROR: CUENTA debe tener solo dígitos",IF(ISERROR(FIND(LEFT(C945,1),"567")),"ERROR: CUENTA fuera de las clases de costo",IF(NOT(ISNUMBER(E945)),"ERROR: VALOR debe ser numérico",IF(E945=0,"AVISO: valor cero (no se carga)",IF(J945&lt;&gt;"ACTIVO","NO SE CARGA: CECO en estado "&amp;J945,"OK"))))))))))</f>
        <v/>
      </c>
    </row>
    <row r="946">
      <c r="A946" s="5" t="n"/>
      <c r="B946" s="6" t="n"/>
      <c r="C946" s="5" t="n"/>
      <c r="D946" s="6" t="n"/>
      <c r="E946" s="7" t="n"/>
      <c r="F946" s="6" t="n"/>
      <c r="G946" s="8">
        <f>IF(B946="","",IFERROR(VLOOKUP(--B946,'CATALOGO CECO'!$A$2:$H$550,2,FALSE),"CECO NO EXISTE"))</f>
        <v/>
      </c>
      <c r="H946" s="8">
        <f>IF(B946="","",IFERROR(VLOOKUP(--B946,'CATALOGO CECO'!$A$2:$H$550,3,FALSE),""))</f>
        <v/>
      </c>
      <c r="I946" s="8">
        <f>IF(B946="","",IFERROR(VLOOKUP(--B946,'CATALOGO CECO'!$A$2:$H$550,5,FALSE),""))</f>
        <v/>
      </c>
      <c r="J946" s="8">
        <f>IF(B946="","",IFERROR(VLOOKUP(--B946,'CATALOGO CECO'!$A$2:$H$550,8,FALSE),""))</f>
        <v/>
      </c>
      <c r="K946" s="8">
        <f>IF(COUNTA(A946:F946)=0,"",IF(OR(LEN(A946)&lt;&gt;7,MID(A946,5,1)&lt;&gt;"-",ISERROR(--LEFT(A946,4)),ISERROR(--RIGHT(A946,2))),"ERROR: PERIODO debe ser AAAA-MM",IF(B946="","ERROR: falta CODIGO CECO",IF(G946="CECO NO EXISTE","ERROR: CECO no existe en el catálogo",IF(C946="","ERROR: falta CUENTA",IF(ISERROR(--C946),"ERROR: CUENTA debe tener solo dígitos",IF(ISERROR(FIND(LEFT(C946,1),"567")),"ERROR: CUENTA fuera de las clases de costo",IF(NOT(ISNUMBER(E946)),"ERROR: VALOR debe ser numérico",IF(E946=0,"AVISO: valor cero (no se carga)",IF(J946&lt;&gt;"ACTIVO","NO SE CARGA: CECO en estado "&amp;J946,"OK"))))))))))</f>
        <v/>
      </c>
    </row>
    <row r="947">
      <c r="A947" s="5" t="n"/>
      <c r="B947" s="6" t="n"/>
      <c r="C947" s="5" t="n"/>
      <c r="D947" s="6" t="n"/>
      <c r="E947" s="7" t="n"/>
      <c r="F947" s="6" t="n"/>
      <c r="G947" s="8">
        <f>IF(B947="","",IFERROR(VLOOKUP(--B947,'CATALOGO CECO'!$A$2:$H$550,2,FALSE),"CECO NO EXISTE"))</f>
        <v/>
      </c>
      <c r="H947" s="8">
        <f>IF(B947="","",IFERROR(VLOOKUP(--B947,'CATALOGO CECO'!$A$2:$H$550,3,FALSE),""))</f>
        <v/>
      </c>
      <c r="I947" s="8">
        <f>IF(B947="","",IFERROR(VLOOKUP(--B947,'CATALOGO CECO'!$A$2:$H$550,5,FALSE),""))</f>
        <v/>
      </c>
      <c r="J947" s="8">
        <f>IF(B947="","",IFERROR(VLOOKUP(--B947,'CATALOGO CECO'!$A$2:$H$550,8,FALSE),""))</f>
        <v/>
      </c>
      <c r="K947" s="8">
        <f>IF(COUNTA(A947:F947)=0,"",IF(OR(LEN(A947)&lt;&gt;7,MID(A947,5,1)&lt;&gt;"-",ISERROR(--LEFT(A947,4)),ISERROR(--RIGHT(A947,2))),"ERROR: PERIODO debe ser AAAA-MM",IF(B947="","ERROR: falta CODIGO CECO",IF(G947="CECO NO EXISTE","ERROR: CECO no existe en el catálogo",IF(C947="","ERROR: falta CUENTA",IF(ISERROR(--C947),"ERROR: CUENTA debe tener solo dígitos",IF(ISERROR(FIND(LEFT(C947,1),"567")),"ERROR: CUENTA fuera de las clases de costo",IF(NOT(ISNUMBER(E947)),"ERROR: VALOR debe ser numérico",IF(E947=0,"AVISO: valor cero (no se carga)",IF(J947&lt;&gt;"ACTIVO","NO SE CARGA: CECO en estado "&amp;J947,"OK"))))))))))</f>
        <v/>
      </c>
    </row>
    <row r="948">
      <c r="A948" s="5" t="n"/>
      <c r="B948" s="6" t="n"/>
      <c r="C948" s="5" t="n"/>
      <c r="D948" s="6" t="n"/>
      <c r="E948" s="7" t="n"/>
      <c r="F948" s="6" t="n"/>
      <c r="G948" s="8">
        <f>IF(B948="","",IFERROR(VLOOKUP(--B948,'CATALOGO CECO'!$A$2:$H$550,2,FALSE),"CECO NO EXISTE"))</f>
        <v/>
      </c>
      <c r="H948" s="8">
        <f>IF(B948="","",IFERROR(VLOOKUP(--B948,'CATALOGO CECO'!$A$2:$H$550,3,FALSE),""))</f>
        <v/>
      </c>
      <c r="I948" s="8">
        <f>IF(B948="","",IFERROR(VLOOKUP(--B948,'CATALOGO CECO'!$A$2:$H$550,5,FALSE),""))</f>
        <v/>
      </c>
      <c r="J948" s="8">
        <f>IF(B948="","",IFERROR(VLOOKUP(--B948,'CATALOGO CECO'!$A$2:$H$550,8,FALSE),""))</f>
        <v/>
      </c>
      <c r="K948" s="8">
        <f>IF(COUNTA(A948:F948)=0,"",IF(OR(LEN(A948)&lt;&gt;7,MID(A948,5,1)&lt;&gt;"-",ISERROR(--LEFT(A948,4)),ISERROR(--RIGHT(A948,2))),"ERROR: PERIODO debe ser AAAA-MM",IF(B948="","ERROR: falta CODIGO CECO",IF(G948="CECO NO EXISTE","ERROR: CECO no existe en el catálogo",IF(C948="","ERROR: falta CUENTA",IF(ISERROR(--C948),"ERROR: CUENTA debe tener solo dígitos",IF(ISERROR(FIND(LEFT(C948,1),"567")),"ERROR: CUENTA fuera de las clases de costo",IF(NOT(ISNUMBER(E948)),"ERROR: VALOR debe ser numérico",IF(E948=0,"AVISO: valor cero (no se carga)",IF(J948&lt;&gt;"ACTIVO","NO SE CARGA: CECO en estado "&amp;J948,"OK"))))))))))</f>
        <v/>
      </c>
    </row>
    <row r="949">
      <c r="A949" s="5" t="n"/>
      <c r="B949" s="6" t="n"/>
      <c r="C949" s="5" t="n"/>
      <c r="D949" s="6" t="n"/>
      <c r="E949" s="7" t="n"/>
      <c r="F949" s="6" t="n"/>
      <c r="G949" s="8">
        <f>IF(B949="","",IFERROR(VLOOKUP(--B949,'CATALOGO CECO'!$A$2:$H$550,2,FALSE),"CECO NO EXISTE"))</f>
        <v/>
      </c>
      <c r="H949" s="8">
        <f>IF(B949="","",IFERROR(VLOOKUP(--B949,'CATALOGO CECO'!$A$2:$H$550,3,FALSE),""))</f>
        <v/>
      </c>
      <c r="I949" s="8">
        <f>IF(B949="","",IFERROR(VLOOKUP(--B949,'CATALOGO CECO'!$A$2:$H$550,5,FALSE),""))</f>
        <v/>
      </c>
      <c r="J949" s="8">
        <f>IF(B949="","",IFERROR(VLOOKUP(--B949,'CATALOGO CECO'!$A$2:$H$550,8,FALSE),""))</f>
        <v/>
      </c>
      <c r="K949" s="8">
        <f>IF(COUNTA(A949:F949)=0,"",IF(OR(LEN(A949)&lt;&gt;7,MID(A949,5,1)&lt;&gt;"-",ISERROR(--LEFT(A949,4)),ISERROR(--RIGHT(A949,2))),"ERROR: PERIODO debe ser AAAA-MM",IF(B949="","ERROR: falta CODIGO CECO",IF(G949="CECO NO EXISTE","ERROR: CECO no existe en el catálogo",IF(C949="","ERROR: falta CUENTA",IF(ISERROR(--C949),"ERROR: CUENTA debe tener solo dígitos",IF(ISERROR(FIND(LEFT(C949,1),"567")),"ERROR: CUENTA fuera de las clases de costo",IF(NOT(ISNUMBER(E949)),"ERROR: VALOR debe ser numérico",IF(E949=0,"AVISO: valor cero (no se carga)",IF(J949&lt;&gt;"ACTIVO","NO SE CARGA: CECO en estado "&amp;J949,"OK"))))))))))</f>
        <v/>
      </c>
    </row>
    <row r="950">
      <c r="A950" s="5" t="n"/>
      <c r="B950" s="6" t="n"/>
      <c r="C950" s="5" t="n"/>
      <c r="D950" s="6" t="n"/>
      <c r="E950" s="7" t="n"/>
      <c r="F950" s="6" t="n"/>
      <c r="G950" s="8">
        <f>IF(B950="","",IFERROR(VLOOKUP(--B950,'CATALOGO CECO'!$A$2:$H$550,2,FALSE),"CECO NO EXISTE"))</f>
        <v/>
      </c>
      <c r="H950" s="8">
        <f>IF(B950="","",IFERROR(VLOOKUP(--B950,'CATALOGO CECO'!$A$2:$H$550,3,FALSE),""))</f>
        <v/>
      </c>
      <c r="I950" s="8">
        <f>IF(B950="","",IFERROR(VLOOKUP(--B950,'CATALOGO CECO'!$A$2:$H$550,5,FALSE),""))</f>
        <v/>
      </c>
      <c r="J950" s="8">
        <f>IF(B950="","",IFERROR(VLOOKUP(--B950,'CATALOGO CECO'!$A$2:$H$550,8,FALSE),""))</f>
        <v/>
      </c>
      <c r="K950" s="8">
        <f>IF(COUNTA(A950:F950)=0,"",IF(OR(LEN(A950)&lt;&gt;7,MID(A950,5,1)&lt;&gt;"-",ISERROR(--LEFT(A950,4)),ISERROR(--RIGHT(A950,2))),"ERROR: PERIODO debe ser AAAA-MM",IF(B950="","ERROR: falta CODIGO CECO",IF(G950="CECO NO EXISTE","ERROR: CECO no existe en el catálogo",IF(C950="","ERROR: falta CUENTA",IF(ISERROR(--C950),"ERROR: CUENTA debe tener solo dígitos",IF(ISERROR(FIND(LEFT(C950,1),"567")),"ERROR: CUENTA fuera de las clases de costo",IF(NOT(ISNUMBER(E950)),"ERROR: VALOR debe ser numérico",IF(E950=0,"AVISO: valor cero (no se carga)",IF(J950&lt;&gt;"ACTIVO","NO SE CARGA: CECO en estado "&amp;J950,"OK"))))))))))</f>
        <v/>
      </c>
    </row>
    <row r="951">
      <c r="A951" s="5" t="n"/>
      <c r="B951" s="6" t="n"/>
      <c r="C951" s="5" t="n"/>
      <c r="D951" s="6" t="n"/>
      <c r="E951" s="7" t="n"/>
      <c r="F951" s="6" t="n"/>
      <c r="G951" s="8">
        <f>IF(B951="","",IFERROR(VLOOKUP(--B951,'CATALOGO CECO'!$A$2:$H$550,2,FALSE),"CECO NO EXISTE"))</f>
        <v/>
      </c>
      <c r="H951" s="8">
        <f>IF(B951="","",IFERROR(VLOOKUP(--B951,'CATALOGO CECO'!$A$2:$H$550,3,FALSE),""))</f>
        <v/>
      </c>
      <c r="I951" s="8">
        <f>IF(B951="","",IFERROR(VLOOKUP(--B951,'CATALOGO CECO'!$A$2:$H$550,5,FALSE),""))</f>
        <v/>
      </c>
      <c r="J951" s="8">
        <f>IF(B951="","",IFERROR(VLOOKUP(--B951,'CATALOGO CECO'!$A$2:$H$550,8,FALSE),""))</f>
        <v/>
      </c>
      <c r="K951" s="8">
        <f>IF(COUNTA(A951:F951)=0,"",IF(OR(LEN(A951)&lt;&gt;7,MID(A951,5,1)&lt;&gt;"-",ISERROR(--LEFT(A951,4)),ISERROR(--RIGHT(A951,2))),"ERROR: PERIODO debe ser AAAA-MM",IF(B951="","ERROR: falta CODIGO CECO",IF(G951="CECO NO EXISTE","ERROR: CECO no existe en el catálogo",IF(C951="","ERROR: falta CUENTA",IF(ISERROR(--C951),"ERROR: CUENTA debe tener solo dígitos",IF(ISERROR(FIND(LEFT(C951,1),"567")),"ERROR: CUENTA fuera de las clases de costo",IF(NOT(ISNUMBER(E951)),"ERROR: VALOR debe ser numérico",IF(E951=0,"AVISO: valor cero (no se carga)",IF(J951&lt;&gt;"ACTIVO","NO SE CARGA: CECO en estado "&amp;J951,"OK"))))))))))</f>
        <v/>
      </c>
    </row>
    <row r="952">
      <c r="A952" s="5" t="n"/>
      <c r="B952" s="6" t="n"/>
      <c r="C952" s="5" t="n"/>
      <c r="D952" s="6" t="n"/>
      <c r="E952" s="7" t="n"/>
      <c r="F952" s="6" t="n"/>
      <c r="G952" s="8">
        <f>IF(B952="","",IFERROR(VLOOKUP(--B952,'CATALOGO CECO'!$A$2:$H$550,2,FALSE),"CECO NO EXISTE"))</f>
        <v/>
      </c>
      <c r="H952" s="8">
        <f>IF(B952="","",IFERROR(VLOOKUP(--B952,'CATALOGO CECO'!$A$2:$H$550,3,FALSE),""))</f>
        <v/>
      </c>
      <c r="I952" s="8">
        <f>IF(B952="","",IFERROR(VLOOKUP(--B952,'CATALOGO CECO'!$A$2:$H$550,5,FALSE),""))</f>
        <v/>
      </c>
      <c r="J952" s="8">
        <f>IF(B952="","",IFERROR(VLOOKUP(--B952,'CATALOGO CECO'!$A$2:$H$550,8,FALSE),""))</f>
        <v/>
      </c>
      <c r="K952" s="8">
        <f>IF(COUNTA(A952:F952)=0,"",IF(OR(LEN(A952)&lt;&gt;7,MID(A952,5,1)&lt;&gt;"-",ISERROR(--LEFT(A952,4)),ISERROR(--RIGHT(A952,2))),"ERROR: PERIODO debe ser AAAA-MM",IF(B952="","ERROR: falta CODIGO CECO",IF(G952="CECO NO EXISTE","ERROR: CECO no existe en el catálogo",IF(C952="","ERROR: falta CUENTA",IF(ISERROR(--C952),"ERROR: CUENTA debe tener solo dígitos",IF(ISERROR(FIND(LEFT(C952,1),"567")),"ERROR: CUENTA fuera de las clases de costo",IF(NOT(ISNUMBER(E952)),"ERROR: VALOR debe ser numérico",IF(E952=0,"AVISO: valor cero (no se carga)",IF(J952&lt;&gt;"ACTIVO","NO SE CARGA: CECO en estado "&amp;J952,"OK"))))))))))</f>
        <v/>
      </c>
    </row>
    <row r="953">
      <c r="A953" s="5" t="n"/>
      <c r="B953" s="6" t="n"/>
      <c r="C953" s="5" t="n"/>
      <c r="D953" s="6" t="n"/>
      <c r="E953" s="7" t="n"/>
      <c r="F953" s="6" t="n"/>
      <c r="G953" s="8">
        <f>IF(B953="","",IFERROR(VLOOKUP(--B953,'CATALOGO CECO'!$A$2:$H$550,2,FALSE),"CECO NO EXISTE"))</f>
        <v/>
      </c>
      <c r="H953" s="8">
        <f>IF(B953="","",IFERROR(VLOOKUP(--B953,'CATALOGO CECO'!$A$2:$H$550,3,FALSE),""))</f>
        <v/>
      </c>
      <c r="I953" s="8">
        <f>IF(B953="","",IFERROR(VLOOKUP(--B953,'CATALOGO CECO'!$A$2:$H$550,5,FALSE),""))</f>
        <v/>
      </c>
      <c r="J953" s="8">
        <f>IF(B953="","",IFERROR(VLOOKUP(--B953,'CATALOGO CECO'!$A$2:$H$550,8,FALSE),""))</f>
        <v/>
      </c>
      <c r="K953" s="8">
        <f>IF(COUNTA(A953:F953)=0,"",IF(OR(LEN(A953)&lt;&gt;7,MID(A953,5,1)&lt;&gt;"-",ISERROR(--LEFT(A953,4)),ISERROR(--RIGHT(A953,2))),"ERROR: PERIODO debe ser AAAA-MM",IF(B953="","ERROR: falta CODIGO CECO",IF(G953="CECO NO EXISTE","ERROR: CECO no existe en el catálogo",IF(C953="","ERROR: falta CUENTA",IF(ISERROR(--C953),"ERROR: CUENTA debe tener solo dígitos",IF(ISERROR(FIND(LEFT(C953,1),"567")),"ERROR: CUENTA fuera de las clases de costo",IF(NOT(ISNUMBER(E953)),"ERROR: VALOR debe ser numérico",IF(E953=0,"AVISO: valor cero (no se carga)",IF(J953&lt;&gt;"ACTIVO","NO SE CARGA: CECO en estado "&amp;J953,"OK"))))))))))</f>
        <v/>
      </c>
    </row>
    <row r="954">
      <c r="A954" s="5" t="n"/>
      <c r="B954" s="6" t="n"/>
      <c r="C954" s="5" t="n"/>
      <c r="D954" s="6" t="n"/>
      <c r="E954" s="7" t="n"/>
      <c r="F954" s="6" t="n"/>
      <c r="G954" s="8">
        <f>IF(B954="","",IFERROR(VLOOKUP(--B954,'CATALOGO CECO'!$A$2:$H$550,2,FALSE),"CECO NO EXISTE"))</f>
        <v/>
      </c>
      <c r="H954" s="8">
        <f>IF(B954="","",IFERROR(VLOOKUP(--B954,'CATALOGO CECO'!$A$2:$H$550,3,FALSE),""))</f>
        <v/>
      </c>
      <c r="I954" s="8">
        <f>IF(B954="","",IFERROR(VLOOKUP(--B954,'CATALOGO CECO'!$A$2:$H$550,5,FALSE),""))</f>
        <v/>
      </c>
      <c r="J954" s="8">
        <f>IF(B954="","",IFERROR(VLOOKUP(--B954,'CATALOGO CECO'!$A$2:$H$550,8,FALSE),""))</f>
        <v/>
      </c>
      <c r="K954" s="8">
        <f>IF(COUNTA(A954:F954)=0,"",IF(OR(LEN(A954)&lt;&gt;7,MID(A954,5,1)&lt;&gt;"-",ISERROR(--LEFT(A954,4)),ISERROR(--RIGHT(A954,2))),"ERROR: PERIODO debe ser AAAA-MM",IF(B954="","ERROR: falta CODIGO CECO",IF(G954="CECO NO EXISTE","ERROR: CECO no existe en el catálogo",IF(C954="","ERROR: falta CUENTA",IF(ISERROR(--C954),"ERROR: CUENTA debe tener solo dígitos",IF(ISERROR(FIND(LEFT(C954,1),"567")),"ERROR: CUENTA fuera de las clases de costo",IF(NOT(ISNUMBER(E954)),"ERROR: VALOR debe ser numérico",IF(E954=0,"AVISO: valor cero (no se carga)",IF(J954&lt;&gt;"ACTIVO","NO SE CARGA: CECO en estado "&amp;J954,"OK"))))))))))</f>
        <v/>
      </c>
    </row>
    <row r="955">
      <c r="A955" s="5" t="n"/>
      <c r="B955" s="6" t="n"/>
      <c r="C955" s="5" t="n"/>
      <c r="D955" s="6" t="n"/>
      <c r="E955" s="7" t="n"/>
      <c r="F955" s="6" t="n"/>
      <c r="G955" s="8">
        <f>IF(B955="","",IFERROR(VLOOKUP(--B955,'CATALOGO CECO'!$A$2:$H$550,2,FALSE),"CECO NO EXISTE"))</f>
        <v/>
      </c>
      <c r="H955" s="8">
        <f>IF(B955="","",IFERROR(VLOOKUP(--B955,'CATALOGO CECO'!$A$2:$H$550,3,FALSE),""))</f>
        <v/>
      </c>
      <c r="I955" s="8">
        <f>IF(B955="","",IFERROR(VLOOKUP(--B955,'CATALOGO CECO'!$A$2:$H$550,5,FALSE),""))</f>
        <v/>
      </c>
      <c r="J955" s="8">
        <f>IF(B955="","",IFERROR(VLOOKUP(--B955,'CATALOGO CECO'!$A$2:$H$550,8,FALSE),""))</f>
        <v/>
      </c>
      <c r="K955" s="8">
        <f>IF(COUNTA(A955:F955)=0,"",IF(OR(LEN(A955)&lt;&gt;7,MID(A955,5,1)&lt;&gt;"-",ISERROR(--LEFT(A955,4)),ISERROR(--RIGHT(A955,2))),"ERROR: PERIODO debe ser AAAA-MM",IF(B955="","ERROR: falta CODIGO CECO",IF(G955="CECO NO EXISTE","ERROR: CECO no existe en el catálogo",IF(C955="","ERROR: falta CUENTA",IF(ISERROR(--C955),"ERROR: CUENTA debe tener solo dígitos",IF(ISERROR(FIND(LEFT(C955,1),"567")),"ERROR: CUENTA fuera de las clases de costo",IF(NOT(ISNUMBER(E955)),"ERROR: VALOR debe ser numérico",IF(E955=0,"AVISO: valor cero (no se carga)",IF(J955&lt;&gt;"ACTIVO","NO SE CARGA: CECO en estado "&amp;J955,"OK"))))))))))</f>
        <v/>
      </c>
    </row>
    <row r="956">
      <c r="A956" s="5" t="n"/>
      <c r="B956" s="6" t="n"/>
      <c r="C956" s="5" t="n"/>
      <c r="D956" s="6" t="n"/>
      <c r="E956" s="7" t="n"/>
      <c r="F956" s="6" t="n"/>
      <c r="G956" s="8">
        <f>IF(B956="","",IFERROR(VLOOKUP(--B956,'CATALOGO CECO'!$A$2:$H$550,2,FALSE),"CECO NO EXISTE"))</f>
        <v/>
      </c>
      <c r="H956" s="8">
        <f>IF(B956="","",IFERROR(VLOOKUP(--B956,'CATALOGO CECO'!$A$2:$H$550,3,FALSE),""))</f>
        <v/>
      </c>
      <c r="I956" s="8">
        <f>IF(B956="","",IFERROR(VLOOKUP(--B956,'CATALOGO CECO'!$A$2:$H$550,5,FALSE),""))</f>
        <v/>
      </c>
      <c r="J956" s="8">
        <f>IF(B956="","",IFERROR(VLOOKUP(--B956,'CATALOGO CECO'!$A$2:$H$550,8,FALSE),""))</f>
        <v/>
      </c>
      <c r="K956" s="8">
        <f>IF(COUNTA(A956:F956)=0,"",IF(OR(LEN(A956)&lt;&gt;7,MID(A956,5,1)&lt;&gt;"-",ISERROR(--LEFT(A956,4)),ISERROR(--RIGHT(A956,2))),"ERROR: PERIODO debe ser AAAA-MM",IF(B956="","ERROR: falta CODIGO CECO",IF(G956="CECO NO EXISTE","ERROR: CECO no existe en el catálogo",IF(C956="","ERROR: falta CUENTA",IF(ISERROR(--C956),"ERROR: CUENTA debe tener solo dígitos",IF(ISERROR(FIND(LEFT(C956,1),"567")),"ERROR: CUENTA fuera de las clases de costo",IF(NOT(ISNUMBER(E956)),"ERROR: VALOR debe ser numérico",IF(E956=0,"AVISO: valor cero (no se carga)",IF(J956&lt;&gt;"ACTIVO","NO SE CARGA: CECO en estado "&amp;J956,"OK"))))))))))</f>
        <v/>
      </c>
    </row>
    <row r="957">
      <c r="A957" s="5" t="n"/>
      <c r="B957" s="6" t="n"/>
      <c r="C957" s="5" t="n"/>
      <c r="D957" s="6" t="n"/>
      <c r="E957" s="7" t="n"/>
      <c r="F957" s="6" t="n"/>
      <c r="G957" s="8">
        <f>IF(B957="","",IFERROR(VLOOKUP(--B957,'CATALOGO CECO'!$A$2:$H$550,2,FALSE),"CECO NO EXISTE"))</f>
        <v/>
      </c>
      <c r="H957" s="8">
        <f>IF(B957="","",IFERROR(VLOOKUP(--B957,'CATALOGO CECO'!$A$2:$H$550,3,FALSE),""))</f>
        <v/>
      </c>
      <c r="I957" s="8">
        <f>IF(B957="","",IFERROR(VLOOKUP(--B957,'CATALOGO CECO'!$A$2:$H$550,5,FALSE),""))</f>
        <v/>
      </c>
      <c r="J957" s="8">
        <f>IF(B957="","",IFERROR(VLOOKUP(--B957,'CATALOGO CECO'!$A$2:$H$550,8,FALSE),""))</f>
        <v/>
      </c>
      <c r="K957" s="8">
        <f>IF(COUNTA(A957:F957)=0,"",IF(OR(LEN(A957)&lt;&gt;7,MID(A957,5,1)&lt;&gt;"-",ISERROR(--LEFT(A957,4)),ISERROR(--RIGHT(A957,2))),"ERROR: PERIODO debe ser AAAA-MM",IF(B957="","ERROR: falta CODIGO CECO",IF(G957="CECO NO EXISTE","ERROR: CECO no existe en el catálogo",IF(C957="","ERROR: falta CUENTA",IF(ISERROR(--C957),"ERROR: CUENTA debe tener solo dígitos",IF(ISERROR(FIND(LEFT(C957,1),"567")),"ERROR: CUENTA fuera de las clases de costo",IF(NOT(ISNUMBER(E957)),"ERROR: VALOR debe ser numérico",IF(E957=0,"AVISO: valor cero (no se carga)",IF(J957&lt;&gt;"ACTIVO","NO SE CARGA: CECO en estado "&amp;J957,"OK"))))))))))</f>
        <v/>
      </c>
    </row>
    <row r="958">
      <c r="A958" s="5" t="n"/>
      <c r="B958" s="6" t="n"/>
      <c r="C958" s="5" t="n"/>
      <c r="D958" s="6" t="n"/>
      <c r="E958" s="7" t="n"/>
      <c r="F958" s="6" t="n"/>
      <c r="G958" s="8">
        <f>IF(B958="","",IFERROR(VLOOKUP(--B958,'CATALOGO CECO'!$A$2:$H$550,2,FALSE),"CECO NO EXISTE"))</f>
        <v/>
      </c>
      <c r="H958" s="8">
        <f>IF(B958="","",IFERROR(VLOOKUP(--B958,'CATALOGO CECO'!$A$2:$H$550,3,FALSE),""))</f>
        <v/>
      </c>
      <c r="I958" s="8">
        <f>IF(B958="","",IFERROR(VLOOKUP(--B958,'CATALOGO CECO'!$A$2:$H$550,5,FALSE),""))</f>
        <v/>
      </c>
      <c r="J958" s="8">
        <f>IF(B958="","",IFERROR(VLOOKUP(--B958,'CATALOGO CECO'!$A$2:$H$550,8,FALSE),""))</f>
        <v/>
      </c>
      <c r="K958" s="8">
        <f>IF(COUNTA(A958:F958)=0,"",IF(OR(LEN(A958)&lt;&gt;7,MID(A958,5,1)&lt;&gt;"-",ISERROR(--LEFT(A958,4)),ISERROR(--RIGHT(A958,2))),"ERROR: PERIODO debe ser AAAA-MM",IF(B958="","ERROR: falta CODIGO CECO",IF(G958="CECO NO EXISTE","ERROR: CECO no existe en el catálogo",IF(C958="","ERROR: falta CUENTA",IF(ISERROR(--C958),"ERROR: CUENTA debe tener solo dígitos",IF(ISERROR(FIND(LEFT(C958,1),"567")),"ERROR: CUENTA fuera de las clases de costo",IF(NOT(ISNUMBER(E958)),"ERROR: VALOR debe ser numérico",IF(E958=0,"AVISO: valor cero (no se carga)",IF(J958&lt;&gt;"ACTIVO","NO SE CARGA: CECO en estado "&amp;J958,"OK"))))))))))</f>
        <v/>
      </c>
    </row>
    <row r="959">
      <c r="A959" s="5" t="n"/>
      <c r="B959" s="6" t="n"/>
      <c r="C959" s="5" t="n"/>
      <c r="D959" s="6" t="n"/>
      <c r="E959" s="7" t="n"/>
      <c r="F959" s="6" t="n"/>
      <c r="G959" s="8">
        <f>IF(B959="","",IFERROR(VLOOKUP(--B959,'CATALOGO CECO'!$A$2:$H$550,2,FALSE),"CECO NO EXISTE"))</f>
        <v/>
      </c>
      <c r="H959" s="8">
        <f>IF(B959="","",IFERROR(VLOOKUP(--B959,'CATALOGO CECO'!$A$2:$H$550,3,FALSE),""))</f>
        <v/>
      </c>
      <c r="I959" s="8">
        <f>IF(B959="","",IFERROR(VLOOKUP(--B959,'CATALOGO CECO'!$A$2:$H$550,5,FALSE),""))</f>
        <v/>
      </c>
      <c r="J959" s="8">
        <f>IF(B959="","",IFERROR(VLOOKUP(--B959,'CATALOGO CECO'!$A$2:$H$550,8,FALSE),""))</f>
        <v/>
      </c>
      <c r="K959" s="8">
        <f>IF(COUNTA(A959:F959)=0,"",IF(OR(LEN(A959)&lt;&gt;7,MID(A959,5,1)&lt;&gt;"-",ISERROR(--LEFT(A959,4)),ISERROR(--RIGHT(A959,2))),"ERROR: PERIODO debe ser AAAA-MM",IF(B959="","ERROR: falta CODIGO CECO",IF(G959="CECO NO EXISTE","ERROR: CECO no existe en el catálogo",IF(C959="","ERROR: falta CUENTA",IF(ISERROR(--C959),"ERROR: CUENTA debe tener solo dígitos",IF(ISERROR(FIND(LEFT(C959,1),"567")),"ERROR: CUENTA fuera de las clases de costo",IF(NOT(ISNUMBER(E959)),"ERROR: VALOR debe ser numérico",IF(E959=0,"AVISO: valor cero (no se carga)",IF(J959&lt;&gt;"ACTIVO","NO SE CARGA: CECO en estado "&amp;J959,"OK"))))))))))</f>
        <v/>
      </c>
    </row>
    <row r="960">
      <c r="A960" s="5" t="n"/>
      <c r="B960" s="6" t="n"/>
      <c r="C960" s="5" t="n"/>
      <c r="D960" s="6" t="n"/>
      <c r="E960" s="7" t="n"/>
      <c r="F960" s="6" t="n"/>
      <c r="G960" s="8">
        <f>IF(B960="","",IFERROR(VLOOKUP(--B960,'CATALOGO CECO'!$A$2:$H$550,2,FALSE),"CECO NO EXISTE"))</f>
        <v/>
      </c>
      <c r="H960" s="8">
        <f>IF(B960="","",IFERROR(VLOOKUP(--B960,'CATALOGO CECO'!$A$2:$H$550,3,FALSE),""))</f>
        <v/>
      </c>
      <c r="I960" s="8">
        <f>IF(B960="","",IFERROR(VLOOKUP(--B960,'CATALOGO CECO'!$A$2:$H$550,5,FALSE),""))</f>
        <v/>
      </c>
      <c r="J960" s="8">
        <f>IF(B960="","",IFERROR(VLOOKUP(--B960,'CATALOGO CECO'!$A$2:$H$550,8,FALSE),""))</f>
        <v/>
      </c>
      <c r="K960" s="8">
        <f>IF(COUNTA(A960:F960)=0,"",IF(OR(LEN(A960)&lt;&gt;7,MID(A960,5,1)&lt;&gt;"-",ISERROR(--LEFT(A960,4)),ISERROR(--RIGHT(A960,2))),"ERROR: PERIODO debe ser AAAA-MM",IF(B960="","ERROR: falta CODIGO CECO",IF(G960="CECO NO EXISTE","ERROR: CECO no existe en el catálogo",IF(C960="","ERROR: falta CUENTA",IF(ISERROR(--C960),"ERROR: CUENTA debe tener solo dígitos",IF(ISERROR(FIND(LEFT(C960,1),"567")),"ERROR: CUENTA fuera de las clases de costo",IF(NOT(ISNUMBER(E960)),"ERROR: VALOR debe ser numérico",IF(E960=0,"AVISO: valor cero (no se carga)",IF(J960&lt;&gt;"ACTIVO","NO SE CARGA: CECO en estado "&amp;J960,"OK"))))))))))</f>
        <v/>
      </c>
    </row>
    <row r="961">
      <c r="A961" s="5" t="n"/>
      <c r="B961" s="6" t="n"/>
      <c r="C961" s="5" t="n"/>
      <c r="D961" s="6" t="n"/>
      <c r="E961" s="7" t="n"/>
      <c r="F961" s="6" t="n"/>
      <c r="G961" s="8">
        <f>IF(B961="","",IFERROR(VLOOKUP(--B961,'CATALOGO CECO'!$A$2:$H$550,2,FALSE),"CECO NO EXISTE"))</f>
        <v/>
      </c>
      <c r="H961" s="8">
        <f>IF(B961="","",IFERROR(VLOOKUP(--B961,'CATALOGO CECO'!$A$2:$H$550,3,FALSE),""))</f>
        <v/>
      </c>
      <c r="I961" s="8">
        <f>IF(B961="","",IFERROR(VLOOKUP(--B961,'CATALOGO CECO'!$A$2:$H$550,5,FALSE),""))</f>
        <v/>
      </c>
      <c r="J961" s="8">
        <f>IF(B961="","",IFERROR(VLOOKUP(--B961,'CATALOGO CECO'!$A$2:$H$550,8,FALSE),""))</f>
        <v/>
      </c>
      <c r="K961" s="8">
        <f>IF(COUNTA(A961:F961)=0,"",IF(OR(LEN(A961)&lt;&gt;7,MID(A961,5,1)&lt;&gt;"-",ISERROR(--LEFT(A961,4)),ISERROR(--RIGHT(A961,2))),"ERROR: PERIODO debe ser AAAA-MM",IF(B961="","ERROR: falta CODIGO CECO",IF(G961="CECO NO EXISTE","ERROR: CECO no existe en el catálogo",IF(C961="","ERROR: falta CUENTA",IF(ISERROR(--C961),"ERROR: CUENTA debe tener solo dígitos",IF(ISERROR(FIND(LEFT(C961,1),"567")),"ERROR: CUENTA fuera de las clases de costo",IF(NOT(ISNUMBER(E961)),"ERROR: VALOR debe ser numérico",IF(E961=0,"AVISO: valor cero (no se carga)",IF(J961&lt;&gt;"ACTIVO","NO SE CARGA: CECO en estado "&amp;J961,"OK"))))))))))</f>
        <v/>
      </c>
    </row>
    <row r="962">
      <c r="A962" s="5" t="n"/>
      <c r="B962" s="6" t="n"/>
      <c r="C962" s="5" t="n"/>
      <c r="D962" s="6" t="n"/>
      <c r="E962" s="7" t="n"/>
      <c r="F962" s="6" t="n"/>
      <c r="G962" s="8">
        <f>IF(B962="","",IFERROR(VLOOKUP(--B962,'CATALOGO CECO'!$A$2:$H$550,2,FALSE),"CECO NO EXISTE"))</f>
        <v/>
      </c>
      <c r="H962" s="8">
        <f>IF(B962="","",IFERROR(VLOOKUP(--B962,'CATALOGO CECO'!$A$2:$H$550,3,FALSE),""))</f>
        <v/>
      </c>
      <c r="I962" s="8">
        <f>IF(B962="","",IFERROR(VLOOKUP(--B962,'CATALOGO CECO'!$A$2:$H$550,5,FALSE),""))</f>
        <v/>
      </c>
      <c r="J962" s="8">
        <f>IF(B962="","",IFERROR(VLOOKUP(--B962,'CATALOGO CECO'!$A$2:$H$550,8,FALSE),""))</f>
        <v/>
      </c>
      <c r="K962" s="8">
        <f>IF(COUNTA(A962:F962)=0,"",IF(OR(LEN(A962)&lt;&gt;7,MID(A962,5,1)&lt;&gt;"-",ISERROR(--LEFT(A962,4)),ISERROR(--RIGHT(A962,2))),"ERROR: PERIODO debe ser AAAA-MM",IF(B962="","ERROR: falta CODIGO CECO",IF(G962="CECO NO EXISTE","ERROR: CECO no existe en el catálogo",IF(C962="","ERROR: falta CUENTA",IF(ISERROR(--C962),"ERROR: CUENTA debe tener solo dígitos",IF(ISERROR(FIND(LEFT(C962,1),"567")),"ERROR: CUENTA fuera de las clases de costo",IF(NOT(ISNUMBER(E962)),"ERROR: VALOR debe ser numérico",IF(E962=0,"AVISO: valor cero (no se carga)",IF(J962&lt;&gt;"ACTIVO","NO SE CARGA: CECO en estado "&amp;J962,"OK"))))))))))</f>
        <v/>
      </c>
    </row>
    <row r="963">
      <c r="A963" s="5" t="n"/>
      <c r="B963" s="6" t="n"/>
      <c r="C963" s="5" t="n"/>
      <c r="D963" s="6" t="n"/>
      <c r="E963" s="7" t="n"/>
      <c r="F963" s="6" t="n"/>
      <c r="G963" s="8">
        <f>IF(B963="","",IFERROR(VLOOKUP(--B963,'CATALOGO CECO'!$A$2:$H$550,2,FALSE),"CECO NO EXISTE"))</f>
        <v/>
      </c>
      <c r="H963" s="8">
        <f>IF(B963="","",IFERROR(VLOOKUP(--B963,'CATALOGO CECO'!$A$2:$H$550,3,FALSE),""))</f>
        <v/>
      </c>
      <c r="I963" s="8">
        <f>IF(B963="","",IFERROR(VLOOKUP(--B963,'CATALOGO CECO'!$A$2:$H$550,5,FALSE),""))</f>
        <v/>
      </c>
      <c r="J963" s="8">
        <f>IF(B963="","",IFERROR(VLOOKUP(--B963,'CATALOGO CECO'!$A$2:$H$550,8,FALSE),""))</f>
        <v/>
      </c>
      <c r="K963" s="8">
        <f>IF(COUNTA(A963:F963)=0,"",IF(OR(LEN(A963)&lt;&gt;7,MID(A963,5,1)&lt;&gt;"-",ISERROR(--LEFT(A963,4)),ISERROR(--RIGHT(A963,2))),"ERROR: PERIODO debe ser AAAA-MM",IF(B963="","ERROR: falta CODIGO CECO",IF(G963="CECO NO EXISTE","ERROR: CECO no existe en el catálogo",IF(C963="","ERROR: falta CUENTA",IF(ISERROR(--C963),"ERROR: CUENTA debe tener solo dígitos",IF(ISERROR(FIND(LEFT(C963,1),"567")),"ERROR: CUENTA fuera de las clases de costo",IF(NOT(ISNUMBER(E963)),"ERROR: VALOR debe ser numérico",IF(E963=0,"AVISO: valor cero (no se carga)",IF(J963&lt;&gt;"ACTIVO","NO SE CARGA: CECO en estado "&amp;J963,"OK"))))))))))</f>
        <v/>
      </c>
    </row>
    <row r="964">
      <c r="A964" s="5" t="n"/>
      <c r="B964" s="6" t="n"/>
      <c r="C964" s="5" t="n"/>
      <c r="D964" s="6" t="n"/>
      <c r="E964" s="7" t="n"/>
      <c r="F964" s="6" t="n"/>
      <c r="G964" s="8">
        <f>IF(B964="","",IFERROR(VLOOKUP(--B964,'CATALOGO CECO'!$A$2:$H$550,2,FALSE),"CECO NO EXISTE"))</f>
        <v/>
      </c>
      <c r="H964" s="8">
        <f>IF(B964="","",IFERROR(VLOOKUP(--B964,'CATALOGO CECO'!$A$2:$H$550,3,FALSE),""))</f>
        <v/>
      </c>
      <c r="I964" s="8">
        <f>IF(B964="","",IFERROR(VLOOKUP(--B964,'CATALOGO CECO'!$A$2:$H$550,5,FALSE),""))</f>
        <v/>
      </c>
      <c r="J964" s="8">
        <f>IF(B964="","",IFERROR(VLOOKUP(--B964,'CATALOGO CECO'!$A$2:$H$550,8,FALSE),""))</f>
        <v/>
      </c>
      <c r="K964" s="8">
        <f>IF(COUNTA(A964:F964)=0,"",IF(OR(LEN(A964)&lt;&gt;7,MID(A964,5,1)&lt;&gt;"-",ISERROR(--LEFT(A964,4)),ISERROR(--RIGHT(A964,2))),"ERROR: PERIODO debe ser AAAA-MM",IF(B964="","ERROR: falta CODIGO CECO",IF(G964="CECO NO EXISTE","ERROR: CECO no existe en el catálogo",IF(C964="","ERROR: falta CUENTA",IF(ISERROR(--C964),"ERROR: CUENTA debe tener solo dígitos",IF(ISERROR(FIND(LEFT(C964,1),"567")),"ERROR: CUENTA fuera de las clases de costo",IF(NOT(ISNUMBER(E964)),"ERROR: VALOR debe ser numérico",IF(E964=0,"AVISO: valor cero (no se carga)",IF(J964&lt;&gt;"ACTIVO","NO SE CARGA: CECO en estado "&amp;J964,"OK"))))))))))</f>
        <v/>
      </c>
    </row>
    <row r="965">
      <c r="A965" s="5" t="n"/>
      <c r="B965" s="6" t="n"/>
      <c r="C965" s="5" t="n"/>
      <c r="D965" s="6" t="n"/>
      <c r="E965" s="7" t="n"/>
      <c r="F965" s="6" t="n"/>
      <c r="G965" s="8">
        <f>IF(B965="","",IFERROR(VLOOKUP(--B965,'CATALOGO CECO'!$A$2:$H$550,2,FALSE),"CECO NO EXISTE"))</f>
        <v/>
      </c>
      <c r="H965" s="8">
        <f>IF(B965="","",IFERROR(VLOOKUP(--B965,'CATALOGO CECO'!$A$2:$H$550,3,FALSE),""))</f>
        <v/>
      </c>
      <c r="I965" s="8">
        <f>IF(B965="","",IFERROR(VLOOKUP(--B965,'CATALOGO CECO'!$A$2:$H$550,5,FALSE),""))</f>
        <v/>
      </c>
      <c r="J965" s="8">
        <f>IF(B965="","",IFERROR(VLOOKUP(--B965,'CATALOGO CECO'!$A$2:$H$550,8,FALSE),""))</f>
        <v/>
      </c>
      <c r="K965" s="8">
        <f>IF(COUNTA(A965:F965)=0,"",IF(OR(LEN(A965)&lt;&gt;7,MID(A965,5,1)&lt;&gt;"-",ISERROR(--LEFT(A965,4)),ISERROR(--RIGHT(A965,2))),"ERROR: PERIODO debe ser AAAA-MM",IF(B965="","ERROR: falta CODIGO CECO",IF(G965="CECO NO EXISTE","ERROR: CECO no existe en el catálogo",IF(C965="","ERROR: falta CUENTA",IF(ISERROR(--C965),"ERROR: CUENTA debe tener solo dígitos",IF(ISERROR(FIND(LEFT(C965,1),"567")),"ERROR: CUENTA fuera de las clases de costo",IF(NOT(ISNUMBER(E965)),"ERROR: VALOR debe ser numérico",IF(E965=0,"AVISO: valor cero (no se carga)",IF(J965&lt;&gt;"ACTIVO","NO SE CARGA: CECO en estado "&amp;J965,"OK"))))))))))</f>
        <v/>
      </c>
    </row>
    <row r="966">
      <c r="A966" s="5" t="n"/>
      <c r="B966" s="6" t="n"/>
      <c r="C966" s="5" t="n"/>
      <c r="D966" s="6" t="n"/>
      <c r="E966" s="7" t="n"/>
      <c r="F966" s="6" t="n"/>
      <c r="G966" s="8">
        <f>IF(B966="","",IFERROR(VLOOKUP(--B966,'CATALOGO CECO'!$A$2:$H$550,2,FALSE),"CECO NO EXISTE"))</f>
        <v/>
      </c>
      <c r="H966" s="8">
        <f>IF(B966="","",IFERROR(VLOOKUP(--B966,'CATALOGO CECO'!$A$2:$H$550,3,FALSE),""))</f>
        <v/>
      </c>
      <c r="I966" s="8">
        <f>IF(B966="","",IFERROR(VLOOKUP(--B966,'CATALOGO CECO'!$A$2:$H$550,5,FALSE),""))</f>
        <v/>
      </c>
      <c r="J966" s="8">
        <f>IF(B966="","",IFERROR(VLOOKUP(--B966,'CATALOGO CECO'!$A$2:$H$550,8,FALSE),""))</f>
        <v/>
      </c>
      <c r="K966" s="8">
        <f>IF(COUNTA(A966:F966)=0,"",IF(OR(LEN(A966)&lt;&gt;7,MID(A966,5,1)&lt;&gt;"-",ISERROR(--LEFT(A966,4)),ISERROR(--RIGHT(A966,2))),"ERROR: PERIODO debe ser AAAA-MM",IF(B966="","ERROR: falta CODIGO CECO",IF(G966="CECO NO EXISTE","ERROR: CECO no existe en el catálogo",IF(C966="","ERROR: falta CUENTA",IF(ISERROR(--C966),"ERROR: CUENTA debe tener solo dígitos",IF(ISERROR(FIND(LEFT(C966,1),"567")),"ERROR: CUENTA fuera de las clases de costo",IF(NOT(ISNUMBER(E966)),"ERROR: VALOR debe ser numérico",IF(E966=0,"AVISO: valor cero (no se carga)",IF(J966&lt;&gt;"ACTIVO","NO SE CARGA: CECO en estado "&amp;J966,"OK"))))))))))</f>
        <v/>
      </c>
    </row>
    <row r="967">
      <c r="A967" s="5" t="n"/>
      <c r="B967" s="6" t="n"/>
      <c r="C967" s="5" t="n"/>
      <c r="D967" s="6" t="n"/>
      <c r="E967" s="7" t="n"/>
      <c r="F967" s="6" t="n"/>
      <c r="G967" s="8">
        <f>IF(B967="","",IFERROR(VLOOKUP(--B967,'CATALOGO CECO'!$A$2:$H$550,2,FALSE),"CECO NO EXISTE"))</f>
        <v/>
      </c>
      <c r="H967" s="8">
        <f>IF(B967="","",IFERROR(VLOOKUP(--B967,'CATALOGO CECO'!$A$2:$H$550,3,FALSE),""))</f>
        <v/>
      </c>
      <c r="I967" s="8">
        <f>IF(B967="","",IFERROR(VLOOKUP(--B967,'CATALOGO CECO'!$A$2:$H$550,5,FALSE),""))</f>
        <v/>
      </c>
      <c r="J967" s="8">
        <f>IF(B967="","",IFERROR(VLOOKUP(--B967,'CATALOGO CECO'!$A$2:$H$550,8,FALSE),""))</f>
        <v/>
      </c>
      <c r="K967" s="8">
        <f>IF(COUNTA(A967:F967)=0,"",IF(OR(LEN(A967)&lt;&gt;7,MID(A967,5,1)&lt;&gt;"-",ISERROR(--LEFT(A967,4)),ISERROR(--RIGHT(A967,2))),"ERROR: PERIODO debe ser AAAA-MM",IF(B967="","ERROR: falta CODIGO CECO",IF(G967="CECO NO EXISTE","ERROR: CECO no existe en el catálogo",IF(C967="","ERROR: falta CUENTA",IF(ISERROR(--C967),"ERROR: CUENTA debe tener solo dígitos",IF(ISERROR(FIND(LEFT(C967,1),"567")),"ERROR: CUENTA fuera de las clases de costo",IF(NOT(ISNUMBER(E967)),"ERROR: VALOR debe ser numérico",IF(E967=0,"AVISO: valor cero (no se carga)",IF(J967&lt;&gt;"ACTIVO","NO SE CARGA: CECO en estado "&amp;J967,"OK"))))))))))</f>
        <v/>
      </c>
    </row>
    <row r="968">
      <c r="A968" s="5" t="n"/>
      <c r="B968" s="6" t="n"/>
      <c r="C968" s="5" t="n"/>
      <c r="D968" s="6" t="n"/>
      <c r="E968" s="7" t="n"/>
      <c r="F968" s="6" t="n"/>
      <c r="G968" s="8">
        <f>IF(B968="","",IFERROR(VLOOKUP(--B968,'CATALOGO CECO'!$A$2:$H$550,2,FALSE),"CECO NO EXISTE"))</f>
        <v/>
      </c>
      <c r="H968" s="8">
        <f>IF(B968="","",IFERROR(VLOOKUP(--B968,'CATALOGO CECO'!$A$2:$H$550,3,FALSE),""))</f>
        <v/>
      </c>
      <c r="I968" s="8">
        <f>IF(B968="","",IFERROR(VLOOKUP(--B968,'CATALOGO CECO'!$A$2:$H$550,5,FALSE),""))</f>
        <v/>
      </c>
      <c r="J968" s="8">
        <f>IF(B968="","",IFERROR(VLOOKUP(--B968,'CATALOGO CECO'!$A$2:$H$550,8,FALSE),""))</f>
        <v/>
      </c>
      <c r="K968" s="8">
        <f>IF(COUNTA(A968:F968)=0,"",IF(OR(LEN(A968)&lt;&gt;7,MID(A968,5,1)&lt;&gt;"-",ISERROR(--LEFT(A968,4)),ISERROR(--RIGHT(A968,2))),"ERROR: PERIODO debe ser AAAA-MM",IF(B968="","ERROR: falta CODIGO CECO",IF(G968="CECO NO EXISTE","ERROR: CECO no existe en el catálogo",IF(C968="","ERROR: falta CUENTA",IF(ISERROR(--C968),"ERROR: CUENTA debe tener solo dígitos",IF(ISERROR(FIND(LEFT(C968,1),"567")),"ERROR: CUENTA fuera de las clases de costo",IF(NOT(ISNUMBER(E968)),"ERROR: VALOR debe ser numérico",IF(E968=0,"AVISO: valor cero (no se carga)",IF(J968&lt;&gt;"ACTIVO","NO SE CARGA: CECO en estado "&amp;J968,"OK"))))))))))</f>
        <v/>
      </c>
    </row>
    <row r="969">
      <c r="A969" s="5" t="n"/>
      <c r="B969" s="6" t="n"/>
      <c r="C969" s="5" t="n"/>
      <c r="D969" s="6" t="n"/>
      <c r="E969" s="7" t="n"/>
      <c r="F969" s="6" t="n"/>
      <c r="G969" s="8">
        <f>IF(B969="","",IFERROR(VLOOKUP(--B969,'CATALOGO CECO'!$A$2:$H$550,2,FALSE),"CECO NO EXISTE"))</f>
        <v/>
      </c>
      <c r="H969" s="8">
        <f>IF(B969="","",IFERROR(VLOOKUP(--B969,'CATALOGO CECO'!$A$2:$H$550,3,FALSE),""))</f>
        <v/>
      </c>
      <c r="I969" s="8">
        <f>IF(B969="","",IFERROR(VLOOKUP(--B969,'CATALOGO CECO'!$A$2:$H$550,5,FALSE),""))</f>
        <v/>
      </c>
      <c r="J969" s="8">
        <f>IF(B969="","",IFERROR(VLOOKUP(--B969,'CATALOGO CECO'!$A$2:$H$550,8,FALSE),""))</f>
        <v/>
      </c>
      <c r="K969" s="8">
        <f>IF(COUNTA(A969:F969)=0,"",IF(OR(LEN(A969)&lt;&gt;7,MID(A969,5,1)&lt;&gt;"-",ISERROR(--LEFT(A969,4)),ISERROR(--RIGHT(A969,2))),"ERROR: PERIODO debe ser AAAA-MM",IF(B969="","ERROR: falta CODIGO CECO",IF(G969="CECO NO EXISTE","ERROR: CECO no existe en el catálogo",IF(C969="","ERROR: falta CUENTA",IF(ISERROR(--C969),"ERROR: CUENTA debe tener solo dígitos",IF(ISERROR(FIND(LEFT(C969,1),"567")),"ERROR: CUENTA fuera de las clases de costo",IF(NOT(ISNUMBER(E969)),"ERROR: VALOR debe ser numérico",IF(E969=0,"AVISO: valor cero (no se carga)",IF(J969&lt;&gt;"ACTIVO","NO SE CARGA: CECO en estado "&amp;J969,"OK"))))))))))</f>
        <v/>
      </c>
    </row>
    <row r="970">
      <c r="A970" s="5" t="n"/>
      <c r="B970" s="6" t="n"/>
      <c r="C970" s="5" t="n"/>
      <c r="D970" s="6" t="n"/>
      <c r="E970" s="7" t="n"/>
      <c r="F970" s="6" t="n"/>
      <c r="G970" s="8">
        <f>IF(B970="","",IFERROR(VLOOKUP(--B970,'CATALOGO CECO'!$A$2:$H$550,2,FALSE),"CECO NO EXISTE"))</f>
        <v/>
      </c>
      <c r="H970" s="8">
        <f>IF(B970="","",IFERROR(VLOOKUP(--B970,'CATALOGO CECO'!$A$2:$H$550,3,FALSE),""))</f>
        <v/>
      </c>
      <c r="I970" s="8">
        <f>IF(B970="","",IFERROR(VLOOKUP(--B970,'CATALOGO CECO'!$A$2:$H$550,5,FALSE),""))</f>
        <v/>
      </c>
      <c r="J970" s="8">
        <f>IF(B970="","",IFERROR(VLOOKUP(--B970,'CATALOGO CECO'!$A$2:$H$550,8,FALSE),""))</f>
        <v/>
      </c>
      <c r="K970" s="8">
        <f>IF(COUNTA(A970:F970)=0,"",IF(OR(LEN(A970)&lt;&gt;7,MID(A970,5,1)&lt;&gt;"-",ISERROR(--LEFT(A970,4)),ISERROR(--RIGHT(A970,2))),"ERROR: PERIODO debe ser AAAA-MM",IF(B970="","ERROR: falta CODIGO CECO",IF(G970="CECO NO EXISTE","ERROR: CECO no existe en el catálogo",IF(C970="","ERROR: falta CUENTA",IF(ISERROR(--C970),"ERROR: CUENTA debe tener solo dígitos",IF(ISERROR(FIND(LEFT(C970,1),"567")),"ERROR: CUENTA fuera de las clases de costo",IF(NOT(ISNUMBER(E970)),"ERROR: VALOR debe ser numérico",IF(E970=0,"AVISO: valor cero (no se carga)",IF(J970&lt;&gt;"ACTIVO","NO SE CARGA: CECO en estado "&amp;J970,"OK"))))))))))</f>
        <v/>
      </c>
    </row>
    <row r="971">
      <c r="A971" s="5" t="n"/>
      <c r="B971" s="6" t="n"/>
      <c r="C971" s="5" t="n"/>
      <c r="D971" s="6" t="n"/>
      <c r="E971" s="7" t="n"/>
      <c r="F971" s="6" t="n"/>
      <c r="G971" s="8">
        <f>IF(B971="","",IFERROR(VLOOKUP(--B971,'CATALOGO CECO'!$A$2:$H$550,2,FALSE),"CECO NO EXISTE"))</f>
        <v/>
      </c>
      <c r="H971" s="8">
        <f>IF(B971="","",IFERROR(VLOOKUP(--B971,'CATALOGO CECO'!$A$2:$H$550,3,FALSE),""))</f>
        <v/>
      </c>
      <c r="I971" s="8">
        <f>IF(B971="","",IFERROR(VLOOKUP(--B971,'CATALOGO CECO'!$A$2:$H$550,5,FALSE),""))</f>
        <v/>
      </c>
      <c r="J971" s="8">
        <f>IF(B971="","",IFERROR(VLOOKUP(--B971,'CATALOGO CECO'!$A$2:$H$550,8,FALSE),""))</f>
        <v/>
      </c>
      <c r="K971" s="8">
        <f>IF(COUNTA(A971:F971)=0,"",IF(OR(LEN(A971)&lt;&gt;7,MID(A971,5,1)&lt;&gt;"-",ISERROR(--LEFT(A971,4)),ISERROR(--RIGHT(A971,2))),"ERROR: PERIODO debe ser AAAA-MM",IF(B971="","ERROR: falta CODIGO CECO",IF(G971="CECO NO EXISTE","ERROR: CECO no existe en el catálogo",IF(C971="","ERROR: falta CUENTA",IF(ISERROR(--C971),"ERROR: CUENTA debe tener solo dígitos",IF(ISERROR(FIND(LEFT(C971,1),"567")),"ERROR: CUENTA fuera de las clases de costo",IF(NOT(ISNUMBER(E971)),"ERROR: VALOR debe ser numérico",IF(E971=0,"AVISO: valor cero (no se carga)",IF(J971&lt;&gt;"ACTIVO","NO SE CARGA: CECO en estado "&amp;J971,"OK"))))))))))</f>
        <v/>
      </c>
    </row>
    <row r="972">
      <c r="A972" s="5" t="n"/>
      <c r="B972" s="6" t="n"/>
      <c r="C972" s="5" t="n"/>
      <c r="D972" s="6" t="n"/>
      <c r="E972" s="7" t="n"/>
      <c r="F972" s="6" t="n"/>
      <c r="G972" s="8">
        <f>IF(B972="","",IFERROR(VLOOKUP(--B972,'CATALOGO CECO'!$A$2:$H$550,2,FALSE),"CECO NO EXISTE"))</f>
        <v/>
      </c>
      <c r="H972" s="8">
        <f>IF(B972="","",IFERROR(VLOOKUP(--B972,'CATALOGO CECO'!$A$2:$H$550,3,FALSE),""))</f>
        <v/>
      </c>
      <c r="I972" s="8">
        <f>IF(B972="","",IFERROR(VLOOKUP(--B972,'CATALOGO CECO'!$A$2:$H$550,5,FALSE),""))</f>
        <v/>
      </c>
      <c r="J972" s="8">
        <f>IF(B972="","",IFERROR(VLOOKUP(--B972,'CATALOGO CECO'!$A$2:$H$550,8,FALSE),""))</f>
        <v/>
      </c>
      <c r="K972" s="8">
        <f>IF(COUNTA(A972:F972)=0,"",IF(OR(LEN(A972)&lt;&gt;7,MID(A972,5,1)&lt;&gt;"-",ISERROR(--LEFT(A972,4)),ISERROR(--RIGHT(A972,2))),"ERROR: PERIODO debe ser AAAA-MM",IF(B972="","ERROR: falta CODIGO CECO",IF(G972="CECO NO EXISTE","ERROR: CECO no existe en el catálogo",IF(C972="","ERROR: falta CUENTA",IF(ISERROR(--C972),"ERROR: CUENTA debe tener solo dígitos",IF(ISERROR(FIND(LEFT(C972,1),"567")),"ERROR: CUENTA fuera de las clases de costo",IF(NOT(ISNUMBER(E972)),"ERROR: VALOR debe ser numérico",IF(E972=0,"AVISO: valor cero (no se carga)",IF(J972&lt;&gt;"ACTIVO","NO SE CARGA: CECO en estado "&amp;J972,"OK"))))))))))</f>
        <v/>
      </c>
    </row>
    <row r="973">
      <c r="A973" s="5" t="n"/>
      <c r="B973" s="6" t="n"/>
      <c r="C973" s="5" t="n"/>
      <c r="D973" s="6" t="n"/>
      <c r="E973" s="7" t="n"/>
      <c r="F973" s="6" t="n"/>
      <c r="G973" s="8">
        <f>IF(B973="","",IFERROR(VLOOKUP(--B973,'CATALOGO CECO'!$A$2:$H$550,2,FALSE),"CECO NO EXISTE"))</f>
        <v/>
      </c>
      <c r="H973" s="8">
        <f>IF(B973="","",IFERROR(VLOOKUP(--B973,'CATALOGO CECO'!$A$2:$H$550,3,FALSE),""))</f>
        <v/>
      </c>
      <c r="I973" s="8">
        <f>IF(B973="","",IFERROR(VLOOKUP(--B973,'CATALOGO CECO'!$A$2:$H$550,5,FALSE),""))</f>
        <v/>
      </c>
      <c r="J973" s="8">
        <f>IF(B973="","",IFERROR(VLOOKUP(--B973,'CATALOGO CECO'!$A$2:$H$550,8,FALSE),""))</f>
        <v/>
      </c>
      <c r="K973" s="8">
        <f>IF(COUNTA(A973:F973)=0,"",IF(OR(LEN(A973)&lt;&gt;7,MID(A973,5,1)&lt;&gt;"-",ISERROR(--LEFT(A973,4)),ISERROR(--RIGHT(A973,2))),"ERROR: PERIODO debe ser AAAA-MM",IF(B973="","ERROR: falta CODIGO CECO",IF(G973="CECO NO EXISTE","ERROR: CECO no existe en el catálogo",IF(C973="","ERROR: falta CUENTA",IF(ISERROR(--C973),"ERROR: CUENTA debe tener solo dígitos",IF(ISERROR(FIND(LEFT(C973,1),"567")),"ERROR: CUENTA fuera de las clases de costo",IF(NOT(ISNUMBER(E973)),"ERROR: VALOR debe ser numérico",IF(E973=0,"AVISO: valor cero (no se carga)",IF(J973&lt;&gt;"ACTIVO","NO SE CARGA: CECO en estado "&amp;J973,"OK"))))))))))</f>
        <v/>
      </c>
    </row>
    <row r="974">
      <c r="A974" s="5" t="n"/>
      <c r="B974" s="6" t="n"/>
      <c r="C974" s="5" t="n"/>
      <c r="D974" s="6" t="n"/>
      <c r="E974" s="7" t="n"/>
      <c r="F974" s="6" t="n"/>
      <c r="G974" s="8">
        <f>IF(B974="","",IFERROR(VLOOKUP(--B974,'CATALOGO CECO'!$A$2:$H$550,2,FALSE),"CECO NO EXISTE"))</f>
        <v/>
      </c>
      <c r="H974" s="8">
        <f>IF(B974="","",IFERROR(VLOOKUP(--B974,'CATALOGO CECO'!$A$2:$H$550,3,FALSE),""))</f>
        <v/>
      </c>
      <c r="I974" s="8">
        <f>IF(B974="","",IFERROR(VLOOKUP(--B974,'CATALOGO CECO'!$A$2:$H$550,5,FALSE),""))</f>
        <v/>
      </c>
      <c r="J974" s="8">
        <f>IF(B974="","",IFERROR(VLOOKUP(--B974,'CATALOGO CECO'!$A$2:$H$550,8,FALSE),""))</f>
        <v/>
      </c>
      <c r="K974" s="8">
        <f>IF(COUNTA(A974:F974)=0,"",IF(OR(LEN(A974)&lt;&gt;7,MID(A974,5,1)&lt;&gt;"-",ISERROR(--LEFT(A974,4)),ISERROR(--RIGHT(A974,2))),"ERROR: PERIODO debe ser AAAA-MM",IF(B974="","ERROR: falta CODIGO CECO",IF(G974="CECO NO EXISTE","ERROR: CECO no existe en el catálogo",IF(C974="","ERROR: falta CUENTA",IF(ISERROR(--C974),"ERROR: CUENTA debe tener solo dígitos",IF(ISERROR(FIND(LEFT(C974,1),"567")),"ERROR: CUENTA fuera de las clases de costo",IF(NOT(ISNUMBER(E974)),"ERROR: VALOR debe ser numérico",IF(E974=0,"AVISO: valor cero (no se carga)",IF(J974&lt;&gt;"ACTIVO","NO SE CARGA: CECO en estado "&amp;J974,"OK"))))))))))</f>
        <v/>
      </c>
    </row>
    <row r="975">
      <c r="A975" s="5" t="n"/>
      <c r="B975" s="6" t="n"/>
      <c r="C975" s="5" t="n"/>
      <c r="D975" s="6" t="n"/>
      <c r="E975" s="7" t="n"/>
      <c r="F975" s="6" t="n"/>
      <c r="G975" s="8">
        <f>IF(B975="","",IFERROR(VLOOKUP(--B975,'CATALOGO CECO'!$A$2:$H$550,2,FALSE),"CECO NO EXISTE"))</f>
        <v/>
      </c>
      <c r="H975" s="8">
        <f>IF(B975="","",IFERROR(VLOOKUP(--B975,'CATALOGO CECO'!$A$2:$H$550,3,FALSE),""))</f>
        <v/>
      </c>
      <c r="I975" s="8">
        <f>IF(B975="","",IFERROR(VLOOKUP(--B975,'CATALOGO CECO'!$A$2:$H$550,5,FALSE),""))</f>
        <v/>
      </c>
      <c r="J975" s="8">
        <f>IF(B975="","",IFERROR(VLOOKUP(--B975,'CATALOGO CECO'!$A$2:$H$550,8,FALSE),""))</f>
        <v/>
      </c>
      <c r="K975" s="8">
        <f>IF(COUNTA(A975:F975)=0,"",IF(OR(LEN(A975)&lt;&gt;7,MID(A975,5,1)&lt;&gt;"-",ISERROR(--LEFT(A975,4)),ISERROR(--RIGHT(A975,2))),"ERROR: PERIODO debe ser AAAA-MM",IF(B975="","ERROR: falta CODIGO CECO",IF(G975="CECO NO EXISTE","ERROR: CECO no existe en el catálogo",IF(C975="","ERROR: falta CUENTA",IF(ISERROR(--C975),"ERROR: CUENTA debe tener solo dígitos",IF(ISERROR(FIND(LEFT(C975,1),"567")),"ERROR: CUENTA fuera de las clases de costo",IF(NOT(ISNUMBER(E975)),"ERROR: VALOR debe ser numérico",IF(E975=0,"AVISO: valor cero (no se carga)",IF(J975&lt;&gt;"ACTIVO","NO SE CARGA: CECO en estado "&amp;J975,"OK"))))))))))</f>
        <v/>
      </c>
    </row>
    <row r="976">
      <c r="A976" s="5" t="n"/>
      <c r="B976" s="6" t="n"/>
      <c r="C976" s="5" t="n"/>
      <c r="D976" s="6" t="n"/>
      <c r="E976" s="7" t="n"/>
      <c r="F976" s="6" t="n"/>
      <c r="G976" s="8">
        <f>IF(B976="","",IFERROR(VLOOKUP(--B976,'CATALOGO CECO'!$A$2:$H$550,2,FALSE),"CECO NO EXISTE"))</f>
        <v/>
      </c>
      <c r="H976" s="8">
        <f>IF(B976="","",IFERROR(VLOOKUP(--B976,'CATALOGO CECO'!$A$2:$H$550,3,FALSE),""))</f>
        <v/>
      </c>
      <c r="I976" s="8">
        <f>IF(B976="","",IFERROR(VLOOKUP(--B976,'CATALOGO CECO'!$A$2:$H$550,5,FALSE),""))</f>
        <v/>
      </c>
      <c r="J976" s="8">
        <f>IF(B976="","",IFERROR(VLOOKUP(--B976,'CATALOGO CECO'!$A$2:$H$550,8,FALSE),""))</f>
        <v/>
      </c>
      <c r="K976" s="8">
        <f>IF(COUNTA(A976:F976)=0,"",IF(OR(LEN(A976)&lt;&gt;7,MID(A976,5,1)&lt;&gt;"-",ISERROR(--LEFT(A976,4)),ISERROR(--RIGHT(A976,2))),"ERROR: PERIODO debe ser AAAA-MM",IF(B976="","ERROR: falta CODIGO CECO",IF(G976="CECO NO EXISTE","ERROR: CECO no existe en el catálogo",IF(C976="","ERROR: falta CUENTA",IF(ISERROR(--C976),"ERROR: CUENTA debe tener solo dígitos",IF(ISERROR(FIND(LEFT(C976,1),"567")),"ERROR: CUENTA fuera de las clases de costo",IF(NOT(ISNUMBER(E976)),"ERROR: VALOR debe ser numérico",IF(E976=0,"AVISO: valor cero (no se carga)",IF(J976&lt;&gt;"ACTIVO","NO SE CARGA: CECO en estado "&amp;J976,"OK"))))))))))</f>
        <v/>
      </c>
    </row>
    <row r="977">
      <c r="A977" s="5" t="n"/>
      <c r="B977" s="6" t="n"/>
      <c r="C977" s="5" t="n"/>
      <c r="D977" s="6" t="n"/>
      <c r="E977" s="7" t="n"/>
      <c r="F977" s="6" t="n"/>
      <c r="G977" s="8">
        <f>IF(B977="","",IFERROR(VLOOKUP(--B977,'CATALOGO CECO'!$A$2:$H$550,2,FALSE),"CECO NO EXISTE"))</f>
        <v/>
      </c>
      <c r="H977" s="8">
        <f>IF(B977="","",IFERROR(VLOOKUP(--B977,'CATALOGO CECO'!$A$2:$H$550,3,FALSE),""))</f>
        <v/>
      </c>
      <c r="I977" s="8">
        <f>IF(B977="","",IFERROR(VLOOKUP(--B977,'CATALOGO CECO'!$A$2:$H$550,5,FALSE),""))</f>
        <v/>
      </c>
      <c r="J977" s="8">
        <f>IF(B977="","",IFERROR(VLOOKUP(--B977,'CATALOGO CECO'!$A$2:$H$550,8,FALSE),""))</f>
        <v/>
      </c>
      <c r="K977" s="8">
        <f>IF(COUNTA(A977:F977)=0,"",IF(OR(LEN(A977)&lt;&gt;7,MID(A977,5,1)&lt;&gt;"-",ISERROR(--LEFT(A977,4)),ISERROR(--RIGHT(A977,2))),"ERROR: PERIODO debe ser AAAA-MM",IF(B977="","ERROR: falta CODIGO CECO",IF(G977="CECO NO EXISTE","ERROR: CECO no existe en el catálogo",IF(C977="","ERROR: falta CUENTA",IF(ISERROR(--C977),"ERROR: CUENTA debe tener solo dígitos",IF(ISERROR(FIND(LEFT(C977,1),"567")),"ERROR: CUENTA fuera de las clases de costo",IF(NOT(ISNUMBER(E977)),"ERROR: VALOR debe ser numérico",IF(E977=0,"AVISO: valor cero (no se carga)",IF(J977&lt;&gt;"ACTIVO","NO SE CARGA: CECO en estado "&amp;J977,"OK"))))))))))</f>
        <v/>
      </c>
    </row>
    <row r="978">
      <c r="A978" s="5" t="n"/>
      <c r="B978" s="6" t="n"/>
      <c r="C978" s="5" t="n"/>
      <c r="D978" s="6" t="n"/>
      <c r="E978" s="7" t="n"/>
      <c r="F978" s="6" t="n"/>
      <c r="G978" s="8">
        <f>IF(B978="","",IFERROR(VLOOKUP(--B978,'CATALOGO CECO'!$A$2:$H$550,2,FALSE),"CECO NO EXISTE"))</f>
        <v/>
      </c>
      <c r="H978" s="8">
        <f>IF(B978="","",IFERROR(VLOOKUP(--B978,'CATALOGO CECO'!$A$2:$H$550,3,FALSE),""))</f>
        <v/>
      </c>
      <c r="I978" s="8">
        <f>IF(B978="","",IFERROR(VLOOKUP(--B978,'CATALOGO CECO'!$A$2:$H$550,5,FALSE),""))</f>
        <v/>
      </c>
      <c r="J978" s="8">
        <f>IF(B978="","",IFERROR(VLOOKUP(--B978,'CATALOGO CECO'!$A$2:$H$550,8,FALSE),""))</f>
        <v/>
      </c>
      <c r="K978" s="8">
        <f>IF(COUNTA(A978:F978)=0,"",IF(OR(LEN(A978)&lt;&gt;7,MID(A978,5,1)&lt;&gt;"-",ISERROR(--LEFT(A978,4)),ISERROR(--RIGHT(A978,2))),"ERROR: PERIODO debe ser AAAA-MM",IF(B978="","ERROR: falta CODIGO CECO",IF(G978="CECO NO EXISTE","ERROR: CECO no existe en el catálogo",IF(C978="","ERROR: falta CUENTA",IF(ISERROR(--C978),"ERROR: CUENTA debe tener solo dígitos",IF(ISERROR(FIND(LEFT(C978,1),"567")),"ERROR: CUENTA fuera de las clases de costo",IF(NOT(ISNUMBER(E978)),"ERROR: VALOR debe ser numérico",IF(E978=0,"AVISO: valor cero (no se carga)",IF(J978&lt;&gt;"ACTIVO","NO SE CARGA: CECO en estado "&amp;J978,"OK"))))))))))</f>
        <v/>
      </c>
    </row>
    <row r="979">
      <c r="A979" s="5" t="n"/>
      <c r="B979" s="6" t="n"/>
      <c r="C979" s="5" t="n"/>
      <c r="D979" s="6" t="n"/>
      <c r="E979" s="7" t="n"/>
      <c r="F979" s="6" t="n"/>
      <c r="G979" s="8">
        <f>IF(B979="","",IFERROR(VLOOKUP(--B979,'CATALOGO CECO'!$A$2:$H$550,2,FALSE),"CECO NO EXISTE"))</f>
        <v/>
      </c>
      <c r="H979" s="8">
        <f>IF(B979="","",IFERROR(VLOOKUP(--B979,'CATALOGO CECO'!$A$2:$H$550,3,FALSE),""))</f>
        <v/>
      </c>
      <c r="I979" s="8">
        <f>IF(B979="","",IFERROR(VLOOKUP(--B979,'CATALOGO CECO'!$A$2:$H$550,5,FALSE),""))</f>
        <v/>
      </c>
      <c r="J979" s="8">
        <f>IF(B979="","",IFERROR(VLOOKUP(--B979,'CATALOGO CECO'!$A$2:$H$550,8,FALSE),""))</f>
        <v/>
      </c>
      <c r="K979" s="8">
        <f>IF(COUNTA(A979:F979)=0,"",IF(OR(LEN(A979)&lt;&gt;7,MID(A979,5,1)&lt;&gt;"-",ISERROR(--LEFT(A979,4)),ISERROR(--RIGHT(A979,2))),"ERROR: PERIODO debe ser AAAA-MM",IF(B979="","ERROR: falta CODIGO CECO",IF(G979="CECO NO EXISTE","ERROR: CECO no existe en el catálogo",IF(C979="","ERROR: falta CUENTA",IF(ISERROR(--C979),"ERROR: CUENTA debe tener solo dígitos",IF(ISERROR(FIND(LEFT(C979,1),"567")),"ERROR: CUENTA fuera de las clases de costo",IF(NOT(ISNUMBER(E979)),"ERROR: VALOR debe ser numérico",IF(E979=0,"AVISO: valor cero (no se carga)",IF(J979&lt;&gt;"ACTIVO","NO SE CARGA: CECO en estado "&amp;J979,"OK"))))))))))</f>
        <v/>
      </c>
    </row>
    <row r="980">
      <c r="A980" s="5" t="n"/>
      <c r="B980" s="6" t="n"/>
      <c r="C980" s="5" t="n"/>
      <c r="D980" s="6" t="n"/>
      <c r="E980" s="7" t="n"/>
      <c r="F980" s="6" t="n"/>
      <c r="G980" s="8">
        <f>IF(B980="","",IFERROR(VLOOKUP(--B980,'CATALOGO CECO'!$A$2:$H$550,2,FALSE),"CECO NO EXISTE"))</f>
        <v/>
      </c>
      <c r="H980" s="8">
        <f>IF(B980="","",IFERROR(VLOOKUP(--B980,'CATALOGO CECO'!$A$2:$H$550,3,FALSE),""))</f>
        <v/>
      </c>
      <c r="I980" s="8">
        <f>IF(B980="","",IFERROR(VLOOKUP(--B980,'CATALOGO CECO'!$A$2:$H$550,5,FALSE),""))</f>
        <v/>
      </c>
      <c r="J980" s="8">
        <f>IF(B980="","",IFERROR(VLOOKUP(--B980,'CATALOGO CECO'!$A$2:$H$550,8,FALSE),""))</f>
        <v/>
      </c>
      <c r="K980" s="8">
        <f>IF(COUNTA(A980:F980)=0,"",IF(OR(LEN(A980)&lt;&gt;7,MID(A980,5,1)&lt;&gt;"-",ISERROR(--LEFT(A980,4)),ISERROR(--RIGHT(A980,2))),"ERROR: PERIODO debe ser AAAA-MM",IF(B980="","ERROR: falta CODIGO CECO",IF(G980="CECO NO EXISTE","ERROR: CECO no existe en el catálogo",IF(C980="","ERROR: falta CUENTA",IF(ISERROR(--C980),"ERROR: CUENTA debe tener solo dígitos",IF(ISERROR(FIND(LEFT(C980,1),"567")),"ERROR: CUENTA fuera de las clases de costo",IF(NOT(ISNUMBER(E980)),"ERROR: VALOR debe ser numérico",IF(E980=0,"AVISO: valor cero (no se carga)",IF(J980&lt;&gt;"ACTIVO","NO SE CARGA: CECO en estado "&amp;J980,"OK"))))))))))</f>
        <v/>
      </c>
    </row>
    <row r="981">
      <c r="A981" s="5" t="n"/>
      <c r="B981" s="6" t="n"/>
      <c r="C981" s="5" t="n"/>
      <c r="D981" s="6" t="n"/>
      <c r="E981" s="7" t="n"/>
      <c r="F981" s="6" t="n"/>
      <c r="G981" s="8">
        <f>IF(B981="","",IFERROR(VLOOKUP(--B981,'CATALOGO CECO'!$A$2:$H$550,2,FALSE),"CECO NO EXISTE"))</f>
        <v/>
      </c>
      <c r="H981" s="8">
        <f>IF(B981="","",IFERROR(VLOOKUP(--B981,'CATALOGO CECO'!$A$2:$H$550,3,FALSE),""))</f>
        <v/>
      </c>
      <c r="I981" s="8">
        <f>IF(B981="","",IFERROR(VLOOKUP(--B981,'CATALOGO CECO'!$A$2:$H$550,5,FALSE),""))</f>
        <v/>
      </c>
      <c r="J981" s="8">
        <f>IF(B981="","",IFERROR(VLOOKUP(--B981,'CATALOGO CECO'!$A$2:$H$550,8,FALSE),""))</f>
        <v/>
      </c>
      <c r="K981" s="8">
        <f>IF(COUNTA(A981:F981)=0,"",IF(OR(LEN(A981)&lt;&gt;7,MID(A981,5,1)&lt;&gt;"-",ISERROR(--LEFT(A981,4)),ISERROR(--RIGHT(A981,2))),"ERROR: PERIODO debe ser AAAA-MM",IF(B981="","ERROR: falta CODIGO CECO",IF(G981="CECO NO EXISTE","ERROR: CECO no existe en el catálogo",IF(C981="","ERROR: falta CUENTA",IF(ISERROR(--C981),"ERROR: CUENTA debe tener solo dígitos",IF(ISERROR(FIND(LEFT(C981,1),"567")),"ERROR: CUENTA fuera de las clases de costo",IF(NOT(ISNUMBER(E981)),"ERROR: VALOR debe ser numérico",IF(E981=0,"AVISO: valor cero (no se carga)",IF(J981&lt;&gt;"ACTIVO","NO SE CARGA: CECO en estado "&amp;J981,"OK"))))))))))</f>
        <v/>
      </c>
    </row>
    <row r="982">
      <c r="A982" s="5" t="n"/>
      <c r="B982" s="6" t="n"/>
      <c r="C982" s="5" t="n"/>
      <c r="D982" s="6" t="n"/>
      <c r="E982" s="7" t="n"/>
      <c r="F982" s="6" t="n"/>
      <c r="G982" s="8">
        <f>IF(B982="","",IFERROR(VLOOKUP(--B982,'CATALOGO CECO'!$A$2:$H$550,2,FALSE),"CECO NO EXISTE"))</f>
        <v/>
      </c>
      <c r="H982" s="8">
        <f>IF(B982="","",IFERROR(VLOOKUP(--B982,'CATALOGO CECO'!$A$2:$H$550,3,FALSE),""))</f>
        <v/>
      </c>
      <c r="I982" s="8">
        <f>IF(B982="","",IFERROR(VLOOKUP(--B982,'CATALOGO CECO'!$A$2:$H$550,5,FALSE),""))</f>
        <v/>
      </c>
      <c r="J982" s="8">
        <f>IF(B982="","",IFERROR(VLOOKUP(--B982,'CATALOGO CECO'!$A$2:$H$550,8,FALSE),""))</f>
        <v/>
      </c>
      <c r="K982" s="8">
        <f>IF(COUNTA(A982:F982)=0,"",IF(OR(LEN(A982)&lt;&gt;7,MID(A982,5,1)&lt;&gt;"-",ISERROR(--LEFT(A982,4)),ISERROR(--RIGHT(A982,2))),"ERROR: PERIODO debe ser AAAA-MM",IF(B982="","ERROR: falta CODIGO CECO",IF(G982="CECO NO EXISTE","ERROR: CECO no existe en el catálogo",IF(C982="","ERROR: falta CUENTA",IF(ISERROR(--C982),"ERROR: CUENTA debe tener solo dígitos",IF(ISERROR(FIND(LEFT(C982,1),"567")),"ERROR: CUENTA fuera de las clases de costo",IF(NOT(ISNUMBER(E982)),"ERROR: VALOR debe ser numérico",IF(E982=0,"AVISO: valor cero (no se carga)",IF(J982&lt;&gt;"ACTIVO","NO SE CARGA: CECO en estado "&amp;J982,"OK"))))))))))</f>
        <v/>
      </c>
    </row>
    <row r="983">
      <c r="A983" s="5" t="n"/>
      <c r="B983" s="6" t="n"/>
      <c r="C983" s="5" t="n"/>
      <c r="D983" s="6" t="n"/>
      <c r="E983" s="7" t="n"/>
      <c r="F983" s="6" t="n"/>
      <c r="G983" s="8">
        <f>IF(B983="","",IFERROR(VLOOKUP(--B983,'CATALOGO CECO'!$A$2:$H$550,2,FALSE),"CECO NO EXISTE"))</f>
        <v/>
      </c>
      <c r="H983" s="8">
        <f>IF(B983="","",IFERROR(VLOOKUP(--B983,'CATALOGO CECO'!$A$2:$H$550,3,FALSE),""))</f>
        <v/>
      </c>
      <c r="I983" s="8">
        <f>IF(B983="","",IFERROR(VLOOKUP(--B983,'CATALOGO CECO'!$A$2:$H$550,5,FALSE),""))</f>
        <v/>
      </c>
      <c r="J983" s="8">
        <f>IF(B983="","",IFERROR(VLOOKUP(--B983,'CATALOGO CECO'!$A$2:$H$550,8,FALSE),""))</f>
        <v/>
      </c>
      <c r="K983" s="8">
        <f>IF(COUNTA(A983:F983)=0,"",IF(OR(LEN(A983)&lt;&gt;7,MID(A983,5,1)&lt;&gt;"-",ISERROR(--LEFT(A983,4)),ISERROR(--RIGHT(A983,2))),"ERROR: PERIODO debe ser AAAA-MM",IF(B983="","ERROR: falta CODIGO CECO",IF(G983="CECO NO EXISTE","ERROR: CECO no existe en el catálogo",IF(C983="","ERROR: falta CUENTA",IF(ISERROR(--C983),"ERROR: CUENTA debe tener solo dígitos",IF(ISERROR(FIND(LEFT(C983,1),"567")),"ERROR: CUENTA fuera de las clases de costo",IF(NOT(ISNUMBER(E983)),"ERROR: VALOR debe ser numérico",IF(E983=0,"AVISO: valor cero (no se carga)",IF(J983&lt;&gt;"ACTIVO","NO SE CARGA: CECO en estado "&amp;J983,"OK"))))))))))</f>
        <v/>
      </c>
    </row>
    <row r="984">
      <c r="A984" s="5" t="n"/>
      <c r="B984" s="6" t="n"/>
      <c r="C984" s="5" t="n"/>
      <c r="D984" s="6" t="n"/>
      <c r="E984" s="7" t="n"/>
      <c r="F984" s="6" t="n"/>
      <c r="G984" s="8">
        <f>IF(B984="","",IFERROR(VLOOKUP(--B984,'CATALOGO CECO'!$A$2:$H$550,2,FALSE),"CECO NO EXISTE"))</f>
        <v/>
      </c>
      <c r="H984" s="8">
        <f>IF(B984="","",IFERROR(VLOOKUP(--B984,'CATALOGO CECO'!$A$2:$H$550,3,FALSE),""))</f>
        <v/>
      </c>
      <c r="I984" s="8">
        <f>IF(B984="","",IFERROR(VLOOKUP(--B984,'CATALOGO CECO'!$A$2:$H$550,5,FALSE),""))</f>
        <v/>
      </c>
      <c r="J984" s="8">
        <f>IF(B984="","",IFERROR(VLOOKUP(--B984,'CATALOGO CECO'!$A$2:$H$550,8,FALSE),""))</f>
        <v/>
      </c>
      <c r="K984" s="8">
        <f>IF(COUNTA(A984:F984)=0,"",IF(OR(LEN(A984)&lt;&gt;7,MID(A984,5,1)&lt;&gt;"-",ISERROR(--LEFT(A984,4)),ISERROR(--RIGHT(A984,2))),"ERROR: PERIODO debe ser AAAA-MM",IF(B984="","ERROR: falta CODIGO CECO",IF(G984="CECO NO EXISTE","ERROR: CECO no existe en el catálogo",IF(C984="","ERROR: falta CUENTA",IF(ISERROR(--C984),"ERROR: CUENTA debe tener solo dígitos",IF(ISERROR(FIND(LEFT(C984,1),"567")),"ERROR: CUENTA fuera de las clases de costo",IF(NOT(ISNUMBER(E984)),"ERROR: VALOR debe ser numérico",IF(E984=0,"AVISO: valor cero (no se carga)",IF(J984&lt;&gt;"ACTIVO","NO SE CARGA: CECO en estado "&amp;J984,"OK"))))))))))</f>
        <v/>
      </c>
    </row>
    <row r="985">
      <c r="A985" s="5" t="n"/>
      <c r="B985" s="6" t="n"/>
      <c r="C985" s="5" t="n"/>
      <c r="D985" s="6" t="n"/>
      <c r="E985" s="7" t="n"/>
      <c r="F985" s="6" t="n"/>
      <c r="G985" s="8">
        <f>IF(B985="","",IFERROR(VLOOKUP(--B985,'CATALOGO CECO'!$A$2:$H$550,2,FALSE),"CECO NO EXISTE"))</f>
        <v/>
      </c>
      <c r="H985" s="8">
        <f>IF(B985="","",IFERROR(VLOOKUP(--B985,'CATALOGO CECO'!$A$2:$H$550,3,FALSE),""))</f>
        <v/>
      </c>
      <c r="I985" s="8">
        <f>IF(B985="","",IFERROR(VLOOKUP(--B985,'CATALOGO CECO'!$A$2:$H$550,5,FALSE),""))</f>
        <v/>
      </c>
      <c r="J985" s="8">
        <f>IF(B985="","",IFERROR(VLOOKUP(--B985,'CATALOGO CECO'!$A$2:$H$550,8,FALSE),""))</f>
        <v/>
      </c>
      <c r="K985" s="8">
        <f>IF(COUNTA(A985:F985)=0,"",IF(OR(LEN(A985)&lt;&gt;7,MID(A985,5,1)&lt;&gt;"-",ISERROR(--LEFT(A985,4)),ISERROR(--RIGHT(A985,2))),"ERROR: PERIODO debe ser AAAA-MM",IF(B985="","ERROR: falta CODIGO CECO",IF(G985="CECO NO EXISTE","ERROR: CECO no existe en el catálogo",IF(C985="","ERROR: falta CUENTA",IF(ISERROR(--C985),"ERROR: CUENTA debe tener solo dígitos",IF(ISERROR(FIND(LEFT(C985,1),"567")),"ERROR: CUENTA fuera de las clases de costo",IF(NOT(ISNUMBER(E985)),"ERROR: VALOR debe ser numérico",IF(E985=0,"AVISO: valor cero (no se carga)",IF(J985&lt;&gt;"ACTIVO","NO SE CARGA: CECO en estado "&amp;J985,"OK"))))))))))</f>
        <v/>
      </c>
    </row>
    <row r="986">
      <c r="A986" s="5" t="n"/>
      <c r="B986" s="6" t="n"/>
      <c r="C986" s="5" t="n"/>
      <c r="D986" s="6" t="n"/>
      <c r="E986" s="7" t="n"/>
      <c r="F986" s="6" t="n"/>
      <c r="G986" s="8">
        <f>IF(B986="","",IFERROR(VLOOKUP(--B986,'CATALOGO CECO'!$A$2:$H$550,2,FALSE),"CECO NO EXISTE"))</f>
        <v/>
      </c>
      <c r="H986" s="8">
        <f>IF(B986="","",IFERROR(VLOOKUP(--B986,'CATALOGO CECO'!$A$2:$H$550,3,FALSE),""))</f>
        <v/>
      </c>
      <c r="I986" s="8">
        <f>IF(B986="","",IFERROR(VLOOKUP(--B986,'CATALOGO CECO'!$A$2:$H$550,5,FALSE),""))</f>
        <v/>
      </c>
      <c r="J986" s="8">
        <f>IF(B986="","",IFERROR(VLOOKUP(--B986,'CATALOGO CECO'!$A$2:$H$550,8,FALSE),""))</f>
        <v/>
      </c>
      <c r="K986" s="8">
        <f>IF(COUNTA(A986:F986)=0,"",IF(OR(LEN(A986)&lt;&gt;7,MID(A986,5,1)&lt;&gt;"-",ISERROR(--LEFT(A986,4)),ISERROR(--RIGHT(A986,2))),"ERROR: PERIODO debe ser AAAA-MM",IF(B986="","ERROR: falta CODIGO CECO",IF(G986="CECO NO EXISTE","ERROR: CECO no existe en el catálogo",IF(C986="","ERROR: falta CUENTA",IF(ISERROR(--C986),"ERROR: CUENTA debe tener solo dígitos",IF(ISERROR(FIND(LEFT(C986,1),"567")),"ERROR: CUENTA fuera de las clases de costo",IF(NOT(ISNUMBER(E986)),"ERROR: VALOR debe ser numérico",IF(E986=0,"AVISO: valor cero (no se carga)",IF(J986&lt;&gt;"ACTIVO","NO SE CARGA: CECO en estado "&amp;J986,"OK"))))))))))</f>
        <v/>
      </c>
    </row>
    <row r="987">
      <c r="A987" s="5" t="n"/>
      <c r="B987" s="6" t="n"/>
      <c r="C987" s="5" t="n"/>
      <c r="D987" s="6" t="n"/>
      <c r="E987" s="7" t="n"/>
      <c r="F987" s="6" t="n"/>
      <c r="G987" s="8">
        <f>IF(B987="","",IFERROR(VLOOKUP(--B987,'CATALOGO CECO'!$A$2:$H$550,2,FALSE),"CECO NO EXISTE"))</f>
        <v/>
      </c>
      <c r="H987" s="8">
        <f>IF(B987="","",IFERROR(VLOOKUP(--B987,'CATALOGO CECO'!$A$2:$H$550,3,FALSE),""))</f>
        <v/>
      </c>
      <c r="I987" s="8">
        <f>IF(B987="","",IFERROR(VLOOKUP(--B987,'CATALOGO CECO'!$A$2:$H$550,5,FALSE),""))</f>
        <v/>
      </c>
      <c r="J987" s="8">
        <f>IF(B987="","",IFERROR(VLOOKUP(--B987,'CATALOGO CECO'!$A$2:$H$550,8,FALSE),""))</f>
        <v/>
      </c>
      <c r="K987" s="8">
        <f>IF(COUNTA(A987:F987)=0,"",IF(OR(LEN(A987)&lt;&gt;7,MID(A987,5,1)&lt;&gt;"-",ISERROR(--LEFT(A987,4)),ISERROR(--RIGHT(A987,2))),"ERROR: PERIODO debe ser AAAA-MM",IF(B987="","ERROR: falta CODIGO CECO",IF(G987="CECO NO EXISTE","ERROR: CECO no existe en el catálogo",IF(C987="","ERROR: falta CUENTA",IF(ISERROR(--C987),"ERROR: CUENTA debe tener solo dígitos",IF(ISERROR(FIND(LEFT(C987,1),"567")),"ERROR: CUENTA fuera de las clases de costo",IF(NOT(ISNUMBER(E987)),"ERROR: VALOR debe ser numérico",IF(E987=0,"AVISO: valor cero (no se carga)",IF(J987&lt;&gt;"ACTIVO","NO SE CARGA: CECO en estado "&amp;J987,"OK"))))))))))</f>
        <v/>
      </c>
    </row>
    <row r="988">
      <c r="A988" s="5" t="n"/>
      <c r="B988" s="6" t="n"/>
      <c r="C988" s="5" t="n"/>
      <c r="D988" s="6" t="n"/>
      <c r="E988" s="7" t="n"/>
      <c r="F988" s="6" t="n"/>
      <c r="G988" s="8">
        <f>IF(B988="","",IFERROR(VLOOKUP(--B988,'CATALOGO CECO'!$A$2:$H$550,2,FALSE),"CECO NO EXISTE"))</f>
        <v/>
      </c>
      <c r="H988" s="8">
        <f>IF(B988="","",IFERROR(VLOOKUP(--B988,'CATALOGO CECO'!$A$2:$H$550,3,FALSE),""))</f>
        <v/>
      </c>
      <c r="I988" s="8">
        <f>IF(B988="","",IFERROR(VLOOKUP(--B988,'CATALOGO CECO'!$A$2:$H$550,5,FALSE),""))</f>
        <v/>
      </c>
      <c r="J988" s="8">
        <f>IF(B988="","",IFERROR(VLOOKUP(--B988,'CATALOGO CECO'!$A$2:$H$550,8,FALSE),""))</f>
        <v/>
      </c>
      <c r="K988" s="8">
        <f>IF(COUNTA(A988:F988)=0,"",IF(OR(LEN(A988)&lt;&gt;7,MID(A988,5,1)&lt;&gt;"-",ISERROR(--LEFT(A988,4)),ISERROR(--RIGHT(A988,2))),"ERROR: PERIODO debe ser AAAA-MM",IF(B988="","ERROR: falta CODIGO CECO",IF(G988="CECO NO EXISTE","ERROR: CECO no existe en el catálogo",IF(C988="","ERROR: falta CUENTA",IF(ISERROR(--C988),"ERROR: CUENTA debe tener solo dígitos",IF(ISERROR(FIND(LEFT(C988,1),"567")),"ERROR: CUENTA fuera de las clases de costo",IF(NOT(ISNUMBER(E988)),"ERROR: VALOR debe ser numérico",IF(E988=0,"AVISO: valor cero (no se carga)",IF(J988&lt;&gt;"ACTIVO","NO SE CARGA: CECO en estado "&amp;J988,"OK"))))))))))</f>
        <v/>
      </c>
    </row>
    <row r="989">
      <c r="A989" s="5" t="n"/>
      <c r="B989" s="6" t="n"/>
      <c r="C989" s="5" t="n"/>
      <c r="D989" s="6" t="n"/>
      <c r="E989" s="7" t="n"/>
      <c r="F989" s="6" t="n"/>
      <c r="G989" s="8">
        <f>IF(B989="","",IFERROR(VLOOKUP(--B989,'CATALOGO CECO'!$A$2:$H$550,2,FALSE),"CECO NO EXISTE"))</f>
        <v/>
      </c>
      <c r="H989" s="8">
        <f>IF(B989="","",IFERROR(VLOOKUP(--B989,'CATALOGO CECO'!$A$2:$H$550,3,FALSE),""))</f>
        <v/>
      </c>
      <c r="I989" s="8">
        <f>IF(B989="","",IFERROR(VLOOKUP(--B989,'CATALOGO CECO'!$A$2:$H$550,5,FALSE),""))</f>
        <v/>
      </c>
      <c r="J989" s="8">
        <f>IF(B989="","",IFERROR(VLOOKUP(--B989,'CATALOGO CECO'!$A$2:$H$550,8,FALSE),""))</f>
        <v/>
      </c>
      <c r="K989" s="8">
        <f>IF(COUNTA(A989:F989)=0,"",IF(OR(LEN(A989)&lt;&gt;7,MID(A989,5,1)&lt;&gt;"-",ISERROR(--LEFT(A989,4)),ISERROR(--RIGHT(A989,2))),"ERROR: PERIODO debe ser AAAA-MM",IF(B989="","ERROR: falta CODIGO CECO",IF(G989="CECO NO EXISTE","ERROR: CECO no existe en el catálogo",IF(C989="","ERROR: falta CUENTA",IF(ISERROR(--C989),"ERROR: CUENTA debe tener solo dígitos",IF(ISERROR(FIND(LEFT(C989,1),"567")),"ERROR: CUENTA fuera de las clases de costo",IF(NOT(ISNUMBER(E989)),"ERROR: VALOR debe ser numérico",IF(E989=0,"AVISO: valor cero (no se carga)",IF(J989&lt;&gt;"ACTIVO","NO SE CARGA: CECO en estado "&amp;J989,"OK"))))))))))</f>
        <v/>
      </c>
    </row>
    <row r="990">
      <c r="A990" s="5" t="n"/>
      <c r="B990" s="6" t="n"/>
      <c r="C990" s="5" t="n"/>
      <c r="D990" s="6" t="n"/>
      <c r="E990" s="7" t="n"/>
      <c r="F990" s="6" t="n"/>
      <c r="G990" s="8">
        <f>IF(B990="","",IFERROR(VLOOKUP(--B990,'CATALOGO CECO'!$A$2:$H$550,2,FALSE),"CECO NO EXISTE"))</f>
        <v/>
      </c>
      <c r="H990" s="8">
        <f>IF(B990="","",IFERROR(VLOOKUP(--B990,'CATALOGO CECO'!$A$2:$H$550,3,FALSE),""))</f>
        <v/>
      </c>
      <c r="I990" s="8">
        <f>IF(B990="","",IFERROR(VLOOKUP(--B990,'CATALOGO CECO'!$A$2:$H$550,5,FALSE),""))</f>
        <v/>
      </c>
      <c r="J990" s="8">
        <f>IF(B990="","",IFERROR(VLOOKUP(--B990,'CATALOGO CECO'!$A$2:$H$550,8,FALSE),""))</f>
        <v/>
      </c>
      <c r="K990" s="8">
        <f>IF(COUNTA(A990:F990)=0,"",IF(OR(LEN(A990)&lt;&gt;7,MID(A990,5,1)&lt;&gt;"-",ISERROR(--LEFT(A990,4)),ISERROR(--RIGHT(A990,2))),"ERROR: PERIODO debe ser AAAA-MM",IF(B990="","ERROR: falta CODIGO CECO",IF(G990="CECO NO EXISTE","ERROR: CECO no existe en el catálogo",IF(C990="","ERROR: falta CUENTA",IF(ISERROR(--C990),"ERROR: CUENTA debe tener solo dígitos",IF(ISERROR(FIND(LEFT(C990,1),"567")),"ERROR: CUENTA fuera de las clases de costo",IF(NOT(ISNUMBER(E990)),"ERROR: VALOR debe ser numérico",IF(E990=0,"AVISO: valor cero (no se carga)",IF(J990&lt;&gt;"ACTIVO","NO SE CARGA: CECO en estado "&amp;J990,"OK"))))))))))</f>
        <v/>
      </c>
    </row>
    <row r="991">
      <c r="A991" s="5" t="n"/>
      <c r="B991" s="6" t="n"/>
      <c r="C991" s="5" t="n"/>
      <c r="D991" s="6" t="n"/>
      <c r="E991" s="7" t="n"/>
      <c r="F991" s="6" t="n"/>
      <c r="G991" s="8">
        <f>IF(B991="","",IFERROR(VLOOKUP(--B991,'CATALOGO CECO'!$A$2:$H$550,2,FALSE),"CECO NO EXISTE"))</f>
        <v/>
      </c>
      <c r="H991" s="8">
        <f>IF(B991="","",IFERROR(VLOOKUP(--B991,'CATALOGO CECO'!$A$2:$H$550,3,FALSE),""))</f>
        <v/>
      </c>
      <c r="I991" s="8">
        <f>IF(B991="","",IFERROR(VLOOKUP(--B991,'CATALOGO CECO'!$A$2:$H$550,5,FALSE),""))</f>
        <v/>
      </c>
      <c r="J991" s="8">
        <f>IF(B991="","",IFERROR(VLOOKUP(--B991,'CATALOGO CECO'!$A$2:$H$550,8,FALSE),""))</f>
        <v/>
      </c>
      <c r="K991" s="8">
        <f>IF(COUNTA(A991:F991)=0,"",IF(OR(LEN(A991)&lt;&gt;7,MID(A991,5,1)&lt;&gt;"-",ISERROR(--LEFT(A991,4)),ISERROR(--RIGHT(A991,2))),"ERROR: PERIODO debe ser AAAA-MM",IF(B991="","ERROR: falta CODIGO CECO",IF(G991="CECO NO EXISTE","ERROR: CECO no existe en el catálogo",IF(C991="","ERROR: falta CUENTA",IF(ISERROR(--C991),"ERROR: CUENTA debe tener solo dígitos",IF(ISERROR(FIND(LEFT(C991,1),"567")),"ERROR: CUENTA fuera de las clases de costo",IF(NOT(ISNUMBER(E991)),"ERROR: VALOR debe ser numérico",IF(E991=0,"AVISO: valor cero (no se carga)",IF(J991&lt;&gt;"ACTIVO","NO SE CARGA: CECO en estado "&amp;J991,"OK"))))))))))</f>
        <v/>
      </c>
    </row>
    <row r="992">
      <c r="A992" s="5" t="n"/>
      <c r="B992" s="6" t="n"/>
      <c r="C992" s="5" t="n"/>
      <c r="D992" s="6" t="n"/>
      <c r="E992" s="7" t="n"/>
      <c r="F992" s="6" t="n"/>
      <c r="G992" s="8">
        <f>IF(B992="","",IFERROR(VLOOKUP(--B992,'CATALOGO CECO'!$A$2:$H$550,2,FALSE),"CECO NO EXISTE"))</f>
        <v/>
      </c>
      <c r="H992" s="8">
        <f>IF(B992="","",IFERROR(VLOOKUP(--B992,'CATALOGO CECO'!$A$2:$H$550,3,FALSE),""))</f>
        <v/>
      </c>
      <c r="I992" s="8">
        <f>IF(B992="","",IFERROR(VLOOKUP(--B992,'CATALOGO CECO'!$A$2:$H$550,5,FALSE),""))</f>
        <v/>
      </c>
      <c r="J992" s="8">
        <f>IF(B992="","",IFERROR(VLOOKUP(--B992,'CATALOGO CECO'!$A$2:$H$550,8,FALSE),""))</f>
        <v/>
      </c>
      <c r="K992" s="8">
        <f>IF(COUNTA(A992:F992)=0,"",IF(OR(LEN(A992)&lt;&gt;7,MID(A992,5,1)&lt;&gt;"-",ISERROR(--LEFT(A992,4)),ISERROR(--RIGHT(A992,2))),"ERROR: PERIODO debe ser AAAA-MM",IF(B992="","ERROR: falta CODIGO CECO",IF(G992="CECO NO EXISTE","ERROR: CECO no existe en el catálogo",IF(C992="","ERROR: falta CUENTA",IF(ISERROR(--C992),"ERROR: CUENTA debe tener solo dígitos",IF(ISERROR(FIND(LEFT(C992,1),"567")),"ERROR: CUENTA fuera de las clases de costo",IF(NOT(ISNUMBER(E992)),"ERROR: VALOR debe ser numérico",IF(E992=0,"AVISO: valor cero (no se carga)",IF(J992&lt;&gt;"ACTIVO","NO SE CARGA: CECO en estado "&amp;J992,"OK"))))))))))</f>
        <v/>
      </c>
    </row>
    <row r="993">
      <c r="A993" s="5" t="n"/>
      <c r="B993" s="6" t="n"/>
      <c r="C993" s="5" t="n"/>
      <c r="D993" s="6" t="n"/>
      <c r="E993" s="7" t="n"/>
      <c r="F993" s="6" t="n"/>
      <c r="G993" s="8">
        <f>IF(B993="","",IFERROR(VLOOKUP(--B993,'CATALOGO CECO'!$A$2:$H$550,2,FALSE),"CECO NO EXISTE"))</f>
        <v/>
      </c>
      <c r="H993" s="8">
        <f>IF(B993="","",IFERROR(VLOOKUP(--B993,'CATALOGO CECO'!$A$2:$H$550,3,FALSE),""))</f>
        <v/>
      </c>
      <c r="I993" s="8">
        <f>IF(B993="","",IFERROR(VLOOKUP(--B993,'CATALOGO CECO'!$A$2:$H$550,5,FALSE),""))</f>
        <v/>
      </c>
      <c r="J993" s="8">
        <f>IF(B993="","",IFERROR(VLOOKUP(--B993,'CATALOGO CECO'!$A$2:$H$550,8,FALSE),""))</f>
        <v/>
      </c>
      <c r="K993" s="8">
        <f>IF(COUNTA(A993:F993)=0,"",IF(OR(LEN(A993)&lt;&gt;7,MID(A993,5,1)&lt;&gt;"-",ISERROR(--LEFT(A993,4)),ISERROR(--RIGHT(A993,2))),"ERROR: PERIODO debe ser AAAA-MM",IF(B993="","ERROR: falta CODIGO CECO",IF(G993="CECO NO EXISTE","ERROR: CECO no existe en el catálogo",IF(C993="","ERROR: falta CUENTA",IF(ISERROR(--C993),"ERROR: CUENTA debe tener solo dígitos",IF(ISERROR(FIND(LEFT(C993,1),"567")),"ERROR: CUENTA fuera de las clases de costo",IF(NOT(ISNUMBER(E993)),"ERROR: VALOR debe ser numérico",IF(E993=0,"AVISO: valor cero (no se carga)",IF(J993&lt;&gt;"ACTIVO","NO SE CARGA: CECO en estado "&amp;J993,"OK"))))))))))</f>
        <v/>
      </c>
    </row>
    <row r="994">
      <c r="A994" s="5" t="n"/>
      <c r="B994" s="6" t="n"/>
      <c r="C994" s="5" t="n"/>
      <c r="D994" s="6" t="n"/>
      <c r="E994" s="7" t="n"/>
      <c r="F994" s="6" t="n"/>
      <c r="G994" s="8">
        <f>IF(B994="","",IFERROR(VLOOKUP(--B994,'CATALOGO CECO'!$A$2:$H$550,2,FALSE),"CECO NO EXISTE"))</f>
        <v/>
      </c>
      <c r="H994" s="8">
        <f>IF(B994="","",IFERROR(VLOOKUP(--B994,'CATALOGO CECO'!$A$2:$H$550,3,FALSE),""))</f>
        <v/>
      </c>
      <c r="I994" s="8">
        <f>IF(B994="","",IFERROR(VLOOKUP(--B994,'CATALOGO CECO'!$A$2:$H$550,5,FALSE),""))</f>
        <v/>
      </c>
      <c r="J994" s="8">
        <f>IF(B994="","",IFERROR(VLOOKUP(--B994,'CATALOGO CECO'!$A$2:$H$550,8,FALSE),""))</f>
        <v/>
      </c>
      <c r="K994" s="8">
        <f>IF(COUNTA(A994:F994)=0,"",IF(OR(LEN(A994)&lt;&gt;7,MID(A994,5,1)&lt;&gt;"-",ISERROR(--LEFT(A994,4)),ISERROR(--RIGHT(A994,2))),"ERROR: PERIODO debe ser AAAA-MM",IF(B994="","ERROR: falta CODIGO CECO",IF(G994="CECO NO EXISTE","ERROR: CECO no existe en el catálogo",IF(C994="","ERROR: falta CUENTA",IF(ISERROR(--C994),"ERROR: CUENTA debe tener solo dígitos",IF(ISERROR(FIND(LEFT(C994,1),"567")),"ERROR: CUENTA fuera de las clases de costo",IF(NOT(ISNUMBER(E994)),"ERROR: VALOR debe ser numérico",IF(E994=0,"AVISO: valor cero (no se carga)",IF(J994&lt;&gt;"ACTIVO","NO SE CARGA: CECO en estado "&amp;J994,"OK"))))))))))</f>
        <v/>
      </c>
    </row>
    <row r="995">
      <c r="A995" s="5" t="n"/>
      <c r="B995" s="6" t="n"/>
      <c r="C995" s="5" t="n"/>
      <c r="D995" s="6" t="n"/>
      <c r="E995" s="7" t="n"/>
      <c r="F995" s="6" t="n"/>
      <c r="G995" s="8">
        <f>IF(B995="","",IFERROR(VLOOKUP(--B995,'CATALOGO CECO'!$A$2:$H$550,2,FALSE),"CECO NO EXISTE"))</f>
        <v/>
      </c>
      <c r="H995" s="8">
        <f>IF(B995="","",IFERROR(VLOOKUP(--B995,'CATALOGO CECO'!$A$2:$H$550,3,FALSE),""))</f>
        <v/>
      </c>
      <c r="I995" s="8">
        <f>IF(B995="","",IFERROR(VLOOKUP(--B995,'CATALOGO CECO'!$A$2:$H$550,5,FALSE),""))</f>
        <v/>
      </c>
      <c r="J995" s="8">
        <f>IF(B995="","",IFERROR(VLOOKUP(--B995,'CATALOGO CECO'!$A$2:$H$550,8,FALSE),""))</f>
        <v/>
      </c>
      <c r="K995" s="8">
        <f>IF(COUNTA(A995:F995)=0,"",IF(OR(LEN(A995)&lt;&gt;7,MID(A995,5,1)&lt;&gt;"-",ISERROR(--LEFT(A995,4)),ISERROR(--RIGHT(A995,2))),"ERROR: PERIODO debe ser AAAA-MM",IF(B995="","ERROR: falta CODIGO CECO",IF(G995="CECO NO EXISTE","ERROR: CECO no existe en el catálogo",IF(C995="","ERROR: falta CUENTA",IF(ISERROR(--C995),"ERROR: CUENTA debe tener solo dígitos",IF(ISERROR(FIND(LEFT(C995,1),"567")),"ERROR: CUENTA fuera de las clases de costo",IF(NOT(ISNUMBER(E995)),"ERROR: VALOR debe ser numérico",IF(E995=0,"AVISO: valor cero (no se carga)",IF(J995&lt;&gt;"ACTIVO","NO SE CARGA: CECO en estado "&amp;J995,"OK"))))))))))</f>
        <v/>
      </c>
    </row>
    <row r="996">
      <c r="A996" s="5" t="n"/>
      <c r="B996" s="6" t="n"/>
      <c r="C996" s="5" t="n"/>
      <c r="D996" s="6" t="n"/>
      <c r="E996" s="7" t="n"/>
      <c r="F996" s="6" t="n"/>
      <c r="G996" s="8">
        <f>IF(B996="","",IFERROR(VLOOKUP(--B996,'CATALOGO CECO'!$A$2:$H$550,2,FALSE),"CECO NO EXISTE"))</f>
        <v/>
      </c>
      <c r="H996" s="8">
        <f>IF(B996="","",IFERROR(VLOOKUP(--B996,'CATALOGO CECO'!$A$2:$H$550,3,FALSE),""))</f>
        <v/>
      </c>
      <c r="I996" s="8">
        <f>IF(B996="","",IFERROR(VLOOKUP(--B996,'CATALOGO CECO'!$A$2:$H$550,5,FALSE),""))</f>
        <v/>
      </c>
      <c r="J996" s="8">
        <f>IF(B996="","",IFERROR(VLOOKUP(--B996,'CATALOGO CECO'!$A$2:$H$550,8,FALSE),""))</f>
        <v/>
      </c>
      <c r="K996" s="8">
        <f>IF(COUNTA(A996:F996)=0,"",IF(OR(LEN(A996)&lt;&gt;7,MID(A996,5,1)&lt;&gt;"-",ISERROR(--LEFT(A996,4)),ISERROR(--RIGHT(A996,2))),"ERROR: PERIODO debe ser AAAA-MM",IF(B996="","ERROR: falta CODIGO CECO",IF(G996="CECO NO EXISTE","ERROR: CECO no existe en el catálogo",IF(C996="","ERROR: falta CUENTA",IF(ISERROR(--C996),"ERROR: CUENTA debe tener solo dígitos",IF(ISERROR(FIND(LEFT(C996,1),"567")),"ERROR: CUENTA fuera de las clases de costo",IF(NOT(ISNUMBER(E996)),"ERROR: VALOR debe ser numérico",IF(E996=0,"AVISO: valor cero (no se carga)",IF(J996&lt;&gt;"ACTIVO","NO SE CARGA: CECO en estado "&amp;J996,"OK"))))))))))</f>
        <v/>
      </c>
    </row>
    <row r="997">
      <c r="A997" s="5" t="n"/>
      <c r="B997" s="6" t="n"/>
      <c r="C997" s="5" t="n"/>
      <c r="D997" s="6" t="n"/>
      <c r="E997" s="7" t="n"/>
      <c r="F997" s="6" t="n"/>
      <c r="G997" s="8">
        <f>IF(B997="","",IFERROR(VLOOKUP(--B997,'CATALOGO CECO'!$A$2:$H$550,2,FALSE),"CECO NO EXISTE"))</f>
        <v/>
      </c>
      <c r="H997" s="8">
        <f>IF(B997="","",IFERROR(VLOOKUP(--B997,'CATALOGO CECO'!$A$2:$H$550,3,FALSE),""))</f>
        <v/>
      </c>
      <c r="I997" s="8">
        <f>IF(B997="","",IFERROR(VLOOKUP(--B997,'CATALOGO CECO'!$A$2:$H$550,5,FALSE),""))</f>
        <v/>
      </c>
      <c r="J997" s="8">
        <f>IF(B997="","",IFERROR(VLOOKUP(--B997,'CATALOGO CECO'!$A$2:$H$550,8,FALSE),""))</f>
        <v/>
      </c>
      <c r="K997" s="8">
        <f>IF(COUNTA(A997:F997)=0,"",IF(OR(LEN(A997)&lt;&gt;7,MID(A997,5,1)&lt;&gt;"-",ISERROR(--LEFT(A997,4)),ISERROR(--RIGHT(A997,2))),"ERROR: PERIODO debe ser AAAA-MM",IF(B997="","ERROR: falta CODIGO CECO",IF(G997="CECO NO EXISTE","ERROR: CECO no existe en el catálogo",IF(C997="","ERROR: falta CUENTA",IF(ISERROR(--C997),"ERROR: CUENTA debe tener solo dígitos",IF(ISERROR(FIND(LEFT(C997,1),"567")),"ERROR: CUENTA fuera de las clases de costo",IF(NOT(ISNUMBER(E997)),"ERROR: VALOR debe ser numérico",IF(E997=0,"AVISO: valor cero (no se carga)",IF(J997&lt;&gt;"ACTIVO","NO SE CARGA: CECO en estado "&amp;J997,"OK"))))))))))</f>
        <v/>
      </c>
    </row>
    <row r="998">
      <c r="A998" s="5" t="n"/>
      <c r="B998" s="6" t="n"/>
      <c r="C998" s="5" t="n"/>
      <c r="D998" s="6" t="n"/>
      <c r="E998" s="7" t="n"/>
      <c r="F998" s="6" t="n"/>
      <c r="G998" s="8">
        <f>IF(B998="","",IFERROR(VLOOKUP(--B998,'CATALOGO CECO'!$A$2:$H$550,2,FALSE),"CECO NO EXISTE"))</f>
        <v/>
      </c>
      <c r="H998" s="8">
        <f>IF(B998="","",IFERROR(VLOOKUP(--B998,'CATALOGO CECO'!$A$2:$H$550,3,FALSE),""))</f>
        <v/>
      </c>
      <c r="I998" s="8">
        <f>IF(B998="","",IFERROR(VLOOKUP(--B998,'CATALOGO CECO'!$A$2:$H$550,5,FALSE),""))</f>
        <v/>
      </c>
      <c r="J998" s="8">
        <f>IF(B998="","",IFERROR(VLOOKUP(--B998,'CATALOGO CECO'!$A$2:$H$550,8,FALSE),""))</f>
        <v/>
      </c>
      <c r="K998" s="8">
        <f>IF(COUNTA(A998:F998)=0,"",IF(OR(LEN(A998)&lt;&gt;7,MID(A998,5,1)&lt;&gt;"-",ISERROR(--LEFT(A998,4)),ISERROR(--RIGHT(A998,2))),"ERROR: PERIODO debe ser AAAA-MM",IF(B998="","ERROR: falta CODIGO CECO",IF(G998="CECO NO EXISTE","ERROR: CECO no existe en el catálogo",IF(C998="","ERROR: falta CUENTA",IF(ISERROR(--C998),"ERROR: CUENTA debe tener solo dígitos",IF(ISERROR(FIND(LEFT(C998,1),"567")),"ERROR: CUENTA fuera de las clases de costo",IF(NOT(ISNUMBER(E998)),"ERROR: VALOR debe ser numérico",IF(E998=0,"AVISO: valor cero (no se carga)",IF(J998&lt;&gt;"ACTIVO","NO SE CARGA: CECO en estado "&amp;J998,"OK"))))))))))</f>
        <v/>
      </c>
    </row>
    <row r="999">
      <c r="A999" s="5" t="n"/>
      <c r="B999" s="6" t="n"/>
      <c r="C999" s="5" t="n"/>
      <c r="D999" s="6" t="n"/>
      <c r="E999" s="7" t="n"/>
      <c r="F999" s="6" t="n"/>
      <c r="G999" s="8">
        <f>IF(B999="","",IFERROR(VLOOKUP(--B999,'CATALOGO CECO'!$A$2:$H$550,2,FALSE),"CECO NO EXISTE"))</f>
        <v/>
      </c>
      <c r="H999" s="8">
        <f>IF(B999="","",IFERROR(VLOOKUP(--B999,'CATALOGO CECO'!$A$2:$H$550,3,FALSE),""))</f>
        <v/>
      </c>
      <c r="I999" s="8">
        <f>IF(B999="","",IFERROR(VLOOKUP(--B999,'CATALOGO CECO'!$A$2:$H$550,5,FALSE),""))</f>
        <v/>
      </c>
      <c r="J999" s="8">
        <f>IF(B999="","",IFERROR(VLOOKUP(--B999,'CATALOGO CECO'!$A$2:$H$550,8,FALSE),""))</f>
        <v/>
      </c>
      <c r="K999" s="8">
        <f>IF(COUNTA(A999:F999)=0,"",IF(OR(LEN(A999)&lt;&gt;7,MID(A999,5,1)&lt;&gt;"-",ISERROR(--LEFT(A999,4)),ISERROR(--RIGHT(A999,2))),"ERROR: PERIODO debe ser AAAA-MM",IF(B999="","ERROR: falta CODIGO CECO",IF(G999="CECO NO EXISTE","ERROR: CECO no existe en el catálogo",IF(C999="","ERROR: falta CUENTA",IF(ISERROR(--C999),"ERROR: CUENTA debe tener solo dígitos",IF(ISERROR(FIND(LEFT(C999,1),"567")),"ERROR: CUENTA fuera de las clases de costo",IF(NOT(ISNUMBER(E999)),"ERROR: VALOR debe ser numérico",IF(E999=0,"AVISO: valor cero (no se carga)",IF(J999&lt;&gt;"ACTIVO","NO SE CARGA: CECO en estado "&amp;J999,"OK"))))))))))</f>
        <v/>
      </c>
    </row>
    <row r="1000">
      <c r="A1000" s="5" t="n"/>
      <c r="B1000" s="6" t="n"/>
      <c r="C1000" s="5" t="n"/>
      <c r="D1000" s="6" t="n"/>
      <c r="E1000" s="7" t="n"/>
      <c r="F1000" s="6" t="n"/>
      <c r="G1000" s="8">
        <f>IF(B1000="","",IFERROR(VLOOKUP(--B1000,'CATALOGO CECO'!$A$2:$H$550,2,FALSE),"CECO NO EXISTE"))</f>
        <v/>
      </c>
      <c r="H1000" s="8">
        <f>IF(B1000="","",IFERROR(VLOOKUP(--B1000,'CATALOGO CECO'!$A$2:$H$550,3,FALSE),""))</f>
        <v/>
      </c>
      <c r="I1000" s="8">
        <f>IF(B1000="","",IFERROR(VLOOKUP(--B1000,'CATALOGO CECO'!$A$2:$H$550,5,FALSE),""))</f>
        <v/>
      </c>
      <c r="J1000" s="8">
        <f>IF(B1000="","",IFERROR(VLOOKUP(--B1000,'CATALOGO CECO'!$A$2:$H$550,8,FALSE),""))</f>
        <v/>
      </c>
      <c r="K1000" s="8">
        <f>IF(COUNTA(A1000:F1000)=0,"",IF(OR(LEN(A1000)&lt;&gt;7,MID(A1000,5,1)&lt;&gt;"-",ISERROR(--LEFT(A1000,4)),ISERROR(--RIGHT(A1000,2))),"ERROR: PERIODO debe ser AAAA-MM",IF(B1000="","ERROR: falta CODIGO CECO",IF(G1000="CECO NO EXISTE","ERROR: CECO no existe en el catálogo",IF(C1000="","ERROR: falta CUENTA",IF(ISERROR(--C1000),"ERROR: CUENTA debe tener solo dígitos",IF(ISERROR(FIND(LEFT(C1000,1),"567")),"ERROR: CUENTA fuera de las clases de costo",IF(NOT(ISNUMBER(E1000)),"ERROR: VALOR debe ser numérico",IF(E1000=0,"AVISO: valor cero (no se carga)",IF(J1000&lt;&gt;"ACTIVO","NO SE CARGA: CECO en estado "&amp;J1000,"OK"))))))))))</f>
        <v/>
      </c>
    </row>
    <row r="1001">
      <c r="A1001" s="5" t="n"/>
      <c r="B1001" s="6" t="n"/>
      <c r="C1001" s="5" t="n"/>
      <c r="D1001" s="6" t="n"/>
      <c r="E1001" s="7" t="n"/>
      <c r="F1001" s="6" t="n"/>
      <c r="G1001" s="8">
        <f>IF(B1001="","",IFERROR(VLOOKUP(--B1001,'CATALOGO CECO'!$A$2:$H$550,2,FALSE),"CECO NO EXISTE"))</f>
        <v/>
      </c>
      <c r="H1001" s="8">
        <f>IF(B1001="","",IFERROR(VLOOKUP(--B1001,'CATALOGO CECO'!$A$2:$H$550,3,FALSE),""))</f>
        <v/>
      </c>
      <c r="I1001" s="8">
        <f>IF(B1001="","",IFERROR(VLOOKUP(--B1001,'CATALOGO CECO'!$A$2:$H$550,5,FALSE),""))</f>
        <v/>
      </c>
      <c r="J1001" s="8">
        <f>IF(B1001="","",IFERROR(VLOOKUP(--B1001,'CATALOGO CECO'!$A$2:$H$550,8,FALSE),""))</f>
        <v/>
      </c>
      <c r="K1001" s="8">
        <f>IF(COUNTA(A1001:F1001)=0,"",IF(OR(LEN(A1001)&lt;&gt;7,MID(A1001,5,1)&lt;&gt;"-",ISERROR(--LEFT(A1001,4)),ISERROR(--RIGHT(A1001,2))),"ERROR: PERIODO debe ser AAAA-MM",IF(B1001="","ERROR: falta CODIGO CECO",IF(G1001="CECO NO EXISTE","ERROR: CECO no existe en el catálogo",IF(C1001="","ERROR: falta CUENTA",IF(ISERROR(--C1001),"ERROR: CUENTA debe tener solo dígitos",IF(ISERROR(FIND(LEFT(C1001,1),"567")),"ERROR: CUENTA fuera de las clases de costo",IF(NOT(ISNUMBER(E1001)),"ERROR: VALOR debe ser numérico",IF(E1001=0,"AVISO: valor cero (no se carga)",IF(J1001&lt;&gt;"ACTIVO","NO SE CARGA: CECO en estado "&amp;J1001,"OK"))))))))))</f>
        <v/>
      </c>
    </row>
    <row r="1002">
      <c r="A1002" s="5" t="n"/>
      <c r="B1002" s="6" t="n"/>
      <c r="C1002" s="5" t="n"/>
      <c r="D1002" s="6" t="n"/>
      <c r="E1002" s="7" t="n"/>
      <c r="F1002" s="6" t="n"/>
      <c r="G1002" s="8">
        <f>IF(B1002="","",IFERROR(VLOOKUP(--B1002,'CATALOGO CECO'!$A$2:$H$550,2,FALSE),"CECO NO EXISTE"))</f>
        <v/>
      </c>
      <c r="H1002" s="8">
        <f>IF(B1002="","",IFERROR(VLOOKUP(--B1002,'CATALOGO CECO'!$A$2:$H$550,3,FALSE),""))</f>
        <v/>
      </c>
      <c r="I1002" s="8">
        <f>IF(B1002="","",IFERROR(VLOOKUP(--B1002,'CATALOGO CECO'!$A$2:$H$550,5,FALSE),""))</f>
        <v/>
      </c>
      <c r="J1002" s="8">
        <f>IF(B1002="","",IFERROR(VLOOKUP(--B1002,'CATALOGO CECO'!$A$2:$H$550,8,FALSE),""))</f>
        <v/>
      </c>
      <c r="K1002" s="8">
        <f>IF(COUNTA(A1002:F1002)=0,"",IF(OR(LEN(A1002)&lt;&gt;7,MID(A1002,5,1)&lt;&gt;"-",ISERROR(--LEFT(A1002,4)),ISERROR(--RIGHT(A1002,2))),"ERROR: PERIODO debe ser AAAA-MM",IF(B1002="","ERROR: falta CODIGO CECO",IF(G1002="CECO NO EXISTE","ERROR: CECO no existe en el catálogo",IF(C1002="","ERROR: falta CUENTA",IF(ISERROR(--C1002),"ERROR: CUENTA debe tener solo dígitos",IF(ISERROR(FIND(LEFT(C1002,1),"567")),"ERROR: CUENTA fuera de las clases de costo",IF(NOT(ISNUMBER(E1002)),"ERROR: VALOR debe ser numérico",IF(E1002=0,"AVISO: valor cero (no se carga)",IF(J1002&lt;&gt;"ACTIVO","NO SE CARGA: CECO en estado "&amp;J1002,"OK"))))))))))</f>
        <v/>
      </c>
    </row>
    <row r="1003">
      <c r="A1003" s="5" t="n"/>
      <c r="B1003" s="6" t="n"/>
      <c r="C1003" s="5" t="n"/>
      <c r="D1003" s="6" t="n"/>
      <c r="E1003" s="7" t="n"/>
      <c r="F1003" s="6" t="n"/>
      <c r="G1003" s="8">
        <f>IF(B1003="","",IFERROR(VLOOKUP(--B1003,'CATALOGO CECO'!$A$2:$H$550,2,FALSE),"CECO NO EXISTE"))</f>
        <v/>
      </c>
      <c r="H1003" s="8">
        <f>IF(B1003="","",IFERROR(VLOOKUP(--B1003,'CATALOGO CECO'!$A$2:$H$550,3,FALSE),""))</f>
        <v/>
      </c>
      <c r="I1003" s="8">
        <f>IF(B1003="","",IFERROR(VLOOKUP(--B1003,'CATALOGO CECO'!$A$2:$H$550,5,FALSE),""))</f>
        <v/>
      </c>
      <c r="J1003" s="8">
        <f>IF(B1003="","",IFERROR(VLOOKUP(--B1003,'CATALOGO CECO'!$A$2:$H$550,8,FALSE),""))</f>
        <v/>
      </c>
      <c r="K1003" s="8">
        <f>IF(COUNTA(A1003:F1003)=0,"",IF(OR(LEN(A1003)&lt;&gt;7,MID(A1003,5,1)&lt;&gt;"-",ISERROR(--LEFT(A1003,4)),ISERROR(--RIGHT(A1003,2))),"ERROR: PERIODO debe ser AAAA-MM",IF(B1003="","ERROR: falta CODIGO CECO",IF(G1003="CECO NO EXISTE","ERROR: CECO no existe en el catálogo",IF(C1003="","ERROR: falta CUENTA",IF(ISERROR(--C1003),"ERROR: CUENTA debe tener solo dígitos",IF(ISERROR(FIND(LEFT(C1003,1),"567")),"ERROR: CUENTA fuera de las clases de costo",IF(NOT(ISNUMBER(E1003)),"ERROR: VALOR debe ser numérico",IF(E1003=0,"AVISO: valor cero (no se carga)",IF(J1003&lt;&gt;"ACTIVO","NO SE CARGA: CECO en estado "&amp;J1003,"OK"))))))))))</f>
        <v/>
      </c>
    </row>
    <row r="1004">
      <c r="A1004" s="5" t="n"/>
      <c r="B1004" s="6" t="n"/>
      <c r="C1004" s="5" t="n"/>
      <c r="D1004" s="6" t="n"/>
      <c r="E1004" s="7" t="n"/>
      <c r="F1004" s="6" t="n"/>
      <c r="G1004" s="8">
        <f>IF(B1004="","",IFERROR(VLOOKUP(--B1004,'CATALOGO CECO'!$A$2:$H$550,2,FALSE),"CECO NO EXISTE"))</f>
        <v/>
      </c>
      <c r="H1004" s="8">
        <f>IF(B1004="","",IFERROR(VLOOKUP(--B1004,'CATALOGO CECO'!$A$2:$H$550,3,FALSE),""))</f>
        <v/>
      </c>
      <c r="I1004" s="8">
        <f>IF(B1004="","",IFERROR(VLOOKUP(--B1004,'CATALOGO CECO'!$A$2:$H$550,5,FALSE),""))</f>
        <v/>
      </c>
      <c r="J1004" s="8">
        <f>IF(B1004="","",IFERROR(VLOOKUP(--B1004,'CATALOGO CECO'!$A$2:$H$550,8,FALSE),""))</f>
        <v/>
      </c>
      <c r="K1004" s="8">
        <f>IF(COUNTA(A1004:F1004)=0,"",IF(OR(LEN(A1004)&lt;&gt;7,MID(A1004,5,1)&lt;&gt;"-",ISERROR(--LEFT(A1004,4)),ISERROR(--RIGHT(A1004,2))),"ERROR: PERIODO debe ser AAAA-MM",IF(B1004="","ERROR: falta CODIGO CECO",IF(G1004="CECO NO EXISTE","ERROR: CECO no existe en el catálogo",IF(C1004="","ERROR: falta CUENTA",IF(ISERROR(--C1004),"ERROR: CUENTA debe tener solo dígitos",IF(ISERROR(FIND(LEFT(C1004,1),"567")),"ERROR: CUENTA fuera de las clases de costo",IF(NOT(ISNUMBER(E1004)),"ERROR: VALOR debe ser numérico",IF(E1004=0,"AVISO: valor cero (no se carga)",IF(J1004&lt;&gt;"ACTIVO","NO SE CARGA: CECO en estado "&amp;J1004,"OK"))))))))))</f>
        <v/>
      </c>
    </row>
    <row r="1005">
      <c r="A1005" s="5" t="n"/>
      <c r="B1005" s="6" t="n"/>
      <c r="C1005" s="5" t="n"/>
      <c r="D1005" s="6" t="n"/>
      <c r="E1005" s="7" t="n"/>
      <c r="F1005" s="6" t="n"/>
      <c r="G1005" s="8">
        <f>IF(B1005="","",IFERROR(VLOOKUP(--B1005,'CATALOGO CECO'!$A$2:$H$550,2,FALSE),"CECO NO EXISTE"))</f>
        <v/>
      </c>
      <c r="H1005" s="8">
        <f>IF(B1005="","",IFERROR(VLOOKUP(--B1005,'CATALOGO CECO'!$A$2:$H$550,3,FALSE),""))</f>
        <v/>
      </c>
      <c r="I1005" s="8">
        <f>IF(B1005="","",IFERROR(VLOOKUP(--B1005,'CATALOGO CECO'!$A$2:$H$550,5,FALSE),""))</f>
        <v/>
      </c>
      <c r="J1005" s="8">
        <f>IF(B1005="","",IFERROR(VLOOKUP(--B1005,'CATALOGO CECO'!$A$2:$H$550,8,FALSE),""))</f>
        <v/>
      </c>
      <c r="K1005" s="8">
        <f>IF(COUNTA(A1005:F1005)=0,"",IF(OR(LEN(A1005)&lt;&gt;7,MID(A1005,5,1)&lt;&gt;"-",ISERROR(--LEFT(A1005,4)),ISERROR(--RIGHT(A1005,2))),"ERROR: PERIODO debe ser AAAA-MM",IF(B1005="","ERROR: falta CODIGO CECO",IF(G1005="CECO NO EXISTE","ERROR: CECO no existe en el catálogo",IF(C1005="","ERROR: falta CUENTA",IF(ISERROR(--C1005),"ERROR: CUENTA debe tener solo dígitos",IF(ISERROR(FIND(LEFT(C1005,1),"567")),"ERROR: CUENTA fuera de las clases de costo",IF(NOT(ISNUMBER(E1005)),"ERROR: VALOR debe ser numérico",IF(E1005=0,"AVISO: valor cero (no se carga)",IF(J1005&lt;&gt;"ACTIVO","NO SE CARGA: CECO en estado "&amp;J1005,"OK"))))))))))</f>
        <v/>
      </c>
    </row>
    <row r="1006">
      <c r="A1006" s="5" t="n"/>
      <c r="B1006" s="6" t="n"/>
      <c r="C1006" s="5" t="n"/>
      <c r="D1006" s="6" t="n"/>
      <c r="E1006" s="7" t="n"/>
      <c r="F1006" s="6" t="n"/>
      <c r="G1006" s="8">
        <f>IF(B1006="","",IFERROR(VLOOKUP(--B1006,'CATALOGO CECO'!$A$2:$H$550,2,FALSE),"CECO NO EXISTE"))</f>
        <v/>
      </c>
      <c r="H1006" s="8">
        <f>IF(B1006="","",IFERROR(VLOOKUP(--B1006,'CATALOGO CECO'!$A$2:$H$550,3,FALSE),""))</f>
        <v/>
      </c>
      <c r="I1006" s="8">
        <f>IF(B1006="","",IFERROR(VLOOKUP(--B1006,'CATALOGO CECO'!$A$2:$H$550,5,FALSE),""))</f>
        <v/>
      </c>
      <c r="J1006" s="8">
        <f>IF(B1006="","",IFERROR(VLOOKUP(--B1006,'CATALOGO CECO'!$A$2:$H$550,8,FALSE),""))</f>
        <v/>
      </c>
      <c r="K1006" s="8">
        <f>IF(COUNTA(A1006:F1006)=0,"",IF(OR(LEN(A1006)&lt;&gt;7,MID(A1006,5,1)&lt;&gt;"-",ISERROR(--LEFT(A1006,4)),ISERROR(--RIGHT(A1006,2))),"ERROR: PERIODO debe ser AAAA-MM",IF(B1006="","ERROR: falta CODIGO CECO",IF(G1006="CECO NO EXISTE","ERROR: CECO no existe en el catálogo",IF(C1006="","ERROR: falta CUENTA",IF(ISERROR(--C1006),"ERROR: CUENTA debe tener solo dígitos",IF(ISERROR(FIND(LEFT(C1006,1),"567")),"ERROR: CUENTA fuera de las clases de costo",IF(NOT(ISNUMBER(E1006)),"ERROR: VALOR debe ser numérico",IF(E1006=0,"AVISO: valor cero (no se carga)",IF(J1006&lt;&gt;"ACTIVO","NO SE CARGA: CECO en estado "&amp;J1006,"OK"))))))))))</f>
        <v/>
      </c>
    </row>
    <row r="1007">
      <c r="A1007" s="5" t="n"/>
      <c r="B1007" s="6" t="n"/>
      <c r="C1007" s="5" t="n"/>
      <c r="D1007" s="6" t="n"/>
      <c r="E1007" s="7" t="n"/>
      <c r="F1007" s="6" t="n"/>
      <c r="G1007" s="8">
        <f>IF(B1007="","",IFERROR(VLOOKUP(--B1007,'CATALOGO CECO'!$A$2:$H$550,2,FALSE),"CECO NO EXISTE"))</f>
        <v/>
      </c>
      <c r="H1007" s="8">
        <f>IF(B1007="","",IFERROR(VLOOKUP(--B1007,'CATALOGO CECO'!$A$2:$H$550,3,FALSE),""))</f>
        <v/>
      </c>
      <c r="I1007" s="8">
        <f>IF(B1007="","",IFERROR(VLOOKUP(--B1007,'CATALOGO CECO'!$A$2:$H$550,5,FALSE),""))</f>
        <v/>
      </c>
      <c r="J1007" s="8">
        <f>IF(B1007="","",IFERROR(VLOOKUP(--B1007,'CATALOGO CECO'!$A$2:$H$550,8,FALSE),""))</f>
        <v/>
      </c>
      <c r="K1007" s="8">
        <f>IF(COUNTA(A1007:F1007)=0,"",IF(OR(LEN(A1007)&lt;&gt;7,MID(A1007,5,1)&lt;&gt;"-",ISERROR(--LEFT(A1007,4)),ISERROR(--RIGHT(A1007,2))),"ERROR: PERIODO debe ser AAAA-MM",IF(B1007="","ERROR: falta CODIGO CECO",IF(G1007="CECO NO EXISTE","ERROR: CECO no existe en el catálogo",IF(C1007="","ERROR: falta CUENTA",IF(ISERROR(--C1007),"ERROR: CUENTA debe tener solo dígitos",IF(ISERROR(FIND(LEFT(C1007,1),"567")),"ERROR: CUENTA fuera de las clases de costo",IF(NOT(ISNUMBER(E1007)),"ERROR: VALOR debe ser numérico",IF(E1007=0,"AVISO: valor cero (no se carga)",IF(J1007&lt;&gt;"ACTIVO","NO SE CARGA: CECO en estado "&amp;J1007,"OK"))))))))))</f>
        <v/>
      </c>
    </row>
    <row r="1008">
      <c r="A1008" s="5" t="n"/>
      <c r="B1008" s="6" t="n"/>
      <c r="C1008" s="5" t="n"/>
      <c r="D1008" s="6" t="n"/>
      <c r="E1008" s="7" t="n"/>
      <c r="F1008" s="6" t="n"/>
      <c r="G1008" s="8">
        <f>IF(B1008="","",IFERROR(VLOOKUP(--B1008,'CATALOGO CECO'!$A$2:$H$550,2,FALSE),"CECO NO EXISTE"))</f>
        <v/>
      </c>
      <c r="H1008" s="8">
        <f>IF(B1008="","",IFERROR(VLOOKUP(--B1008,'CATALOGO CECO'!$A$2:$H$550,3,FALSE),""))</f>
        <v/>
      </c>
      <c r="I1008" s="8">
        <f>IF(B1008="","",IFERROR(VLOOKUP(--B1008,'CATALOGO CECO'!$A$2:$H$550,5,FALSE),""))</f>
        <v/>
      </c>
      <c r="J1008" s="8">
        <f>IF(B1008="","",IFERROR(VLOOKUP(--B1008,'CATALOGO CECO'!$A$2:$H$550,8,FALSE),""))</f>
        <v/>
      </c>
      <c r="K1008" s="8">
        <f>IF(COUNTA(A1008:F1008)=0,"",IF(OR(LEN(A1008)&lt;&gt;7,MID(A1008,5,1)&lt;&gt;"-",ISERROR(--LEFT(A1008,4)),ISERROR(--RIGHT(A1008,2))),"ERROR: PERIODO debe ser AAAA-MM",IF(B1008="","ERROR: falta CODIGO CECO",IF(G1008="CECO NO EXISTE","ERROR: CECO no existe en el catálogo",IF(C1008="","ERROR: falta CUENTA",IF(ISERROR(--C1008),"ERROR: CUENTA debe tener solo dígitos",IF(ISERROR(FIND(LEFT(C1008,1),"567")),"ERROR: CUENTA fuera de las clases de costo",IF(NOT(ISNUMBER(E1008)),"ERROR: VALOR debe ser numérico",IF(E1008=0,"AVISO: valor cero (no se carga)",IF(J1008&lt;&gt;"ACTIVO","NO SE CARGA: CECO en estado "&amp;J1008,"OK"))))))))))</f>
        <v/>
      </c>
    </row>
    <row r="1009">
      <c r="A1009" s="5" t="n"/>
      <c r="B1009" s="6" t="n"/>
      <c r="C1009" s="5" t="n"/>
      <c r="D1009" s="6" t="n"/>
      <c r="E1009" s="7" t="n"/>
      <c r="F1009" s="6" t="n"/>
      <c r="G1009" s="8">
        <f>IF(B1009="","",IFERROR(VLOOKUP(--B1009,'CATALOGO CECO'!$A$2:$H$550,2,FALSE),"CECO NO EXISTE"))</f>
        <v/>
      </c>
      <c r="H1009" s="8">
        <f>IF(B1009="","",IFERROR(VLOOKUP(--B1009,'CATALOGO CECO'!$A$2:$H$550,3,FALSE),""))</f>
        <v/>
      </c>
      <c r="I1009" s="8">
        <f>IF(B1009="","",IFERROR(VLOOKUP(--B1009,'CATALOGO CECO'!$A$2:$H$550,5,FALSE),""))</f>
        <v/>
      </c>
      <c r="J1009" s="8">
        <f>IF(B1009="","",IFERROR(VLOOKUP(--B1009,'CATALOGO CECO'!$A$2:$H$550,8,FALSE),""))</f>
        <v/>
      </c>
      <c r="K1009" s="8">
        <f>IF(COUNTA(A1009:F1009)=0,"",IF(OR(LEN(A1009)&lt;&gt;7,MID(A1009,5,1)&lt;&gt;"-",ISERROR(--LEFT(A1009,4)),ISERROR(--RIGHT(A1009,2))),"ERROR: PERIODO debe ser AAAA-MM",IF(B1009="","ERROR: falta CODIGO CECO",IF(G1009="CECO NO EXISTE","ERROR: CECO no existe en el catálogo",IF(C1009="","ERROR: falta CUENTA",IF(ISERROR(--C1009),"ERROR: CUENTA debe tener solo dígitos",IF(ISERROR(FIND(LEFT(C1009,1),"567")),"ERROR: CUENTA fuera de las clases de costo",IF(NOT(ISNUMBER(E1009)),"ERROR: VALOR debe ser numérico",IF(E1009=0,"AVISO: valor cero (no se carga)",IF(J1009&lt;&gt;"ACTIVO","NO SE CARGA: CECO en estado "&amp;J1009,"OK"))))))))))</f>
        <v/>
      </c>
    </row>
    <row r="1010">
      <c r="A1010" s="5" t="n"/>
      <c r="B1010" s="6" t="n"/>
      <c r="C1010" s="5" t="n"/>
      <c r="D1010" s="6" t="n"/>
      <c r="E1010" s="7" t="n"/>
      <c r="F1010" s="6" t="n"/>
      <c r="G1010" s="8">
        <f>IF(B1010="","",IFERROR(VLOOKUP(--B1010,'CATALOGO CECO'!$A$2:$H$550,2,FALSE),"CECO NO EXISTE"))</f>
        <v/>
      </c>
      <c r="H1010" s="8">
        <f>IF(B1010="","",IFERROR(VLOOKUP(--B1010,'CATALOGO CECO'!$A$2:$H$550,3,FALSE),""))</f>
        <v/>
      </c>
      <c r="I1010" s="8">
        <f>IF(B1010="","",IFERROR(VLOOKUP(--B1010,'CATALOGO CECO'!$A$2:$H$550,5,FALSE),""))</f>
        <v/>
      </c>
      <c r="J1010" s="8">
        <f>IF(B1010="","",IFERROR(VLOOKUP(--B1010,'CATALOGO CECO'!$A$2:$H$550,8,FALSE),""))</f>
        <v/>
      </c>
      <c r="K1010" s="8">
        <f>IF(COUNTA(A1010:F1010)=0,"",IF(OR(LEN(A1010)&lt;&gt;7,MID(A1010,5,1)&lt;&gt;"-",ISERROR(--LEFT(A1010,4)),ISERROR(--RIGHT(A1010,2))),"ERROR: PERIODO debe ser AAAA-MM",IF(B1010="","ERROR: falta CODIGO CECO",IF(G1010="CECO NO EXISTE","ERROR: CECO no existe en el catálogo",IF(C1010="","ERROR: falta CUENTA",IF(ISERROR(--C1010),"ERROR: CUENTA debe tener solo dígitos",IF(ISERROR(FIND(LEFT(C1010,1),"567")),"ERROR: CUENTA fuera de las clases de costo",IF(NOT(ISNUMBER(E1010)),"ERROR: VALOR debe ser numérico",IF(E1010=0,"AVISO: valor cero (no se carga)",IF(J1010&lt;&gt;"ACTIVO","NO SE CARGA: CECO en estado "&amp;J1010,"OK"))))))))))</f>
        <v/>
      </c>
    </row>
    <row r="1011">
      <c r="A1011" s="5" t="n"/>
      <c r="B1011" s="6" t="n"/>
      <c r="C1011" s="5" t="n"/>
      <c r="D1011" s="6" t="n"/>
      <c r="E1011" s="7" t="n"/>
      <c r="F1011" s="6" t="n"/>
      <c r="G1011" s="8">
        <f>IF(B1011="","",IFERROR(VLOOKUP(--B1011,'CATALOGO CECO'!$A$2:$H$550,2,FALSE),"CECO NO EXISTE"))</f>
        <v/>
      </c>
      <c r="H1011" s="8">
        <f>IF(B1011="","",IFERROR(VLOOKUP(--B1011,'CATALOGO CECO'!$A$2:$H$550,3,FALSE),""))</f>
        <v/>
      </c>
      <c r="I1011" s="8">
        <f>IF(B1011="","",IFERROR(VLOOKUP(--B1011,'CATALOGO CECO'!$A$2:$H$550,5,FALSE),""))</f>
        <v/>
      </c>
      <c r="J1011" s="8">
        <f>IF(B1011="","",IFERROR(VLOOKUP(--B1011,'CATALOGO CECO'!$A$2:$H$550,8,FALSE),""))</f>
        <v/>
      </c>
      <c r="K1011" s="8">
        <f>IF(COUNTA(A1011:F1011)=0,"",IF(OR(LEN(A1011)&lt;&gt;7,MID(A1011,5,1)&lt;&gt;"-",ISERROR(--LEFT(A1011,4)),ISERROR(--RIGHT(A1011,2))),"ERROR: PERIODO debe ser AAAA-MM",IF(B1011="","ERROR: falta CODIGO CECO",IF(G1011="CECO NO EXISTE","ERROR: CECO no existe en el catálogo",IF(C1011="","ERROR: falta CUENTA",IF(ISERROR(--C1011),"ERROR: CUENTA debe tener solo dígitos",IF(ISERROR(FIND(LEFT(C1011,1),"567")),"ERROR: CUENTA fuera de las clases de costo",IF(NOT(ISNUMBER(E1011)),"ERROR: VALOR debe ser numérico",IF(E1011=0,"AVISO: valor cero (no se carga)",IF(J1011&lt;&gt;"ACTIVO","NO SE CARGA: CECO en estado "&amp;J1011,"OK"))))))))))</f>
        <v/>
      </c>
    </row>
    <row r="1012">
      <c r="A1012" s="5" t="n"/>
      <c r="B1012" s="6" t="n"/>
      <c r="C1012" s="5" t="n"/>
      <c r="D1012" s="6" t="n"/>
      <c r="E1012" s="7" t="n"/>
      <c r="F1012" s="6" t="n"/>
      <c r="G1012" s="8">
        <f>IF(B1012="","",IFERROR(VLOOKUP(--B1012,'CATALOGO CECO'!$A$2:$H$550,2,FALSE),"CECO NO EXISTE"))</f>
        <v/>
      </c>
      <c r="H1012" s="8">
        <f>IF(B1012="","",IFERROR(VLOOKUP(--B1012,'CATALOGO CECO'!$A$2:$H$550,3,FALSE),""))</f>
        <v/>
      </c>
      <c r="I1012" s="8">
        <f>IF(B1012="","",IFERROR(VLOOKUP(--B1012,'CATALOGO CECO'!$A$2:$H$550,5,FALSE),""))</f>
        <v/>
      </c>
      <c r="J1012" s="8">
        <f>IF(B1012="","",IFERROR(VLOOKUP(--B1012,'CATALOGO CECO'!$A$2:$H$550,8,FALSE),""))</f>
        <v/>
      </c>
      <c r="K1012" s="8">
        <f>IF(COUNTA(A1012:F1012)=0,"",IF(OR(LEN(A1012)&lt;&gt;7,MID(A1012,5,1)&lt;&gt;"-",ISERROR(--LEFT(A1012,4)),ISERROR(--RIGHT(A1012,2))),"ERROR: PERIODO debe ser AAAA-MM",IF(B1012="","ERROR: falta CODIGO CECO",IF(G1012="CECO NO EXISTE","ERROR: CECO no existe en el catálogo",IF(C1012="","ERROR: falta CUENTA",IF(ISERROR(--C1012),"ERROR: CUENTA debe tener solo dígitos",IF(ISERROR(FIND(LEFT(C1012,1),"567")),"ERROR: CUENTA fuera de las clases de costo",IF(NOT(ISNUMBER(E1012)),"ERROR: VALOR debe ser numérico",IF(E1012=0,"AVISO: valor cero (no se carga)",IF(J1012&lt;&gt;"ACTIVO","NO SE CARGA: CECO en estado "&amp;J1012,"OK"))))))))))</f>
        <v/>
      </c>
    </row>
    <row r="1013">
      <c r="A1013" s="5" t="n"/>
      <c r="B1013" s="6" t="n"/>
      <c r="C1013" s="5" t="n"/>
      <c r="D1013" s="6" t="n"/>
      <c r="E1013" s="7" t="n"/>
      <c r="F1013" s="6" t="n"/>
      <c r="G1013" s="8">
        <f>IF(B1013="","",IFERROR(VLOOKUP(--B1013,'CATALOGO CECO'!$A$2:$H$550,2,FALSE),"CECO NO EXISTE"))</f>
        <v/>
      </c>
      <c r="H1013" s="8">
        <f>IF(B1013="","",IFERROR(VLOOKUP(--B1013,'CATALOGO CECO'!$A$2:$H$550,3,FALSE),""))</f>
        <v/>
      </c>
      <c r="I1013" s="8">
        <f>IF(B1013="","",IFERROR(VLOOKUP(--B1013,'CATALOGO CECO'!$A$2:$H$550,5,FALSE),""))</f>
        <v/>
      </c>
      <c r="J1013" s="8">
        <f>IF(B1013="","",IFERROR(VLOOKUP(--B1013,'CATALOGO CECO'!$A$2:$H$550,8,FALSE),""))</f>
        <v/>
      </c>
      <c r="K1013" s="8">
        <f>IF(COUNTA(A1013:F1013)=0,"",IF(OR(LEN(A1013)&lt;&gt;7,MID(A1013,5,1)&lt;&gt;"-",ISERROR(--LEFT(A1013,4)),ISERROR(--RIGHT(A1013,2))),"ERROR: PERIODO debe ser AAAA-MM",IF(B1013="","ERROR: falta CODIGO CECO",IF(G1013="CECO NO EXISTE","ERROR: CECO no existe en el catálogo",IF(C1013="","ERROR: falta CUENTA",IF(ISERROR(--C1013),"ERROR: CUENTA debe tener solo dígitos",IF(ISERROR(FIND(LEFT(C1013,1),"567")),"ERROR: CUENTA fuera de las clases de costo",IF(NOT(ISNUMBER(E1013)),"ERROR: VALOR debe ser numérico",IF(E1013=0,"AVISO: valor cero (no se carga)",IF(J1013&lt;&gt;"ACTIVO","NO SE CARGA: CECO en estado "&amp;J1013,"OK"))))))))))</f>
        <v/>
      </c>
    </row>
    <row r="1014">
      <c r="A1014" s="5" t="n"/>
      <c r="B1014" s="6" t="n"/>
      <c r="C1014" s="5" t="n"/>
      <c r="D1014" s="6" t="n"/>
      <c r="E1014" s="7" t="n"/>
      <c r="F1014" s="6" t="n"/>
      <c r="G1014" s="8">
        <f>IF(B1014="","",IFERROR(VLOOKUP(--B1014,'CATALOGO CECO'!$A$2:$H$550,2,FALSE),"CECO NO EXISTE"))</f>
        <v/>
      </c>
      <c r="H1014" s="8">
        <f>IF(B1014="","",IFERROR(VLOOKUP(--B1014,'CATALOGO CECO'!$A$2:$H$550,3,FALSE),""))</f>
        <v/>
      </c>
      <c r="I1014" s="8">
        <f>IF(B1014="","",IFERROR(VLOOKUP(--B1014,'CATALOGO CECO'!$A$2:$H$550,5,FALSE),""))</f>
        <v/>
      </c>
      <c r="J1014" s="8">
        <f>IF(B1014="","",IFERROR(VLOOKUP(--B1014,'CATALOGO CECO'!$A$2:$H$550,8,FALSE),""))</f>
        <v/>
      </c>
      <c r="K1014" s="8">
        <f>IF(COUNTA(A1014:F1014)=0,"",IF(OR(LEN(A1014)&lt;&gt;7,MID(A1014,5,1)&lt;&gt;"-",ISERROR(--LEFT(A1014,4)),ISERROR(--RIGHT(A1014,2))),"ERROR: PERIODO debe ser AAAA-MM",IF(B1014="","ERROR: falta CODIGO CECO",IF(G1014="CECO NO EXISTE","ERROR: CECO no existe en el catálogo",IF(C1014="","ERROR: falta CUENTA",IF(ISERROR(--C1014),"ERROR: CUENTA debe tener solo dígitos",IF(ISERROR(FIND(LEFT(C1014,1),"567")),"ERROR: CUENTA fuera de las clases de costo",IF(NOT(ISNUMBER(E1014)),"ERROR: VALOR debe ser numérico",IF(E1014=0,"AVISO: valor cero (no se carga)",IF(J1014&lt;&gt;"ACTIVO","NO SE CARGA: CECO en estado "&amp;J1014,"OK"))))))))))</f>
        <v/>
      </c>
    </row>
    <row r="1015">
      <c r="A1015" s="5" t="n"/>
      <c r="B1015" s="6" t="n"/>
      <c r="C1015" s="5" t="n"/>
      <c r="D1015" s="6" t="n"/>
      <c r="E1015" s="7" t="n"/>
      <c r="F1015" s="6" t="n"/>
      <c r="G1015" s="8">
        <f>IF(B1015="","",IFERROR(VLOOKUP(--B1015,'CATALOGO CECO'!$A$2:$H$550,2,FALSE),"CECO NO EXISTE"))</f>
        <v/>
      </c>
      <c r="H1015" s="8">
        <f>IF(B1015="","",IFERROR(VLOOKUP(--B1015,'CATALOGO CECO'!$A$2:$H$550,3,FALSE),""))</f>
        <v/>
      </c>
      <c r="I1015" s="8">
        <f>IF(B1015="","",IFERROR(VLOOKUP(--B1015,'CATALOGO CECO'!$A$2:$H$550,5,FALSE),""))</f>
        <v/>
      </c>
      <c r="J1015" s="8">
        <f>IF(B1015="","",IFERROR(VLOOKUP(--B1015,'CATALOGO CECO'!$A$2:$H$550,8,FALSE),""))</f>
        <v/>
      </c>
      <c r="K1015" s="8">
        <f>IF(COUNTA(A1015:F1015)=0,"",IF(OR(LEN(A1015)&lt;&gt;7,MID(A1015,5,1)&lt;&gt;"-",ISERROR(--LEFT(A1015,4)),ISERROR(--RIGHT(A1015,2))),"ERROR: PERIODO debe ser AAAA-MM",IF(B1015="","ERROR: falta CODIGO CECO",IF(G1015="CECO NO EXISTE","ERROR: CECO no existe en el catálogo",IF(C1015="","ERROR: falta CUENTA",IF(ISERROR(--C1015),"ERROR: CUENTA debe tener solo dígitos",IF(ISERROR(FIND(LEFT(C1015,1),"567")),"ERROR: CUENTA fuera de las clases de costo",IF(NOT(ISNUMBER(E1015)),"ERROR: VALOR debe ser numérico",IF(E1015=0,"AVISO: valor cero (no se carga)",IF(J1015&lt;&gt;"ACTIVO","NO SE CARGA: CECO en estado "&amp;J1015,"OK"))))))))))</f>
        <v/>
      </c>
    </row>
    <row r="1016">
      <c r="A1016" s="5" t="n"/>
      <c r="B1016" s="6" t="n"/>
      <c r="C1016" s="5" t="n"/>
      <c r="D1016" s="6" t="n"/>
      <c r="E1016" s="7" t="n"/>
      <c r="F1016" s="6" t="n"/>
      <c r="G1016" s="8">
        <f>IF(B1016="","",IFERROR(VLOOKUP(--B1016,'CATALOGO CECO'!$A$2:$H$550,2,FALSE),"CECO NO EXISTE"))</f>
        <v/>
      </c>
      <c r="H1016" s="8">
        <f>IF(B1016="","",IFERROR(VLOOKUP(--B1016,'CATALOGO CECO'!$A$2:$H$550,3,FALSE),""))</f>
        <v/>
      </c>
      <c r="I1016" s="8">
        <f>IF(B1016="","",IFERROR(VLOOKUP(--B1016,'CATALOGO CECO'!$A$2:$H$550,5,FALSE),""))</f>
        <v/>
      </c>
      <c r="J1016" s="8">
        <f>IF(B1016="","",IFERROR(VLOOKUP(--B1016,'CATALOGO CECO'!$A$2:$H$550,8,FALSE),""))</f>
        <v/>
      </c>
      <c r="K1016" s="8">
        <f>IF(COUNTA(A1016:F1016)=0,"",IF(OR(LEN(A1016)&lt;&gt;7,MID(A1016,5,1)&lt;&gt;"-",ISERROR(--LEFT(A1016,4)),ISERROR(--RIGHT(A1016,2))),"ERROR: PERIODO debe ser AAAA-MM",IF(B1016="","ERROR: falta CODIGO CECO",IF(G1016="CECO NO EXISTE","ERROR: CECO no existe en el catálogo",IF(C1016="","ERROR: falta CUENTA",IF(ISERROR(--C1016),"ERROR: CUENTA debe tener solo dígitos",IF(ISERROR(FIND(LEFT(C1016,1),"567")),"ERROR: CUENTA fuera de las clases de costo",IF(NOT(ISNUMBER(E1016)),"ERROR: VALOR debe ser numérico",IF(E1016=0,"AVISO: valor cero (no se carga)",IF(J1016&lt;&gt;"ACTIVO","NO SE CARGA: CECO en estado "&amp;J1016,"OK"))))))))))</f>
        <v/>
      </c>
    </row>
    <row r="1017">
      <c r="A1017" s="5" t="n"/>
      <c r="B1017" s="6" t="n"/>
      <c r="C1017" s="5" t="n"/>
      <c r="D1017" s="6" t="n"/>
      <c r="E1017" s="7" t="n"/>
      <c r="F1017" s="6" t="n"/>
      <c r="G1017" s="8">
        <f>IF(B1017="","",IFERROR(VLOOKUP(--B1017,'CATALOGO CECO'!$A$2:$H$550,2,FALSE),"CECO NO EXISTE"))</f>
        <v/>
      </c>
      <c r="H1017" s="8">
        <f>IF(B1017="","",IFERROR(VLOOKUP(--B1017,'CATALOGO CECO'!$A$2:$H$550,3,FALSE),""))</f>
        <v/>
      </c>
      <c r="I1017" s="8">
        <f>IF(B1017="","",IFERROR(VLOOKUP(--B1017,'CATALOGO CECO'!$A$2:$H$550,5,FALSE),""))</f>
        <v/>
      </c>
      <c r="J1017" s="8">
        <f>IF(B1017="","",IFERROR(VLOOKUP(--B1017,'CATALOGO CECO'!$A$2:$H$550,8,FALSE),""))</f>
        <v/>
      </c>
      <c r="K1017" s="8">
        <f>IF(COUNTA(A1017:F1017)=0,"",IF(OR(LEN(A1017)&lt;&gt;7,MID(A1017,5,1)&lt;&gt;"-",ISERROR(--LEFT(A1017,4)),ISERROR(--RIGHT(A1017,2))),"ERROR: PERIODO debe ser AAAA-MM",IF(B1017="","ERROR: falta CODIGO CECO",IF(G1017="CECO NO EXISTE","ERROR: CECO no existe en el catálogo",IF(C1017="","ERROR: falta CUENTA",IF(ISERROR(--C1017),"ERROR: CUENTA debe tener solo dígitos",IF(ISERROR(FIND(LEFT(C1017,1),"567")),"ERROR: CUENTA fuera de las clases de costo",IF(NOT(ISNUMBER(E1017)),"ERROR: VALOR debe ser numérico",IF(E1017=0,"AVISO: valor cero (no se carga)",IF(J1017&lt;&gt;"ACTIVO","NO SE CARGA: CECO en estado "&amp;J1017,"OK"))))))))))</f>
        <v/>
      </c>
    </row>
    <row r="1018">
      <c r="A1018" s="5" t="n"/>
      <c r="B1018" s="6" t="n"/>
      <c r="C1018" s="5" t="n"/>
      <c r="D1018" s="6" t="n"/>
      <c r="E1018" s="7" t="n"/>
      <c r="F1018" s="6" t="n"/>
      <c r="G1018" s="8">
        <f>IF(B1018="","",IFERROR(VLOOKUP(--B1018,'CATALOGO CECO'!$A$2:$H$550,2,FALSE),"CECO NO EXISTE"))</f>
        <v/>
      </c>
      <c r="H1018" s="8">
        <f>IF(B1018="","",IFERROR(VLOOKUP(--B1018,'CATALOGO CECO'!$A$2:$H$550,3,FALSE),""))</f>
        <v/>
      </c>
      <c r="I1018" s="8">
        <f>IF(B1018="","",IFERROR(VLOOKUP(--B1018,'CATALOGO CECO'!$A$2:$H$550,5,FALSE),""))</f>
        <v/>
      </c>
      <c r="J1018" s="8">
        <f>IF(B1018="","",IFERROR(VLOOKUP(--B1018,'CATALOGO CECO'!$A$2:$H$550,8,FALSE),""))</f>
        <v/>
      </c>
      <c r="K1018" s="8">
        <f>IF(COUNTA(A1018:F1018)=0,"",IF(OR(LEN(A1018)&lt;&gt;7,MID(A1018,5,1)&lt;&gt;"-",ISERROR(--LEFT(A1018,4)),ISERROR(--RIGHT(A1018,2))),"ERROR: PERIODO debe ser AAAA-MM",IF(B1018="","ERROR: falta CODIGO CECO",IF(G1018="CECO NO EXISTE","ERROR: CECO no existe en el catálogo",IF(C1018="","ERROR: falta CUENTA",IF(ISERROR(--C1018),"ERROR: CUENTA debe tener solo dígitos",IF(ISERROR(FIND(LEFT(C1018,1),"567")),"ERROR: CUENTA fuera de las clases de costo",IF(NOT(ISNUMBER(E1018)),"ERROR: VALOR debe ser numérico",IF(E1018=0,"AVISO: valor cero (no se carga)",IF(J1018&lt;&gt;"ACTIVO","NO SE CARGA: CECO en estado "&amp;J1018,"OK"))))))))))</f>
        <v/>
      </c>
    </row>
    <row r="1019">
      <c r="A1019" s="5" t="n"/>
      <c r="B1019" s="6" t="n"/>
      <c r="C1019" s="5" t="n"/>
      <c r="D1019" s="6" t="n"/>
      <c r="E1019" s="7" t="n"/>
      <c r="F1019" s="6" t="n"/>
      <c r="G1019" s="8">
        <f>IF(B1019="","",IFERROR(VLOOKUP(--B1019,'CATALOGO CECO'!$A$2:$H$550,2,FALSE),"CECO NO EXISTE"))</f>
        <v/>
      </c>
      <c r="H1019" s="8">
        <f>IF(B1019="","",IFERROR(VLOOKUP(--B1019,'CATALOGO CECO'!$A$2:$H$550,3,FALSE),""))</f>
        <v/>
      </c>
      <c r="I1019" s="8">
        <f>IF(B1019="","",IFERROR(VLOOKUP(--B1019,'CATALOGO CECO'!$A$2:$H$550,5,FALSE),""))</f>
        <v/>
      </c>
      <c r="J1019" s="8">
        <f>IF(B1019="","",IFERROR(VLOOKUP(--B1019,'CATALOGO CECO'!$A$2:$H$550,8,FALSE),""))</f>
        <v/>
      </c>
      <c r="K1019" s="8">
        <f>IF(COUNTA(A1019:F1019)=0,"",IF(OR(LEN(A1019)&lt;&gt;7,MID(A1019,5,1)&lt;&gt;"-",ISERROR(--LEFT(A1019,4)),ISERROR(--RIGHT(A1019,2))),"ERROR: PERIODO debe ser AAAA-MM",IF(B1019="","ERROR: falta CODIGO CECO",IF(G1019="CECO NO EXISTE","ERROR: CECO no existe en el catálogo",IF(C1019="","ERROR: falta CUENTA",IF(ISERROR(--C1019),"ERROR: CUENTA debe tener solo dígitos",IF(ISERROR(FIND(LEFT(C1019,1),"567")),"ERROR: CUENTA fuera de las clases de costo",IF(NOT(ISNUMBER(E1019)),"ERROR: VALOR debe ser numérico",IF(E1019=0,"AVISO: valor cero (no se carga)",IF(J1019&lt;&gt;"ACTIVO","NO SE CARGA: CECO en estado "&amp;J1019,"OK"))))))))))</f>
        <v/>
      </c>
    </row>
    <row r="1020">
      <c r="A1020" s="5" t="n"/>
      <c r="B1020" s="6" t="n"/>
      <c r="C1020" s="5" t="n"/>
      <c r="D1020" s="6" t="n"/>
      <c r="E1020" s="7" t="n"/>
      <c r="F1020" s="6" t="n"/>
      <c r="G1020" s="8">
        <f>IF(B1020="","",IFERROR(VLOOKUP(--B1020,'CATALOGO CECO'!$A$2:$H$550,2,FALSE),"CECO NO EXISTE"))</f>
        <v/>
      </c>
      <c r="H1020" s="8">
        <f>IF(B1020="","",IFERROR(VLOOKUP(--B1020,'CATALOGO CECO'!$A$2:$H$550,3,FALSE),""))</f>
        <v/>
      </c>
      <c r="I1020" s="8">
        <f>IF(B1020="","",IFERROR(VLOOKUP(--B1020,'CATALOGO CECO'!$A$2:$H$550,5,FALSE),""))</f>
        <v/>
      </c>
      <c r="J1020" s="8">
        <f>IF(B1020="","",IFERROR(VLOOKUP(--B1020,'CATALOGO CECO'!$A$2:$H$550,8,FALSE),""))</f>
        <v/>
      </c>
      <c r="K1020" s="8">
        <f>IF(COUNTA(A1020:F1020)=0,"",IF(OR(LEN(A1020)&lt;&gt;7,MID(A1020,5,1)&lt;&gt;"-",ISERROR(--LEFT(A1020,4)),ISERROR(--RIGHT(A1020,2))),"ERROR: PERIODO debe ser AAAA-MM",IF(B1020="","ERROR: falta CODIGO CECO",IF(G1020="CECO NO EXISTE","ERROR: CECO no existe en el catálogo",IF(C1020="","ERROR: falta CUENTA",IF(ISERROR(--C1020),"ERROR: CUENTA debe tener solo dígitos",IF(ISERROR(FIND(LEFT(C1020,1),"567")),"ERROR: CUENTA fuera de las clases de costo",IF(NOT(ISNUMBER(E1020)),"ERROR: VALOR debe ser numérico",IF(E1020=0,"AVISO: valor cero (no se carga)",IF(J1020&lt;&gt;"ACTIVO","NO SE CARGA: CECO en estado "&amp;J1020,"OK"))))))))))</f>
        <v/>
      </c>
    </row>
    <row r="1021">
      <c r="A1021" s="5" t="n"/>
      <c r="B1021" s="6" t="n"/>
      <c r="C1021" s="5" t="n"/>
      <c r="D1021" s="6" t="n"/>
      <c r="E1021" s="7" t="n"/>
      <c r="F1021" s="6" t="n"/>
      <c r="G1021" s="8">
        <f>IF(B1021="","",IFERROR(VLOOKUP(--B1021,'CATALOGO CECO'!$A$2:$H$550,2,FALSE),"CECO NO EXISTE"))</f>
        <v/>
      </c>
      <c r="H1021" s="8">
        <f>IF(B1021="","",IFERROR(VLOOKUP(--B1021,'CATALOGO CECO'!$A$2:$H$550,3,FALSE),""))</f>
        <v/>
      </c>
      <c r="I1021" s="8">
        <f>IF(B1021="","",IFERROR(VLOOKUP(--B1021,'CATALOGO CECO'!$A$2:$H$550,5,FALSE),""))</f>
        <v/>
      </c>
      <c r="J1021" s="8">
        <f>IF(B1021="","",IFERROR(VLOOKUP(--B1021,'CATALOGO CECO'!$A$2:$H$550,8,FALSE),""))</f>
        <v/>
      </c>
      <c r="K1021" s="8">
        <f>IF(COUNTA(A1021:F1021)=0,"",IF(OR(LEN(A1021)&lt;&gt;7,MID(A1021,5,1)&lt;&gt;"-",ISERROR(--LEFT(A1021,4)),ISERROR(--RIGHT(A1021,2))),"ERROR: PERIODO debe ser AAAA-MM",IF(B1021="","ERROR: falta CODIGO CECO",IF(G1021="CECO NO EXISTE","ERROR: CECO no existe en el catálogo",IF(C1021="","ERROR: falta CUENTA",IF(ISERROR(--C1021),"ERROR: CUENTA debe tener solo dígitos",IF(ISERROR(FIND(LEFT(C1021,1),"567")),"ERROR: CUENTA fuera de las clases de costo",IF(NOT(ISNUMBER(E1021)),"ERROR: VALOR debe ser numérico",IF(E1021=0,"AVISO: valor cero (no se carga)",IF(J1021&lt;&gt;"ACTIVO","NO SE CARGA: CECO en estado "&amp;J1021,"OK"))))))))))</f>
        <v/>
      </c>
    </row>
    <row r="1022">
      <c r="A1022" s="5" t="n"/>
      <c r="B1022" s="6" t="n"/>
      <c r="C1022" s="5" t="n"/>
      <c r="D1022" s="6" t="n"/>
      <c r="E1022" s="7" t="n"/>
      <c r="F1022" s="6" t="n"/>
      <c r="G1022" s="8">
        <f>IF(B1022="","",IFERROR(VLOOKUP(--B1022,'CATALOGO CECO'!$A$2:$H$550,2,FALSE),"CECO NO EXISTE"))</f>
        <v/>
      </c>
      <c r="H1022" s="8">
        <f>IF(B1022="","",IFERROR(VLOOKUP(--B1022,'CATALOGO CECO'!$A$2:$H$550,3,FALSE),""))</f>
        <v/>
      </c>
      <c r="I1022" s="8">
        <f>IF(B1022="","",IFERROR(VLOOKUP(--B1022,'CATALOGO CECO'!$A$2:$H$550,5,FALSE),""))</f>
        <v/>
      </c>
      <c r="J1022" s="8">
        <f>IF(B1022="","",IFERROR(VLOOKUP(--B1022,'CATALOGO CECO'!$A$2:$H$550,8,FALSE),""))</f>
        <v/>
      </c>
      <c r="K1022" s="8">
        <f>IF(COUNTA(A1022:F1022)=0,"",IF(OR(LEN(A1022)&lt;&gt;7,MID(A1022,5,1)&lt;&gt;"-",ISERROR(--LEFT(A1022,4)),ISERROR(--RIGHT(A1022,2))),"ERROR: PERIODO debe ser AAAA-MM",IF(B1022="","ERROR: falta CODIGO CECO",IF(G1022="CECO NO EXISTE","ERROR: CECO no existe en el catálogo",IF(C1022="","ERROR: falta CUENTA",IF(ISERROR(--C1022),"ERROR: CUENTA debe tener solo dígitos",IF(ISERROR(FIND(LEFT(C1022,1),"567")),"ERROR: CUENTA fuera de las clases de costo",IF(NOT(ISNUMBER(E1022)),"ERROR: VALOR debe ser numérico",IF(E1022=0,"AVISO: valor cero (no se carga)",IF(J1022&lt;&gt;"ACTIVO","NO SE CARGA: CECO en estado "&amp;J1022,"OK"))))))))))</f>
        <v/>
      </c>
    </row>
    <row r="1023">
      <c r="A1023" s="5" t="n"/>
      <c r="B1023" s="6" t="n"/>
      <c r="C1023" s="5" t="n"/>
      <c r="D1023" s="6" t="n"/>
      <c r="E1023" s="7" t="n"/>
      <c r="F1023" s="6" t="n"/>
      <c r="G1023" s="8">
        <f>IF(B1023="","",IFERROR(VLOOKUP(--B1023,'CATALOGO CECO'!$A$2:$H$550,2,FALSE),"CECO NO EXISTE"))</f>
        <v/>
      </c>
      <c r="H1023" s="8">
        <f>IF(B1023="","",IFERROR(VLOOKUP(--B1023,'CATALOGO CECO'!$A$2:$H$550,3,FALSE),""))</f>
        <v/>
      </c>
      <c r="I1023" s="8">
        <f>IF(B1023="","",IFERROR(VLOOKUP(--B1023,'CATALOGO CECO'!$A$2:$H$550,5,FALSE),""))</f>
        <v/>
      </c>
      <c r="J1023" s="8">
        <f>IF(B1023="","",IFERROR(VLOOKUP(--B1023,'CATALOGO CECO'!$A$2:$H$550,8,FALSE),""))</f>
        <v/>
      </c>
      <c r="K1023" s="8">
        <f>IF(COUNTA(A1023:F1023)=0,"",IF(OR(LEN(A1023)&lt;&gt;7,MID(A1023,5,1)&lt;&gt;"-",ISERROR(--LEFT(A1023,4)),ISERROR(--RIGHT(A1023,2))),"ERROR: PERIODO debe ser AAAA-MM",IF(B1023="","ERROR: falta CODIGO CECO",IF(G1023="CECO NO EXISTE","ERROR: CECO no existe en el catálogo",IF(C1023="","ERROR: falta CUENTA",IF(ISERROR(--C1023),"ERROR: CUENTA debe tener solo dígitos",IF(ISERROR(FIND(LEFT(C1023,1),"567")),"ERROR: CUENTA fuera de las clases de costo",IF(NOT(ISNUMBER(E1023)),"ERROR: VALOR debe ser numérico",IF(E1023=0,"AVISO: valor cero (no se carga)",IF(J1023&lt;&gt;"ACTIVO","NO SE CARGA: CECO en estado "&amp;J1023,"OK"))))))))))</f>
        <v/>
      </c>
    </row>
    <row r="1024">
      <c r="A1024" s="5" t="n"/>
      <c r="B1024" s="6" t="n"/>
      <c r="C1024" s="5" t="n"/>
      <c r="D1024" s="6" t="n"/>
      <c r="E1024" s="7" t="n"/>
      <c r="F1024" s="6" t="n"/>
      <c r="G1024" s="8">
        <f>IF(B1024="","",IFERROR(VLOOKUP(--B1024,'CATALOGO CECO'!$A$2:$H$550,2,FALSE),"CECO NO EXISTE"))</f>
        <v/>
      </c>
      <c r="H1024" s="8">
        <f>IF(B1024="","",IFERROR(VLOOKUP(--B1024,'CATALOGO CECO'!$A$2:$H$550,3,FALSE),""))</f>
        <v/>
      </c>
      <c r="I1024" s="8">
        <f>IF(B1024="","",IFERROR(VLOOKUP(--B1024,'CATALOGO CECO'!$A$2:$H$550,5,FALSE),""))</f>
        <v/>
      </c>
      <c r="J1024" s="8">
        <f>IF(B1024="","",IFERROR(VLOOKUP(--B1024,'CATALOGO CECO'!$A$2:$H$550,8,FALSE),""))</f>
        <v/>
      </c>
      <c r="K1024" s="8">
        <f>IF(COUNTA(A1024:F1024)=0,"",IF(OR(LEN(A1024)&lt;&gt;7,MID(A1024,5,1)&lt;&gt;"-",ISERROR(--LEFT(A1024,4)),ISERROR(--RIGHT(A1024,2))),"ERROR: PERIODO debe ser AAAA-MM",IF(B1024="","ERROR: falta CODIGO CECO",IF(G1024="CECO NO EXISTE","ERROR: CECO no existe en el catálogo",IF(C1024="","ERROR: falta CUENTA",IF(ISERROR(--C1024),"ERROR: CUENTA debe tener solo dígitos",IF(ISERROR(FIND(LEFT(C1024,1),"567")),"ERROR: CUENTA fuera de las clases de costo",IF(NOT(ISNUMBER(E1024)),"ERROR: VALOR debe ser numérico",IF(E1024=0,"AVISO: valor cero (no se carga)",IF(J1024&lt;&gt;"ACTIVO","NO SE CARGA: CECO en estado "&amp;J1024,"OK"))))))))))</f>
        <v/>
      </c>
    </row>
    <row r="1025">
      <c r="A1025" s="5" t="n"/>
      <c r="B1025" s="6" t="n"/>
      <c r="C1025" s="5" t="n"/>
      <c r="D1025" s="6" t="n"/>
      <c r="E1025" s="7" t="n"/>
      <c r="F1025" s="6" t="n"/>
      <c r="G1025" s="8">
        <f>IF(B1025="","",IFERROR(VLOOKUP(--B1025,'CATALOGO CECO'!$A$2:$H$550,2,FALSE),"CECO NO EXISTE"))</f>
        <v/>
      </c>
      <c r="H1025" s="8">
        <f>IF(B1025="","",IFERROR(VLOOKUP(--B1025,'CATALOGO CECO'!$A$2:$H$550,3,FALSE),""))</f>
        <v/>
      </c>
      <c r="I1025" s="8">
        <f>IF(B1025="","",IFERROR(VLOOKUP(--B1025,'CATALOGO CECO'!$A$2:$H$550,5,FALSE),""))</f>
        <v/>
      </c>
      <c r="J1025" s="8">
        <f>IF(B1025="","",IFERROR(VLOOKUP(--B1025,'CATALOGO CECO'!$A$2:$H$550,8,FALSE),""))</f>
        <v/>
      </c>
      <c r="K1025" s="8">
        <f>IF(COUNTA(A1025:F1025)=0,"",IF(OR(LEN(A1025)&lt;&gt;7,MID(A1025,5,1)&lt;&gt;"-",ISERROR(--LEFT(A1025,4)),ISERROR(--RIGHT(A1025,2))),"ERROR: PERIODO debe ser AAAA-MM",IF(B1025="","ERROR: falta CODIGO CECO",IF(G1025="CECO NO EXISTE","ERROR: CECO no existe en el catálogo",IF(C1025="","ERROR: falta CUENTA",IF(ISERROR(--C1025),"ERROR: CUENTA debe tener solo dígitos",IF(ISERROR(FIND(LEFT(C1025,1),"567")),"ERROR: CUENTA fuera de las clases de costo",IF(NOT(ISNUMBER(E1025)),"ERROR: VALOR debe ser numérico",IF(E1025=0,"AVISO: valor cero (no se carga)",IF(J1025&lt;&gt;"ACTIVO","NO SE CARGA: CECO en estado "&amp;J1025,"OK"))))))))))</f>
        <v/>
      </c>
    </row>
    <row r="1026">
      <c r="A1026" s="5" t="n"/>
      <c r="B1026" s="6" t="n"/>
      <c r="C1026" s="5" t="n"/>
      <c r="D1026" s="6" t="n"/>
      <c r="E1026" s="7" t="n"/>
      <c r="F1026" s="6" t="n"/>
      <c r="G1026" s="8">
        <f>IF(B1026="","",IFERROR(VLOOKUP(--B1026,'CATALOGO CECO'!$A$2:$H$550,2,FALSE),"CECO NO EXISTE"))</f>
        <v/>
      </c>
      <c r="H1026" s="8">
        <f>IF(B1026="","",IFERROR(VLOOKUP(--B1026,'CATALOGO CECO'!$A$2:$H$550,3,FALSE),""))</f>
        <v/>
      </c>
      <c r="I1026" s="8">
        <f>IF(B1026="","",IFERROR(VLOOKUP(--B1026,'CATALOGO CECO'!$A$2:$H$550,5,FALSE),""))</f>
        <v/>
      </c>
      <c r="J1026" s="8">
        <f>IF(B1026="","",IFERROR(VLOOKUP(--B1026,'CATALOGO CECO'!$A$2:$H$550,8,FALSE),""))</f>
        <v/>
      </c>
      <c r="K1026" s="8">
        <f>IF(COUNTA(A1026:F1026)=0,"",IF(OR(LEN(A1026)&lt;&gt;7,MID(A1026,5,1)&lt;&gt;"-",ISERROR(--LEFT(A1026,4)),ISERROR(--RIGHT(A1026,2))),"ERROR: PERIODO debe ser AAAA-MM",IF(B1026="","ERROR: falta CODIGO CECO",IF(G1026="CECO NO EXISTE","ERROR: CECO no existe en el catálogo",IF(C1026="","ERROR: falta CUENTA",IF(ISERROR(--C1026),"ERROR: CUENTA debe tener solo dígitos",IF(ISERROR(FIND(LEFT(C1026,1),"567")),"ERROR: CUENTA fuera de las clases de costo",IF(NOT(ISNUMBER(E1026)),"ERROR: VALOR debe ser numérico",IF(E1026=0,"AVISO: valor cero (no se carga)",IF(J1026&lt;&gt;"ACTIVO","NO SE CARGA: CECO en estado "&amp;J1026,"OK"))))))))))</f>
        <v/>
      </c>
    </row>
    <row r="1027">
      <c r="A1027" s="5" t="n"/>
      <c r="B1027" s="6" t="n"/>
      <c r="C1027" s="5" t="n"/>
      <c r="D1027" s="6" t="n"/>
      <c r="E1027" s="7" t="n"/>
      <c r="F1027" s="6" t="n"/>
      <c r="G1027" s="8">
        <f>IF(B1027="","",IFERROR(VLOOKUP(--B1027,'CATALOGO CECO'!$A$2:$H$550,2,FALSE),"CECO NO EXISTE"))</f>
        <v/>
      </c>
      <c r="H1027" s="8">
        <f>IF(B1027="","",IFERROR(VLOOKUP(--B1027,'CATALOGO CECO'!$A$2:$H$550,3,FALSE),""))</f>
        <v/>
      </c>
      <c r="I1027" s="8">
        <f>IF(B1027="","",IFERROR(VLOOKUP(--B1027,'CATALOGO CECO'!$A$2:$H$550,5,FALSE),""))</f>
        <v/>
      </c>
      <c r="J1027" s="8">
        <f>IF(B1027="","",IFERROR(VLOOKUP(--B1027,'CATALOGO CECO'!$A$2:$H$550,8,FALSE),""))</f>
        <v/>
      </c>
      <c r="K1027" s="8">
        <f>IF(COUNTA(A1027:F1027)=0,"",IF(OR(LEN(A1027)&lt;&gt;7,MID(A1027,5,1)&lt;&gt;"-",ISERROR(--LEFT(A1027,4)),ISERROR(--RIGHT(A1027,2))),"ERROR: PERIODO debe ser AAAA-MM",IF(B1027="","ERROR: falta CODIGO CECO",IF(G1027="CECO NO EXISTE","ERROR: CECO no existe en el catálogo",IF(C1027="","ERROR: falta CUENTA",IF(ISERROR(--C1027),"ERROR: CUENTA debe tener solo dígitos",IF(ISERROR(FIND(LEFT(C1027,1),"567")),"ERROR: CUENTA fuera de las clases de costo",IF(NOT(ISNUMBER(E1027)),"ERROR: VALOR debe ser numérico",IF(E1027=0,"AVISO: valor cero (no se carga)",IF(J1027&lt;&gt;"ACTIVO","NO SE CARGA: CECO en estado "&amp;J1027,"OK"))))))))))</f>
        <v/>
      </c>
    </row>
    <row r="1028">
      <c r="A1028" s="5" t="n"/>
      <c r="B1028" s="6" t="n"/>
      <c r="C1028" s="5" t="n"/>
      <c r="D1028" s="6" t="n"/>
      <c r="E1028" s="7" t="n"/>
      <c r="F1028" s="6" t="n"/>
      <c r="G1028" s="8">
        <f>IF(B1028="","",IFERROR(VLOOKUP(--B1028,'CATALOGO CECO'!$A$2:$H$550,2,FALSE),"CECO NO EXISTE"))</f>
        <v/>
      </c>
      <c r="H1028" s="8">
        <f>IF(B1028="","",IFERROR(VLOOKUP(--B1028,'CATALOGO CECO'!$A$2:$H$550,3,FALSE),""))</f>
        <v/>
      </c>
      <c r="I1028" s="8">
        <f>IF(B1028="","",IFERROR(VLOOKUP(--B1028,'CATALOGO CECO'!$A$2:$H$550,5,FALSE),""))</f>
        <v/>
      </c>
      <c r="J1028" s="8">
        <f>IF(B1028="","",IFERROR(VLOOKUP(--B1028,'CATALOGO CECO'!$A$2:$H$550,8,FALSE),""))</f>
        <v/>
      </c>
      <c r="K1028" s="8">
        <f>IF(COUNTA(A1028:F1028)=0,"",IF(OR(LEN(A1028)&lt;&gt;7,MID(A1028,5,1)&lt;&gt;"-",ISERROR(--LEFT(A1028,4)),ISERROR(--RIGHT(A1028,2))),"ERROR: PERIODO debe ser AAAA-MM",IF(B1028="","ERROR: falta CODIGO CECO",IF(G1028="CECO NO EXISTE","ERROR: CECO no existe en el catálogo",IF(C1028="","ERROR: falta CUENTA",IF(ISERROR(--C1028),"ERROR: CUENTA debe tener solo dígitos",IF(ISERROR(FIND(LEFT(C1028,1),"567")),"ERROR: CUENTA fuera de las clases de costo",IF(NOT(ISNUMBER(E1028)),"ERROR: VALOR debe ser numérico",IF(E1028=0,"AVISO: valor cero (no se carga)",IF(J1028&lt;&gt;"ACTIVO","NO SE CARGA: CECO en estado "&amp;J1028,"OK"))))))))))</f>
        <v/>
      </c>
    </row>
    <row r="1029">
      <c r="A1029" s="5" t="n"/>
      <c r="B1029" s="6" t="n"/>
      <c r="C1029" s="5" t="n"/>
      <c r="D1029" s="6" t="n"/>
      <c r="E1029" s="7" t="n"/>
      <c r="F1029" s="6" t="n"/>
      <c r="G1029" s="8">
        <f>IF(B1029="","",IFERROR(VLOOKUP(--B1029,'CATALOGO CECO'!$A$2:$H$550,2,FALSE),"CECO NO EXISTE"))</f>
        <v/>
      </c>
      <c r="H1029" s="8">
        <f>IF(B1029="","",IFERROR(VLOOKUP(--B1029,'CATALOGO CECO'!$A$2:$H$550,3,FALSE),""))</f>
        <v/>
      </c>
      <c r="I1029" s="8">
        <f>IF(B1029="","",IFERROR(VLOOKUP(--B1029,'CATALOGO CECO'!$A$2:$H$550,5,FALSE),""))</f>
        <v/>
      </c>
      <c r="J1029" s="8">
        <f>IF(B1029="","",IFERROR(VLOOKUP(--B1029,'CATALOGO CECO'!$A$2:$H$550,8,FALSE),""))</f>
        <v/>
      </c>
      <c r="K1029" s="8">
        <f>IF(COUNTA(A1029:F1029)=0,"",IF(OR(LEN(A1029)&lt;&gt;7,MID(A1029,5,1)&lt;&gt;"-",ISERROR(--LEFT(A1029,4)),ISERROR(--RIGHT(A1029,2))),"ERROR: PERIODO debe ser AAAA-MM",IF(B1029="","ERROR: falta CODIGO CECO",IF(G1029="CECO NO EXISTE","ERROR: CECO no existe en el catálogo",IF(C1029="","ERROR: falta CUENTA",IF(ISERROR(--C1029),"ERROR: CUENTA debe tener solo dígitos",IF(ISERROR(FIND(LEFT(C1029,1),"567")),"ERROR: CUENTA fuera de las clases de costo",IF(NOT(ISNUMBER(E1029)),"ERROR: VALOR debe ser numérico",IF(E1029=0,"AVISO: valor cero (no se carga)",IF(J1029&lt;&gt;"ACTIVO","NO SE CARGA: CECO en estado "&amp;J1029,"OK"))))))))))</f>
        <v/>
      </c>
    </row>
    <row r="1030">
      <c r="A1030" s="5" t="n"/>
      <c r="B1030" s="6" t="n"/>
      <c r="C1030" s="5" t="n"/>
      <c r="D1030" s="6" t="n"/>
      <c r="E1030" s="7" t="n"/>
      <c r="F1030" s="6" t="n"/>
      <c r="G1030" s="8">
        <f>IF(B1030="","",IFERROR(VLOOKUP(--B1030,'CATALOGO CECO'!$A$2:$H$550,2,FALSE),"CECO NO EXISTE"))</f>
        <v/>
      </c>
      <c r="H1030" s="8">
        <f>IF(B1030="","",IFERROR(VLOOKUP(--B1030,'CATALOGO CECO'!$A$2:$H$550,3,FALSE),""))</f>
        <v/>
      </c>
      <c r="I1030" s="8">
        <f>IF(B1030="","",IFERROR(VLOOKUP(--B1030,'CATALOGO CECO'!$A$2:$H$550,5,FALSE),""))</f>
        <v/>
      </c>
      <c r="J1030" s="8">
        <f>IF(B1030="","",IFERROR(VLOOKUP(--B1030,'CATALOGO CECO'!$A$2:$H$550,8,FALSE),""))</f>
        <v/>
      </c>
      <c r="K1030" s="8">
        <f>IF(COUNTA(A1030:F1030)=0,"",IF(OR(LEN(A1030)&lt;&gt;7,MID(A1030,5,1)&lt;&gt;"-",ISERROR(--LEFT(A1030,4)),ISERROR(--RIGHT(A1030,2))),"ERROR: PERIODO debe ser AAAA-MM",IF(B1030="","ERROR: falta CODIGO CECO",IF(G1030="CECO NO EXISTE","ERROR: CECO no existe en el catálogo",IF(C1030="","ERROR: falta CUENTA",IF(ISERROR(--C1030),"ERROR: CUENTA debe tener solo dígitos",IF(ISERROR(FIND(LEFT(C1030,1),"567")),"ERROR: CUENTA fuera de las clases de costo",IF(NOT(ISNUMBER(E1030)),"ERROR: VALOR debe ser numérico",IF(E1030=0,"AVISO: valor cero (no se carga)",IF(J1030&lt;&gt;"ACTIVO","NO SE CARGA: CECO en estado "&amp;J1030,"OK"))))))))))</f>
        <v/>
      </c>
    </row>
    <row r="1031">
      <c r="A1031" s="5" t="n"/>
      <c r="B1031" s="6" t="n"/>
      <c r="C1031" s="5" t="n"/>
      <c r="D1031" s="6" t="n"/>
      <c r="E1031" s="7" t="n"/>
      <c r="F1031" s="6" t="n"/>
      <c r="G1031" s="8">
        <f>IF(B1031="","",IFERROR(VLOOKUP(--B1031,'CATALOGO CECO'!$A$2:$H$550,2,FALSE),"CECO NO EXISTE"))</f>
        <v/>
      </c>
      <c r="H1031" s="8">
        <f>IF(B1031="","",IFERROR(VLOOKUP(--B1031,'CATALOGO CECO'!$A$2:$H$550,3,FALSE),""))</f>
        <v/>
      </c>
      <c r="I1031" s="8">
        <f>IF(B1031="","",IFERROR(VLOOKUP(--B1031,'CATALOGO CECO'!$A$2:$H$550,5,FALSE),""))</f>
        <v/>
      </c>
      <c r="J1031" s="8">
        <f>IF(B1031="","",IFERROR(VLOOKUP(--B1031,'CATALOGO CECO'!$A$2:$H$550,8,FALSE),""))</f>
        <v/>
      </c>
      <c r="K1031" s="8">
        <f>IF(COUNTA(A1031:F1031)=0,"",IF(OR(LEN(A1031)&lt;&gt;7,MID(A1031,5,1)&lt;&gt;"-",ISERROR(--LEFT(A1031,4)),ISERROR(--RIGHT(A1031,2))),"ERROR: PERIODO debe ser AAAA-MM",IF(B1031="","ERROR: falta CODIGO CECO",IF(G1031="CECO NO EXISTE","ERROR: CECO no existe en el catálogo",IF(C1031="","ERROR: falta CUENTA",IF(ISERROR(--C1031),"ERROR: CUENTA debe tener solo dígitos",IF(ISERROR(FIND(LEFT(C1031,1),"567")),"ERROR: CUENTA fuera de las clases de costo",IF(NOT(ISNUMBER(E1031)),"ERROR: VALOR debe ser numérico",IF(E1031=0,"AVISO: valor cero (no se carga)",IF(J1031&lt;&gt;"ACTIVO","NO SE CARGA: CECO en estado "&amp;J1031,"OK"))))))))))</f>
        <v/>
      </c>
    </row>
    <row r="1032">
      <c r="A1032" s="5" t="n"/>
      <c r="B1032" s="6" t="n"/>
      <c r="C1032" s="5" t="n"/>
      <c r="D1032" s="6" t="n"/>
      <c r="E1032" s="7" t="n"/>
      <c r="F1032" s="6" t="n"/>
      <c r="G1032" s="8">
        <f>IF(B1032="","",IFERROR(VLOOKUP(--B1032,'CATALOGO CECO'!$A$2:$H$550,2,FALSE),"CECO NO EXISTE"))</f>
        <v/>
      </c>
      <c r="H1032" s="8">
        <f>IF(B1032="","",IFERROR(VLOOKUP(--B1032,'CATALOGO CECO'!$A$2:$H$550,3,FALSE),""))</f>
        <v/>
      </c>
      <c r="I1032" s="8">
        <f>IF(B1032="","",IFERROR(VLOOKUP(--B1032,'CATALOGO CECO'!$A$2:$H$550,5,FALSE),""))</f>
        <v/>
      </c>
      <c r="J1032" s="8">
        <f>IF(B1032="","",IFERROR(VLOOKUP(--B1032,'CATALOGO CECO'!$A$2:$H$550,8,FALSE),""))</f>
        <v/>
      </c>
      <c r="K1032" s="8">
        <f>IF(COUNTA(A1032:F1032)=0,"",IF(OR(LEN(A1032)&lt;&gt;7,MID(A1032,5,1)&lt;&gt;"-",ISERROR(--LEFT(A1032,4)),ISERROR(--RIGHT(A1032,2))),"ERROR: PERIODO debe ser AAAA-MM",IF(B1032="","ERROR: falta CODIGO CECO",IF(G1032="CECO NO EXISTE","ERROR: CECO no existe en el catálogo",IF(C1032="","ERROR: falta CUENTA",IF(ISERROR(--C1032),"ERROR: CUENTA debe tener solo dígitos",IF(ISERROR(FIND(LEFT(C1032,1),"567")),"ERROR: CUENTA fuera de las clases de costo",IF(NOT(ISNUMBER(E1032)),"ERROR: VALOR debe ser numérico",IF(E1032=0,"AVISO: valor cero (no se carga)",IF(J1032&lt;&gt;"ACTIVO","NO SE CARGA: CECO en estado "&amp;J1032,"OK"))))))))))</f>
        <v/>
      </c>
    </row>
    <row r="1033">
      <c r="A1033" s="5" t="n"/>
      <c r="B1033" s="6" t="n"/>
      <c r="C1033" s="5" t="n"/>
      <c r="D1033" s="6" t="n"/>
      <c r="E1033" s="7" t="n"/>
      <c r="F1033" s="6" t="n"/>
      <c r="G1033" s="8">
        <f>IF(B1033="","",IFERROR(VLOOKUP(--B1033,'CATALOGO CECO'!$A$2:$H$550,2,FALSE),"CECO NO EXISTE"))</f>
        <v/>
      </c>
      <c r="H1033" s="8">
        <f>IF(B1033="","",IFERROR(VLOOKUP(--B1033,'CATALOGO CECO'!$A$2:$H$550,3,FALSE),""))</f>
        <v/>
      </c>
      <c r="I1033" s="8">
        <f>IF(B1033="","",IFERROR(VLOOKUP(--B1033,'CATALOGO CECO'!$A$2:$H$550,5,FALSE),""))</f>
        <v/>
      </c>
      <c r="J1033" s="8">
        <f>IF(B1033="","",IFERROR(VLOOKUP(--B1033,'CATALOGO CECO'!$A$2:$H$550,8,FALSE),""))</f>
        <v/>
      </c>
      <c r="K1033" s="8">
        <f>IF(COUNTA(A1033:F1033)=0,"",IF(OR(LEN(A1033)&lt;&gt;7,MID(A1033,5,1)&lt;&gt;"-",ISERROR(--LEFT(A1033,4)),ISERROR(--RIGHT(A1033,2))),"ERROR: PERIODO debe ser AAAA-MM",IF(B1033="","ERROR: falta CODIGO CECO",IF(G1033="CECO NO EXISTE","ERROR: CECO no existe en el catálogo",IF(C1033="","ERROR: falta CUENTA",IF(ISERROR(--C1033),"ERROR: CUENTA debe tener solo dígitos",IF(ISERROR(FIND(LEFT(C1033,1),"567")),"ERROR: CUENTA fuera de las clases de costo",IF(NOT(ISNUMBER(E1033)),"ERROR: VALOR debe ser numérico",IF(E1033=0,"AVISO: valor cero (no se carga)",IF(J1033&lt;&gt;"ACTIVO","NO SE CARGA: CECO en estado "&amp;J1033,"OK"))))))))))</f>
        <v/>
      </c>
    </row>
    <row r="1034">
      <c r="A1034" s="5" t="n"/>
      <c r="B1034" s="6" t="n"/>
      <c r="C1034" s="5" t="n"/>
      <c r="D1034" s="6" t="n"/>
      <c r="E1034" s="7" t="n"/>
      <c r="F1034" s="6" t="n"/>
      <c r="G1034" s="8">
        <f>IF(B1034="","",IFERROR(VLOOKUP(--B1034,'CATALOGO CECO'!$A$2:$H$550,2,FALSE),"CECO NO EXISTE"))</f>
        <v/>
      </c>
      <c r="H1034" s="8">
        <f>IF(B1034="","",IFERROR(VLOOKUP(--B1034,'CATALOGO CECO'!$A$2:$H$550,3,FALSE),""))</f>
        <v/>
      </c>
      <c r="I1034" s="8">
        <f>IF(B1034="","",IFERROR(VLOOKUP(--B1034,'CATALOGO CECO'!$A$2:$H$550,5,FALSE),""))</f>
        <v/>
      </c>
      <c r="J1034" s="8">
        <f>IF(B1034="","",IFERROR(VLOOKUP(--B1034,'CATALOGO CECO'!$A$2:$H$550,8,FALSE),""))</f>
        <v/>
      </c>
      <c r="K1034" s="8">
        <f>IF(COUNTA(A1034:F1034)=0,"",IF(OR(LEN(A1034)&lt;&gt;7,MID(A1034,5,1)&lt;&gt;"-",ISERROR(--LEFT(A1034,4)),ISERROR(--RIGHT(A1034,2))),"ERROR: PERIODO debe ser AAAA-MM",IF(B1034="","ERROR: falta CODIGO CECO",IF(G1034="CECO NO EXISTE","ERROR: CECO no existe en el catálogo",IF(C1034="","ERROR: falta CUENTA",IF(ISERROR(--C1034),"ERROR: CUENTA debe tener solo dígitos",IF(ISERROR(FIND(LEFT(C1034,1),"567")),"ERROR: CUENTA fuera de las clases de costo",IF(NOT(ISNUMBER(E1034)),"ERROR: VALOR debe ser numérico",IF(E1034=0,"AVISO: valor cero (no se carga)",IF(J1034&lt;&gt;"ACTIVO","NO SE CARGA: CECO en estado "&amp;J1034,"OK"))))))))))</f>
        <v/>
      </c>
    </row>
    <row r="1035">
      <c r="A1035" s="5" t="n"/>
      <c r="B1035" s="6" t="n"/>
      <c r="C1035" s="5" t="n"/>
      <c r="D1035" s="6" t="n"/>
      <c r="E1035" s="7" t="n"/>
      <c r="F1035" s="6" t="n"/>
      <c r="G1035" s="8">
        <f>IF(B1035="","",IFERROR(VLOOKUP(--B1035,'CATALOGO CECO'!$A$2:$H$550,2,FALSE),"CECO NO EXISTE"))</f>
        <v/>
      </c>
      <c r="H1035" s="8">
        <f>IF(B1035="","",IFERROR(VLOOKUP(--B1035,'CATALOGO CECO'!$A$2:$H$550,3,FALSE),""))</f>
        <v/>
      </c>
      <c r="I1035" s="8">
        <f>IF(B1035="","",IFERROR(VLOOKUP(--B1035,'CATALOGO CECO'!$A$2:$H$550,5,FALSE),""))</f>
        <v/>
      </c>
      <c r="J1035" s="8">
        <f>IF(B1035="","",IFERROR(VLOOKUP(--B1035,'CATALOGO CECO'!$A$2:$H$550,8,FALSE),""))</f>
        <v/>
      </c>
      <c r="K1035" s="8">
        <f>IF(COUNTA(A1035:F1035)=0,"",IF(OR(LEN(A1035)&lt;&gt;7,MID(A1035,5,1)&lt;&gt;"-",ISERROR(--LEFT(A1035,4)),ISERROR(--RIGHT(A1035,2))),"ERROR: PERIODO debe ser AAAA-MM",IF(B1035="","ERROR: falta CODIGO CECO",IF(G1035="CECO NO EXISTE","ERROR: CECO no existe en el catálogo",IF(C1035="","ERROR: falta CUENTA",IF(ISERROR(--C1035),"ERROR: CUENTA debe tener solo dígitos",IF(ISERROR(FIND(LEFT(C1035,1),"567")),"ERROR: CUENTA fuera de las clases de costo",IF(NOT(ISNUMBER(E1035)),"ERROR: VALOR debe ser numérico",IF(E1035=0,"AVISO: valor cero (no se carga)",IF(J1035&lt;&gt;"ACTIVO","NO SE CARGA: CECO en estado "&amp;J1035,"OK"))))))))))</f>
        <v/>
      </c>
    </row>
    <row r="1036">
      <c r="A1036" s="5" t="n"/>
      <c r="B1036" s="6" t="n"/>
      <c r="C1036" s="5" t="n"/>
      <c r="D1036" s="6" t="n"/>
      <c r="E1036" s="7" t="n"/>
      <c r="F1036" s="6" t="n"/>
      <c r="G1036" s="8">
        <f>IF(B1036="","",IFERROR(VLOOKUP(--B1036,'CATALOGO CECO'!$A$2:$H$550,2,FALSE),"CECO NO EXISTE"))</f>
        <v/>
      </c>
      <c r="H1036" s="8">
        <f>IF(B1036="","",IFERROR(VLOOKUP(--B1036,'CATALOGO CECO'!$A$2:$H$550,3,FALSE),""))</f>
        <v/>
      </c>
      <c r="I1036" s="8">
        <f>IF(B1036="","",IFERROR(VLOOKUP(--B1036,'CATALOGO CECO'!$A$2:$H$550,5,FALSE),""))</f>
        <v/>
      </c>
      <c r="J1036" s="8">
        <f>IF(B1036="","",IFERROR(VLOOKUP(--B1036,'CATALOGO CECO'!$A$2:$H$550,8,FALSE),""))</f>
        <v/>
      </c>
      <c r="K1036" s="8">
        <f>IF(COUNTA(A1036:F1036)=0,"",IF(OR(LEN(A1036)&lt;&gt;7,MID(A1036,5,1)&lt;&gt;"-",ISERROR(--LEFT(A1036,4)),ISERROR(--RIGHT(A1036,2))),"ERROR: PERIODO debe ser AAAA-MM",IF(B1036="","ERROR: falta CODIGO CECO",IF(G1036="CECO NO EXISTE","ERROR: CECO no existe en el catálogo",IF(C1036="","ERROR: falta CUENTA",IF(ISERROR(--C1036),"ERROR: CUENTA debe tener solo dígitos",IF(ISERROR(FIND(LEFT(C1036,1),"567")),"ERROR: CUENTA fuera de las clases de costo",IF(NOT(ISNUMBER(E1036)),"ERROR: VALOR debe ser numérico",IF(E1036=0,"AVISO: valor cero (no se carga)",IF(J1036&lt;&gt;"ACTIVO","NO SE CARGA: CECO en estado "&amp;J1036,"OK"))))))))))</f>
        <v/>
      </c>
    </row>
    <row r="1037">
      <c r="A1037" s="5" t="n"/>
      <c r="B1037" s="6" t="n"/>
      <c r="C1037" s="5" t="n"/>
      <c r="D1037" s="6" t="n"/>
      <c r="E1037" s="7" t="n"/>
      <c r="F1037" s="6" t="n"/>
      <c r="G1037" s="8">
        <f>IF(B1037="","",IFERROR(VLOOKUP(--B1037,'CATALOGO CECO'!$A$2:$H$550,2,FALSE),"CECO NO EXISTE"))</f>
        <v/>
      </c>
      <c r="H1037" s="8">
        <f>IF(B1037="","",IFERROR(VLOOKUP(--B1037,'CATALOGO CECO'!$A$2:$H$550,3,FALSE),""))</f>
        <v/>
      </c>
      <c r="I1037" s="8">
        <f>IF(B1037="","",IFERROR(VLOOKUP(--B1037,'CATALOGO CECO'!$A$2:$H$550,5,FALSE),""))</f>
        <v/>
      </c>
      <c r="J1037" s="8">
        <f>IF(B1037="","",IFERROR(VLOOKUP(--B1037,'CATALOGO CECO'!$A$2:$H$550,8,FALSE),""))</f>
        <v/>
      </c>
      <c r="K1037" s="8">
        <f>IF(COUNTA(A1037:F1037)=0,"",IF(OR(LEN(A1037)&lt;&gt;7,MID(A1037,5,1)&lt;&gt;"-",ISERROR(--LEFT(A1037,4)),ISERROR(--RIGHT(A1037,2))),"ERROR: PERIODO debe ser AAAA-MM",IF(B1037="","ERROR: falta CODIGO CECO",IF(G1037="CECO NO EXISTE","ERROR: CECO no existe en el catálogo",IF(C1037="","ERROR: falta CUENTA",IF(ISERROR(--C1037),"ERROR: CUENTA debe tener solo dígitos",IF(ISERROR(FIND(LEFT(C1037,1),"567")),"ERROR: CUENTA fuera de las clases de costo",IF(NOT(ISNUMBER(E1037)),"ERROR: VALOR debe ser numérico",IF(E1037=0,"AVISO: valor cero (no se carga)",IF(J1037&lt;&gt;"ACTIVO","NO SE CARGA: CECO en estado "&amp;J1037,"OK"))))))))))</f>
        <v/>
      </c>
    </row>
    <row r="1038">
      <c r="A1038" s="5" t="n"/>
      <c r="B1038" s="6" t="n"/>
      <c r="C1038" s="5" t="n"/>
      <c r="D1038" s="6" t="n"/>
      <c r="E1038" s="7" t="n"/>
      <c r="F1038" s="6" t="n"/>
      <c r="G1038" s="8">
        <f>IF(B1038="","",IFERROR(VLOOKUP(--B1038,'CATALOGO CECO'!$A$2:$H$550,2,FALSE),"CECO NO EXISTE"))</f>
        <v/>
      </c>
      <c r="H1038" s="8">
        <f>IF(B1038="","",IFERROR(VLOOKUP(--B1038,'CATALOGO CECO'!$A$2:$H$550,3,FALSE),""))</f>
        <v/>
      </c>
      <c r="I1038" s="8">
        <f>IF(B1038="","",IFERROR(VLOOKUP(--B1038,'CATALOGO CECO'!$A$2:$H$550,5,FALSE),""))</f>
        <v/>
      </c>
      <c r="J1038" s="8">
        <f>IF(B1038="","",IFERROR(VLOOKUP(--B1038,'CATALOGO CECO'!$A$2:$H$550,8,FALSE),""))</f>
        <v/>
      </c>
      <c r="K1038" s="8">
        <f>IF(COUNTA(A1038:F1038)=0,"",IF(OR(LEN(A1038)&lt;&gt;7,MID(A1038,5,1)&lt;&gt;"-",ISERROR(--LEFT(A1038,4)),ISERROR(--RIGHT(A1038,2))),"ERROR: PERIODO debe ser AAAA-MM",IF(B1038="","ERROR: falta CODIGO CECO",IF(G1038="CECO NO EXISTE","ERROR: CECO no existe en el catálogo",IF(C1038="","ERROR: falta CUENTA",IF(ISERROR(--C1038),"ERROR: CUENTA debe tener solo dígitos",IF(ISERROR(FIND(LEFT(C1038,1),"567")),"ERROR: CUENTA fuera de las clases de costo",IF(NOT(ISNUMBER(E1038)),"ERROR: VALOR debe ser numérico",IF(E1038=0,"AVISO: valor cero (no se carga)",IF(J1038&lt;&gt;"ACTIVO","NO SE CARGA: CECO en estado "&amp;J1038,"OK"))))))))))</f>
        <v/>
      </c>
    </row>
    <row r="1039">
      <c r="A1039" s="5" t="n"/>
      <c r="B1039" s="6" t="n"/>
      <c r="C1039" s="5" t="n"/>
      <c r="D1039" s="6" t="n"/>
      <c r="E1039" s="7" t="n"/>
      <c r="F1039" s="6" t="n"/>
      <c r="G1039" s="8">
        <f>IF(B1039="","",IFERROR(VLOOKUP(--B1039,'CATALOGO CECO'!$A$2:$H$550,2,FALSE),"CECO NO EXISTE"))</f>
        <v/>
      </c>
      <c r="H1039" s="8">
        <f>IF(B1039="","",IFERROR(VLOOKUP(--B1039,'CATALOGO CECO'!$A$2:$H$550,3,FALSE),""))</f>
        <v/>
      </c>
      <c r="I1039" s="8">
        <f>IF(B1039="","",IFERROR(VLOOKUP(--B1039,'CATALOGO CECO'!$A$2:$H$550,5,FALSE),""))</f>
        <v/>
      </c>
      <c r="J1039" s="8">
        <f>IF(B1039="","",IFERROR(VLOOKUP(--B1039,'CATALOGO CECO'!$A$2:$H$550,8,FALSE),""))</f>
        <v/>
      </c>
      <c r="K1039" s="8">
        <f>IF(COUNTA(A1039:F1039)=0,"",IF(OR(LEN(A1039)&lt;&gt;7,MID(A1039,5,1)&lt;&gt;"-",ISERROR(--LEFT(A1039,4)),ISERROR(--RIGHT(A1039,2))),"ERROR: PERIODO debe ser AAAA-MM",IF(B1039="","ERROR: falta CODIGO CECO",IF(G1039="CECO NO EXISTE","ERROR: CECO no existe en el catálogo",IF(C1039="","ERROR: falta CUENTA",IF(ISERROR(--C1039),"ERROR: CUENTA debe tener solo dígitos",IF(ISERROR(FIND(LEFT(C1039,1),"567")),"ERROR: CUENTA fuera de las clases de costo",IF(NOT(ISNUMBER(E1039)),"ERROR: VALOR debe ser numérico",IF(E1039=0,"AVISO: valor cero (no se carga)",IF(J1039&lt;&gt;"ACTIVO","NO SE CARGA: CECO en estado "&amp;J1039,"OK"))))))))))</f>
        <v/>
      </c>
    </row>
    <row r="1040">
      <c r="A1040" s="5" t="n"/>
      <c r="B1040" s="6" t="n"/>
      <c r="C1040" s="5" t="n"/>
      <c r="D1040" s="6" t="n"/>
      <c r="E1040" s="7" t="n"/>
      <c r="F1040" s="6" t="n"/>
      <c r="G1040" s="8">
        <f>IF(B1040="","",IFERROR(VLOOKUP(--B1040,'CATALOGO CECO'!$A$2:$H$550,2,FALSE),"CECO NO EXISTE"))</f>
        <v/>
      </c>
      <c r="H1040" s="8">
        <f>IF(B1040="","",IFERROR(VLOOKUP(--B1040,'CATALOGO CECO'!$A$2:$H$550,3,FALSE),""))</f>
        <v/>
      </c>
      <c r="I1040" s="8">
        <f>IF(B1040="","",IFERROR(VLOOKUP(--B1040,'CATALOGO CECO'!$A$2:$H$550,5,FALSE),""))</f>
        <v/>
      </c>
      <c r="J1040" s="8">
        <f>IF(B1040="","",IFERROR(VLOOKUP(--B1040,'CATALOGO CECO'!$A$2:$H$550,8,FALSE),""))</f>
        <v/>
      </c>
      <c r="K1040" s="8">
        <f>IF(COUNTA(A1040:F1040)=0,"",IF(OR(LEN(A1040)&lt;&gt;7,MID(A1040,5,1)&lt;&gt;"-",ISERROR(--LEFT(A1040,4)),ISERROR(--RIGHT(A1040,2))),"ERROR: PERIODO debe ser AAAA-MM",IF(B1040="","ERROR: falta CODIGO CECO",IF(G1040="CECO NO EXISTE","ERROR: CECO no existe en el catálogo",IF(C1040="","ERROR: falta CUENTA",IF(ISERROR(--C1040),"ERROR: CUENTA debe tener solo dígitos",IF(ISERROR(FIND(LEFT(C1040,1),"567")),"ERROR: CUENTA fuera de las clases de costo",IF(NOT(ISNUMBER(E1040)),"ERROR: VALOR debe ser numérico",IF(E1040=0,"AVISO: valor cero (no se carga)",IF(J1040&lt;&gt;"ACTIVO","NO SE CARGA: CECO en estado "&amp;J1040,"OK"))))))))))</f>
        <v/>
      </c>
    </row>
    <row r="1041">
      <c r="A1041" s="5" t="n"/>
      <c r="B1041" s="6" t="n"/>
      <c r="C1041" s="5" t="n"/>
      <c r="D1041" s="6" t="n"/>
      <c r="E1041" s="7" t="n"/>
      <c r="F1041" s="6" t="n"/>
      <c r="G1041" s="8">
        <f>IF(B1041="","",IFERROR(VLOOKUP(--B1041,'CATALOGO CECO'!$A$2:$H$550,2,FALSE),"CECO NO EXISTE"))</f>
        <v/>
      </c>
      <c r="H1041" s="8">
        <f>IF(B1041="","",IFERROR(VLOOKUP(--B1041,'CATALOGO CECO'!$A$2:$H$550,3,FALSE),""))</f>
        <v/>
      </c>
      <c r="I1041" s="8">
        <f>IF(B1041="","",IFERROR(VLOOKUP(--B1041,'CATALOGO CECO'!$A$2:$H$550,5,FALSE),""))</f>
        <v/>
      </c>
      <c r="J1041" s="8">
        <f>IF(B1041="","",IFERROR(VLOOKUP(--B1041,'CATALOGO CECO'!$A$2:$H$550,8,FALSE),""))</f>
        <v/>
      </c>
      <c r="K1041" s="8">
        <f>IF(COUNTA(A1041:F1041)=0,"",IF(OR(LEN(A1041)&lt;&gt;7,MID(A1041,5,1)&lt;&gt;"-",ISERROR(--LEFT(A1041,4)),ISERROR(--RIGHT(A1041,2))),"ERROR: PERIODO debe ser AAAA-MM",IF(B1041="","ERROR: falta CODIGO CECO",IF(G1041="CECO NO EXISTE","ERROR: CECO no existe en el catálogo",IF(C1041="","ERROR: falta CUENTA",IF(ISERROR(--C1041),"ERROR: CUENTA debe tener solo dígitos",IF(ISERROR(FIND(LEFT(C1041,1),"567")),"ERROR: CUENTA fuera de las clases de costo",IF(NOT(ISNUMBER(E1041)),"ERROR: VALOR debe ser numérico",IF(E1041=0,"AVISO: valor cero (no se carga)",IF(J1041&lt;&gt;"ACTIVO","NO SE CARGA: CECO en estado "&amp;J1041,"OK"))))))))))</f>
        <v/>
      </c>
    </row>
    <row r="1042">
      <c r="A1042" s="5" t="n"/>
      <c r="B1042" s="6" t="n"/>
      <c r="C1042" s="5" t="n"/>
      <c r="D1042" s="6" t="n"/>
      <c r="E1042" s="7" t="n"/>
      <c r="F1042" s="6" t="n"/>
      <c r="G1042" s="8">
        <f>IF(B1042="","",IFERROR(VLOOKUP(--B1042,'CATALOGO CECO'!$A$2:$H$550,2,FALSE),"CECO NO EXISTE"))</f>
        <v/>
      </c>
      <c r="H1042" s="8">
        <f>IF(B1042="","",IFERROR(VLOOKUP(--B1042,'CATALOGO CECO'!$A$2:$H$550,3,FALSE),""))</f>
        <v/>
      </c>
      <c r="I1042" s="8">
        <f>IF(B1042="","",IFERROR(VLOOKUP(--B1042,'CATALOGO CECO'!$A$2:$H$550,5,FALSE),""))</f>
        <v/>
      </c>
      <c r="J1042" s="8">
        <f>IF(B1042="","",IFERROR(VLOOKUP(--B1042,'CATALOGO CECO'!$A$2:$H$550,8,FALSE),""))</f>
        <v/>
      </c>
      <c r="K1042" s="8">
        <f>IF(COUNTA(A1042:F1042)=0,"",IF(OR(LEN(A1042)&lt;&gt;7,MID(A1042,5,1)&lt;&gt;"-",ISERROR(--LEFT(A1042,4)),ISERROR(--RIGHT(A1042,2))),"ERROR: PERIODO debe ser AAAA-MM",IF(B1042="","ERROR: falta CODIGO CECO",IF(G1042="CECO NO EXISTE","ERROR: CECO no existe en el catálogo",IF(C1042="","ERROR: falta CUENTA",IF(ISERROR(--C1042),"ERROR: CUENTA debe tener solo dígitos",IF(ISERROR(FIND(LEFT(C1042,1),"567")),"ERROR: CUENTA fuera de las clases de costo",IF(NOT(ISNUMBER(E1042)),"ERROR: VALOR debe ser numérico",IF(E1042=0,"AVISO: valor cero (no se carga)",IF(J1042&lt;&gt;"ACTIVO","NO SE CARGA: CECO en estado "&amp;J1042,"OK"))))))))))</f>
        <v/>
      </c>
    </row>
    <row r="1043">
      <c r="A1043" s="5" t="n"/>
      <c r="B1043" s="6" t="n"/>
      <c r="C1043" s="5" t="n"/>
      <c r="D1043" s="6" t="n"/>
      <c r="E1043" s="7" t="n"/>
      <c r="F1043" s="6" t="n"/>
      <c r="G1043" s="8">
        <f>IF(B1043="","",IFERROR(VLOOKUP(--B1043,'CATALOGO CECO'!$A$2:$H$550,2,FALSE),"CECO NO EXISTE"))</f>
        <v/>
      </c>
      <c r="H1043" s="8">
        <f>IF(B1043="","",IFERROR(VLOOKUP(--B1043,'CATALOGO CECO'!$A$2:$H$550,3,FALSE),""))</f>
        <v/>
      </c>
      <c r="I1043" s="8">
        <f>IF(B1043="","",IFERROR(VLOOKUP(--B1043,'CATALOGO CECO'!$A$2:$H$550,5,FALSE),""))</f>
        <v/>
      </c>
      <c r="J1043" s="8">
        <f>IF(B1043="","",IFERROR(VLOOKUP(--B1043,'CATALOGO CECO'!$A$2:$H$550,8,FALSE),""))</f>
        <v/>
      </c>
      <c r="K1043" s="8">
        <f>IF(COUNTA(A1043:F1043)=0,"",IF(OR(LEN(A1043)&lt;&gt;7,MID(A1043,5,1)&lt;&gt;"-",ISERROR(--LEFT(A1043,4)),ISERROR(--RIGHT(A1043,2))),"ERROR: PERIODO debe ser AAAA-MM",IF(B1043="","ERROR: falta CODIGO CECO",IF(G1043="CECO NO EXISTE","ERROR: CECO no existe en el catálogo",IF(C1043="","ERROR: falta CUENTA",IF(ISERROR(--C1043),"ERROR: CUENTA debe tener solo dígitos",IF(ISERROR(FIND(LEFT(C1043,1),"567")),"ERROR: CUENTA fuera de las clases de costo",IF(NOT(ISNUMBER(E1043)),"ERROR: VALOR debe ser numérico",IF(E1043=0,"AVISO: valor cero (no se carga)",IF(J1043&lt;&gt;"ACTIVO","NO SE CARGA: CECO en estado "&amp;J1043,"OK"))))))))))</f>
        <v/>
      </c>
    </row>
    <row r="1044">
      <c r="A1044" s="5" t="n"/>
      <c r="B1044" s="6" t="n"/>
      <c r="C1044" s="5" t="n"/>
      <c r="D1044" s="6" t="n"/>
      <c r="E1044" s="7" t="n"/>
      <c r="F1044" s="6" t="n"/>
      <c r="G1044" s="8">
        <f>IF(B1044="","",IFERROR(VLOOKUP(--B1044,'CATALOGO CECO'!$A$2:$H$550,2,FALSE),"CECO NO EXISTE"))</f>
        <v/>
      </c>
      <c r="H1044" s="8">
        <f>IF(B1044="","",IFERROR(VLOOKUP(--B1044,'CATALOGO CECO'!$A$2:$H$550,3,FALSE),""))</f>
        <v/>
      </c>
      <c r="I1044" s="8">
        <f>IF(B1044="","",IFERROR(VLOOKUP(--B1044,'CATALOGO CECO'!$A$2:$H$550,5,FALSE),""))</f>
        <v/>
      </c>
      <c r="J1044" s="8">
        <f>IF(B1044="","",IFERROR(VLOOKUP(--B1044,'CATALOGO CECO'!$A$2:$H$550,8,FALSE),""))</f>
        <v/>
      </c>
      <c r="K1044" s="8">
        <f>IF(COUNTA(A1044:F1044)=0,"",IF(OR(LEN(A1044)&lt;&gt;7,MID(A1044,5,1)&lt;&gt;"-",ISERROR(--LEFT(A1044,4)),ISERROR(--RIGHT(A1044,2))),"ERROR: PERIODO debe ser AAAA-MM",IF(B1044="","ERROR: falta CODIGO CECO",IF(G1044="CECO NO EXISTE","ERROR: CECO no existe en el catálogo",IF(C1044="","ERROR: falta CUENTA",IF(ISERROR(--C1044),"ERROR: CUENTA debe tener solo dígitos",IF(ISERROR(FIND(LEFT(C1044,1),"567")),"ERROR: CUENTA fuera de las clases de costo",IF(NOT(ISNUMBER(E1044)),"ERROR: VALOR debe ser numérico",IF(E1044=0,"AVISO: valor cero (no se carga)",IF(J1044&lt;&gt;"ACTIVO","NO SE CARGA: CECO en estado "&amp;J1044,"OK"))))))))))</f>
        <v/>
      </c>
    </row>
    <row r="1045">
      <c r="A1045" s="5" t="n"/>
      <c r="B1045" s="6" t="n"/>
      <c r="C1045" s="5" t="n"/>
      <c r="D1045" s="6" t="n"/>
      <c r="E1045" s="7" t="n"/>
      <c r="F1045" s="6" t="n"/>
      <c r="G1045" s="8">
        <f>IF(B1045="","",IFERROR(VLOOKUP(--B1045,'CATALOGO CECO'!$A$2:$H$550,2,FALSE),"CECO NO EXISTE"))</f>
        <v/>
      </c>
      <c r="H1045" s="8">
        <f>IF(B1045="","",IFERROR(VLOOKUP(--B1045,'CATALOGO CECO'!$A$2:$H$550,3,FALSE),""))</f>
        <v/>
      </c>
      <c r="I1045" s="8">
        <f>IF(B1045="","",IFERROR(VLOOKUP(--B1045,'CATALOGO CECO'!$A$2:$H$550,5,FALSE),""))</f>
        <v/>
      </c>
      <c r="J1045" s="8">
        <f>IF(B1045="","",IFERROR(VLOOKUP(--B1045,'CATALOGO CECO'!$A$2:$H$550,8,FALSE),""))</f>
        <v/>
      </c>
      <c r="K1045" s="8">
        <f>IF(COUNTA(A1045:F1045)=0,"",IF(OR(LEN(A1045)&lt;&gt;7,MID(A1045,5,1)&lt;&gt;"-",ISERROR(--LEFT(A1045,4)),ISERROR(--RIGHT(A1045,2))),"ERROR: PERIODO debe ser AAAA-MM",IF(B1045="","ERROR: falta CODIGO CECO",IF(G1045="CECO NO EXISTE","ERROR: CECO no existe en el catálogo",IF(C1045="","ERROR: falta CUENTA",IF(ISERROR(--C1045),"ERROR: CUENTA debe tener solo dígitos",IF(ISERROR(FIND(LEFT(C1045,1),"567")),"ERROR: CUENTA fuera de las clases de costo",IF(NOT(ISNUMBER(E1045)),"ERROR: VALOR debe ser numérico",IF(E1045=0,"AVISO: valor cero (no se carga)",IF(J1045&lt;&gt;"ACTIVO","NO SE CARGA: CECO en estado "&amp;J1045,"OK"))))))))))</f>
        <v/>
      </c>
    </row>
    <row r="1046">
      <c r="A1046" s="5" t="n"/>
      <c r="B1046" s="6" t="n"/>
      <c r="C1046" s="5" t="n"/>
      <c r="D1046" s="6" t="n"/>
      <c r="E1046" s="7" t="n"/>
      <c r="F1046" s="6" t="n"/>
      <c r="G1046" s="8">
        <f>IF(B1046="","",IFERROR(VLOOKUP(--B1046,'CATALOGO CECO'!$A$2:$H$550,2,FALSE),"CECO NO EXISTE"))</f>
        <v/>
      </c>
      <c r="H1046" s="8">
        <f>IF(B1046="","",IFERROR(VLOOKUP(--B1046,'CATALOGO CECO'!$A$2:$H$550,3,FALSE),""))</f>
        <v/>
      </c>
      <c r="I1046" s="8">
        <f>IF(B1046="","",IFERROR(VLOOKUP(--B1046,'CATALOGO CECO'!$A$2:$H$550,5,FALSE),""))</f>
        <v/>
      </c>
      <c r="J1046" s="8">
        <f>IF(B1046="","",IFERROR(VLOOKUP(--B1046,'CATALOGO CECO'!$A$2:$H$550,8,FALSE),""))</f>
        <v/>
      </c>
      <c r="K1046" s="8">
        <f>IF(COUNTA(A1046:F1046)=0,"",IF(OR(LEN(A1046)&lt;&gt;7,MID(A1046,5,1)&lt;&gt;"-",ISERROR(--LEFT(A1046,4)),ISERROR(--RIGHT(A1046,2))),"ERROR: PERIODO debe ser AAAA-MM",IF(B1046="","ERROR: falta CODIGO CECO",IF(G1046="CECO NO EXISTE","ERROR: CECO no existe en el catálogo",IF(C1046="","ERROR: falta CUENTA",IF(ISERROR(--C1046),"ERROR: CUENTA debe tener solo dígitos",IF(ISERROR(FIND(LEFT(C1046,1),"567")),"ERROR: CUENTA fuera de las clases de costo",IF(NOT(ISNUMBER(E1046)),"ERROR: VALOR debe ser numérico",IF(E1046=0,"AVISO: valor cero (no se carga)",IF(J1046&lt;&gt;"ACTIVO","NO SE CARGA: CECO en estado "&amp;J1046,"OK"))))))))))</f>
        <v/>
      </c>
    </row>
    <row r="1047">
      <c r="A1047" s="5" t="n"/>
      <c r="B1047" s="6" t="n"/>
      <c r="C1047" s="5" t="n"/>
      <c r="D1047" s="6" t="n"/>
      <c r="E1047" s="7" t="n"/>
      <c r="F1047" s="6" t="n"/>
      <c r="G1047" s="8">
        <f>IF(B1047="","",IFERROR(VLOOKUP(--B1047,'CATALOGO CECO'!$A$2:$H$550,2,FALSE),"CECO NO EXISTE"))</f>
        <v/>
      </c>
      <c r="H1047" s="8">
        <f>IF(B1047="","",IFERROR(VLOOKUP(--B1047,'CATALOGO CECO'!$A$2:$H$550,3,FALSE),""))</f>
        <v/>
      </c>
      <c r="I1047" s="8">
        <f>IF(B1047="","",IFERROR(VLOOKUP(--B1047,'CATALOGO CECO'!$A$2:$H$550,5,FALSE),""))</f>
        <v/>
      </c>
      <c r="J1047" s="8">
        <f>IF(B1047="","",IFERROR(VLOOKUP(--B1047,'CATALOGO CECO'!$A$2:$H$550,8,FALSE),""))</f>
        <v/>
      </c>
      <c r="K1047" s="8">
        <f>IF(COUNTA(A1047:F1047)=0,"",IF(OR(LEN(A1047)&lt;&gt;7,MID(A1047,5,1)&lt;&gt;"-",ISERROR(--LEFT(A1047,4)),ISERROR(--RIGHT(A1047,2))),"ERROR: PERIODO debe ser AAAA-MM",IF(B1047="","ERROR: falta CODIGO CECO",IF(G1047="CECO NO EXISTE","ERROR: CECO no existe en el catálogo",IF(C1047="","ERROR: falta CUENTA",IF(ISERROR(--C1047),"ERROR: CUENTA debe tener solo dígitos",IF(ISERROR(FIND(LEFT(C1047,1),"567")),"ERROR: CUENTA fuera de las clases de costo",IF(NOT(ISNUMBER(E1047)),"ERROR: VALOR debe ser numérico",IF(E1047=0,"AVISO: valor cero (no se carga)",IF(J1047&lt;&gt;"ACTIVO","NO SE CARGA: CECO en estado "&amp;J1047,"OK"))))))))))</f>
        <v/>
      </c>
    </row>
    <row r="1048">
      <c r="A1048" s="5" t="n"/>
      <c r="B1048" s="6" t="n"/>
      <c r="C1048" s="5" t="n"/>
      <c r="D1048" s="6" t="n"/>
      <c r="E1048" s="7" t="n"/>
      <c r="F1048" s="6" t="n"/>
      <c r="G1048" s="8">
        <f>IF(B1048="","",IFERROR(VLOOKUP(--B1048,'CATALOGO CECO'!$A$2:$H$550,2,FALSE),"CECO NO EXISTE"))</f>
        <v/>
      </c>
      <c r="H1048" s="8">
        <f>IF(B1048="","",IFERROR(VLOOKUP(--B1048,'CATALOGO CECO'!$A$2:$H$550,3,FALSE),""))</f>
        <v/>
      </c>
      <c r="I1048" s="8">
        <f>IF(B1048="","",IFERROR(VLOOKUP(--B1048,'CATALOGO CECO'!$A$2:$H$550,5,FALSE),""))</f>
        <v/>
      </c>
      <c r="J1048" s="8">
        <f>IF(B1048="","",IFERROR(VLOOKUP(--B1048,'CATALOGO CECO'!$A$2:$H$550,8,FALSE),""))</f>
        <v/>
      </c>
      <c r="K1048" s="8">
        <f>IF(COUNTA(A1048:F1048)=0,"",IF(OR(LEN(A1048)&lt;&gt;7,MID(A1048,5,1)&lt;&gt;"-",ISERROR(--LEFT(A1048,4)),ISERROR(--RIGHT(A1048,2))),"ERROR: PERIODO debe ser AAAA-MM",IF(B1048="","ERROR: falta CODIGO CECO",IF(G1048="CECO NO EXISTE","ERROR: CECO no existe en el catálogo",IF(C1048="","ERROR: falta CUENTA",IF(ISERROR(--C1048),"ERROR: CUENTA debe tener solo dígitos",IF(ISERROR(FIND(LEFT(C1048,1),"567")),"ERROR: CUENTA fuera de las clases de costo",IF(NOT(ISNUMBER(E1048)),"ERROR: VALOR debe ser numérico",IF(E1048=0,"AVISO: valor cero (no se carga)",IF(J1048&lt;&gt;"ACTIVO","NO SE CARGA: CECO en estado "&amp;J1048,"OK"))))))))))</f>
        <v/>
      </c>
    </row>
    <row r="1049">
      <c r="A1049" s="5" t="n"/>
      <c r="B1049" s="6" t="n"/>
      <c r="C1049" s="5" t="n"/>
      <c r="D1049" s="6" t="n"/>
      <c r="E1049" s="7" t="n"/>
      <c r="F1049" s="6" t="n"/>
      <c r="G1049" s="8">
        <f>IF(B1049="","",IFERROR(VLOOKUP(--B1049,'CATALOGO CECO'!$A$2:$H$550,2,FALSE),"CECO NO EXISTE"))</f>
        <v/>
      </c>
      <c r="H1049" s="8">
        <f>IF(B1049="","",IFERROR(VLOOKUP(--B1049,'CATALOGO CECO'!$A$2:$H$550,3,FALSE),""))</f>
        <v/>
      </c>
      <c r="I1049" s="8">
        <f>IF(B1049="","",IFERROR(VLOOKUP(--B1049,'CATALOGO CECO'!$A$2:$H$550,5,FALSE),""))</f>
        <v/>
      </c>
      <c r="J1049" s="8">
        <f>IF(B1049="","",IFERROR(VLOOKUP(--B1049,'CATALOGO CECO'!$A$2:$H$550,8,FALSE),""))</f>
        <v/>
      </c>
      <c r="K1049" s="8">
        <f>IF(COUNTA(A1049:F1049)=0,"",IF(OR(LEN(A1049)&lt;&gt;7,MID(A1049,5,1)&lt;&gt;"-",ISERROR(--LEFT(A1049,4)),ISERROR(--RIGHT(A1049,2))),"ERROR: PERIODO debe ser AAAA-MM",IF(B1049="","ERROR: falta CODIGO CECO",IF(G1049="CECO NO EXISTE","ERROR: CECO no existe en el catálogo",IF(C1049="","ERROR: falta CUENTA",IF(ISERROR(--C1049),"ERROR: CUENTA debe tener solo dígitos",IF(ISERROR(FIND(LEFT(C1049,1),"567")),"ERROR: CUENTA fuera de las clases de costo",IF(NOT(ISNUMBER(E1049)),"ERROR: VALOR debe ser numérico",IF(E1049=0,"AVISO: valor cero (no se carga)",IF(J1049&lt;&gt;"ACTIVO","NO SE CARGA: CECO en estado "&amp;J1049,"OK"))))))))))</f>
        <v/>
      </c>
    </row>
    <row r="1050">
      <c r="A1050" s="5" t="n"/>
      <c r="B1050" s="6" t="n"/>
      <c r="C1050" s="5" t="n"/>
      <c r="D1050" s="6" t="n"/>
      <c r="E1050" s="7" t="n"/>
      <c r="F1050" s="6" t="n"/>
      <c r="G1050" s="8">
        <f>IF(B1050="","",IFERROR(VLOOKUP(--B1050,'CATALOGO CECO'!$A$2:$H$550,2,FALSE),"CECO NO EXISTE"))</f>
        <v/>
      </c>
      <c r="H1050" s="8">
        <f>IF(B1050="","",IFERROR(VLOOKUP(--B1050,'CATALOGO CECO'!$A$2:$H$550,3,FALSE),""))</f>
        <v/>
      </c>
      <c r="I1050" s="8">
        <f>IF(B1050="","",IFERROR(VLOOKUP(--B1050,'CATALOGO CECO'!$A$2:$H$550,5,FALSE),""))</f>
        <v/>
      </c>
      <c r="J1050" s="8">
        <f>IF(B1050="","",IFERROR(VLOOKUP(--B1050,'CATALOGO CECO'!$A$2:$H$550,8,FALSE),""))</f>
        <v/>
      </c>
      <c r="K1050" s="8">
        <f>IF(COUNTA(A1050:F1050)=0,"",IF(OR(LEN(A1050)&lt;&gt;7,MID(A1050,5,1)&lt;&gt;"-",ISERROR(--LEFT(A1050,4)),ISERROR(--RIGHT(A1050,2))),"ERROR: PERIODO debe ser AAAA-MM",IF(B1050="","ERROR: falta CODIGO CECO",IF(G1050="CECO NO EXISTE","ERROR: CECO no existe en el catálogo",IF(C1050="","ERROR: falta CUENTA",IF(ISERROR(--C1050),"ERROR: CUENTA debe tener solo dígitos",IF(ISERROR(FIND(LEFT(C1050,1),"567")),"ERROR: CUENTA fuera de las clases de costo",IF(NOT(ISNUMBER(E1050)),"ERROR: VALOR debe ser numérico",IF(E1050=0,"AVISO: valor cero (no se carga)",IF(J1050&lt;&gt;"ACTIVO","NO SE CARGA: CECO en estado "&amp;J1050,"OK"))))))))))</f>
        <v/>
      </c>
    </row>
    <row r="1051">
      <c r="A1051" s="5" t="n"/>
      <c r="B1051" s="6" t="n"/>
      <c r="C1051" s="5" t="n"/>
      <c r="D1051" s="6" t="n"/>
      <c r="E1051" s="7" t="n"/>
      <c r="F1051" s="6" t="n"/>
      <c r="G1051" s="8">
        <f>IF(B1051="","",IFERROR(VLOOKUP(--B1051,'CATALOGO CECO'!$A$2:$H$550,2,FALSE),"CECO NO EXISTE"))</f>
        <v/>
      </c>
      <c r="H1051" s="8">
        <f>IF(B1051="","",IFERROR(VLOOKUP(--B1051,'CATALOGO CECO'!$A$2:$H$550,3,FALSE),""))</f>
        <v/>
      </c>
      <c r="I1051" s="8">
        <f>IF(B1051="","",IFERROR(VLOOKUP(--B1051,'CATALOGO CECO'!$A$2:$H$550,5,FALSE),""))</f>
        <v/>
      </c>
      <c r="J1051" s="8">
        <f>IF(B1051="","",IFERROR(VLOOKUP(--B1051,'CATALOGO CECO'!$A$2:$H$550,8,FALSE),""))</f>
        <v/>
      </c>
      <c r="K1051" s="8">
        <f>IF(COUNTA(A1051:F1051)=0,"",IF(OR(LEN(A1051)&lt;&gt;7,MID(A1051,5,1)&lt;&gt;"-",ISERROR(--LEFT(A1051,4)),ISERROR(--RIGHT(A1051,2))),"ERROR: PERIODO debe ser AAAA-MM",IF(B1051="","ERROR: falta CODIGO CECO",IF(G1051="CECO NO EXISTE","ERROR: CECO no existe en el catálogo",IF(C1051="","ERROR: falta CUENTA",IF(ISERROR(--C1051),"ERROR: CUENTA debe tener solo dígitos",IF(ISERROR(FIND(LEFT(C1051,1),"567")),"ERROR: CUENTA fuera de las clases de costo",IF(NOT(ISNUMBER(E1051)),"ERROR: VALOR debe ser numérico",IF(E1051=0,"AVISO: valor cero (no se carga)",IF(J1051&lt;&gt;"ACTIVO","NO SE CARGA: CECO en estado "&amp;J1051,"OK"))))))))))</f>
        <v/>
      </c>
    </row>
    <row r="1052">
      <c r="A1052" s="5" t="n"/>
      <c r="B1052" s="6" t="n"/>
      <c r="C1052" s="5" t="n"/>
      <c r="D1052" s="6" t="n"/>
      <c r="E1052" s="7" t="n"/>
      <c r="F1052" s="6" t="n"/>
      <c r="G1052" s="8">
        <f>IF(B1052="","",IFERROR(VLOOKUP(--B1052,'CATALOGO CECO'!$A$2:$H$550,2,FALSE),"CECO NO EXISTE"))</f>
        <v/>
      </c>
      <c r="H1052" s="8">
        <f>IF(B1052="","",IFERROR(VLOOKUP(--B1052,'CATALOGO CECO'!$A$2:$H$550,3,FALSE),""))</f>
        <v/>
      </c>
      <c r="I1052" s="8">
        <f>IF(B1052="","",IFERROR(VLOOKUP(--B1052,'CATALOGO CECO'!$A$2:$H$550,5,FALSE),""))</f>
        <v/>
      </c>
      <c r="J1052" s="8">
        <f>IF(B1052="","",IFERROR(VLOOKUP(--B1052,'CATALOGO CECO'!$A$2:$H$550,8,FALSE),""))</f>
        <v/>
      </c>
      <c r="K1052" s="8">
        <f>IF(COUNTA(A1052:F1052)=0,"",IF(OR(LEN(A1052)&lt;&gt;7,MID(A1052,5,1)&lt;&gt;"-",ISERROR(--LEFT(A1052,4)),ISERROR(--RIGHT(A1052,2))),"ERROR: PERIODO debe ser AAAA-MM",IF(B1052="","ERROR: falta CODIGO CECO",IF(G1052="CECO NO EXISTE","ERROR: CECO no existe en el catálogo",IF(C1052="","ERROR: falta CUENTA",IF(ISERROR(--C1052),"ERROR: CUENTA debe tener solo dígitos",IF(ISERROR(FIND(LEFT(C1052,1),"567")),"ERROR: CUENTA fuera de las clases de costo",IF(NOT(ISNUMBER(E1052)),"ERROR: VALOR debe ser numérico",IF(E1052=0,"AVISO: valor cero (no se carga)",IF(J1052&lt;&gt;"ACTIVO","NO SE CARGA: CECO en estado "&amp;J1052,"OK"))))))))))</f>
        <v/>
      </c>
    </row>
    <row r="1053">
      <c r="A1053" s="5" t="n"/>
      <c r="B1053" s="6" t="n"/>
      <c r="C1053" s="5" t="n"/>
      <c r="D1053" s="6" t="n"/>
      <c r="E1053" s="7" t="n"/>
      <c r="F1053" s="6" t="n"/>
      <c r="G1053" s="8">
        <f>IF(B1053="","",IFERROR(VLOOKUP(--B1053,'CATALOGO CECO'!$A$2:$H$550,2,FALSE),"CECO NO EXISTE"))</f>
        <v/>
      </c>
      <c r="H1053" s="8">
        <f>IF(B1053="","",IFERROR(VLOOKUP(--B1053,'CATALOGO CECO'!$A$2:$H$550,3,FALSE),""))</f>
        <v/>
      </c>
      <c r="I1053" s="8">
        <f>IF(B1053="","",IFERROR(VLOOKUP(--B1053,'CATALOGO CECO'!$A$2:$H$550,5,FALSE),""))</f>
        <v/>
      </c>
      <c r="J1053" s="8">
        <f>IF(B1053="","",IFERROR(VLOOKUP(--B1053,'CATALOGO CECO'!$A$2:$H$550,8,FALSE),""))</f>
        <v/>
      </c>
      <c r="K1053" s="8">
        <f>IF(COUNTA(A1053:F1053)=0,"",IF(OR(LEN(A1053)&lt;&gt;7,MID(A1053,5,1)&lt;&gt;"-",ISERROR(--LEFT(A1053,4)),ISERROR(--RIGHT(A1053,2))),"ERROR: PERIODO debe ser AAAA-MM",IF(B1053="","ERROR: falta CODIGO CECO",IF(G1053="CECO NO EXISTE","ERROR: CECO no existe en el catálogo",IF(C1053="","ERROR: falta CUENTA",IF(ISERROR(--C1053),"ERROR: CUENTA debe tener solo dígitos",IF(ISERROR(FIND(LEFT(C1053,1),"567")),"ERROR: CUENTA fuera de las clases de costo",IF(NOT(ISNUMBER(E1053)),"ERROR: VALOR debe ser numérico",IF(E1053=0,"AVISO: valor cero (no se carga)",IF(J1053&lt;&gt;"ACTIVO","NO SE CARGA: CECO en estado "&amp;J1053,"OK"))))))))))</f>
        <v/>
      </c>
    </row>
    <row r="1054">
      <c r="A1054" s="5" t="n"/>
      <c r="B1054" s="6" t="n"/>
      <c r="C1054" s="5" t="n"/>
      <c r="D1054" s="6" t="n"/>
      <c r="E1054" s="7" t="n"/>
      <c r="F1054" s="6" t="n"/>
      <c r="G1054" s="8">
        <f>IF(B1054="","",IFERROR(VLOOKUP(--B1054,'CATALOGO CECO'!$A$2:$H$550,2,FALSE),"CECO NO EXISTE"))</f>
        <v/>
      </c>
      <c r="H1054" s="8">
        <f>IF(B1054="","",IFERROR(VLOOKUP(--B1054,'CATALOGO CECO'!$A$2:$H$550,3,FALSE),""))</f>
        <v/>
      </c>
      <c r="I1054" s="8">
        <f>IF(B1054="","",IFERROR(VLOOKUP(--B1054,'CATALOGO CECO'!$A$2:$H$550,5,FALSE),""))</f>
        <v/>
      </c>
      <c r="J1054" s="8">
        <f>IF(B1054="","",IFERROR(VLOOKUP(--B1054,'CATALOGO CECO'!$A$2:$H$550,8,FALSE),""))</f>
        <v/>
      </c>
      <c r="K1054" s="8">
        <f>IF(COUNTA(A1054:F1054)=0,"",IF(OR(LEN(A1054)&lt;&gt;7,MID(A1054,5,1)&lt;&gt;"-",ISERROR(--LEFT(A1054,4)),ISERROR(--RIGHT(A1054,2))),"ERROR: PERIODO debe ser AAAA-MM",IF(B1054="","ERROR: falta CODIGO CECO",IF(G1054="CECO NO EXISTE","ERROR: CECO no existe en el catálogo",IF(C1054="","ERROR: falta CUENTA",IF(ISERROR(--C1054),"ERROR: CUENTA debe tener solo dígitos",IF(ISERROR(FIND(LEFT(C1054,1),"567")),"ERROR: CUENTA fuera de las clases de costo",IF(NOT(ISNUMBER(E1054)),"ERROR: VALOR debe ser numérico",IF(E1054=0,"AVISO: valor cero (no se carga)",IF(J1054&lt;&gt;"ACTIVO","NO SE CARGA: CECO en estado "&amp;J1054,"OK"))))))))))</f>
        <v/>
      </c>
    </row>
    <row r="1055">
      <c r="A1055" s="5" t="n"/>
      <c r="B1055" s="6" t="n"/>
      <c r="C1055" s="5" t="n"/>
      <c r="D1055" s="6" t="n"/>
      <c r="E1055" s="7" t="n"/>
      <c r="F1055" s="6" t="n"/>
      <c r="G1055" s="8">
        <f>IF(B1055="","",IFERROR(VLOOKUP(--B1055,'CATALOGO CECO'!$A$2:$H$550,2,FALSE),"CECO NO EXISTE"))</f>
        <v/>
      </c>
      <c r="H1055" s="8">
        <f>IF(B1055="","",IFERROR(VLOOKUP(--B1055,'CATALOGO CECO'!$A$2:$H$550,3,FALSE),""))</f>
        <v/>
      </c>
      <c r="I1055" s="8">
        <f>IF(B1055="","",IFERROR(VLOOKUP(--B1055,'CATALOGO CECO'!$A$2:$H$550,5,FALSE),""))</f>
        <v/>
      </c>
      <c r="J1055" s="8">
        <f>IF(B1055="","",IFERROR(VLOOKUP(--B1055,'CATALOGO CECO'!$A$2:$H$550,8,FALSE),""))</f>
        <v/>
      </c>
      <c r="K1055" s="8">
        <f>IF(COUNTA(A1055:F1055)=0,"",IF(OR(LEN(A1055)&lt;&gt;7,MID(A1055,5,1)&lt;&gt;"-",ISERROR(--LEFT(A1055,4)),ISERROR(--RIGHT(A1055,2))),"ERROR: PERIODO debe ser AAAA-MM",IF(B1055="","ERROR: falta CODIGO CECO",IF(G1055="CECO NO EXISTE","ERROR: CECO no existe en el catálogo",IF(C1055="","ERROR: falta CUENTA",IF(ISERROR(--C1055),"ERROR: CUENTA debe tener solo dígitos",IF(ISERROR(FIND(LEFT(C1055,1),"567")),"ERROR: CUENTA fuera de las clases de costo",IF(NOT(ISNUMBER(E1055)),"ERROR: VALOR debe ser numérico",IF(E1055=0,"AVISO: valor cero (no se carga)",IF(J1055&lt;&gt;"ACTIVO","NO SE CARGA: CECO en estado "&amp;J1055,"OK"))))))))))</f>
        <v/>
      </c>
    </row>
    <row r="1056">
      <c r="A1056" s="5" t="n"/>
      <c r="B1056" s="6" t="n"/>
      <c r="C1056" s="5" t="n"/>
      <c r="D1056" s="6" t="n"/>
      <c r="E1056" s="7" t="n"/>
      <c r="F1056" s="6" t="n"/>
      <c r="G1056" s="8">
        <f>IF(B1056="","",IFERROR(VLOOKUP(--B1056,'CATALOGO CECO'!$A$2:$H$550,2,FALSE),"CECO NO EXISTE"))</f>
        <v/>
      </c>
      <c r="H1056" s="8">
        <f>IF(B1056="","",IFERROR(VLOOKUP(--B1056,'CATALOGO CECO'!$A$2:$H$550,3,FALSE),""))</f>
        <v/>
      </c>
      <c r="I1056" s="8">
        <f>IF(B1056="","",IFERROR(VLOOKUP(--B1056,'CATALOGO CECO'!$A$2:$H$550,5,FALSE),""))</f>
        <v/>
      </c>
      <c r="J1056" s="8">
        <f>IF(B1056="","",IFERROR(VLOOKUP(--B1056,'CATALOGO CECO'!$A$2:$H$550,8,FALSE),""))</f>
        <v/>
      </c>
      <c r="K1056" s="8">
        <f>IF(COUNTA(A1056:F1056)=0,"",IF(OR(LEN(A1056)&lt;&gt;7,MID(A1056,5,1)&lt;&gt;"-",ISERROR(--LEFT(A1056,4)),ISERROR(--RIGHT(A1056,2))),"ERROR: PERIODO debe ser AAAA-MM",IF(B1056="","ERROR: falta CODIGO CECO",IF(G1056="CECO NO EXISTE","ERROR: CECO no existe en el catálogo",IF(C1056="","ERROR: falta CUENTA",IF(ISERROR(--C1056),"ERROR: CUENTA debe tener solo dígitos",IF(ISERROR(FIND(LEFT(C1056,1),"567")),"ERROR: CUENTA fuera de las clases de costo",IF(NOT(ISNUMBER(E1056)),"ERROR: VALOR debe ser numérico",IF(E1056=0,"AVISO: valor cero (no se carga)",IF(J1056&lt;&gt;"ACTIVO","NO SE CARGA: CECO en estado "&amp;J1056,"OK"))))))))))</f>
        <v/>
      </c>
    </row>
    <row r="1057">
      <c r="A1057" s="5" t="n"/>
      <c r="B1057" s="6" t="n"/>
      <c r="C1057" s="5" t="n"/>
      <c r="D1057" s="6" t="n"/>
      <c r="E1057" s="7" t="n"/>
      <c r="F1057" s="6" t="n"/>
      <c r="G1057" s="8">
        <f>IF(B1057="","",IFERROR(VLOOKUP(--B1057,'CATALOGO CECO'!$A$2:$H$550,2,FALSE),"CECO NO EXISTE"))</f>
        <v/>
      </c>
      <c r="H1057" s="8">
        <f>IF(B1057="","",IFERROR(VLOOKUP(--B1057,'CATALOGO CECO'!$A$2:$H$550,3,FALSE),""))</f>
        <v/>
      </c>
      <c r="I1057" s="8">
        <f>IF(B1057="","",IFERROR(VLOOKUP(--B1057,'CATALOGO CECO'!$A$2:$H$550,5,FALSE),""))</f>
        <v/>
      </c>
      <c r="J1057" s="8">
        <f>IF(B1057="","",IFERROR(VLOOKUP(--B1057,'CATALOGO CECO'!$A$2:$H$550,8,FALSE),""))</f>
        <v/>
      </c>
      <c r="K1057" s="8">
        <f>IF(COUNTA(A1057:F1057)=0,"",IF(OR(LEN(A1057)&lt;&gt;7,MID(A1057,5,1)&lt;&gt;"-",ISERROR(--LEFT(A1057,4)),ISERROR(--RIGHT(A1057,2))),"ERROR: PERIODO debe ser AAAA-MM",IF(B1057="","ERROR: falta CODIGO CECO",IF(G1057="CECO NO EXISTE","ERROR: CECO no existe en el catálogo",IF(C1057="","ERROR: falta CUENTA",IF(ISERROR(--C1057),"ERROR: CUENTA debe tener solo dígitos",IF(ISERROR(FIND(LEFT(C1057,1),"567")),"ERROR: CUENTA fuera de las clases de costo",IF(NOT(ISNUMBER(E1057)),"ERROR: VALOR debe ser numérico",IF(E1057=0,"AVISO: valor cero (no se carga)",IF(J1057&lt;&gt;"ACTIVO","NO SE CARGA: CECO en estado "&amp;J1057,"OK"))))))))))</f>
        <v/>
      </c>
    </row>
    <row r="1058">
      <c r="A1058" s="5" t="n"/>
      <c r="B1058" s="6" t="n"/>
      <c r="C1058" s="5" t="n"/>
      <c r="D1058" s="6" t="n"/>
      <c r="E1058" s="7" t="n"/>
      <c r="F1058" s="6" t="n"/>
      <c r="G1058" s="8">
        <f>IF(B1058="","",IFERROR(VLOOKUP(--B1058,'CATALOGO CECO'!$A$2:$H$550,2,FALSE),"CECO NO EXISTE"))</f>
        <v/>
      </c>
      <c r="H1058" s="8">
        <f>IF(B1058="","",IFERROR(VLOOKUP(--B1058,'CATALOGO CECO'!$A$2:$H$550,3,FALSE),""))</f>
        <v/>
      </c>
      <c r="I1058" s="8">
        <f>IF(B1058="","",IFERROR(VLOOKUP(--B1058,'CATALOGO CECO'!$A$2:$H$550,5,FALSE),""))</f>
        <v/>
      </c>
      <c r="J1058" s="8">
        <f>IF(B1058="","",IFERROR(VLOOKUP(--B1058,'CATALOGO CECO'!$A$2:$H$550,8,FALSE),""))</f>
        <v/>
      </c>
      <c r="K1058" s="8">
        <f>IF(COUNTA(A1058:F1058)=0,"",IF(OR(LEN(A1058)&lt;&gt;7,MID(A1058,5,1)&lt;&gt;"-",ISERROR(--LEFT(A1058,4)),ISERROR(--RIGHT(A1058,2))),"ERROR: PERIODO debe ser AAAA-MM",IF(B1058="","ERROR: falta CODIGO CECO",IF(G1058="CECO NO EXISTE","ERROR: CECO no existe en el catálogo",IF(C1058="","ERROR: falta CUENTA",IF(ISERROR(--C1058),"ERROR: CUENTA debe tener solo dígitos",IF(ISERROR(FIND(LEFT(C1058,1),"567")),"ERROR: CUENTA fuera de las clases de costo",IF(NOT(ISNUMBER(E1058)),"ERROR: VALOR debe ser numérico",IF(E1058=0,"AVISO: valor cero (no se carga)",IF(J1058&lt;&gt;"ACTIVO","NO SE CARGA: CECO en estado "&amp;J1058,"OK"))))))))))</f>
        <v/>
      </c>
    </row>
    <row r="1059">
      <c r="A1059" s="5" t="n"/>
      <c r="B1059" s="6" t="n"/>
      <c r="C1059" s="5" t="n"/>
      <c r="D1059" s="6" t="n"/>
      <c r="E1059" s="7" t="n"/>
      <c r="F1059" s="6" t="n"/>
      <c r="G1059" s="8">
        <f>IF(B1059="","",IFERROR(VLOOKUP(--B1059,'CATALOGO CECO'!$A$2:$H$550,2,FALSE),"CECO NO EXISTE"))</f>
        <v/>
      </c>
      <c r="H1059" s="8">
        <f>IF(B1059="","",IFERROR(VLOOKUP(--B1059,'CATALOGO CECO'!$A$2:$H$550,3,FALSE),""))</f>
        <v/>
      </c>
      <c r="I1059" s="8">
        <f>IF(B1059="","",IFERROR(VLOOKUP(--B1059,'CATALOGO CECO'!$A$2:$H$550,5,FALSE),""))</f>
        <v/>
      </c>
      <c r="J1059" s="8">
        <f>IF(B1059="","",IFERROR(VLOOKUP(--B1059,'CATALOGO CECO'!$A$2:$H$550,8,FALSE),""))</f>
        <v/>
      </c>
      <c r="K1059" s="8">
        <f>IF(COUNTA(A1059:F1059)=0,"",IF(OR(LEN(A1059)&lt;&gt;7,MID(A1059,5,1)&lt;&gt;"-",ISERROR(--LEFT(A1059,4)),ISERROR(--RIGHT(A1059,2))),"ERROR: PERIODO debe ser AAAA-MM",IF(B1059="","ERROR: falta CODIGO CECO",IF(G1059="CECO NO EXISTE","ERROR: CECO no existe en el catálogo",IF(C1059="","ERROR: falta CUENTA",IF(ISERROR(--C1059),"ERROR: CUENTA debe tener solo dígitos",IF(ISERROR(FIND(LEFT(C1059,1),"567")),"ERROR: CUENTA fuera de las clases de costo",IF(NOT(ISNUMBER(E1059)),"ERROR: VALOR debe ser numérico",IF(E1059=0,"AVISO: valor cero (no se carga)",IF(J1059&lt;&gt;"ACTIVO","NO SE CARGA: CECO en estado "&amp;J1059,"OK"))))))))))</f>
        <v/>
      </c>
    </row>
    <row r="1060">
      <c r="A1060" s="5" t="n"/>
      <c r="B1060" s="6" t="n"/>
      <c r="C1060" s="5" t="n"/>
      <c r="D1060" s="6" t="n"/>
      <c r="E1060" s="7" t="n"/>
      <c r="F1060" s="6" t="n"/>
      <c r="G1060" s="8">
        <f>IF(B1060="","",IFERROR(VLOOKUP(--B1060,'CATALOGO CECO'!$A$2:$H$550,2,FALSE),"CECO NO EXISTE"))</f>
        <v/>
      </c>
      <c r="H1060" s="8">
        <f>IF(B1060="","",IFERROR(VLOOKUP(--B1060,'CATALOGO CECO'!$A$2:$H$550,3,FALSE),""))</f>
        <v/>
      </c>
      <c r="I1060" s="8">
        <f>IF(B1060="","",IFERROR(VLOOKUP(--B1060,'CATALOGO CECO'!$A$2:$H$550,5,FALSE),""))</f>
        <v/>
      </c>
      <c r="J1060" s="8">
        <f>IF(B1060="","",IFERROR(VLOOKUP(--B1060,'CATALOGO CECO'!$A$2:$H$550,8,FALSE),""))</f>
        <v/>
      </c>
      <c r="K1060" s="8">
        <f>IF(COUNTA(A1060:F1060)=0,"",IF(OR(LEN(A1060)&lt;&gt;7,MID(A1060,5,1)&lt;&gt;"-",ISERROR(--LEFT(A1060,4)),ISERROR(--RIGHT(A1060,2))),"ERROR: PERIODO debe ser AAAA-MM",IF(B1060="","ERROR: falta CODIGO CECO",IF(G1060="CECO NO EXISTE","ERROR: CECO no existe en el catálogo",IF(C1060="","ERROR: falta CUENTA",IF(ISERROR(--C1060),"ERROR: CUENTA debe tener solo dígitos",IF(ISERROR(FIND(LEFT(C1060,1),"567")),"ERROR: CUENTA fuera de las clases de costo",IF(NOT(ISNUMBER(E1060)),"ERROR: VALOR debe ser numérico",IF(E1060=0,"AVISO: valor cero (no se carga)",IF(J1060&lt;&gt;"ACTIVO","NO SE CARGA: CECO en estado "&amp;J1060,"OK"))))))))))</f>
        <v/>
      </c>
    </row>
    <row r="1061">
      <c r="A1061" s="5" t="n"/>
      <c r="B1061" s="6" t="n"/>
      <c r="C1061" s="5" t="n"/>
      <c r="D1061" s="6" t="n"/>
      <c r="E1061" s="7" t="n"/>
      <c r="F1061" s="6" t="n"/>
      <c r="G1061" s="8">
        <f>IF(B1061="","",IFERROR(VLOOKUP(--B1061,'CATALOGO CECO'!$A$2:$H$550,2,FALSE),"CECO NO EXISTE"))</f>
        <v/>
      </c>
      <c r="H1061" s="8">
        <f>IF(B1061="","",IFERROR(VLOOKUP(--B1061,'CATALOGO CECO'!$A$2:$H$550,3,FALSE),""))</f>
        <v/>
      </c>
      <c r="I1061" s="8">
        <f>IF(B1061="","",IFERROR(VLOOKUP(--B1061,'CATALOGO CECO'!$A$2:$H$550,5,FALSE),""))</f>
        <v/>
      </c>
      <c r="J1061" s="8">
        <f>IF(B1061="","",IFERROR(VLOOKUP(--B1061,'CATALOGO CECO'!$A$2:$H$550,8,FALSE),""))</f>
        <v/>
      </c>
      <c r="K1061" s="8">
        <f>IF(COUNTA(A1061:F1061)=0,"",IF(OR(LEN(A1061)&lt;&gt;7,MID(A1061,5,1)&lt;&gt;"-",ISERROR(--LEFT(A1061,4)),ISERROR(--RIGHT(A1061,2))),"ERROR: PERIODO debe ser AAAA-MM",IF(B1061="","ERROR: falta CODIGO CECO",IF(G1061="CECO NO EXISTE","ERROR: CECO no existe en el catálogo",IF(C1061="","ERROR: falta CUENTA",IF(ISERROR(--C1061),"ERROR: CUENTA debe tener solo dígitos",IF(ISERROR(FIND(LEFT(C1061,1),"567")),"ERROR: CUENTA fuera de las clases de costo",IF(NOT(ISNUMBER(E1061)),"ERROR: VALOR debe ser numérico",IF(E1061=0,"AVISO: valor cero (no se carga)",IF(J1061&lt;&gt;"ACTIVO","NO SE CARGA: CECO en estado "&amp;J1061,"OK"))))))))))</f>
        <v/>
      </c>
    </row>
    <row r="1062">
      <c r="A1062" s="5" t="n"/>
      <c r="B1062" s="6" t="n"/>
      <c r="C1062" s="5" t="n"/>
      <c r="D1062" s="6" t="n"/>
      <c r="E1062" s="7" t="n"/>
      <c r="F1062" s="6" t="n"/>
      <c r="G1062" s="8">
        <f>IF(B1062="","",IFERROR(VLOOKUP(--B1062,'CATALOGO CECO'!$A$2:$H$550,2,FALSE),"CECO NO EXISTE"))</f>
        <v/>
      </c>
      <c r="H1062" s="8">
        <f>IF(B1062="","",IFERROR(VLOOKUP(--B1062,'CATALOGO CECO'!$A$2:$H$550,3,FALSE),""))</f>
        <v/>
      </c>
      <c r="I1062" s="8">
        <f>IF(B1062="","",IFERROR(VLOOKUP(--B1062,'CATALOGO CECO'!$A$2:$H$550,5,FALSE),""))</f>
        <v/>
      </c>
      <c r="J1062" s="8">
        <f>IF(B1062="","",IFERROR(VLOOKUP(--B1062,'CATALOGO CECO'!$A$2:$H$550,8,FALSE),""))</f>
        <v/>
      </c>
      <c r="K1062" s="8">
        <f>IF(COUNTA(A1062:F1062)=0,"",IF(OR(LEN(A1062)&lt;&gt;7,MID(A1062,5,1)&lt;&gt;"-",ISERROR(--LEFT(A1062,4)),ISERROR(--RIGHT(A1062,2))),"ERROR: PERIODO debe ser AAAA-MM",IF(B1062="","ERROR: falta CODIGO CECO",IF(G1062="CECO NO EXISTE","ERROR: CECO no existe en el catálogo",IF(C1062="","ERROR: falta CUENTA",IF(ISERROR(--C1062),"ERROR: CUENTA debe tener solo dígitos",IF(ISERROR(FIND(LEFT(C1062,1),"567")),"ERROR: CUENTA fuera de las clases de costo",IF(NOT(ISNUMBER(E1062)),"ERROR: VALOR debe ser numérico",IF(E1062=0,"AVISO: valor cero (no se carga)",IF(J1062&lt;&gt;"ACTIVO","NO SE CARGA: CECO en estado "&amp;J1062,"OK"))))))))))</f>
        <v/>
      </c>
    </row>
    <row r="1063">
      <c r="A1063" s="5" t="n"/>
      <c r="B1063" s="6" t="n"/>
      <c r="C1063" s="5" t="n"/>
      <c r="D1063" s="6" t="n"/>
      <c r="E1063" s="7" t="n"/>
      <c r="F1063" s="6" t="n"/>
      <c r="G1063" s="8">
        <f>IF(B1063="","",IFERROR(VLOOKUP(--B1063,'CATALOGO CECO'!$A$2:$H$550,2,FALSE),"CECO NO EXISTE"))</f>
        <v/>
      </c>
      <c r="H1063" s="8">
        <f>IF(B1063="","",IFERROR(VLOOKUP(--B1063,'CATALOGO CECO'!$A$2:$H$550,3,FALSE),""))</f>
        <v/>
      </c>
      <c r="I1063" s="8">
        <f>IF(B1063="","",IFERROR(VLOOKUP(--B1063,'CATALOGO CECO'!$A$2:$H$550,5,FALSE),""))</f>
        <v/>
      </c>
      <c r="J1063" s="8">
        <f>IF(B1063="","",IFERROR(VLOOKUP(--B1063,'CATALOGO CECO'!$A$2:$H$550,8,FALSE),""))</f>
        <v/>
      </c>
      <c r="K1063" s="8">
        <f>IF(COUNTA(A1063:F1063)=0,"",IF(OR(LEN(A1063)&lt;&gt;7,MID(A1063,5,1)&lt;&gt;"-",ISERROR(--LEFT(A1063,4)),ISERROR(--RIGHT(A1063,2))),"ERROR: PERIODO debe ser AAAA-MM",IF(B1063="","ERROR: falta CODIGO CECO",IF(G1063="CECO NO EXISTE","ERROR: CECO no existe en el catálogo",IF(C1063="","ERROR: falta CUENTA",IF(ISERROR(--C1063),"ERROR: CUENTA debe tener solo dígitos",IF(ISERROR(FIND(LEFT(C1063,1),"567")),"ERROR: CUENTA fuera de las clases de costo",IF(NOT(ISNUMBER(E1063)),"ERROR: VALOR debe ser numérico",IF(E1063=0,"AVISO: valor cero (no se carga)",IF(J1063&lt;&gt;"ACTIVO","NO SE CARGA: CECO en estado "&amp;J1063,"OK"))))))))))</f>
        <v/>
      </c>
    </row>
    <row r="1064">
      <c r="A1064" s="5" t="n"/>
      <c r="B1064" s="6" t="n"/>
      <c r="C1064" s="5" t="n"/>
      <c r="D1064" s="6" t="n"/>
      <c r="E1064" s="7" t="n"/>
      <c r="F1064" s="6" t="n"/>
      <c r="G1064" s="8">
        <f>IF(B1064="","",IFERROR(VLOOKUP(--B1064,'CATALOGO CECO'!$A$2:$H$550,2,FALSE),"CECO NO EXISTE"))</f>
        <v/>
      </c>
      <c r="H1064" s="8">
        <f>IF(B1064="","",IFERROR(VLOOKUP(--B1064,'CATALOGO CECO'!$A$2:$H$550,3,FALSE),""))</f>
        <v/>
      </c>
      <c r="I1064" s="8">
        <f>IF(B1064="","",IFERROR(VLOOKUP(--B1064,'CATALOGO CECO'!$A$2:$H$550,5,FALSE),""))</f>
        <v/>
      </c>
      <c r="J1064" s="8">
        <f>IF(B1064="","",IFERROR(VLOOKUP(--B1064,'CATALOGO CECO'!$A$2:$H$550,8,FALSE),""))</f>
        <v/>
      </c>
      <c r="K1064" s="8">
        <f>IF(COUNTA(A1064:F1064)=0,"",IF(OR(LEN(A1064)&lt;&gt;7,MID(A1064,5,1)&lt;&gt;"-",ISERROR(--LEFT(A1064,4)),ISERROR(--RIGHT(A1064,2))),"ERROR: PERIODO debe ser AAAA-MM",IF(B1064="","ERROR: falta CODIGO CECO",IF(G1064="CECO NO EXISTE","ERROR: CECO no existe en el catálogo",IF(C1064="","ERROR: falta CUENTA",IF(ISERROR(--C1064),"ERROR: CUENTA debe tener solo dígitos",IF(ISERROR(FIND(LEFT(C1064,1),"567")),"ERROR: CUENTA fuera de las clases de costo",IF(NOT(ISNUMBER(E1064)),"ERROR: VALOR debe ser numérico",IF(E1064=0,"AVISO: valor cero (no se carga)",IF(J1064&lt;&gt;"ACTIVO","NO SE CARGA: CECO en estado "&amp;J1064,"OK"))))))))))</f>
        <v/>
      </c>
    </row>
    <row r="1065">
      <c r="A1065" s="5" t="n"/>
      <c r="B1065" s="6" t="n"/>
      <c r="C1065" s="5" t="n"/>
      <c r="D1065" s="6" t="n"/>
      <c r="E1065" s="7" t="n"/>
      <c r="F1065" s="6" t="n"/>
      <c r="G1065" s="8">
        <f>IF(B1065="","",IFERROR(VLOOKUP(--B1065,'CATALOGO CECO'!$A$2:$H$550,2,FALSE),"CECO NO EXISTE"))</f>
        <v/>
      </c>
      <c r="H1065" s="8">
        <f>IF(B1065="","",IFERROR(VLOOKUP(--B1065,'CATALOGO CECO'!$A$2:$H$550,3,FALSE),""))</f>
        <v/>
      </c>
      <c r="I1065" s="8">
        <f>IF(B1065="","",IFERROR(VLOOKUP(--B1065,'CATALOGO CECO'!$A$2:$H$550,5,FALSE),""))</f>
        <v/>
      </c>
      <c r="J1065" s="8">
        <f>IF(B1065="","",IFERROR(VLOOKUP(--B1065,'CATALOGO CECO'!$A$2:$H$550,8,FALSE),""))</f>
        <v/>
      </c>
      <c r="K1065" s="8">
        <f>IF(COUNTA(A1065:F1065)=0,"",IF(OR(LEN(A1065)&lt;&gt;7,MID(A1065,5,1)&lt;&gt;"-",ISERROR(--LEFT(A1065,4)),ISERROR(--RIGHT(A1065,2))),"ERROR: PERIODO debe ser AAAA-MM",IF(B1065="","ERROR: falta CODIGO CECO",IF(G1065="CECO NO EXISTE","ERROR: CECO no existe en el catálogo",IF(C1065="","ERROR: falta CUENTA",IF(ISERROR(--C1065),"ERROR: CUENTA debe tener solo dígitos",IF(ISERROR(FIND(LEFT(C1065,1),"567")),"ERROR: CUENTA fuera de las clases de costo",IF(NOT(ISNUMBER(E1065)),"ERROR: VALOR debe ser numérico",IF(E1065=0,"AVISO: valor cero (no se carga)",IF(J1065&lt;&gt;"ACTIVO","NO SE CARGA: CECO en estado "&amp;J1065,"OK"))))))))))</f>
        <v/>
      </c>
    </row>
    <row r="1066">
      <c r="A1066" s="5" t="n"/>
      <c r="B1066" s="6" t="n"/>
      <c r="C1066" s="5" t="n"/>
      <c r="D1066" s="6" t="n"/>
      <c r="E1066" s="7" t="n"/>
      <c r="F1066" s="6" t="n"/>
      <c r="G1066" s="8">
        <f>IF(B1066="","",IFERROR(VLOOKUP(--B1066,'CATALOGO CECO'!$A$2:$H$550,2,FALSE),"CECO NO EXISTE"))</f>
        <v/>
      </c>
      <c r="H1066" s="8">
        <f>IF(B1066="","",IFERROR(VLOOKUP(--B1066,'CATALOGO CECO'!$A$2:$H$550,3,FALSE),""))</f>
        <v/>
      </c>
      <c r="I1066" s="8">
        <f>IF(B1066="","",IFERROR(VLOOKUP(--B1066,'CATALOGO CECO'!$A$2:$H$550,5,FALSE),""))</f>
        <v/>
      </c>
      <c r="J1066" s="8">
        <f>IF(B1066="","",IFERROR(VLOOKUP(--B1066,'CATALOGO CECO'!$A$2:$H$550,8,FALSE),""))</f>
        <v/>
      </c>
      <c r="K1066" s="8">
        <f>IF(COUNTA(A1066:F1066)=0,"",IF(OR(LEN(A1066)&lt;&gt;7,MID(A1066,5,1)&lt;&gt;"-",ISERROR(--LEFT(A1066,4)),ISERROR(--RIGHT(A1066,2))),"ERROR: PERIODO debe ser AAAA-MM",IF(B1066="","ERROR: falta CODIGO CECO",IF(G1066="CECO NO EXISTE","ERROR: CECO no existe en el catálogo",IF(C1066="","ERROR: falta CUENTA",IF(ISERROR(--C1066),"ERROR: CUENTA debe tener solo dígitos",IF(ISERROR(FIND(LEFT(C1066,1),"567")),"ERROR: CUENTA fuera de las clases de costo",IF(NOT(ISNUMBER(E1066)),"ERROR: VALOR debe ser numérico",IF(E1066=0,"AVISO: valor cero (no se carga)",IF(J1066&lt;&gt;"ACTIVO","NO SE CARGA: CECO en estado "&amp;J1066,"OK"))))))))))</f>
        <v/>
      </c>
    </row>
    <row r="1067">
      <c r="A1067" s="5" t="n"/>
      <c r="B1067" s="6" t="n"/>
      <c r="C1067" s="5" t="n"/>
      <c r="D1067" s="6" t="n"/>
      <c r="E1067" s="7" t="n"/>
      <c r="F1067" s="6" t="n"/>
      <c r="G1067" s="8">
        <f>IF(B1067="","",IFERROR(VLOOKUP(--B1067,'CATALOGO CECO'!$A$2:$H$550,2,FALSE),"CECO NO EXISTE"))</f>
        <v/>
      </c>
      <c r="H1067" s="8">
        <f>IF(B1067="","",IFERROR(VLOOKUP(--B1067,'CATALOGO CECO'!$A$2:$H$550,3,FALSE),""))</f>
        <v/>
      </c>
      <c r="I1067" s="8">
        <f>IF(B1067="","",IFERROR(VLOOKUP(--B1067,'CATALOGO CECO'!$A$2:$H$550,5,FALSE),""))</f>
        <v/>
      </c>
      <c r="J1067" s="8">
        <f>IF(B1067="","",IFERROR(VLOOKUP(--B1067,'CATALOGO CECO'!$A$2:$H$550,8,FALSE),""))</f>
        <v/>
      </c>
      <c r="K1067" s="8">
        <f>IF(COUNTA(A1067:F1067)=0,"",IF(OR(LEN(A1067)&lt;&gt;7,MID(A1067,5,1)&lt;&gt;"-",ISERROR(--LEFT(A1067,4)),ISERROR(--RIGHT(A1067,2))),"ERROR: PERIODO debe ser AAAA-MM",IF(B1067="","ERROR: falta CODIGO CECO",IF(G1067="CECO NO EXISTE","ERROR: CECO no existe en el catálogo",IF(C1067="","ERROR: falta CUENTA",IF(ISERROR(--C1067),"ERROR: CUENTA debe tener solo dígitos",IF(ISERROR(FIND(LEFT(C1067,1),"567")),"ERROR: CUENTA fuera de las clases de costo",IF(NOT(ISNUMBER(E1067)),"ERROR: VALOR debe ser numérico",IF(E1067=0,"AVISO: valor cero (no se carga)",IF(J1067&lt;&gt;"ACTIVO","NO SE CARGA: CECO en estado "&amp;J1067,"OK"))))))))))</f>
        <v/>
      </c>
    </row>
    <row r="1068">
      <c r="A1068" s="5" t="n"/>
      <c r="B1068" s="6" t="n"/>
      <c r="C1068" s="5" t="n"/>
      <c r="D1068" s="6" t="n"/>
      <c r="E1068" s="7" t="n"/>
      <c r="F1068" s="6" t="n"/>
      <c r="G1068" s="8">
        <f>IF(B1068="","",IFERROR(VLOOKUP(--B1068,'CATALOGO CECO'!$A$2:$H$550,2,FALSE),"CECO NO EXISTE"))</f>
        <v/>
      </c>
      <c r="H1068" s="8">
        <f>IF(B1068="","",IFERROR(VLOOKUP(--B1068,'CATALOGO CECO'!$A$2:$H$550,3,FALSE),""))</f>
        <v/>
      </c>
      <c r="I1068" s="8">
        <f>IF(B1068="","",IFERROR(VLOOKUP(--B1068,'CATALOGO CECO'!$A$2:$H$550,5,FALSE),""))</f>
        <v/>
      </c>
      <c r="J1068" s="8">
        <f>IF(B1068="","",IFERROR(VLOOKUP(--B1068,'CATALOGO CECO'!$A$2:$H$550,8,FALSE),""))</f>
        <v/>
      </c>
      <c r="K1068" s="8">
        <f>IF(COUNTA(A1068:F1068)=0,"",IF(OR(LEN(A1068)&lt;&gt;7,MID(A1068,5,1)&lt;&gt;"-",ISERROR(--LEFT(A1068,4)),ISERROR(--RIGHT(A1068,2))),"ERROR: PERIODO debe ser AAAA-MM",IF(B1068="","ERROR: falta CODIGO CECO",IF(G1068="CECO NO EXISTE","ERROR: CECO no existe en el catálogo",IF(C1068="","ERROR: falta CUENTA",IF(ISERROR(--C1068),"ERROR: CUENTA debe tener solo dígitos",IF(ISERROR(FIND(LEFT(C1068,1),"567")),"ERROR: CUENTA fuera de las clases de costo",IF(NOT(ISNUMBER(E1068)),"ERROR: VALOR debe ser numérico",IF(E1068=0,"AVISO: valor cero (no se carga)",IF(J1068&lt;&gt;"ACTIVO","NO SE CARGA: CECO en estado "&amp;J1068,"OK"))))))))))</f>
        <v/>
      </c>
    </row>
    <row r="1069">
      <c r="A1069" s="5" t="n"/>
      <c r="B1069" s="6" t="n"/>
      <c r="C1069" s="5" t="n"/>
      <c r="D1069" s="6" t="n"/>
      <c r="E1069" s="7" t="n"/>
      <c r="F1069" s="6" t="n"/>
      <c r="G1069" s="8">
        <f>IF(B1069="","",IFERROR(VLOOKUP(--B1069,'CATALOGO CECO'!$A$2:$H$550,2,FALSE),"CECO NO EXISTE"))</f>
        <v/>
      </c>
      <c r="H1069" s="8">
        <f>IF(B1069="","",IFERROR(VLOOKUP(--B1069,'CATALOGO CECO'!$A$2:$H$550,3,FALSE),""))</f>
        <v/>
      </c>
      <c r="I1069" s="8">
        <f>IF(B1069="","",IFERROR(VLOOKUP(--B1069,'CATALOGO CECO'!$A$2:$H$550,5,FALSE),""))</f>
        <v/>
      </c>
      <c r="J1069" s="8">
        <f>IF(B1069="","",IFERROR(VLOOKUP(--B1069,'CATALOGO CECO'!$A$2:$H$550,8,FALSE),""))</f>
        <v/>
      </c>
      <c r="K1069" s="8">
        <f>IF(COUNTA(A1069:F1069)=0,"",IF(OR(LEN(A1069)&lt;&gt;7,MID(A1069,5,1)&lt;&gt;"-",ISERROR(--LEFT(A1069,4)),ISERROR(--RIGHT(A1069,2))),"ERROR: PERIODO debe ser AAAA-MM",IF(B1069="","ERROR: falta CODIGO CECO",IF(G1069="CECO NO EXISTE","ERROR: CECO no existe en el catálogo",IF(C1069="","ERROR: falta CUENTA",IF(ISERROR(--C1069),"ERROR: CUENTA debe tener solo dígitos",IF(ISERROR(FIND(LEFT(C1069,1),"567")),"ERROR: CUENTA fuera de las clases de costo",IF(NOT(ISNUMBER(E1069)),"ERROR: VALOR debe ser numérico",IF(E1069=0,"AVISO: valor cero (no se carga)",IF(J1069&lt;&gt;"ACTIVO","NO SE CARGA: CECO en estado "&amp;J1069,"OK"))))))))))</f>
        <v/>
      </c>
    </row>
    <row r="1070">
      <c r="A1070" s="5" t="n"/>
      <c r="B1070" s="6" t="n"/>
      <c r="C1070" s="5" t="n"/>
      <c r="D1070" s="6" t="n"/>
      <c r="E1070" s="7" t="n"/>
      <c r="F1070" s="6" t="n"/>
      <c r="G1070" s="8">
        <f>IF(B1070="","",IFERROR(VLOOKUP(--B1070,'CATALOGO CECO'!$A$2:$H$550,2,FALSE),"CECO NO EXISTE"))</f>
        <v/>
      </c>
      <c r="H1070" s="8">
        <f>IF(B1070="","",IFERROR(VLOOKUP(--B1070,'CATALOGO CECO'!$A$2:$H$550,3,FALSE),""))</f>
        <v/>
      </c>
      <c r="I1070" s="8">
        <f>IF(B1070="","",IFERROR(VLOOKUP(--B1070,'CATALOGO CECO'!$A$2:$H$550,5,FALSE),""))</f>
        <v/>
      </c>
      <c r="J1070" s="8">
        <f>IF(B1070="","",IFERROR(VLOOKUP(--B1070,'CATALOGO CECO'!$A$2:$H$550,8,FALSE),""))</f>
        <v/>
      </c>
      <c r="K1070" s="8">
        <f>IF(COUNTA(A1070:F1070)=0,"",IF(OR(LEN(A1070)&lt;&gt;7,MID(A1070,5,1)&lt;&gt;"-",ISERROR(--LEFT(A1070,4)),ISERROR(--RIGHT(A1070,2))),"ERROR: PERIODO debe ser AAAA-MM",IF(B1070="","ERROR: falta CODIGO CECO",IF(G1070="CECO NO EXISTE","ERROR: CECO no existe en el catálogo",IF(C1070="","ERROR: falta CUENTA",IF(ISERROR(--C1070),"ERROR: CUENTA debe tener solo dígitos",IF(ISERROR(FIND(LEFT(C1070,1),"567")),"ERROR: CUENTA fuera de las clases de costo",IF(NOT(ISNUMBER(E1070)),"ERROR: VALOR debe ser numérico",IF(E1070=0,"AVISO: valor cero (no se carga)",IF(J1070&lt;&gt;"ACTIVO","NO SE CARGA: CECO en estado "&amp;J1070,"OK"))))))))))</f>
        <v/>
      </c>
    </row>
    <row r="1071">
      <c r="A1071" s="5" t="n"/>
      <c r="B1071" s="6" t="n"/>
      <c r="C1071" s="5" t="n"/>
      <c r="D1071" s="6" t="n"/>
      <c r="E1071" s="7" t="n"/>
      <c r="F1071" s="6" t="n"/>
      <c r="G1071" s="8">
        <f>IF(B1071="","",IFERROR(VLOOKUP(--B1071,'CATALOGO CECO'!$A$2:$H$550,2,FALSE),"CECO NO EXISTE"))</f>
        <v/>
      </c>
      <c r="H1071" s="8">
        <f>IF(B1071="","",IFERROR(VLOOKUP(--B1071,'CATALOGO CECO'!$A$2:$H$550,3,FALSE),""))</f>
        <v/>
      </c>
      <c r="I1071" s="8">
        <f>IF(B1071="","",IFERROR(VLOOKUP(--B1071,'CATALOGO CECO'!$A$2:$H$550,5,FALSE),""))</f>
        <v/>
      </c>
      <c r="J1071" s="8">
        <f>IF(B1071="","",IFERROR(VLOOKUP(--B1071,'CATALOGO CECO'!$A$2:$H$550,8,FALSE),""))</f>
        <v/>
      </c>
      <c r="K1071" s="8">
        <f>IF(COUNTA(A1071:F1071)=0,"",IF(OR(LEN(A1071)&lt;&gt;7,MID(A1071,5,1)&lt;&gt;"-",ISERROR(--LEFT(A1071,4)),ISERROR(--RIGHT(A1071,2))),"ERROR: PERIODO debe ser AAAA-MM",IF(B1071="","ERROR: falta CODIGO CECO",IF(G1071="CECO NO EXISTE","ERROR: CECO no existe en el catálogo",IF(C1071="","ERROR: falta CUENTA",IF(ISERROR(--C1071),"ERROR: CUENTA debe tener solo dígitos",IF(ISERROR(FIND(LEFT(C1071,1),"567")),"ERROR: CUENTA fuera de las clases de costo",IF(NOT(ISNUMBER(E1071)),"ERROR: VALOR debe ser numérico",IF(E1071=0,"AVISO: valor cero (no se carga)",IF(J1071&lt;&gt;"ACTIVO","NO SE CARGA: CECO en estado "&amp;J1071,"OK"))))))))))</f>
        <v/>
      </c>
    </row>
    <row r="1072">
      <c r="A1072" s="5" t="n"/>
      <c r="B1072" s="6" t="n"/>
      <c r="C1072" s="5" t="n"/>
      <c r="D1072" s="6" t="n"/>
      <c r="E1072" s="7" t="n"/>
      <c r="F1072" s="6" t="n"/>
      <c r="G1072" s="8">
        <f>IF(B1072="","",IFERROR(VLOOKUP(--B1072,'CATALOGO CECO'!$A$2:$H$550,2,FALSE),"CECO NO EXISTE"))</f>
        <v/>
      </c>
      <c r="H1072" s="8">
        <f>IF(B1072="","",IFERROR(VLOOKUP(--B1072,'CATALOGO CECO'!$A$2:$H$550,3,FALSE),""))</f>
        <v/>
      </c>
      <c r="I1072" s="8">
        <f>IF(B1072="","",IFERROR(VLOOKUP(--B1072,'CATALOGO CECO'!$A$2:$H$550,5,FALSE),""))</f>
        <v/>
      </c>
      <c r="J1072" s="8">
        <f>IF(B1072="","",IFERROR(VLOOKUP(--B1072,'CATALOGO CECO'!$A$2:$H$550,8,FALSE),""))</f>
        <v/>
      </c>
      <c r="K1072" s="8">
        <f>IF(COUNTA(A1072:F1072)=0,"",IF(OR(LEN(A1072)&lt;&gt;7,MID(A1072,5,1)&lt;&gt;"-",ISERROR(--LEFT(A1072,4)),ISERROR(--RIGHT(A1072,2))),"ERROR: PERIODO debe ser AAAA-MM",IF(B1072="","ERROR: falta CODIGO CECO",IF(G1072="CECO NO EXISTE","ERROR: CECO no existe en el catálogo",IF(C1072="","ERROR: falta CUENTA",IF(ISERROR(--C1072),"ERROR: CUENTA debe tener solo dígitos",IF(ISERROR(FIND(LEFT(C1072,1),"567")),"ERROR: CUENTA fuera de las clases de costo",IF(NOT(ISNUMBER(E1072)),"ERROR: VALOR debe ser numérico",IF(E1072=0,"AVISO: valor cero (no se carga)",IF(J1072&lt;&gt;"ACTIVO","NO SE CARGA: CECO en estado "&amp;J1072,"OK"))))))))))</f>
        <v/>
      </c>
    </row>
    <row r="1073">
      <c r="A1073" s="5" t="n"/>
      <c r="B1073" s="6" t="n"/>
      <c r="C1073" s="5" t="n"/>
      <c r="D1073" s="6" t="n"/>
      <c r="E1073" s="7" t="n"/>
      <c r="F1073" s="6" t="n"/>
      <c r="G1073" s="8">
        <f>IF(B1073="","",IFERROR(VLOOKUP(--B1073,'CATALOGO CECO'!$A$2:$H$550,2,FALSE),"CECO NO EXISTE"))</f>
        <v/>
      </c>
      <c r="H1073" s="8">
        <f>IF(B1073="","",IFERROR(VLOOKUP(--B1073,'CATALOGO CECO'!$A$2:$H$550,3,FALSE),""))</f>
        <v/>
      </c>
      <c r="I1073" s="8">
        <f>IF(B1073="","",IFERROR(VLOOKUP(--B1073,'CATALOGO CECO'!$A$2:$H$550,5,FALSE),""))</f>
        <v/>
      </c>
      <c r="J1073" s="8">
        <f>IF(B1073="","",IFERROR(VLOOKUP(--B1073,'CATALOGO CECO'!$A$2:$H$550,8,FALSE),""))</f>
        <v/>
      </c>
      <c r="K1073" s="8">
        <f>IF(COUNTA(A1073:F1073)=0,"",IF(OR(LEN(A1073)&lt;&gt;7,MID(A1073,5,1)&lt;&gt;"-",ISERROR(--LEFT(A1073,4)),ISERROR(--RIGHT(A1073,2))),"ERROR: PERIODO debe ser AAAA-MM",IF(B1073="","ERROR: falta CODIGO CECO",IF(G1073="CECO NO EXISTE","ERROR: CECO no existe en el catálogo",IF(C1073="","ERROR: falta CUENTA",IF(ISERROR(--C1073),"ERROR: CUENTA debe tener solo dígitos",IF(ISERROR(FIND(LEFT(C1073,1),"567")),"ERROR: CUENTA fuera de las clases de costo",IF(NOT(ISNUMBER(E1073)),"ERROR: VALOR debe ser numérico",IF(E1073=0,"AVISO: valor cero (no se carga)",IF(J1073&lt;&gt;"ACTIVO","NO SE CARGA: CECO en estado "&amp;J1073,"OK"))))))))))</f>
        <v/>
      </c>
    </row>
    <row r="1074">
      <c r="A1074" s="5" t="n"/>
      <c r="B1074" s="6" t="n"/>
      <c r="C1074" s="5" t="n"/>
      <c r="D1074" s="6" t="n"/>
      <c r="E1074" s="7" t="n"/>
      <c r="F1074" s="6" t="n"/>
      <c r="G1074" s="8">
        <f>IF(B1074="","",IFERROR(VLOOKUP(--B1074,'CATALOGO CECO'!$A$2:$H$550,2,FALSE),"CECO NO EXISTE"))</f>
        <v/>
      </c>
      <c r="H1074" s="8">
        <f>IF(B1074="","",IFERROR(VLOOKUP(--B1074,'CATALOGO CECO'!$A$2:$H$550,3,FALSE),""))</f>
        <v/>
      </c>
      <c r="I1074" s="8">
        <f>IF(B1074="","",IFERROR(VLOOKUP(--B1074,'CATALOGO CECO'!$A$2:$H$550,5,FALSE),""))</f>
        <v/>
      </c>
      <c r="J1074" s="8">
        <f>IF(B1074="","",IFERROR(VLOOKUP(--B1074,'CATALOGO CECO'!$A$2:$H$550,8,FALSE),""))</f>
        <v/>
      </c>
      <c r="K1074" s="8">
        <f>IF(COUNTA(A1074:F1074)=0,"",IF(OR(LEN(A1074)&lt;&gt;7,MID(A1074,5,1)&lt;&gt;"-",ISERROR(--LEFT(A1074,4)),ISERROR(--RIGHT(A1074,2))),"ERROR: PERIODO debe ser AAAA-MM",IF(B1074="","ERROR: falta CODIGO CECO",IF(G1074="CECO NO EXISTE","ERROR: CECO no existe en el catálogo",IF(C1074="","ERROR: falta CUENTA",IF(ISERROR(--C1074),"ERROR: CUENTA debe tener solo dígitos",IF(ISERROR(FIND(LEFT(C1074,1),"567")),"ERROR: CUENTA fuera de las clases de costo",IF(NOT(ISNUMBER(E1074)),"ERROR: VALOR debe ser numérico",IF(E1074=0,"AVISO: valor cero (no se carga)",IF(J1074&lt;&gt;"ACTIVO","NO SE CARGA: CECO en estado "&amp;J1074,"OK"))))))))))</f>
        <v/>
      </c>
    </row>
    <row r="1075">
      <c r="A1075" s="5" t="n"/>
      <c r="B1075" s="6" t="n"/>
      <c r="C1075" s="5" t="n"/>
      <c r="D1075" s="6" t="n"/>
      <c r="E1075" s="7" t="n"/>
      <c r="F1075" s="6" t="n"/>
      <c r="G1075" s="8">
        <f>IF(B1075="","",IFERROR(VLOOKUP(--B1075,'CATALOGO CECO'!$A$2:$H$550,2,FALSE),"CECO NO EXISTE"))</f>
        <v/>
      </c>
      <c r="H1075" s="8">
        <f>IF(B1075="","",IFERROR(VLOOKUP(--B1075,'CATALOGO CECO'!$A$2:$H$550,3,FALSE),""))</f>
        <v/>
      </c>
      <c r="I1075" s="8">
        <f>IF(B1075="","",IFERROR(VLOOKUP(--B1075,'CATALOGO CECO'!$A$2:$H$550,5,FALSE),""))</f>
        <v/>
      </c>
      <c r="J1075" s="8">
        <f>IF(B1075="","",IFERROR(VLOOKUP(--B1075,'CATALOGO CECO'!$A$2:$H$550,8,FALSE),""))</f>
        <v/>
      </c>
      <c r="K1075" s="8">
        <f>IF(COUNTA(A1075:F1075)=0,"",IF(OR(LEN(A1075)&lt;&gt;7,MID(A1075,5,1)&lt;&gt;"-",ISERROR(--LEFT(A1075,4)),ISERROR(--RIGHT(A1075,2))),"ERROR: PERIODO debe ser AAAA-MM",IF(B1075="","ERROR: falta CODIGO CECO",IF(G1075="CECO NO EXISTE","ERROR: CECO no existe en el catálogo",IF(C1075="","ERROR: falta CUENTA",IF(ISERROR(--C1075),"ERROR: CUENTA debe tener solo dígitos",IF(ISERROR(FIND(LEFT(C1075,1),"567")),"ERROR: CUENTA fuera de las clases de costo",IF(NOT(ISNUMBER(E1075)),"ERROR: VALOR debe ser numérico",IF(E1075=0,"AVISO: valor cero (no se carga)",IF(J1075&lt;&gt;"ACTIVO","NO SE CARGA: CECO en estado "&amp;J1075,"OK"))))))))))</f>
        <v/>
      </c>
    </row>
    <row r="1076">
      <c r="A1076" s="5" t="n"/>
      <c r="B1076" s="6" t="n"/>
      <c r="C1076" s="5" t="n"/>
      <c r="D1076" s="6" t="n"/>
      <c r="E1076" s="7" t="n"/>
      <c r="F1076" s="6" t="n"/>
      <c r="G1076" s="8">
        <f>IF(B1076="","",IFERROR(VLOOKUP(--B1076,'CATALOGO CECO'!$A$2:$H$550,2,FALSE),"CECO NO EXISTE"))</f>
        <v/>
      </c>
      <c r="H1076" s="8">
        <f>IF(B1076="","",IFERROR(VLOOKUP(--B1076,'CATALOGO CECO'!$A$2:$H$550,3,FALSE),""))</f>
        <v/>
      </c>
      <c r="I1076" s="8">
        <f>IF(B1076="","",IFERROR(VLOOKUP(--B1076,'CATALOGO CECO'!$A$2:$H$550,5,FALSE),""))</f>
        <v/>
      </c>
      <c r="J1076" s="8">
        <f>IF(B1076="","",IFERROR(VLOOKUP(--B1076,'CATALOGO CECO'!$A$2:$H$550,8,FALSE),""))</f>
        <v/>
      </c>
      <c r="K1076" s="8">
        <f>IF(COUNTA(A1076:F1076)=0,"",IF(OR(LEN(A1076)&lt;&gt;7,MID(A1076,5,1)&lt;&gt;"-",ISERROR(--LEFT(A1076,4)),ISERROR(--RIGHT(A1076,2))),"ERROR: PERIODO debe ser AAAA-MM",IF(B1076="","ERROR: falta CODIGO CECO",IF(G1076="CECO NO EXISTE","ERROR: CECO no existe en el catálogo",IF(C1076="","ERROR: falta CUENTA",IF(ISERROR(--C1076),"ERROR: CUENTA debe tener solo dígitos",IF(ISERROR(FIND(LEFT(C1076,1),"567")),"ERROR: CUENTA fuera de las clases de costo",IF(NOT(ISNUMBER(E1076)),"ERROR: VALOR debe ser numérico",IF(E1076=0,"AVISO: valor cero (no se carga)",IF(J1076&lt;&gt;"ACTIVO","NO SE CARGA: CECO en estado "&amp;J1076,"OK"))))))))))</f>
        <v/>
      </c>
    </row>
    <row r="1077">
      <c r="A1077" s="5" t="n"/>
      <c r="B1077" s="6" t="n"/>
      <c r="C1077" s="5" t="n"/>
      <c r="D1077" s="6" t="n"/>
      <c r="E1077" s="7" t="n"/>
      <c r="F1077" s="6" t="n"/>
      <c r="G1077" s="8">
        <f>IF(B1077="","",IFERROR(VLOOKUP(--B1077,'CATALOGO CECO'!$A$2:$H$550,2,FALSE),"CECO NO EXISTE"))</f>
        <v/>
      </c>
      <c r="H1077" s="8">
        <f>IF(B1077="","",IFERROR(VLOOKUP(--B1077,'CATALOGO CECO'!$A$2:$H$550,3,FALSE),""))</f>
        <v/>
      </c>
      <c r="I1077" s="8">
        <f>IF(B1077="","",IFERROR(VLOOKUP(--B1077,'CATALOGO CECO'!$A$2:$H$550,5,FALSE),""))</f>
        <v/>
      </c>
      <c r="J1077" s="8">
        <f>IF(B1077="","",IFERROR(VLOOKUP(--B1077,'CATALOGO CECO'!$A$2:$H$550,8,FALSE),""))</f>
        <v/>
      </c>
      <c r="K1077" s="8">
        <f>IF(COUNTA(A1077:F1077)=0,"",IF(OR(LEN(A1077)&lt;&gt;7,MID(A1077,5,1)&lt;&gt;"-",ISERROR(--LEFT(A1077,4)),ISERROR(--RIGHT(A1077,2))),"ERROR: PERIODO debe ser AAAA-MM",IF(B1077="","ERROR: falta CODIGO CECO",IF(G1077="CECO NO EXISTE","ERROR: CECO no existe en el catálogo",IF(C1077="","ERROR: falta CUENTA",IF(ISERROR(--C1077),"ERROR: CUENTA debe tener solo dígitos",IF(ISERROR(FIND(LEFT(C1077,1),"567")),"ERROR: CUENTA fuera de las clases de costo",IF(NOT(ISNUMBER(E1077)),"ERROR: VALOR debe ser numérico",IF(E1077=0,"AVISO: valor cero (no se carga)",IF(J1077&lt;&gt;"ACTIVO","NO SE CARGA: CECO en estado "&amp;J1077,"OK"))))))))))</f>
        <v/>
      </c>
    </row>
    <row r="1078">
      <c r="A1078" s="5" t="n"/>
      <c r="B1078" s="6" t="n"/>
      <c r="C1078" s="5" t="n"/>
      <c r="D1078" s="6" t="n"/>
      <c r="E1078" s="7" t="n"/>
      <c r="F1078" s="6" t="n"/>
      <c r="G1078" s="8">
        <f>IF(B1078="","",IFERROR(VLOOKUP(--B1078,'CATALOGO CECO'!$A$2:$H$550,2,FALSE),"CECO NO EXISTE"))</f>
        <v/>
      </c>
      <c r="H1078" s="8">
        <f>IF(B1078="","",IFERROR(VLOOKUP(--B1078,'CATALOGO CECO'!$A$2:$H$550,3,FALSE),""))</f>
        <v/>
      </c>
      <c r="I1078" s="8">
        <f>IF(B1078="","",IFERROR(VLOOKUP(--B1078,'CATALOGO CECO'!$A$2:$H$550,5,FALSE),""))</f>
        <v/>
      </c>
      <c r="J1078" s="8">
        <f>IF(B1078="","",IFERROR(VLOOKUP(--B1078,'CATALOGO CECO'!$A$2:$H$550,8,FALSE),""))</f>
        <v/>
      </c>
      <c r="K1078" s="8">
        <f>IF(COUNTA(A1078:F1078)=0,"",IF(OR(LEN(A1078)&lt;&gt;7,MID(A1078,5,1)&lt;&gt;"-",ISERROR(--LEFT(A1078,4)),ISERROR(--RIGHT(A1078,2))),"ERROR: PERIODO debe ser AAAA-MM",IF(B1078="","ERROR: falta CODIGO CECO",IF(G1078="CECO NO EXISTE","ERROR: CECO no existe en el catálogo",IF(C1078="","ERROR: falta CUENTA",IF(ISERROR(--C1078),"ERROR: CUENTA debe tener solo dígitos",IF(ISERROR(FIND(LEFT(C1078,1),"567")),"ERROR: CUENTA fuera de las clases de costo",IF(NOT(ISNUMBER(E1078)),"ERROR: VALOR debe ser numérico",IF(E1078=0,"AVISO: valor cero (no se carga)",IF(J1078&lt;&gt;"ACTIVO","NO SE CARGA: CECO en estado "&amp;J1078,"OK"))))))))))</f>
        <v/>
      </c>
    </row>
    <row r="1079">
      <c r="A1079" s="5" t="n"/>
      <c r="B1079" s="6" t="n"/>
      <c r="C1079" s="5" t="n"/>
      <c r="D1079" s="6" t="n"/>
      <c r="E1079" s="7" t="n"/>
      <c r="F1079" s="6" t="n"/>
      <c r="G1079" s="8">
        <f>IF(B1079="","",IFERROR(VLOOKUP(--B1079,'CATALOGO CECO'!$A$2:$H$550,2,FALSE),"CECO NO EXISTE"))</f>
        <v/>
      </c>
      <c r="H1079" s="8">
        <f>IF(B1079="","",IFERROR(VLOOKUP(--B1079,'CATALOGO CECO'!$A$2:$H$550,3,FALSE),""))</f>
        <v/>
      </c>
      <c r="I1079" s="8">
        <f>IF(B1079="","",IFERROR(VLOOKUP(--B1079,'CATALOGO CECO'!$A$2:$H$550,5,FALSE),""))</f>
        <v/>
      </c>
      <c r="J1079" s="8">
        <f>IF(B1079="","",IFERROR(VLOOKUP(--B1079,'CATALOGO CECO'!$A$2:$H$550,8,FALSE),""))</f>
        <v/>
      </c>
      <c r="K1079" s="8">
        <f>IF(COUNTA(A1079:F1079)=0,"",IF(OR(LEN(A1079)&lt;&gt;7,MID(A1079,5,1)&lt;&gt;"-",ISERROR(--LEFT(A1079,4)),ISERROR(--RIGHT(A1079,2))),"ERROR: PERIODO debe ser AAAA-MM",IF(B1079="","ERROR: falta CODIGO CECO",IF(G1079="CECO NO EXISTE","ERROR: CECO no existe en el catálogo",IF(C1079="","ERROR: falta CUENTA",IF(ISERROR(--C1079),"ERROR: CUENTA debe tener solo dígitos",IF(ISERROR(FIND(LEFT(C1079,1),"567")),"ERROR: CUENTA fuera de las clases de costo",IF(NOT(ISNUMBER(E1079)),"ERROR: VALOR debe ser numérico",IF(E1079=0,"AVISO: valor cero (no se carga)",IF(J1079&lt;&gt;"ACTIVO","NO SE CARGA: CECO en estado "&amp;J1079,"OK"))))))))))</f>
        <v/>
      </c>
    </row>
    <row r="1080">
      <c r="A1080" s="5" t="n"/>
      <c r="B1080" s="6" t="n"/>
      <c r="C1080" s="5" t="n"/>
      <c r="D1080" s="6" t="n"/>
      <c r="E1080" s="7" t="n"/>
      <c r="F1080" s="6" t="n"/>
      <c r="G1080" s="8">
        <f>IF(B1080="","",IFERROR(VLOOKUP(--B1080,'CATALOGO CECO'!$A$2:$H$550,2,FALSE),"CECO NO EXISTE"))</f>
        <v/>
      </c>
      <c r="H1080" s="8">
        <f>IF(B1080="","",IFERROR(VLOOKUP(--B1080,'CATALOGO CECO'!$A$2:$H$550,3,FALSE),""))</f>
        <v/>
      </c>
      <c r="I1080" s="8">
        <f>IF(B1080="","",IFERROR(VLOOKUP(--B1080,'CATALOGO CECO'!$A$2:$H$550,5,FALSE),""))</f>
        <v/>
      </c>
      <c r="J1080" s="8">
        <f>IF(B1080="","",IFERROR(VLOOKUP(--B1080,'CATALOGO CECO'!$A$2:$H$550,8,FALSE),""))</f>
        <v/>
      </c>
      <c r="K1080" s="8">
        <f>IF(COUNTA(A1080:F1080)=0,"",IF(OR(LEN(A1080)&lt;&gt;7,MID(A1080,5,1)&lt;&gt;"-",ISERROR(--LEFT(A1080,4)),ISERROR(--RIGHT(A1080,2))),"ERROR: PERIODO debe ser AAAA-MM",IF(B1080="","ERROR: falta CODIGO CECO",IF(G1080="CECO NO EXISTE","ERROR: CECO no existe en el catálogo",IF(C1080="","ERROR: falta CUENTA",IF(ISERROR(--C1080),"ERROR: CUENTA debe tener solo dígitos",IF(ISERROR(FIND(LEFT(C1080,1),"567")),"ERROR: CUENTA fuera de las clases de costo",IF(NOT(ISNUMBER(E1080)),"ERROR: VALOR debe ser numérico",IF(E1080=0,"AVISO: valor cero (no se carga)",IF(J1080&lt;&gt;"ACTIVO","NO SE CARGA: CECO en estado "&amp;J1080,"OK"))))))))))</f>
        <v/>
      </c>
    </row>
    <row r="1081">
      <c r="A1081" s="5" t="n"/>
      <c r="B1081" s="6" t="n"/>
      <c r="C1081" s="5" t="n"/>
      <c r="D1081" s="6" t="n"/>
      <c r="E1081" s="7" t="n"/>
      <c r="F1081" s="6" t="n"/>
      <c r="G1081" s="8">
        <f>IF(B1081="","",IFERROR(VLOOKUP(--B1081,'CATALOGO CECO'!$A$2:$H$550,2,FALSE),"CECO NO EXISTE"))</f>
        <v/>
      </c>
      <c r="H1081" s="8">
        <f>IF(B1081="","",IFERROR(VLOOKUP(--B1081,'CATALOGO CECO'!$A$2:$H$550,3,FALSE),""))</f>
        <v/>
      </c>
      <c r="I1081" s="8">
        <f>IF(B1081="","",IFERROR(VLOOKUP(--B1081,'CATALOGO CECO'!$A$2:$H$550,5,FALSE),""))</f>
        <v/>
      </c>
      <c r="J1081" s="8">
        <f>IF(B1081="","",IFERROR(VLOOKUP(--B1081,'CATALOGO CECO'!$A$2:$H$550,8,FALSE),""))</f>
        <v/>
      </c>
      <c r="K1081" s="8">
        <f>IF(COUNTA(A1081:F1081)=0,"",IF(OR(LEN(A1081)&lt;&gt;7,MID(A1081,5,1)&lt;&gt;"-",ISERROR(--LEFT(A1081,4)),ISERROR(--RIGHT(A1081,2))),"ERROR: PERIODO debe ser AAAA-MM",IF(B1081="","ERROR: falta CODIGO CECO",IF(G1081="CECO NO EXISTE","ERROR: CECO no existe en el catálogo",IF(C1081="","ERROR: falta CUENTA",IF(ISERROR(--C1081),"ERROR: CUENTA debe tener solo dígitos",IF(ISERROR(FIND(LEFT(C1081,1),"567")),"ERROR: CUENTA fuera de las clases de costo",IF(NOT(ISNUMBER(E1081)),"ERROR: VALOR debe ser numérico",IF(E1081=0,"AVISO: valor cero (no se carga)",IF(J1081&lt;&gt;"ACTIVO","NO SE CARGA: CECO en estado "&amp;J1081,"OK"))))))))))</f>
        <v/>
      </c>
    </row>
    <row r="1082">
      <c r="A1082" s="5" t="n"/>
      <c r="B1082" s="6" t="n"/>
      <c r="C1082" s="5" t="n"/>
      <c r="D1082" s="6" t="n"/>
      <c r="E1082" s="7" t="n"/>
      <c r="F1082" s="6" t="n"/>
      <c r="G1082" s="8">
        <f>IF(B1082="","",IFERROR(VLOOKUP(--B1082,'CATALOGO CECO'!$A$2:$H$550,2,FALSE),"CECO NO EXISTE"))</f>
        <v/>
      </c>
      <c r="H1082" s="8">
        <f>IF(B1082="","",IFERROR(VLOOKUP(--B1082,'CATALOGO CECO'!$A$2:$H$550,3,FALSE),""))</f>
        <v/>
      </c>
      <c r="I1082" s="8">
        <f>IF(B1082="","",IFERROR(VLOOKUP(--B1082,'CATALOGO CECO'!$A$2:$H$550,5,FALSE),""))</f>
        <v/>
      </c>
      <c r="J1082" s="8">
        <f>IF(B1082="","",IFERROR(VLOOKUP(--B1082,'CATALOGO CECO'!$A$2:$H$550,8,FALSE),""))</f>
        <v/>
      </c>
      <c r="K1082" s="8">
        <f>IF(COUNTA(A1082:F1082)=0,"",IF(OR(LEN(A1082)&lt;&gt;7,MID(A1082,5,1)&lt;&gt;"-",ISERROR(--LEFT(A1082,4)),ISERROR(--RIGHT(A1082,2))),"ERROR: PERIODO debe ser AAAA-MM",IF(B1082="","ERROR: falta CODIGO CECO",IF(G1082="CECO NO EXISTE","ERROR: CECO no existe en el catálogo",IF(C1082="","ERROR: falta CUENTA",IF(ISERROR(--C1082),"ERROR: CUENTA debe tener solo dígitos",IF(ISERROR(FIND(LEFT(C1082,1),"567")),"ERROR: CUENTA fuera de las clases de costo",IF(NOT(ISNUMBER(E1082)),"ERROR: VALOR debe ser numérico",IF(E1082=0,"AVISO: valor cero (no se carga)",IF(J1082&lt;&gt;"ACTIVO","NO SE CARGA: CECO en estado "&amp;J1082,"OK"))))))))))</f>
        <v/>
      </c>
    </row>
    <row r="1083">
      <c r="A1083" s="5" t="n"/>
      <c r="B1083" s="6" t="n"/>
      <c r="C1083" s="5" t="n"/>
      <c r="D1083" s="6" t="n"/>
      <c r="E1083" s="7" t="n"/>
      <c r="F1083" s="6" t="n"/>
      <c r="G1083" s="8">
        <f>IF(B1083="","",IFERROR(VLOOKUP(--B1083,'CATALOGO CECO'!$A$2:$H$550,2,FALSE),"CECO NO EXISTE"))</f>
        <v/>
      </c>
      <c r="H1083" s="8">
        <f>IF(B1083="","",IFERROR(VLOOKUP(--B1083,'CATALOGO CECO'!$A$2:$H$550,3,FALSE),""))</f>
        <v/>
      </c>
      <c r="I1083" s="8">
        <f>IF(B1083="","",IFERROR(VLOOKUP(--B1083,'CATALOGO CECO'!$A$2:$H$550,5,FALSE),""))</f>
        <v/>
      </c>
      <c r="J1083" s="8">
        <f>IF(B1083="","",IFERROR(VLOOKUP(--B1083,'CATALOGO CECO'!$A$2:$H$550,8,FALSE),""))</f>
        <v/>
      </c>
      <c r="K1083" s="8">
        <f>IF(COUNTA(A1083:F1083)=0,"",IF(OR(LEN(A1083)&lt;&gt;7,MID(A1083,5,1)&lt;&gt;"-",ISERROR(--LEFT(A1083,4)),ISERROR(--RIGHT(A1083,2))),"ERROR: PERIODO debe ser AAAA-MM",IF(B1083="","ERROR: falta CODIGO CECO",IF(G1083="CECO NO EXISTE","ERROR: CECO no existe en el catálogo",IF(C1083="","ERROR: falta CUENTA",IF(ISERROR(--C1083),"ERROR: CUENTA debe tener solo dígitos",IF(ISERROR(FIND(LEFT(C1083,1),"567")),"ERROR: CUENTA fuera de las clases de costo",IF(NOT(ISNUMBER(E1083)),"ERROR: VALOR debe ser numérico",IF(E1083=0,"AVISO: valor cero (no se carga)",IF(J1083&lt;&gt;"ACTIVO","NO SE CARGA: CECO en estado "&amp;J1083,"OK"))))))))))</f>
        <v/>
      </c>
    </row>
    <row r="1084">
      <c r="A1084" s="5" t="n"/>
      <c r="B1084" s="6" t="n"/>
      <c r="C1084" s="5" t="n"/>
      <c r="D1084" s="6" t="n"/>
      <c r="E1084" s="7" t="n"/>
      <c r="F1084" s="6" t="n"/>
      <c r="G1084" s="8">
        <f>IF(B1084="","",IFERROR(VLOOKUP(--B1084,'CATALOGO CECO'!$A$2:$H$550,2,FALSE),"CECO NO EXISTE"))</f>
        <v/>
      </c>
      <c r="H1084" s="8">
        <f>IF(B1084="","",IFERROR(VLOOKUP(--B1084,'CATALOGO CECO'!$A$2:$H$550,3,FALSE),""))</f>
        <v/>
      </c>
      <c r="I1084" s="8">
        <f>IF(B1084="","",IFERROR(VLOOKUP(--B1084,'CATALOGO CECO'!$A$2:$H$550,5,FALSE),""))</f>
        <v/>
      </c>
      <c r="J1084" s="8">
        <f>IF(B1084="","",IFERROR(VLOOKUP(--B1084,'CATALOGO CECO'!$A$2:$H$550,8,FALSE),""))</f>
        <v/>
      </c>
      <c r="K1084" s="8">
        <f>IF(COUNTA(A1084:F1084)=0,"",IF(OR(LEN(A1084)&lt;&gt;7,MID(A1084,5,1)&lt;&gt;"-",ISERROR(--LEFT(A1084,4)),ISERROR(--RIGHT(A1084,2))),"ERROR: PERIODO debe ser AAAA-MM",IF(B1084="","ERROR: falta CODIGO CECO",IF(G1084="CECO NO EXISTE","ERROR: CECO no existe en el catálogo",IF(C1084="","ERROR: falta CUENTA",IF(ISERROR(--C1084),"ERROR: CUENTA debe tener solo dígitos",IF(ISERROR(FIND(LEFT(C1084,1),"567")),"ERROR: CUENTA fuera de las clases de costo",IF(NOT(ISNUMBER(E1084)),"ERROR: VALOR debe ser numérico",IF(E1084=0,"AVISO: valor cero (no se carga)",IF(J1084&lt;&gt;"ACTIVO","NO SE CARGA: CECO en estado "&amp;J1084,"OK"))))))))))</f>
        <v/>
      </c>
    </row>
    <row r="1085">
      <c r="A1085" s="5" t="n"/>
      <c r="B1085" s="6" t="n"/>
      <c r="C1085" s="5" t="n"/>
      <c r="D1085" s="6" t="n"/>
      <c r="E1085" s="7" t="n"/>
      <c r="F1085" s="6" t="n"/>
      <c r="G1085" s="8">
        <f>IF(B1085="","",IFERROR(VLOOKUP(--B1085,'CATALOGO CECO'!$A$2:$H$550,2,FALSE),"CECO NO EXISTE"))</f>
        <v/>
      </c>
      <c r="H1085" s="8">
        <f>IF(B1085="","",IFERROR(VLOOKUP(--B1085,'CATALOGO CECO'!$A$2:$H$550,3,FALSE),""))</f>
        <v/>
      </c>
      <c r="I1085" s="8">
        <f>IF(B1085="","",IFERROR(VLOOKUP(--B1085,'CATALOGO CECO'!$A$2:$H$550,5,FALSE),""))</f>
        <v/>
      </c>
      <c r="J1085" s="8">
        <f>IF(B1085="","",IFERROR(VLOOKUP(--B1085,'CATALOGO CECO'!$A$2:$H$550,8,FALSE),""))</f>
        <v/>
      </c>
      <c r="K1085" s="8">
        <f>IF(COUNTA(A1085:F1085)=0,"",IF(OR(LEN(A1085)&lt;&gt;7,MID(A1085,5,1)&lt;&gt;"-",ISERROR(--LEFT(A1085,4)),ISERROR(--RIGHT(A1085,2))),"ERROR: PERIODO debe ser AAAA-MM",IF(B1085="","ERROR: falta CODIGO CECO",IF(G1085="CECO NO EXISTE","ERROR: CECO no existe en el catálogo",IF(C1085="","ERROR: falta CUENTA",IF(ISERROR(--C1085),"ERROR: CUENTA debe tener solo dígitos",IF(ISERROR(FIND(LEFT(C1085,1),"567")),"ERROR: CUENTA fuera de las clases de costo",IF(NOT(ISNUMBER(E1085)),"ERROR: VALOR debe ser numérico",IF(E1085=0,"AVISO: valor cero (no se carga)",IF(J1085&lt;&gt;"ACTIVO","NO SE CARGA: CECO en estado "&amp;J1085,"OK"))))))))))</f>
        <v/>
      </c>
    </row>
    <row r="1086">
      <c r="A1086" s="5" t="n"/>
      <c r="B1086" s="6" t="n"/>
      <c r="C1086" s="5" t="n"/>
      <c r="D1086" s="6" t="n"/>
      <c r="E1086" s="7" t="n"/>
      <c r="F1086" s="6" t="n"/>
      <c r="G1086" s="8">
        <f>IF(B1086="","",IFERROR(VLOOKUP(--B1086,'CATALOGO CECO'!$A$2:$H$550,2,FALSE),"CECO NO EXISTE"))</f>
        <v/>
      </c>
      <c r="H1086" s="8">
        <f>IF(B1086="","",IFERROR(VLOOKUP(--B1086,'CATALOGO CECO'!$A$2:$H$550,3,FALSE),""))</f>
        <v/>
      </c>
      <c r="I1086" s="8">
        <f>IF(B1086="","",IFERROR(VLOOKUP(--B1086,'CATALOGO CECO'!$A$2:$H$550,5,FALSE),""))</f>
        <v/>
      </c>
      <c r="J1086" s="8">
        <f>IF(B1086="","",IFERROR(VLOOKUP(--B1086,'CATALOGO CECO'!$A$2:$H$550,8,FALSE),""))</f>
        <v/>
      </c>
      <c r="K1086" s="8">
        <f>IF(COUNTA(A1086:F1086)=0,"",IF(OR(LEN(A1086)&lt;&gt;7,MID(A1086,5,1)&lt;&gt;"-",ISERROR(--LEFT(A1086,4)),ISERROR(--RIGHT(A1086,2))),"ERROR: PERIODO debe ser AAAA-MM",IF(B1086="","ERROR: falta CODIGO CECO",IF(G1086="CECO NO EXISTE","ERROR: CECO no existe en el catálogo",IF(C1086="","ERROR: falta CUENTA",IF(ISERROR(--C1086),"ERROR: CUENTA debe tener solo dígitos",IF(ISERROR(FIND(LEFT(C1086,1),"567")),"ERROR: CUENTA fuera de las clases de costo",IF(NOT(ISNUMBER(E1086)),"ERROR: VALOR debe ser numérico",IF(E1086=0,"AVISO: valor cero (no se carga)",IF(J1086&lt;&gt;"ACTIVO","NO SE CARGA: CECO en estado "&amp;J1086,"OK"))))))))))</f>
        <v/>
      </c>
    </row>
    <row r="1087">
      <c r="A1087" s="5" t="n"/>
      <c r="B1087" s="6" t="n"/>
      <c r="C1087" s="5" t="n"/>
      <c r="D1087" s="6" t="n"/>
      <c r="E1087" s="7" t="n"/>
      <c r="F1087" s="6" t="n"/>
      <c r="G1087" s="8">
        <f>IF(B1087="","",IFERROR(VLOOKUP(--B1087,'CATALOGO CECO'!$A$2:$H$550,2,FALSE),"CECO NO EXISTE"))</f>
        <v/>
      </c>
      <c r="H1087" s="8">
        <f>IF(B1087="","",IFERROR(VLOOKUP(--B1087,'CATALOGO CECO'!$A$2:$H$550,3,FALSE),""))</f>
        <v/>
      </c>
      <c r="I1087" s="8">
        <f>IF(B1087="","",IFERROR(VLOOKUP(--B1087,'CATALOGO CECO'!$A$2:$H$550,5,FALSE),""))</f>
        <v/>
      </c>
      <c r="J1087" s="8">
        <f>IF(B1087="","",IFERROR(VLOOKUP(--B1087,'CATALOGO CECO'!$A$2:$H$550,8,FALSE),""))</f>
        <v/>
      </c>
      <c r="K1087" s="8">
        <f>IF(COUNTA(A1087:F1087)=0,"",IF(OR(LEN(A1087)&lt;&gt;7,MID(A1087,5,1)&lt;&gt;"-",ISERROR(--LEFT(A1087,4)),ISERROR(--RIGHT(A1087,2))),"ERROR: PERIODO debe ser AAAA-MM",IF(B1087="","ERROR: falta CODIGO CECO",IF(G1087="CECO NO EXISTE","ERROR: CECO no existe en el catálogo",IF(C1087="","ERROR: falta CUENTA",IF(ISERROR(--C1087),"ERROR: CUENTA debe tener solo dígitos",IF(ISERROR(FIND(LEFT(C1087,1),"567")),"ERROR: CUENTA fuera de las clases de costo",IF(NOT(ISNUMBER(E1087)),"ERROR: VALOR debe ser numérico",IF(E1087=0,"AVISO: valor cero (no se carga)",IF(J1087&lt;&gt;"ACTIVO","NO SE CARGA: CECO en estado "&amp;J1087,"OK"))))))))))</f>
        <v/>
      </c>
    </row>
    <row r="1088">
      <c r="A1088" s="5" t="n"/>
      <c r="B1088" s="6" t="n"/>
      <c r="C1088" s="5" t="n"/>
      <c r="D1088" s="6" t="n"/>
      <c r="E1088" s="7" t="n"/>
      <c r="F1088" s="6" t="n"/>
      <c r="G1088" s="8">
        <f>IF(B1088="","",IFERROR(VLOOKUP(--B1088,'CATALOGO CECO'!$A$2:$H$550,2,FALSE),"CECO NO EXISTE"))</f>
        <v/>
      </c>
      <c r="H1088" s="8">
        <f>IF(B1088="","",IFERROR(VLOOKUP(--B1088,'CATALOGO CECO'!$A$2:$H$550,3,FALSE),""))</f>
        <v/>
      </c>
      <c r="I1088" s="8">
        <f>IF(B1088="","",IFERROR(VLOOKUP(--B1088,'CATALOGO CECO'!$A$2:$H$550,5,FALSE),""))</f>
        <v/>
      </c>
      <c r="J1088" s="8">
        <f>IF(B1088="","",IFERROR(VLOOKUP(--B1088,'CATALOGO CECO'!$A$2:$H$550,8,FALSE),""))</f>
        <v/>
      </c>
      <c r="K1088" s="8">
        <f>IF(COUNTA(A1088:F1088)=0,"",IF(OR(LEN(A1088)&lt;&gt;7,MID(A1088,5,1)&lt;&gt;"-",ISERROR(--LEFT(A1088,4)),ISERROR(--RIGHT(A1088,2))),"ERROR: PERIODO debe ser AAAA-MM",IF(B1088="","ERROR: falta CODIGO CECO",IF(G1088="CECO NO EXISTE","ERROR: CECO no existe en el catálogo",IF(C1088="","ERROR: falta CUENTA",IF(ISERROR(--C1088),"ERROR: CUENTA debe tener solo dígitos",IF(ISERROR(FIND(LEFT(C1088,1),"567")),"ERROR: CUENTA fuera de las clases de costo",IF(NOT(ISNUMBER(E1088)),"ERROR: VALOR debe ser numérico",IF(E1088=0,"AVISO: valor cero (no se carga)",IF(J1088&lt;&gt;"ACTIVO","NO SE CARGA: CECO en estado "&amp;J1088,"OK"))))))))))</f>
        <v/>
      </c>
    </row>
    <row r="1089">
      <c r="A1089" s="5" t="n"/>
      <c r="B1089" s="6" t="n"/>
      <c r="C1089" s="5" t="n"/>
      <c r="D1089" s="6" t="n"/>
      <c r="E1089" s="7" t="n"/>
      <c r="F1089" s="6" t="n"/>
      <c r="G1089" s="8">
        <f>IF(B1089="","",IFERROR(VLOOKUP(--B1089,'CATALOGO CECO'!$A$2:$H$550,2,FALSE),"CECO NO EXISTE"))</f>
        <v/>
      </c>
      <c r="H1089" s="8">
        <f>IF(B1089="","",IFERROR(VLOOKUP(--B1089,'CATALOGO CECO'!$A$2:$H$550,3,FALSE),""))</f>
        <v/>
      </c>
      <c r="I1089" s="8">
        <f>IF(B1089="","",IFERROR(VLOOKUP(--B1089,'CATALOGO CECO'!$A$2:$H$550,5,FALSE),""))</f>
        <v/>
      </c>
      <c r="J1089" s="8">
        <f>IF(B1089="","",IFERROR(VLOOKUP(--B1089,'CATALOGO CECO'!$A$2:$H$550,8,FALSE),""))</f>
        <v/>
      </c>
      <c r="K1089" s="8">
        <f>IF(COUNTA(A1089:F1089)=0,"",IF(OR(LEN(A1089)&lt;&gt;7,MID(A1089,5,1)&lt;&gt;"-",ISERROR(--LEFT(A1089,4)),ISERROR(--RIGHT(A1089,2))),"ERROR: PERIODO debe ser AAAA-MM",IF(B1089="","ERROR: falta CODIGO CECO",IF(G1089="CECO NO EXISTE","ERROR: CECO no existe en el catálogo",IF(C1089="","ERROR: falta CUENTA",IF(ISERROR(--C1089),"ERROR: CUENTA debe tener solo dígitos",IF(ISERROR(FIND(LEFT(C1089,1),"567")),"ERROR: CUENTA fuera de las clases de costo",IF(NOT(ISNUMBER(E1089)),"ERROR: VALOR debe ser numérico",IF(E1089=0,"AVISO: valor cero (no se carga)",IF(J1089&lt;&gt;"ACTIVO","NO SE CARGA: CECO en estado "&amp;J1089,"OK"))))))))))</f>
        <v/>
      </c>
    </row>
    <row r="1090">
      <c r="A1090" s="5" t="n"/>
      <c r="B1090" s="6" t="n"/>
      <c r="C1090" s="5" t="n"/>
      <c r="D1090" s="6" t="n"/>
      <c r="E1090" s="7" t="n"/>
      <c r="F1090" s="6" t="n"/>
      <c r="G1090" s="8">
        <f>IF(B1090="","",IFERROR(VLOOKUP(--B1090,'CATALOGO CECO'!$A$2:$H$550,2,FALSE),"CECO NO EXISTE"))</f>
        <v/>
      </c>
      <c r="H1090" s="8">
        <f>IF(B1090="","",IFERROR(VLOOKUP(--B1090,'CATALOGO CECO'!$A$2:$H$550,3,FALSE),""))</f>
        <v/>
      </c>
      <c r="I1090" s="8">
        <f>IF(B1090="","",IFERROR(VLOOKUP(--B1090,'CATALOGO CECO'!$A$2:$H$550,5,FALSE),""))</f>
        <v/>
      </c>
      <c r="J1090" s="8">
        <f>IF(B1090="","",IFERROR(VLOOKUP(--B1090,'CATALOGO CECO'!$A$2:$H$550,8,FALSE),""))</f>
        <v/>
      </c>
      <c r="K1090" s="8">
        <f>IF(COUNTA(A1090:F1090)=0,"",IF(OR(LEN(A1090)&lt;&gt;7,MID(A1090,5,1)&lt;&gt;"-",ISERROR(--LEFT(A1090,4)),ISERROR(--RIGHT(A1090,2))),"ERROR: PERIODO debe ser AAAA-MM",IF(B1090="","ERROR: falta CODIGO CECO",IF(G1090="CECO NO EXISTE","ERROR: CECO no existe en el catálogo",IF(C1090="","ERROR: falta CUENTA",IF(ISERROR(--C1090),"ERROR: CUENTA debe tener solo dígitos",IF(ISERROR(FIND(LEFT(C1090,1),"567")),"ERROR: CUENTA fuera de las clases de costo",IF(NOT(ISNUMBER(E1090)),"ERROR: VALOR debe ser numérico",IF(E1090=0,"AVISO: valor cero (no se carga)",IF(J1090&lt;&gt;"ACTIVO","NO SE CARGA: CECO en estado "&amp;J1090,"OK"))))))))))</f>
        <v/>
      </c>
    </row>
    <row r="1091">
      <c r="A1091" s="5" t="n"/>
      <c r="B1091" s="6" t="n"/>
      <c r="C1091" s="5" t="n"/>
      <c r="D1091" s="6" t="n"/>
      <c r="E1091" s="7" t="n"/>
      <c r="F1091" s="6" t="n"/>
      <c r="G1091" s="8">
        <f>IF(B1091="","",IFERROR(VLOOKUP(--B1091,'CATALOGO CECO'!$A$2:$H$550,2,FALSE),"CECO NO EXISTE"))</f>
        <v/>
      </c>
      <c r="H1091" s="8">
        <f>IF(B1091="","",IFERROR(VLOOKUP(--B1091,'CATALOGO CECO'!$A$2:$H$550,3,FALSE),""))</f>
        <v/>
      </c>
      <c r="I1091" s="8">
        <f>IF(B1091="","",IFERROR(VLOOKUP(--B1091,'CATALOGO CECO'!$A$2:$H$550,5,FALSE),""))</f>
        <v/>
      </c>
      <c r="J1091" s="8">
        <f>IF(B1091="","",IFERROR(VLOOKUP(--B1091,'CATALOGO CECO'!$A$2:$H$550,8,FALSE),""))</f>
        <v/>
      </c>
      <c r="K1091" s="8">
        <f>IF(COUNTA(A1091:F1091)=0,"",IF(OR(LEN(A1091)&lt;&gt;7,MID(A1091,5,1)&lt;&gt;"-",ISERROR(--LEFT(A1091,4)),ISERROR(--RIGHT(A1091,2))),"ERROR: PERIODO debe ser AAAA-MM",IF(B1091="","ERROR: falta CODIGO CECO",IF(G1091="CECO NO EXISTE","ERROR: CECO no existe en el catálogo",IF(C1091="","ERROR: falta CUENTA",IF(ISERROR(--C1091),"ERROR: CUENTA debe tener solo dígitos",IF(ISERROR(FIND(LEFT(C1091,1),"567")),"ERROR: CUENTA fuera de las clases de costo",IF(NOT(ISNUMBER(E1091)),"ERROR: VALOR debe ser numérico",IF(E1091=0,"AVISO: valor cero (no se carga)",IF(J1091&lt;&gt;"ACTIVO","NO SE CARGA: CECO en estado "&amp;J1091,"OK"))))))))))</f>
        <v/>
      </c>
    </row>
    <row r="1092">
      <c r="A1092" s="5" t="n"/>
      <c r="B1092" s="6" t="n"/>
      <c r="C1092" s="5" t="n"/>
      <c r="D1092" s="6" t="n"/>
      <c r="E1092" s="7" t="n"/>
      <c r="F1092" s="6" t="n"/>
      <c r="G1092" s="8">
        <f>IF(B1092="","",IFERROR(VLOOKUP(--B1092,'CATALOGO CECO'!$A$2:$H$550,2,FALSE),"CECO NO EXISTE"))</f>
        <v/>
      </c>
      <c r="H1092" s="8">
        <f>IF(B1092="","",IFERROR(VLOOKUP(--B1092,'CATALOGO CECO'!$A$2:$H$550,3,FALSE),""))</f>
        <v/>
      </c>
      <c r="I1092" s="8">
        <f>IF(B1092="","",IFERROR(VLOOKUP(--B1092,'CATALOGO CECO'!$A$2:$H$550,5,FALSE),""))</f>
        <v/>
      </c>
      <c r="J1092" s="8">
        <f>IF(B1092="","",IFERROR(VLOOKUP(--B1092,'CATALOGO CECO'!$A$2:$H$550,8,FALSE),""))</f>
        <v/>
      </c>
      <c r="K1092" s="8">
        <f>IF(COUNTA(A1092:F1092)=0,"",IF(OR(LEN(A1092)&lt;&gt;7,MID(A1092,5,1)&lt;&gt;"-",ISERROR(--LEFT(A1092,4)),ISERROR(--RIGHT(A1092,2))),"ERROR: PERIODO debe ser AAAA-MM",IF(B1092="","ERROR: falta CODIGO CECO",IF(G1092="CECO NO EXISTE","ERROR: CECO no existe en el catálogo",IF(C1092="","ERROR: falta CUENTA",IF(ISERROR(--C1092),"ERROR: CUENTA debe tener solo dígitos",IF(ISERROR(FIND(LEFT(C1092,1),"567")),"ERROR: CUENTA fuera de las clases de costo",IF(NOT(ISNUMBER(E1092)),"ERROR: VALOR debe ser numérico",IF(E1092=0,"AVISO: valor cero (no se carga)",IF(J1092&lt;&gt;"ACTIVO","NO SE CARGA: CECO en estado "&amp;J1092,"OK"))))))))))</f>
        <v/>
      </c>
    </row>
    <row r="1093">
      <c r="A1093" s="5" t="n"/>
      <c r="B1093" s="6" t="n"/>
      <c r="C1093" s="5" t="n"/>
      <c r="D1093" s="6" t="n"/>
      <c r="E1093" s="7" t="n"/>
      <c r="F1093" s="6" t="n"/>
      <c r="G1093" s="8">
        <f>IF(B1093="","",IFERROR(VLOOKUP(--B1093,'CATALOGO CECO'!$A$2:$H$550,2,FALSE),"CECO NO EXISTE"))</f>
        <v/>
      </c>
      <c r="H1093" s="8">
        <f>IF(B1093="","",IFERROR(VLOOKUP(--B1093,'CATALOGO CECO'!$A$2:$H$550,3,FALSE),""))</f>
        <v/>
      </c>
      <c r="I1093" s="8">
        <f>IF(B1093="","",IFERROR(VLOOKUP(--B1093,'CATALOGO CECO'!$A$2:$H$550,5,FALSE),""))</f>
        <v/>
      </c>
      <c r="J1093" s="8">
        <f>IF(B1093="","",IFERROR(VLOOKUP(--B1093,'CATALOGO CECO'!$A$2:$H$550,8,FALSE),""))</f>
        <v/>
      </c>
      <c r="K1093" s="8">
        <f>IF(COUNTA(A1093:F1093)=0,"",IF(OR(LEN(A1093)&lt;&gt;7,MID(A1093,5,1)&lt;&gt;"-",ISERROR(--LEFT(A1093,4)),ISERROR(--RIGHT(A1093,2))),"ERROR: PERIODO debe ser AAAA-MM",IF(B1093="","ERROR: falta CODIGO CECO",IF(G1093="CECO NO EXISTE","ERROR: CECO no existe en el catálogo",IF(C1093="","ERROR: falta CUENTA",IF(ISERROR(--C1093),"ERROR: CUENTA debe tener solo dígitos",IF(ISERROR(FIND(LEFT(C1093,1),"567")),"ERROR: CUENTA fuera de las clases de costo",IF(NOT(ISNUMBER(E1093)),"ERROR: VALOR debe ser numérico",IF(E1093=0,"AVISO: valor cero (no se carga)",IF(J1093&lt;&gt;"ACTIVO","NO SE CARGA: CECO en estado "&amp;J1093,"OK"))))))))))</f>
        <v/>
      </c>
    </row>
    <row r="1094">
      <c r="A1094" s="5" t="n"/>
      <c r="B1094" s="6" t="n"/>
      <c r="C1094" s="5" t="n"/>
      <c r="D1094" s="6" t="n"/>
      <c r="E1094" s="7" t="n"/>
      <c r="F1094" s="6" t="n"/>
      <c r="G1094" s="8">
        <f>IF(B1094="","",IFERROR(VLOOKUP(--B1094,'CATALOGO CECO'!$A$2:$H$550,2,FALSE),"CECO NO EXISTE"))</f>
        <v/>
      </c>
      <c r="H1094" s="8">
        <f>IF(B1094="","",IFERROR(VLOOKUP(--B1094,'CATALOGO CECO'!$A$2:$H$550,3,FALSE),""))</f>
        <v/>
      </c>
      <c r="I1094" s="8">
        <f>IF(B1094="","",IFERROR(VLOOKUP(--B1094,'CATALOGO CECO'!$A$2:$H$550,5,FALSE),""))</f>
        <v/>
      </c>
      <c r="J1094" s="8">
        <f>IF(B1094="","",IFERROR(VLOOKUP(--B1094,'CATALOGO CECO'!$A$2:$H$550,8,FALSE),""))</f>
        <v/>
      </c>
      <c r="K1094" s="8">
        <f>IF(COUNTA(A1094:F1094)=0,"",IF(OR(LEN(A1094)&lt;&gt;7,MID(A1094,5,1)&lt;&gt;"-",ISERROR(--LEFT(A1094,4)),ISERROR(--RIGHT(A1094,2))),"ERROR: PERIODO debe ser AAAA-MM",IF(B1094="","ERROR: falta CODIGO CECO",IF(G1094="CECO NO EXISTE","ERROR: CECO no existe en el catálogo",IF(C1094="","ERROR: falta CUENTA",IF(ISERROR(--C1094),"ERROR: CUENTA debe tener solo dígitos",IF(ISERROR(FIND(LEFT(C1094,1),"567")),"ERROR: CUENTA fuera de las clases de costo",IF(NOT(ISNUMBER(E1094)),"ERROR: VALOR debe ser numérico",IF(E1094=0,"AVISO: valor cero (no se carga)",IF(J1094&lt;&gt;"ACTIVO","NO SE CARGA: CECO en estado "&amp;J1094,"OK"))))))))))</f>
        <v/>
      </c>
    </row>
    <row r="1095">
      <c r="A1095" s="5" t="n"/>
      <c r="B1095" s="6" t="n"/>
      <c r="C1095" s="5" t="n"/>
      <c r="D1095" s="6" t="n"/>
      <c r="E1095" s="7" t="n"/>
      <c r="F1095" s="6" t="n"/>
      <c r="G1095" s="8">
        <f>IF(B1095="","",IFERROR(VLOOKUP(--B1095,'CATALOGO CECO'!$A$2:$H$550,2,FALSE),"CECO NO EXISTE"))</f>
        <v/>
      </c>
      <c r="H1095" s="8">
        <f>IF(B1095="","",IFERROR(VLOOKUP(--B1095,'CATALOGO CECO'!$A$2:$H$550,3,FALSE),""))</f>
        <v/>
      </c>
      <c r="I1095" s="8">
        <f>IF(B1095="","",IFERROR(VLOOKUP(--B1095,'CATALOGO CECO'!$A$2:$H$550,5,FALSE),""))</f>
        <v/>
      </c>
      <c r="J1095" s="8">
        <f>IF(B1095="","",IFERROR(VLOOKUP(--B1095,'CATALOGO CECO'!$A$2:$H$550,8,FALSE),""))</f>
        <v/>
      </c>
      <c r="K1095" s="8">
        <f>IF(COUNTA(A1095:F1095)=0,"",IF(OR(LEN(A1095)&lt;&gt;7,MID(A1095,5,1)&lt;&gt;"-",ISERROR(--LEFT(A1095,4)),ISERROR(--RIGHT(A1095,2))),"ERROR: PERIODO debe ser AAAA-MM",IF(B1095="","ERROR: falta CODIGO CECO",IF(G1095="CECO NO EXISTE","ERROR: CECO no existe en el catálogo",IF(C1095="","ERROR: falta CUENTA",IF(ISERROR(--C1095),"ERROR: CUENTA debe tener solo dígitos",IF(ISERROR(FIND(LEFT(C1095,1),"567")),"ERROR: CUENTA fuera de las clases de costo",IF(NOT(ISNUMBER(E1095)),"ERROR: VALOR debe ser numérico",IF(E1095=0,"AVISO: valor cero (no se carga)",IF(J1095&lt;&gt;"ACTIVO","NO SE CARGA: CECO en estado "&amp;J1095,"OK"))))))))))</f>
        <v/>
      </c>
    </row>
    <row r="1096">
      <c r="A1096" s="5" t="n"/>
      <c r="B1096" s="6" t="n"/>
      <c r="C1096" s="5" t="n"/>
      <c r="D1096" s="6" t="n"/>
      <c r="E1096" s="7" t="n"/>
      <c r="F1096" s="6" t="n"/>
      <c r="G1096" s="8">
        <f>IF(B1096="","",IFERROR(VLOOKUP(--B1096,'CATALOGO CECO'!$A$2:$H$550,2,FALSE),"CECO NO EXISTE"))</f>
        <v/>
      </c>
      <c r="H1096" s="8">
        <f>IF(B1096="","",IFERROR(VLOOKUP(--B1096,'CATALOGO CECO'!$A$2:$H$550,3,FALSE),""))</f>
        <v/>
      </c>
      <c r="I1096" s="8">
        <f>IF(B1096="","",IFERROR(VLOOKUP(--B1096,'CATALOGO CECO'!$A$2:$H$550,5,FALSE),""))</f>
        <v/>
      </c>
      <c r="J1096" s="8">
        <f>IF(B1096="","",IFERROR(VLOOKUP(--B1096,'CATALOGO CECO'!$A$2:$H$550,8,FALSE),""))</f>
        <v/>
      </c>
      <c r="K1096" s="8">
        <f>IF(COUNTA(A1096:F1096)=0,"",IF(OR(LEN(A1096)&lt;&gt;7,MID(A1096,5,1)&lt;&gt;"-",ISERROR(--LEFT(A1096,4)),ISERROR(--RIGHT(A1096,2))),"ERROR: PERIODO debe ser AAAA-MM",IF(B1096="","ERROR: falta CODIGO CECO",IF(G1096="CECO NO EXISTE","ERROR: CECO no existe en el catálogo",IF(C1096="","ERROR: falta CUENTA",IF(ISERROR(--C1096),"ERROR: CUENTA debe tener solo dígitos",IF(ISERROR(FIND(LEFT(C1096,1),"567")),"ERROR: CUENTA fuera de las clases de costo",IF(NOT(ISNUMBER(E1096)),"ERROR: VALOR debe ser numérico",IF(E1096=0,"AVISO: valor cero (no se carga)",IF(J1096&lt;&gt;"ACTIVO","NO SE CARGA: CECO en estado "&amp;J1096,"OK"))))))))))</f>
        <v/>
      </c>
    </row>
    <row r="1097">
      <c r="A1097" s="5" t="n"/>
      <c r="B1097" s="6" t="n"/>
      <c r="C1097" s="5" t="n"/>
      <c r="D1097" s="6" t="n"/>
      <c r="E1097" s="7" t="n"/>
      <c r="F1097" s="6" t="n"/>
      <c r="G1097" s="8">
        <f>IF(B1097="","",IFERROR(VLOOKUP(--B1097,'CATALOGO CECO'!$A$2:$H$550,2,FALSE),"CECO NO EXISTE"))</f>
        <v/>
      </c>
      <c r="H1097" s="8">
        <f>IF(B1097="","",IFERROR(VLOOKUP(--B1097,'CATALOGO CECO'!$A$2:$H$550,3,FALSE),""))</f>
        <v/>
      </c>
      <c r="I1097" s="8">
        <f>IF(B1097="","",IFERROR(VLOOKUP(--B1097,'CATALOGO CECO'!$A$2:$H$550,5,FALSE),""))</f>
        <v/>
      </c>
      <c r="J1097" s="8">
        <f>IF(B1097="","",IFERROR(VLOOKUP(--B1097,'CATALOGO CECO'!$A$2:$H$550,8,FALSE),""))</f>
        <v/>
      </c>
      <c r="K1097" s="8">
        <f>IF(COUNTA(A1097:F1097)=0,"",IF(OR(LEN(A1097)&lt;&gt;7,MID(A1097,5,1)&lt;&gt;"-",ISERROR(--LEFT(A1097,4)),ISERROR(--RIGHT(A1097,2))),"ERROR: PERIODO debe ser AAAA-MM",IF(B1097="","ERROR: falta CODIGO CECO",IF(G1097="CECO NO EXISTE","ERROR: CECO no existe en el catálogo",IF(C1097="","ERROR: falta CUENTA",IF(ISERROR(--C1097),"ERROR: CUENTA debe tener solo dígitos",IF(ISERROR(FIND(LEFT(C1097,1),"567")),"ERROR: CUENTA fuera de las clases de costo",IF(NOT(ISNUMBER(E1097)),"ERROR: VALOR debe ser numérico",IF(E1097=0,"AVISO: valor cero (no se carga)",IF(J1097&lt;&gt;"ACTIVO","NO SE CARGA: CECO en estado "&amp;J1097,"OK"))))))))))</f>
        <v/>
      </c>
    </row>
    <row r="1098">
      <c r="A1098" s="5" t="n"/>
      <c r="B1098" s="6" t="n"/>
      <c r="C1098" s="5" t="n"/>
      <c r="D1098" s="6" t="n"/>
      <c r="E1098" s="7" t="n"/>
      <c r="F1098" s="6" t="n"/>
      <c r="G1098" s="8">
        <f>IF(B1098="","",IFERROR(VLOOKUP(--B1098,'CATALOGO CECO'!$A$2:$H$550,2,FALSE),"CECO NO EXISTE"))</f>
        <v/>
      </c>
      <c r="H1098" s="8">
        <f>IF(B1098="","",IFERROR(VLOOKUP(--B1098,'CATALOGO CECO'!$A$2:$H$550,3,FALSE),""))</f>
        <v/>
      </c>
      <c r="I1098" s="8">
        <f>IF(B1098="","",IFERROR(VLOOKUP(--B1098,'CATALOGO CECO'!$A$2:$H$550,5,FALSE),""))</f>
        <v/>
      </c>
      <c r="J1098" s="8">
        <f>IF(B1098="","",IFERROR(VLOOKUP(--B1098,'CATALOGO CECO'!$A$2:$H$550,8,FALSE),""))</f>
        <v/>
      </c>
      <c r="K1098" s="8">
        <f>IF(COUNTA(A1098:F1098)=0,"",IF(OR(LEN(A1098)&lt;&gt;7,MID(A1098,5,1)&lt;&gt;"-",ISERROR(--LEFT(A1098,4)),ISERROR(--RIGHT(A1098,2))),"ERROR: PERIODO debe ser AAAA-MM",IF(B1098="","ERROR: falta CODIGO CECO",IF(G1098="CECO NO EXISTE","ERROR: CECO no existe en el catálogo",IF(C1098="","ERROR: falta CUENTA",IF(ISERROR(--C1098),"ERROR: CUENTA debe tener solo dígitos",IF(ISERROR(FIND(LEFT(C1098,1),"567")),"ERROR: CUENTA fuera de las clases de costo",IF(NOT(ISNUMBER(E1098)),"ERROR: VALOR debe ser numérico",IF(E1098=0,"AVISO: valor cero (no se carga)",IF(J1098&lt;&gt;"ACTIVO","NO SE CARGA: CECO en estado "&amp;J1098,"OK"))))))))))</f>
        <v/>
      </c>
    </row>
    <row r="1099">
      <c r="A1099" s="5" t="n"/>
      <c r="B1099" s="6" t="n"/>
      <c r="C1099" s="5" t="n"/>
      <c r="D1099" s="6" t="n"/>
      <c r="E1099" s="7" t="n"/>
      <c r="F1099" s="6" t="n"/>
      <c r="G1099" s="8">
        <f>IF(B1099="","",IFERROR(VLOOKUP(--B1099,'CATALOGO CECO'!$A$2:$H$550,2,FALSE),"CECO NO EXISTE"))</f>
        <v/>
      </c>
      <c r="H1099" s="8">
        <f>IF(B1099="","",IFERROR(VLOOKUP(--B1099,'CATALOGO CECO'!$A$2:$H$550,3,FALSE),""))</f>
        <v/>
      </c>
      <c r="I1099" s="8">
        <f>IF(B1099="","",IFERROR(VLOOKUP(--B1099,'CATALOGO CECO'!$A$2:$H$550,5,FALSE),""))</f>
        <v/>
      </c>
      <c r="J1099" s="8">
        <f>IF(B1099="","",IFERROR(VLOOKUP(--B1099,'CATALOGO CECO'!$A$2:$H$550,8,FALSE),""))</f>
        <v/>
      </c>
      <c r="K1099" s="8">
        <f>IF(COUNTA(A1099:F1099)=0,"",IF(OR(LEN(A1099)&lt;&gt;7,MID(A1099,5,1)&lt;&gt;"-",ISERROR(--LEFT(A1099,4)),ISERROR(--RIGHT(A1099,2))),"ERROR: PERIODO debe ser AAAA-MM",IF(B1099="","ERROR: falta CODIGO CECO",IF(G1099="CECO NO EXISTE","ERROR: CECO no existe en el catálogo",IF(C1099="","ERROR: falta CUENTA",IF(ISERROR(--C1099),"ERROR: CUENTA debe tener solo dígitos",IF(ISERROR(FIND(LEFT(C1099,1),"567")),"ERROR: CUENTA fuera de las clases de costo",IF(NOT(ISNUMBER(E1099)),"ERROR: VALOR debe ser numérico",IF(E1099=0,"AVISO: valor cero (no se carga)",IF(J1099&lt;&gt;"ACTIVO","NO SE CARGA: CECO en estado "&amp;J1099,"OK"))))))))))</f>
        <v/>
      </c>
    </row>
    <row r="1100">
      <c r="A1100" s="5" t="n"/>
      <c r="B1100" s="6" t="n"/>
      <c r="C1100" s="5" t="n"/>
      <c r="D1100" s="6" t="n"/>
      <c r="E1100" s="7" t="n"/>
      <c r="F1100" s="6" t="n"/>
      <c r="G1100" s="8">
        <f>IF(B1100="","",IFERROR(VLOOKUP(--B1100,'CATALOGO CECO'!$A$2:$H$550,2,FALSE),"CECO NO EXISTE"))</f>
        <v/>
      </c>
      <c r="H1100" s="8">
        <f>IF(B1100="","",IFERROR(VLOOKUP(--B1100,'CATALOGO CECO'!$A$2:$H$550,3,FALSE),""))</f>
        <v/>
      </c>
      <c r="I1100" s="8">
        <f>IF(B1100="","",IFERROR(VLOOKUP(--B1100,'CATALOGO CECO'!$A$2:$H$550,5,FALSE),""))</f>
        <v/>
      </c>
      <c r="J1100" s="8">
        <f>IF(B1100="","",IFERROR(VLOOKUP(--B1100,'CATALOGO CECO'!$A$2:$H$550,8,FALSE),""))</f>
        <v/>
      </c>
      <c r="K1100" s="8">
        <f>IF(COUNTA(A1100:F1100)=0,"",IF(OR(LEN(A1100)&lt;&gt;7,MID(A1100,5,1)&lt;&gt;"-",ISERROR(--LEFT(A1100,4)),ISERROR(--RIGHT(A1100,2))),"ERROR: PERIODO debe ser AAAA-MM",IF(B1100="","ERROR: falta CODIGO CECO",IF(G1100="CECO NO EXISTE","ERROR: CECO no existe en el catálogo",IF(C1100="","ERROR: falta CUENTA",IF(ISERROR(--C1100),"ERROR: CUENTA debe tener solo dígitos",IF(ISERROR(FIND(LEFT(C1100,1),"567")),"ERROR: CUENTA fuera de las clases de costo",IF(NOT(ISNUMBER(E1100)),"ERROR: VALOR debe ser numérico",IF(E1100=0,"AVISO: valor cero (no se carga)",IF(J1100&lt;&gt;"ACTIVO","NO SE CARGA: CECO en estado "&amp;J1100,"OK"))))))))))</f>
        <v/>
      </c>
    </row>
    <row r="1101">
      <c r="A1101" s="5" t="n"/>
      <c r="B1101" s="6" t="n"/>
      <c r="C1101" s="5" t="n"/>
      <c r="D1101" s="6" t="n"/>
      <c r="E1101" s="7" t="n"/>
      <c r="F1101" s="6" t="n"/>
      <c r="G1101" s="8">
        <f>IF(B1101="","",IFERROR(VLOOKUP(--B1101,'CATALOGO CECO'!$A$2:$H$550,2,FALSE),"CECO NO EXISTE"))</f>
        <v/>
      </c>
      <c r="H1101" s="8">
        <f>IF(B1101="","",IFERROR(VLOOKUP(--B1101,'CATALOGO CECO'!$A$2:$H$550,3,FALSE),""))</f>
        <v/>
      </c>
      <c r="I1101" s="8">
        <f>IF(B1101="","",IFERROR(VLOOKUP(--B1101,'CATALOGO CECO'!$A$2:$H$550,5,FALSE),""))</f>
        <v/>
      </c>
      <c r="J1101" s="8">
        <f>IF(B1101="","",IFERROR(VLOOKUP(--B1101,'CATALOGO CECO'!$A$2:$H$550,8,FALSE),""))</f>
        <v/>
      </c>
      <c r="K1101" s="8">
        <f>IF(COUNTA(A1101:F1101)=0,"",IF(OR(LEN(A1101)&lt;&gt;7,MID(A1101,5,1)&lt;&gt;"-",ISERROR(--LEFT(A1101,4)),ISERROR(--RIGHT(A1101,2))),"ERROR: PERIODO debe ser AAAA-MM",IF(B1101="","ERROR: falta CODIGO CECO",IF(G1101="CECO NO EXISTE","ERROR: CECO no existe en el catálogo",IF(C1101="","ERROR: falta CUENTA",IF(ISERROR(--C1101),"ERROR: CUENTA debe tener solo dígitos",IF(ISERROR(FIND(LEFT(C1101,1),"567")),"ERROR: CUENTA fuera de las clases de costo",IF(NOT(ISNUMBER(E1101)),"ERROR: VALOR debe ser numérico",IF(E1101=0,"AVISO: valor cero (no se carga)",IF(J1101&lt;&gt;"ACTIVO","NO SE CARGA: CECO en estado "&amp;J1101,"OK"))))))))))</f>
        <v/>
      </c>
    </row>
    <row r="1102">
      <c r="A1102" s="5" t="n"/>
      <c r="B1102" s="6" t="n"/>
      <c r="C1102" s="5" t="n"/>
      <c r="D1102" s="6" t="n"/>
      <c r="E1102" s="7" t="n"/>
      <c r="F1102" s="6" t="n"/>
      <c r="G1102" s="8">
        <f>IF(B1102="","",IFERROR(VLOOKUP(--B1102,'CATALOGO CECO'!$A$2:$H$550,2,FALSE),"CECO NO EXISTE"))</f>
        <v/>
      </c>
      <c r="H1102" s="8">
        <f>IF(B1102="","",IFERROR(VLOOKUP(--B1102,'CATALOGO CECO'!$A$2:$H$550,3,FALSE),""))</f>
        <v/>
      </c>
      <c r="I1102" s="8">
        <f>IF(B1102="","",IFERROR(VLOOKUP(--B1102,'CATALOGO CECO'!$A$2:$H$550,5,FALSE),""))</f>
        <v/>
      </c>
      <c r="J1102" s="8">
        <f>IF(B1102="","",IFERROR(VLOOKUP(--B1102,'CATALOGO CECO'!$A$2:$H$550,8,FALSE),""))</f>
        <v/>
      </c>
      <c r="K1102" s="8">
        <f>IF(COUNTA(A1102:F1102)=0,"",IF(OR(LEN(A1102)&lt;&gt;7,MID(A1102,5,1)&lt;&gt;"-",ISERROR(--LEFT(A1102,4)),ISERROR(--RIGHT(A1102,2))),"ERROR: PERIODO debe ser AAAA-MM",IF(B1102="","ERROR: falta CODIGO CECO",IF(G1102="CECO NO EXISTE","ERROR: CECO no existe en el catálogo",IF(C1102="","ERROR: falta CUENTA",IF(ISERROR(--C1102),"ERROR: CUENTA debe tener solo dígitos",IF(ISERROR(FIND(LEFT(C1102,1),"567")),"ERROR: CUENTA fuera de las clases de costo",IF(NOT(ISNUMBER(E1102)),"ERROR: VALOR debe ser numérico",IF(E1102=0,"AVISO: valor cero (no se carga)",IF(J1102&lt;&gt;"ACTIVO","NO SE CARGA: CECO en estado "&amp;J1102,"OK"))))))))))</f>
        <v/>
      </c>
    </row>
    <row r="1103">
      <c r="A1103" s="5" t="n"/>
      <c r="B1103" s="6" t="n"/>
      <c r="C1103" s="5" t="n"/>
      <c r="D1103" s="6" t="n"/>
      <c r="E1103" s="7" t="n"/>
      <c r="F1103" s="6" t="n"/>
      <c r="G1103" s="8">
        <f>IF(B1103="","",IFERROR(VLOOKUP(--B1103,'CATALOGO CECO'!$A$2:$H$550,2,FALSE),"CECO NO EXISTE"))</f>
        <v/>
      </c>
      <c r="H1103" s="8">
        <f>IF(B1103="","",IFERROR(VLOOKUP(--B1103,'CATALOGO CECO'!$A$2:$H$550,3,FALSE),""))</f>
        <v/>
      </c>
      <c r="I1103" s="8">
        <f>IF(B1103="","",IFERROR(VLOOKUP(--B1103,'CATALOGO CECO'!$A$2:$H$550,5,FALSE),""))</f>
        <v/>
      </c>
      <c r="J1103" s="8">
        <f>IF(B1103="","",IFERROR(VLOOKUP(--B1103,'CATALOGO CECO'!$A$2:$H$550,8,FALSE),""))</f>
        <v/>
      </c>
      <c r="K1103" s="8">
        <f>IF(COUNTA(A1103:F1103)=0,"",IF(OR(LEN(A1103)&lt;&gt;7,MID(A1103,5,1)&lt;&gt;"-",ISERROR(--LEFT(A1103,4)),ISERROR(--RIGHT(A1103,2))),"ERROR: PERIODO debe ser AAAA-MM",IF(B1103="","ERROR: falta CODIGO CECO",IF(G1103="CECO NO EXISTE","ERROR: CECO no existe en el catálogo",IF(C1103="","ERROR: falta CUENTA",IF(ISERROR(--C1103),"ERROR: CUENTA debe tener solo dígitos",IF(ISERROR(FIND(LEFT(C1103,1),"567")),"ERROR: CUENTA fuera de las clases de costo",IF(NOT(ISNUMBER(E1103)),"ERROR: VALOR debe ser numérico",IF(E1103=0,"AVISO: valor cero (no se carga)",IF(J1103&lt;&gt;"ACTIVO","NO SE CARGA: CECO en estado "&amp;J1103,"OK"))))))))))</f>
        <v/>
      </c>
    </row>
    <row r="1104">
      <c r="A1104" s="5" t="n"/>
      <c r="B1104" s="6" t="n"/>
      <c r="C1104" s="5" t="n"/>
      <c r="D1104" s="6" t="n"/>
      <c r="E1104" s="7" t="n"/>
      <c r="F1104" s="6" t="n"/>
      <c r="G1104" s="8">
        <f>IF(B1104="","",IFERROR(VLOOKUP(--B1104,'CATALOGO CECO'!$A$2:$H$550,2,FALSE),"CECO NO EXISTE"))</f>
        <v/>
      </c>
      <c r="H1104" s="8">
        <f>IF(B1104="","",IFERROR(VLOOKUP(--B1104,'CATALOGO CECO'!$A$2:$H$550,3,FALSE),""))</f>
        <v/>
      </c>
      <c r="I1104" s="8">
        <f>IF(B1104="","",IFERROR(VLOOKUP(--B1104,'CATALOGO CECO'!$A$2:$H$550,5,FALSE),""))</f>
        <v/>
      </c>
      <c r="J1104" s="8">
        <f>IF(B1104="","",IFERROR(VLOOKUP(--B1104,'CATALOGO CECO'!$A$2:$H$550,8,FALSE),""))</f>
        <v/>
      </c>
      <c r="K1104" s="8">
        <f>IF(COUNTA(A1104:F1104)=0,"",IF(OR(LEN(A1104)&lt;&gt;7,MID(A1104,5,1)&lt;&gt;"-",ISERROR(--LEFT(A1104,4)),ISERROR(--RIGHT(A1104,2))),"ERROR: PERIODO debe ser AAAA-MM",IF(B1104="","ERROR: falta CODIGO CECO",IF(G1104="CECO NO EXISTE","ERROR: CECO no existe en el catálogo",IF(C1104="","ERROR: falta CUENTA",IF(ISERROR(--C1104),"ERROR: CUENTA debe tener solo dígitos",IF(ISERROR(FIND(LEFT(C1104,1),"567")),"ERROR: CUENTA fuera de las clases de costo",IF(NOT(ISNUMBER(E1104)),"ERROR: VALOR debe ser numérico",IF(E1104=0,"AVISO: valor cero (no se carga)",IF(J1104&lt;&gt;"ACTIVO","NO SE CARGA: CECO en estado "&amp;J1104,"OK"))))))))))</f>
        <v/>
      </c>
    </row>
    <row r="1105">
      <c r="A1105" s="5" t="n"/>
      <c r="B1105" s="6" t="n"/>
      <c r="C1105" s="5" t="n"/>
      <c r="D1105" s="6" t="n"/>
      <c r="E1105" s="7" t="n"/>
      <c r="F1105" s="6" t="n"/>
      <c r="G1105" s="8">
        <f>IF(B1105="","",IFERROR(VLOOKUP(--B1105,'CATALOGO CECO'!$A$2:$H$550,2,FALSE),"CECO NO EXISTE"))</f>
        <v/>
      </c>
      <c r="H1105" s="8">
        <f>IF(B1105="","",IFERROR(VLOOKUP(--B1105,'CATALOGO CECO'!$A$2:$H$550,3,FALSE),""))</f>
        <v/>
      </c>
      <c r="I1105" s="8">
        <f>IF(B1105="","",IFERROR(VLOOKUP(--B1105,'CATALOGO CECO'!$A$2:$H$550,5,FALSE),""))</f>
        <v/>
      </c>
      <c r="J1105" s="8">
        <f>IF(B1105="","",IFERROR(VLOOKUP(--B1105,'CATALOGO CECO'!$A$2:$H$550,8,FALSE),""))</f>
        <v/>
      </c>
      <c r="K1105" s="8">
        <f>IF(COUNTA(A1105:F1105)=0,"",IF(OR(LEN(A1105)&lt;&gt;7,MID(A1105,5,1)&lt;&gt;"-",ISERROR(--LEFT(A1105,4)),ISERROR(--RIGHT(A1105,2))),"ERROR: PERIODO debe ser AAAA-MM",IF(B1105="","ERROR: falta CODIGO CECO",IF(G1105="CECO NO EXISTE","ERROR: CECO no existe en el catálogo",IF(C1105="","ERROR: falta CUENTA",IF(ISERROR(--C1105),"ERROR: CUENTA debe tener solo dígitos",IF(ISERROR(FIND(LEFT(C1105,1),"567")),"ERROR: CUENTA fuera de las clases de costo",IF(NOT(ISNUMBER(E1105)),"ERROR: VALOR debe ser numérico",IF(E1105=0,"AVISO: valor cero (no se carga)",IF(J1105&lt;&gt;"ACTIVO","NO SE CARGA: CECO en estado "&amp;J1105,"OK"))))))))))</f>
        <v/>
      </c>
    </row>
    <row r="1106">
      <c r="A1106" s="5" t="n"/>
      <c r="B1106" s="6" t="n"/>
      <c r="C1106" s="5" t="n"/>
      <c r="D1106" s="6" t="n"/>
      <c r="E1106" s="7" t="n"/>
      <c r="F1106" s="6" t="n"/>
      <c r="G1106" s="8">
        <f>IF(B1106="","",IFERROR(VLOOKUP(--B1106,'CATALOGO CECO'!$A$2:$H$550,2,FALSE),"CECO NO EXISTE"))</f>
        <v/>
      </c>
      <c r="H1106" s="8">
        <f>IF(B1106="","",IFERROR(VLOOKUP(--B1106,'CATALOGO CECO'!$A$2:$H$550,3,FALSE),""))</f>
        <v/>
      </c>
      <c r="I1106" s="8">
        <f>IF(B1106="","",IFERROR(VLOOKUP(--B1106,'CATALOGO CECO'!$A$2:$H$550,5,FALSE),""))</f>
        <v/>
      </c>
      <c r="J1106" s="8">
        <f>IF(B1106="","",IFERROR(VLOOKUP(--B1106,'CATALOGO CECO'!$A$2:$H$550,8,FALSE),""))</f>
        <v/>
      </c>
      <c r="K1106" s="8">
        <f>IF(COUNTA(A1106:F1106)=0,"",IF(OR(LEN(A1106)&lt;&gt;7,MID(A1106,5,1)&lt;&gt;"-",ISERROR(--LEFT(A1106,4)),ISERROR(--RIGHT(A1106,2))),"ERROR: PERIODO debe ser AAAA-MM",IF(B1106="","ERROR: falta CODIGO CECO",IF(G1106="CECO NO EXISTE","ERROR: CECO no existe en el catálogo",IF(C1106="","ERROR: falta CUENTA",IF(ISERROR(--C1106),"ERROR: CUENTA debe tener solo dígitos",IF(ISERROR(FIND(LEFT(C1106,1),"567")),"ERROR: CUENTA fuera de las clases de costo",IF(NOT(ISNUMBER(E1106)),"ERROR: VALOR debe ser numérico",IF(E1106=0,"AVISO: valor cero (no se carga)",IF(J1106&lt;&gt;"ACTIVO","NO SE CARGA: CECO en estado "&amp;J1106,"OK"))))))))))</f>
        <v/>
      </c>
    </row>
    <row r="1107">
      <c r="A1107" s="5" t="n"/>
      <c r="B1107" s="6" t="n"/>
      <c r="C1107" s="5" t="n"/>
      <c r="D1107" s="6" t="n"/>
      <c r="E1107" s="7" t="n"/>
      <c r="F1107" s="6" t="n"/>
      <c r="G1107" s="8">
        <f>IF(B1107="","",IFERROR(VLOOKUP(--B1107,'CATALOGO CECO'!$A$2:$H$550,2,FALSE),"CECO NO EXISTE"))</f>
        <v/>
      </c>
      <c r="H1107" s="8">
        <f>IF(B1107="","",IFERROR(VLOOKUP(--B1107,'CATALOGO CECO'!$A$2:$H$550,3,FALSE),""))</f>
        <v/>
      </c>
      <c r="I1107" s="8">
        <f>IF(B1107="","",IFERROR(VLOOKUP(--B1107,'CATALOGO CECO'!$A$2:$H$550,5,FALSE),""))</f>
        <v/>
      </c>
      <c r="J1107" s="8">
        <f>IF(B1107="","",IFERROR(VLOOKUP(--B1107,'CATALOGO CECO'!$A$2:$H$550,8,FALSE),""))</f>
        <v/>
      </c>
      <c r="K1107" s="8">
        <f>IF(COUNTA(A1107:F1107)=0,"",IF(OR(LEN(A1107)&lt;&gt;7,MID(A1107,5,1)&lt;&gt;"-",ISERROR(--LEFT(A1107,4)),ISERROR(--RIGHT(A1107,2))),"ERROR: PERIODO debe ser AAAA-MM",IF(B1107="","ERROR: falta CODIGO CECO",IF(G1107="CECO NO EXISTE","ERROR: CECO no existe en el catálogo",IF(C1107="","ERROR: falta CUENTA",IF(ISERROR(--C1107),"ERROR: CUENTA debe tener solo dígitos",IF(ISERROR(FIND(LEFT(C1107,1),"567")),"ERROR: CUENTA fuera de las clases de costo",IF(NOT(ISNUMBER(E1107)),"ERROR: VALOR debe ser numérico",IF(E1107=0,"AVISO: valor cero (no se carga)",IF(J1107&lt;&gt;"ACTIVO","NO SE CARGA: CECO en estado "&amp;J1107,"OK"))))))))))</f>
        <v/>
      </c>
    </row>
    <row r="1108">
      <c r="A1108" s="5" t="n"/>
      <c r="B1108" s="6" t="n"/>
      <c r="C1108" s="5" t="n"/>
      <c r="D1108" s="6" t="n"/>
      <c r="E1108" s="7" t="n"/>
      <c r="F1108" s="6" t="n"/>
      <c r="G1108" s="8">
        <f>IF(B1108="","",IFERROR(VLOOKUP(--B1108,'CATALOGO CECO'!$A$2:$H$550,2,FALSE),"CECO NO EXISTE"))</f>
        <v/>
      </c>
      <c r="H1108" s="8">
        <f>IF(B1108="","",IFERROR(VLOOKUP(--B1108,'CATALOGO CECO'!$A$2:$H$550,3,FALSE),""))</f>
        <v/>
      </c>
      <c r="I1108" s="8">
        <f>IF(B1108="","",IFERROR(VLOOKUP(--B1108,'CATALOGO CECO'!$A$2:$H$550,5,FALSE),""))</f>
        <v/>
      </c>
      <c r="J1108" s="8">
        <f>IF(B1108="","",IFERROR(VLOOKUP(--B1108,'CATALOGO CECO'!$A$2:$H$550,8,FALSE),""))</f>
        <v/>
      </c>
      <c r="K1108" s="8">
        <f>IF(COUNTA(A1108:F1108)=0,"",IF(OR(LEN(A1108)&lt;&gt;7,MID(A1108,5,1)&lt;&gt;"-",ISERROR(--LEFT(A1108,4)),ISERROR(--RIGHT(A1108,2))),"ERROR: PERIODO debe ser AAAA-MM",IF(B1108="","ERROR: falta CODIGO CECO",IF(G1108="CECO NO EXISTE","ERROR: CECO no existe en el catálogo",IF(C1108="","ERROR: falta CUENTA",IF(ISERROR(--C1108),"ERROR: CUENTA debe tener solo dígitos",IF(ISERROR(FIND(LEFT(C1108,1),"567")),"ERROR: CUENTA fuera de las clases de costo",IF(NOT(ISNUMBER(E1108)),"ERROR: VALOR debe ser numérico",IF(E1108=0,"AVISO: valor cero (no se carga)",IF(J1108&lt;&gt;"ACTIVO","NO SE CARGA: CECO en estado "&amp;J1108,"OK"))))))))))</f>
        <v/>
      </c>
    </row>
    <row r="1109">
      <c r="A1109" s="5" t="n"/>
      <c r="B1109" s="6" t="n"/>
      <c r="C1109" s="5" t="n"/>
      <c r="D1109" s="6" t="n"/>
      <c r="E1109" s="7" t="n"/>
      <c r="F1109" s="6" t="n"/>
      <c r="G1109" s="8">
        <f>IF(B1109="","",IFERROR(VLOOKUP(--B1109,'CATALOGO CECO'!$A$2:$H$550,2,FALSE),"CECO NO EXISTE"))</f>
        <v/>
      </c>
      <c r="H1109" s="8">
        <f>IF(B1109="","",IFERROR(VLOOKUP(--B1109,'CATALOGO CECO'!$A$2:$H$550,3,FALSE),""))</f>
        <v/>
      </c>
      <c r="I1109" s="8">
        <f>IF(B1109="","",IFERROR(VLOOKUP(--B1109,'CATALOGO CECO'!$A$2:$H$550,5,FALSE),""))</f>
        <v/>
      </c>
      <c r="J1109" s="8">
        <f>IF(B1109="","",IFERROR(VLOOKUP(--B1109,'CATALOGO CECO'!$A$2:$H$550,8,FALSE),""))</f>
        <v/>
      </c>
      <c r="K1109" s="8">
        <f>IF(COUNTA(A1109:F1109)=0,"",IF(OR(LEN(A1109)&lt;&gt;7,MID(A1109,5,1)&lt;&gt;"-",ISERROR(--LEFT(A1109,4)),ISERROR(--RIGHT(A1109,2))),"ERROR: PERIODO debe ser AAAA-MM",IF(B1109="","ERROR: falta CODIGO CECO",IF(G1109="CECO NO EXISTE","ERROR: CECO no existe en el catálogo",IF(C1109="","ERROR: falta CUENTA",IF(ISERROR(--C1109),"ERROR: CUENTA debe tener solo dígitos",IF(ISERROR(FIND(LEFT(C1109,1),"567")),"ERROR: CUENTA fuera de las clases de costo",IF(NOT(ISNUMBER(E1109)),"ERROR: VALOR debe ser numérico",IF(E1109=0,"AVISO: valor cero (no se carga)",IF(J1109&lt;&gt;"ACTIVO","NO SE CARGA: CECO en estado "&amp;J1109,"OK"))))))))))</f>
        <v/>
      </c>
    </row>
    <row r="1110">
      <c r="A1110" s="5" t="n"/>
      <c r="B1110" s="6" t="n"/>
      <c r="C1110" s="5" t="n"/>
      <c r="D1110" s="6" t="n"/>
      <c r="E1110" s="7" t="n"/>
      <c r="F1110" s="6" t="n"/>
      <c r="G1110" s="8">
        <f>IF(B1110="","",IFERROR(VLOOKUP(--B1110,'CATALOGO CECO'!$A$2:$H$550,2,FALSE),"CECO NO EXISTE"))</f>
        <v/>
      </c>
      <c r="H1110" s="8">
        <f>IF(B1110="","",IFERROR(VLOOKUP(--B1110,'CATALOGO CECO'!$A$2:$H$550,3,FALSE),""))</f>
        <v/>
      </c>
      <c r="I1110" s="8">
        <f>IF(B1110="","",IFERROR(VLOOKUP(--B1110,'CATALOGO CECO'!$A$2:$H$550,5,FALSE),""))</f>
        <v/>
      </c>
      <c r="J1110" s="8">
        <f>IF(B1110="","",IFERROR(VLOOKUP(--B1110,'CATALOGO CECO'!$A$2:$H$550,8,FALSE),""))</f>
        <v/>
      </c>
      <c r="K1110" s="8">
        <f>IF(COUNTA(A1110:F1110)=0,"",IF(OR(LEN(A1110)&lt;&gt;7,MID(A1110,5,1)&lt;&gt;"-",ISERROR(--LEFT(A1110,4)),ISERROR(--RIGHT(A1110,2))),"ERROR: PERIODO debe ser AAAA-MM",IF(B1110="","ERROR: falta CODIGO CECO",IF(G1110="CECO NO EXISTE","ERROR: CECO no existe en el catálogo",IF(C1110="","ERROR: falta CUENTA",IF(ISERROR(--C1110),"ERROR: CUENTA debe tener solo dígitos",IF(ISERROR(FIND(LEFT(C1110,1),"567")),"ERROR: CUENTA fuera de las clases de costo",IF(NOT(ISNUMBER(E1110)),"ERROR: VALOR debe ser numérico",IF(E1110=0,"AVISO: valor cero (no se carga)",IF(J1110&lt;&gt;"ACTIVO","NO SE CARGA: CECO en estado "&amp;J1110,"OK"))))))))))</f>
        <v/>
      </c>
    </row>
    <row r="1111">
      <c r="A1111" s="5" t="n"/>
      <c r="B1111" s="6" t="n"/>
      <c r="C1111" s="5" t="n"/>
      <c r="D1111" s="6" t="n"/>
      <c r="E1111" s="7" t="n"/>
      <c r="F1111" s="6" t="n"/>
      <c r="G1111" s="8">
        <f>IF(B1111="","",IFERROR(VLOOKUP(--B1111,'CATALOGO CECO'!$A$2:$H$550,2,FALSE),"CECO NO EXISTE"))</f>
        <v/>
      </c>
      <c r="H1111" s="8">
        <f>IF(B1111="","",IFERROR(VLOOKUP(--B1111,'CATALOGO CECO'!$A$2:$H$550,3,FALSE),""))</f>
        <v/>
      </c>
      <c r="I1111" s="8">
        <f>IF(B1111="","",IFERROR(VLOOKUP(--B1111,'CATALOGO CECO'!$A$2:$H$550,5,FALSE),""))</f>
        <v/>
      </c>
      <c r="J1111" s="8">
        <f>IF(B1111="","",IFERROR(VLOOKUP(--B1111,'CATALOGO CECO'!$A$2:$H$550,8,FALSE),""))</f>
        <v/>
      </c>
      <c r="K1111" s="8">
        <f>IF(COUNTA(A1111:F1111)=0,"",IF(OR(LEN(A1111)&lt;&gt;7,MID(A1111,5,1)&lt;&gt;"-",ISERROR(--LEFT(A1111,4)),ISERROR(--RIGHT(A1111,2))),"ERROR: PERIODO debe ser AAAA-MM",IF(B1111="","ERROR: falta CODIGO CECO",IF(G1111="CECO NO EXISTE","ERROR: CECO no existe en el catálogo",IF(C1111="","ERROR: falta CUENTA",IF(ISERROR(--C1111),"ERROR: CUENTA debe tener solo dígitos",IF(ISERROR(FIND(LEFT(C1111,1),"567")),"ERROR: CUENTA fuera de las clases de costo",IF(NOT(ISNUMBER(E1111)),"ERROR: VALOR debe ser numérico",IF(E1111=0,"AVISO: valor cero (no se carga)",IF(J1111&lt;&gt;"ACTIVO","NO SE CARGA: CECO en estado "&amp;J1111,"OK"))))))))))</f>
        <v/>
      </c>
    </row>
    <row r="1112">
      <c r="A1112" s="5" t="n"/>
      <c r="B1112" s="6" t="n"/>
      <c r="C1112" s="5" t="n"/>
      <c r="D1112" s="6" t="n"/>
      <c r="E1112" s="7" t="n"/>
      <c r="F1112" s="6" t="n"/>
      <c r="G1112" s="8">
        <f>IF(B1112="","",IFERROR(VLOOKUP(--B1112,'CATALOGO CECO'!$A$2:$H$550,2,FALSE),"CECO NO EXISTE"))</f>
        <v/>
      </c>
      <c r="H1112" s="8">
        <f>IF(B1112="","",IFERROR(VLOOKUP(--B1112,'CATALOGO CECO'!$A$2:$H$550,3,FALSE),""))</f>
        <v/>
      </c>
      <c r="I1112" s="8">
        <f>IF(B1112="","",IFERROR(VLOOKUP(--B1112,'CATALOGO CECO'!$A$2:$H$550,5,FALSE),""))</f>
        <v/>
      </c>
      <c r="J1112" s="8">
        <f>IF(B1112="","",IFERROR(VLOOKUP(--B1112,'CATALOGO CECO'!$A$2:$H$550,8,FALSE),""))</f>
        <v/>
      </c>
      <c r="K1112" s="8">
        <f>IF(COUNTA(A1112:F1112)=0,"",IF(OR(LEN(A1112)&lt;&gt;7,MID(A1112,5,1)&lt;&gt;"-",ISERROR(--LEFT(A1112,4)),ISERROR(--RIGHT(A1112,2))),"ERROR: PERIODO debe ser AAAA-MM",IF(B1112="","ERROR: falta CODIGO CECO",IF(G1112="CECO NO EXISTE","ERROR: CECO no existe en el catálogo",IF(C1112="","ERROR: falta CUENTA",IF(ISERROR(--C1112),"ERROR: CUENTA debe tener solo dígitos",IF(ISERROR(FIND(LEFT(C1112,1),"567")),"ERROR: CUENTA fuera de las clases de costo",IF(NOT(ISNUMBER(E1112)),"ERROR: VALOR debe ser numérico",IF(E1112=0,"AVISO: valor cero (no se carga)",IF(J1112&lt;&gt;"ACTIVO","NO SE CARGA: CECO en estado "&amp;J1112,"OK"))))))))))</f>
        <v/>
      </c>
    </row>
    <row r="1113">
      <c r="A1113" s="5" t="n"/>
      <c r="B1113" s="6" t="n"/>
      <c r="C1113" s="5" t="n"/>
      <c r="D1113" s="6" t="n"/>
      <c r="E1113" s="7" t="n"/>
      <c r="F1113" s="6" t="n"/>
      <c r="G1113" s="8">
        <f>IF(B1113="","",IFERROR(VLOOKUP(--B1113,'CATALOGO CECO'!$A$2:$H$550,2,FALSE),"CECO NO EXISTE"))</f>
        <v/>
      </c>
      <c r="H1113" s="8">
        <f>IF(B1113="","",IFERROR(VLOOKUP(--B1113,'CATALOGO CECO'!$A$2:$H$550,3,FALSE),""))</f>
        <v/>
      </c>
      <c r="I1113" s="8">
        <f>IF(B1113="","",IFERROR(VLOOKUP(--B1113,'CATALOGO CECO'!$A$2:$H$550,5,FALSE),""))</f>
        <v/>
      </c>
      <c r="J1113" s="8">
        <f>IF(B1113="","",IFERROR(VLOOKUP(--B1113,'CATALOGO CECO'!$A$2:$H$550,8,FALSE),""))</f>
        <v/>
      </c>
      <c r="K1113" s="8">
        <f>IF(COUNTA(A1113:F1113)=0,"",IF(OR(LEN(A1113)&lt;&gt;7,MID(A1113,5,1)&lt;&gt;"-",ISERROR(--LEFT(A1113,4)),ISERROR(--RIGHT(A1113,2))),"ERROR: PERIODO debe ser AAAA-MM",IF(B1113="","ERROR: falta CODIGO CECO",IF(G1113="CECO NO EXISTE","ERROR: CECO no existe en el catálogo",IF(C1113="","ERROR: falta CUENTA",IF(ISERROR(--C1113),"ERROR: CUENTA debe tener solo dígitos",IF(ISERROR(FIND(LEFT(C1113,1),"567")),"ERROR: CUENTA fuera de las clases de costo",IF(NOT(ISNUMBER(E1113)),"ERROR: VALOR debe ser numérico",IF(E1113=0,"AVISO: valor cero (no se carga)",IF(J1113&lt;&gt;"ACTIVO","NO SE CARGA: CECO en estado "&amp;J1113,"OK"))))))))))</f>
        <v/>
      </c>
    </row>
    <row r="1114">
      <c r="A1114" s="5" t="n"/>
      <c r="B1114" s="6" t="n"/>
      <c r="C1114" s="5" t="n"/>
      <c r="D1114" s="6" t="n"/>
      <c r="E1114" s="7" t="n"/>
      <c r="F1114" s="6" t="n"/>
      <c r="G1114" s="8">
        <f>IF(B1114="","",IFERROR(VLOOKUP(--B1114,'CATALOGO CECO'!$A$2:$H$550,2,FALSE),"CECO NO EXISTE"))</f>
        <v/>
      </c>
      <c r="H1114" s="8">
        <f>IF(B1114="","",IFERROR(VLOOKUP(--B1114,'CATALOGO CECO'!$A$2:$H$550,3,FALSE),""))</f>
        <v/>
      </c>
      <c r="I1114" s="8">
        <f>IF(B1114="","",IFERROR(VLOOKUP(--B1114,'CATALOGO CECO'!$A$2:$H$550,5,FALSE),""))</f>
        <v/>
      </c>
      <c r="J1114" s="8">
        <f>IF(B1114="","",IFERROR(VLOOKUP(--B1114,'CATALOGO CECO'!$A$2:$H$550,8,FALSE),""))</f>
        <v/>
      </c>
      <c r="K1114" s="8">
        <f>IF(COUNTA(A1114:F1114)=0,"",IF(OR(LEN(A1114)&lt;&gt;7,MID(A1114,5,1)&lt;&gt;"-",ISERROR(--LEFT(A1114,4)),ISERROR(--RIGHT(A1114,2))),"ERROR: PERIODO debe ser AAAA-MM",IF(B1114="","ERROR: falta CODIGO CECO",IF(G1114="CECO NO EXISTE","ERROR: CECO no existe en el catálogo",IF(C1114="","ERROR: falta CUENTA",IF(ISERROR(--C1114),"ERROR: CUENTA debe tener solo dígitos",IF(ISERROR(FIND(LEFT(C1114,1),"567")),"ERROR: CUENTA fuera de las clases de costo",IF(NOT(ISNUMBER(E1114)),"ERROR: VALOR debe ser numérico",IF(E1114=0,"AVISO: valor cero (no se carga)",IF(J1114&lt;&gt;"ACTIVO","NO SE CARGA: CECO en estado "&amp;J1114,"OK"))))))))))</f>
        <v/>
      </c>
    </row>
    <row r="1115">
      <c r="A1115" s="5" t="n"/>
      <c r="B1115" s="6" t="n"/>
      <c r="C1115" s="5" t="n"/>
      <c r="D1115" s="6" t="n"/>
      <c r="E1115" s="7" t="n"/>
      <c r="F1115" s="6" t="n"/>
      <c r="G1115" s="8">
        <f>IF(B1115="","",IFERROR(VLOOKUP(--B1115,'CATALOGO CECO'!$A$2:$H$550,2,FALSE),"CECO NO EXISTE"))</f>
        <v/>
      </c>
      <c r="H1115" s="8">
        <f>IF(B1115="","",IFERROR(VLOOKUP(--B1115,'CATALOGO CECO'!$A$2:$H$550,3,FALSE),""))</f>
        <v/>
      </c>
      <c r="I1115" s="8">
        <f>IF(B1115="","",IFERROR(VLOOKUP(--B1115,'CATALOGO CECO'!$A$2:$H$550,5,FALSE),""))</f>
        <v/>
      </c>
      <c r="J1115" s="8">
        <f>IF(B1115="","",IFERROR(VLOOKUP(--B1115,'CATALOGO CECO'!$A$2:$H$550,8,FALSE),""))</f>
        <v/>
      </c>
      <c r="K1115" s="8">
        <f>IF(COUNTA(A1115:F1115)=0,"",IF(OR(LEN(A1115)&lt;&gt;7,MID(A1115,5,1)&lt;&gt;"-",ISERROR(--LEFT(A1115,4)),ISERROR(--RIGHT(A1115,2))),"ERROR: PERIODO debe ser AAAA-MM",IF(B1115="","ERROR: falta CODIGO CECO",IF(G1115="CECO NO EXISTE","ERROR: CECO no existe en el catálogo",IF(C1115="","ERROR: falta CUENTA",IF(ISERROR(--C1115),"ERROR: CUENTA debe tener solo dígitos",IF(ISERROR(FIND(LEFT(C1115,1),"567")),"ERROR: CUENTA fuera de las clases de costo",IF(NOT(ISNUMBER(E1115)),"ERROR: VALOR debe ser numérico",IF(E1115=0,"AVISO: valor cero (no se carga)",IF(J1115&lt;&gt;"ACTIVO","NO SE CARGA: CECO en estado "&amp;J1115,"OK"))))))))))</f>
        <v/>
      </c>
    </row>
    <row r="1116">
      <c r="A1116" s="5" t="n"/>
      <c r="B1116" s="6" t="n"/>
      <c r="C1116" s="5" t="n"/>
      <c r="D1116" s="6" t="n"/>
      <c r="E1116" s="7" t="n"/>
      <c r="F1116" s="6" t="n"/>
      <c r="G1116" s="8">
        <f>IF(B1116="","",IFERROR(VLOOKUP(--B1116,'CATALOGO CECO'!$A$2:$H$550,2,FALSE),"CECO NO EXISTE"))</f>
        <v/>
      </c>
      <c r="H1116" s="8">
        <f>IF(B1116="","",IFERROR(VLOOKUP(--B1116,'CATALOGO CECO'!$A$2:$H$550,3,FALSE),""))</f>
        <v/>
      </c>
      <c r="I1116" s="8">
        <f>IF(B1116="","",IFERROR(VLOOKUP(--B1116,'CATALOGO CECO'!$A$2:$H$550,5,FALSE),""))</f>
        <v/>
      </c>
      <c r="J1116" s="8">
        <f>IF(B1116="","",IFERROR(VLOOKUP(--B1116,'CATALOGO CECO'!$A$2:$H$550,8,FALSE),""))</f>
        <v/>
      </c>
      <c r="K1116" s="8">
        <f>IF(COUNTA(A1116:F1116)=0,"",IF(OR(LEN(A1116)&lt;&gt;7,MID(A1116,5,1)&lt;&gt;"-",ISERROR(--LEFT(A1116,4)),ISERROR(--RIGHT(A1116,2))),"ERROR: PERIODO debe ser AAAA-MM",IF(B1116="","ERROR: falta CODIGO CECO",IF(G1116="CECO NO EXISTE","ERROR: CECO no existe en el catálogo",IF(C1116="","ERROR: falta CUENTA",IF(ISERROR(--C1116),"ERROR: CUENTA debe tener solo dígitos",IF(ISERROR(FIND(LEFT(C1116,1),"567")),"ERROR: CUENTA fuera de las clases de costo",IF(NOT(ISNUMBER(E1116)),"ERROR: VALOR debe ser numérico",IF(E1116=0,"AVISO: valor cero (no se carga)",IF(J1116&lt;&gt;"ACTIVO","NO SE CARGA: CECO en estado "&amp;J1116,"OK"))))))))))</f>
        <v/>
      </c>
    </row>
    <row r="1117">
      <c r="A1117" s="5" t="n"/>
      <c r="B1117" s="6" t="n"/>
      <c r="C1117" s="5" t="n"/>
      <c r="D1117" s="6" t="n"/>
      <c r="E1117" s="7" t="n"/>
      <c r="F1117" s="6" t="n"/>
      <c r="G1117" s="8">
        <f>IF(B1117="","",IFERROR(VLOOKUP(--B1117,'CATALOGO CECO'!$A$2:$H$550,2,FALSE),"CECO NO EXISTE"))</f>
        <v/>
      </c>
      <c r="H1117" s="8">
        <f>IF(B1117="","",IFERROR(VLOOKUP(--B1117,'CATALOGO CECO'!$A$2:$H$550,3,FALSE),""))</f>
        <v/>
      </c>
      <c r="I1117" s="8">
        <f>IF(B1117="","",IFERROR(VLOOKUP(--B1117,'CATALOGO CECO'!$A$2:$H$550,5,FALSE),""))</f>
        <v/>
      </c>
      <c r="J1117" s="8">
        <f>IF(B1117="","",IFERROR(VLOOKUP(--B1117,'CATALOGO CECO'!$A$2:$H$550,8,FALSE),""))</f>
        <v/>
      </c>
      <c r="K1117" s="8">
        <f>IF(COUNTA(A1117:F1117)=0,"",IF(OR(LEN(A1117)&lt;&gt;7,MID(A1117,5,1)&lt;&gt;"-",ISERROR(--LEFT(A1117,4)),ISERROR(--RIGHT(A1117,2))),"ERROR: PERIODO debe ser AAAA-MM",IF(B1117="","ERROR: falta CODIGO CECO",IF(G1117="CECO NO EXISTE","ERROR: CECO no existe en el catálogo",IF(C1117="","ERROR: falta CUENTA",IF(ISERROR(--C1117),"ERROR: CUENTA debe tener solo dígitos",IF(ISERROR(FIND(LEFT(C1117,1),"567")),"ERROR: CUENTA fuera de las clases de costo",IF(NOT(ISNUMBER(E1117)),"ERROR: VALOR debe ser numérico",IF(E1117=0,"AVISO: valor cero (no se carga)",IF(J1117&lt;&gt;"ACTIVO","NO SE CARGA: CECO en estado "&amp;J1117,"OK"))))))))))</f>
        <v/>
      </c>
    </row>
    <row r="1118">
      <c r="A1118" s="5" t="n"/>
      <c r="B1118" s="6" t="n"/>
      <c r="C1118" s="5" t="n"/>
      <c r="D1118" s="6" t="n"/>
      <c r="E1118" s="7" t="n"/>
      <c r="F1118" s="6" t="n"/>
      <c r="G1118" s="8">
        <f>IF(B1118="","",IFERROR(VLOOKUP(--B1118,'CATALOGO CECO'!$A$2:$H$550,2,FALSE),"CECO NO EXISTE"))</f>
        <v/>
      </c>
      <c r="H1118" s="8">
        <f>IF(B1118="","",IFERROR(VLOOKUP(--B1118,'CATALOGO CECO'!$A$2:$H$550,3,FALSE),""))</f>
        <v/>
      </c>
      <c r="I1118" s="8">
        <f>IF(B1118="","",IFERROR(VLOOKUP(--B1118,'CATALOGO CECO'!$A$2:$H$550,5,FALSE),""))</f>
        <v/>
      </c>
      <c r="J1118" s="8">
        <f>IF(B1118="","",IFERROR(VLOOKUP(--B1118,'CATALOGO CECO'!$A$2:$H$550,8,FALSE),""))</f>
        <v/>
      </c>
      <c r="K1118" s="8">
        <f>IF(COUNTA(A1118:F1118)=0,"",IF(OR(LEN(A1118)&lt;&gt;7,MID(A1118,5,1)&lt;&gt;"-",ISERROR(--LEFT(A1118,4)),ISERROR(--RIGHT(A1118,2))),"ERROR: PERIODO debe ser AAAA-MM",IF(B1118="","ERROR: falta CODIGO CECO",IF(G1118="CECO NO EXISTE","ERROR: CECO no existe en el catálogo",IF(C1118="","ERROR: falta CUENTA",IF(ISERROR(--C1118),"ERROR: CUENTA debe tener solo dígitos",IF(ISERROR(FIND(LEFT(C1118,1),"567")),"ERROR: CUENTA fuera de las clases de costo",IF(NOT(ISNUMBER(E1118)),"ERROR: VALOR debe ser numérico",IF(E1118=0,"AVISO: valor cero (no se carga)",IF(J1118&lt;&gt;"ACTIVO","NO SE CARGA: CECO en estado "&amp;J1118,"OK"))))))))))</f>
        <v/>
      </c>
    </row>
    <row r="1119">
      <c r="A1119" s="5" t="n"/>
      <c r="B1119" s="6" t="n"/>
      <c r="C1119" s="5" t="n"/>
      <c r="D1119" s="6" t="n"/>
      <c r="E1119" s="7" t="n"/>
      <c r="F1119" s="6" t="n"/>
      <c r="G1119" s="8">
        <f>IF(B1119="","",IFERROR(VLOOKUP(--B1119,'CATALOGO CECO'!$A$2:$H$550,2,FALSE),"CECO NO EXISTE"))</f>
        <v/>
      </c>
      <c r="H1119" s="8">
        <f>IF(B1119="","",IFERROR(VLOOKUP(--B1119,'CATALOGO CECO'!$A$2:$H$550,3,FALSE),""))</f>
        <v/>
      </c>
      <c r="I1119" s="8">
        <f>IF(B1119="","",IFERROR(VLOOKUP(--B1119,'CATALOGO CECO'!$A$2:$H$550,5,FALSE),""))</f>
        <v/>
      </c>
      <c r="J1119" s="8">
        <f>IF(B1119="","",IFERROR(VLOOKUP(--B1119,'CATALOGO CECO'!$A$2:$H$550,8,FALSE),""))</f>
        <v/>
      </c>
      <c r="K1119" s="8">
        <f>IF(COUNTA(A1119:F1119)=0,"",IF(OR(LEN(A1119)&lt;&gt;7,MID(A1119,5,1)&lt;&gt;"-",ISERROR(--LEFT(A1119,4)),ISERROR(--RIGHT(A1119,2))),"ERROR: PERIODO debe ser AAAA-MM",IF(B1119="","ERROR: falta CODIGO CECO",IF(G1119="CECO NO EXISTE","ERROR: CECO no existe en el catálogo",IF(C1119="","ERROR: falta CUENTA",IF(ISERROR(--C1119),"ERROR: CUENTA debe tener solo dígitos",IF(ISERROR(FIND(LEFT(C1119,1),"567")),"ERROR: CUENTA fuera de las clases de costo",IF(NOT(ISNUMBER(E1119)),"ERROR: VALOR debe ser numérico",IF(E1119=0,"AVISO: valor cero (no se carga)",IF(J1119&lt;&gt;"ACTIVO","NO SE CARGA: CECO en estado "&amp;J1119,"OK"))))))))))</f>
        <v/>
      </c>
    </row>
    <row r="1120">
      <c r="A1120" s="5" t="n"/>
      <c r="B1120" s="6" t="n"/>
      <c r="C1120" s="5" t="n"/>
      <c r="D1120" s="6" t="n"/>
      <c r="E1120" s="7" t="n"/>
      <c r="F1120" s="6" t="n"/>
      <c r="G1120" s="8">
        <f>IF(B1120="","",IFERROR(VLOOKUP(--B1120,'CATALOGO CECO'!$A$2:$H$550,2,FALSE),"CECO NO EXISTE"))</f>
        <v/>
      </c>
      <c r="H1120" s="8">
        <f>IF(B1120="","",IFERROR(VLOOKUP(--B1120,'CATALOGO CECO'!$A$2:$H$550,3,FALSE),""))</f>
        <v/>
      </c>
      <c r="I1120" s="8">
        <f>IF(B1120="","",IFERROR(VLOOKUP(--B1120,'CATALOGO CECO'!$A$2:$H$550,5,FALSE),""))</f>
        <v/>
      </c>
      <c r="J1120" s="8">
        <f>IF(B1120="","",IFERROR(VLOOKUP(--B1120,'CATALOGO CECO'!$A$2:$H$550,8,FALSE),""))</f>
        <v/>
      </c>
      <c r="K1120" s="8">
        <f>IF(COUNTA(A1120:F1120)=0,"",IF(OR(LEN(A1120)&lt;&gt;7,MID(A1120,5,1)&lt;&gt;"-",ISERROR(--LEFT(A1120,4)),ISERROR(--RIGHT(A1120,2))),"ERROR: PERIODO debe ser AAAA-MM",IF(B1120="","ERROR: falta CODIGO CECO",IF(G1120="CECO NO EXISTE","ERROR: CECO no existe en el catálogo",IF(C1120="","ERROR: falta CUENTA",IF(ISERROR(--C1120),"ERROR: CUENTA debe tener solo dígitos",IF(ISERROR(FIND(LEFT(C1120,1),"567")),"ERROR: CUENTA fuera de las clases de costo",IF(NOT(ISNUMBER(E1120)),"ERROR: VALOR debe ser numérico",IF(E1120=0,"AVISO: valor cero (no se carga)",IF(J1120&lt;&gt;"ACTIVO","NO SE CARGA: CECO en estado "&amp;J1120,"OK"))))))))))</f>
        <v/>
      </c>
    </row>
    <row r="1121">
      <c r="A1121" s="5" t="n"/>
      <c r="B1121" s="6" t="n"/>
      <c r="C1121" s="5" t="n"/>
      <c r="D1121" s="6" t="n"/>
      <c r="E1121" s="7" t="n"/>
      <c r="F1121" s="6" t="n"/>
      <c r="G1121" s="8">
        <f>IF(B1121="","",IFERROR(VLOOKUP(--B1121,'CATALOGO CECO'!$A$2:$H$550,2,FALSE),"CECO NO EXISTE"))</f>
        <v/>
      </c>
      <c r="H1121" s="8">
        <f>IF(B1121="","",IFERROR(VLOOKUP(--B1121,'CATALOGO CECO'!$A$2:$H$550,3,FALSE),""))</f>
        <v/>
      </c>
      <c r="I1121" s="8">
        <f>IF(B1121="","",IFERROR(VLOOKUP(--B1121,'CATALOGO CECO'!$A$2:$H$550,5,FALSE),""))</f>
        <v/>
      </c>
      <c r="J1121" s="8">
        <f>IF(B1121="","",IFERROR(VLOOKUP(--B1121,'CATALOGO CECO'!$A$2:$H$550,8,FALSE),""))</f>
        <v/>
      </c>
      <c r="K1121" s="8">
        <f>IF(COUNTA(A1121:F1121)=0,"",IF(OR(LEN(A1121)&lt;&gt;7,MID(A1121,5,1)&lt;&gt;"-",ISERROR(--LEFT(A1121,4)),ISERROR(--RIGHT(A1121,2))),"ERROR: PERIODO debe ser AAAA-MM",IF(B1121="","ERROR: falta CODIGO CECO",IF(G1121="CECO NO EXISTE","ERROR: CECO no existe en el catálogo",IF(C1121="","ERROR: falta CUENTA",IF(ISERROR(--C1121),"ERROR: CUENTA debe tener solo dígitos",IF(ISERROR(FIND(LEFT(C1121,1),"567")),"ERROR: CUENTA fuera de las clases de costo",IF(NOT(ISNUMBER(E1121)),"ERROR: VALOR debe ser numérico",IF(E1121=0,"AVISO: valor cero (no se carga)",IF(J1121&lt;&gt;"ACTIVO","NO SE CARGA: CECO en estado "&amp;J1121,"OK"))))))))))</f>
        <v/>
      </c>
    </row>
    <row r="1122">
      <c r="A1122" s="5" t="n"/>
      <c r="B1122" s="6" t="n"/>
      <c r="C1122" s="5" t="n"/>
      <c r="D1122" s="6" t="n"/>
      <c r="E1122" s="7" t="n"/>
      <c r="F1122" s="6" t="n"/>
      <c r="G1122" s="8">
        <f>IF(B1122="","",IFERROR(VLOOKUP(--B1122,'CATALOGO CECO'!$A$2:$H$550,2,FALSE),"CECO NO EXISTE"))</f>
        <v/>
      </c>
      <c r="H1122" s="8">
        <f>IF(B1122="","",IFERROR(VLOOKUP(--B1122,'CATALOGO CECO'!$A$2:$H$550,3,FALSE),""))</f>
        <v/>
      </c>
      <c r="I1122" s="8">
        <f>IF(B1122="","",IFERROR(VLOOKUP(--B1122,'CATALOGO CECO'!$A$2:$H$550,5,FALSE),""))</f>
        <v/>
      </c>
      <c r="J1122" s="8">
        <f>IF(B1122="","",IFERROR(VLOOKUP(--B1122,'CATALOGO CECO'!$A$2:$H$550,8,FALSE),""))</f>
        <v/>
      </c>
      <c r="K1122" s="8">
        <f>IF(COUNTA(A1122:F1122)=0,"",IF(OR(LEN(A1122)&lt;&gt;7,MID(A1122,5,1)&lt;&gt;"-",ISERROR(--LEFT(A1122,4)),ISERROR(--RIGHT(A1122,2))),"ERROR: PERIODO debe ser AAAA-MM",IF(B1122="","ERROR: falta CODIGO CECO",IF(G1122="CECO NO EXISTE","ERROR: CECO no existe en el catálogo",IF(C1122="","ERROR: falta CUENTA",IF(ISERROR(--C1122),"ERROR: CUENTA debe tener solo dígitos",IF(ISERROR(FIND(LEFT(C1122,1),"567")),"ERROR: CUENTA fuera de las clases de costo",IF(NOT(ISNUMBER(E1122)),"ERROR: VALOR debe ser numérico",IF(E1122=0,"AVISO: valor cero (no se carga)",IF(J1122&lt;&gt;"ACTIVO","NO SE CARGA: CECO en estado "&amp;J1122,"OK"))))))))))</f>
        <v/>
      </c>
    </row>
    <row r="1123">
      <c r="A1123" s="5" t="n"/>
      <c r="B1123" s="6" t="n"/>
      <c r="C1123" s="5" t="n"/>
      <c r="D1123" s="6" t="n"/>
      <c r="E1123" s="7" t="n"/>
      <c r="F1123" s="6" t="n"/>
      <c r="G1123" s="8">
        <f>IF(B1123="","",IFERROR(VLOOKUP(--B1123,'CATALOGO CECO'!$A$2:$H$550,2,FALSE),"CECO NO EXISTE"))</f>
        <v/>
      </c>
      <c r="H1123" s="8">
        <f>IF(B1123="","",IFERROR(VLOOKUP(--B1123,'CATALOGO CECO'!$A$2:$H$550,3,FALSE),""))</f>
        <v/>
      </c>
      <c r="I1123" s="8">
        <f>IF(B1123="","",IFERROR(VLOOKUP(--B1123,'CATALOGO CECO'!$A$2:$H$550,5,FALSE),""))</f>
        <v/>
      </c>
      <c r="J1123" s="8">
        <f>IF(B1123="","",IFERROR(VLOOKUP(--B1123,'CATALOGO CECO'!$A$2:$H$550,8,FALSE),""))</f>
        <v/>
      </c>
      <c r="K1123" s="8">
        <f>IF(COUNTA(A1123:F1123)=0,"",IF(OR(LEN(A1123)&lt;&gt;7,MID(A1123,5,1)&lt;&gt;"-",ISERROR(--LEFT(A1123,4)),ISERROR(--RIGHT(A1123,2))),"ERROR: PERIODO debe ser AAAA-MM",IF(B1123="","ERROR: falta CODIGO CECO",IF(G1123="CECO NO EXISTE","ERROR: CECO no existe en el catálogo",IF(C1123="","ERROR: falta CUENTA",IF(ISERROR(--C1123),"ERROR: CUENTA debe tener solo dígitos",IF(ISERROR(FIND(LEFT(C1123,1),"567")),"ERROR: CUENTA fuera de las clases de costo",IF(NOT(ISNUMBER(E1123)),"ERROR: VALOR debe ser numérico",IF(E1123=0,"AVISO: valor cero (no se carga)",IF(J1123&lt;&gt;"ACTIVO","NO SE CARGA: CECO en estado "&amp;J1123,"OK"))))))))))</f>
        <v/>
      </c>
    </row>
    <row r="1124">
      <c r="A1124" s="5" t="n"/>
      <c r="B1124" s="6" t="n"/>
      <c r="C1124" s="5" t="n"/>
      <c r="D1124" s="6" t="n"/>
      <c r="E1124" s="7" t="n"/>
      <c r="F1124" s="6" t="n"/>
      <c r="G1124" s="8">
        <f>IF(B1124="","",IFERROR(VLOOKUP(--B1124,'CATALOGO CECO'!$A$2:$H$550,2,FALSE),"CECO NO EXISTE"))</f>
        <v/>
      </c>
      <c r="H1124" s="8">
        <f>IF(B1124="","",IFERROR(VLOOKUP(--B1124,'CATALOGO CECO'!$A$2:$H$550,3,FALSE),""))</f>
        <v/>
      </c>
      <c r="I1124" s="8">
        <f>IF(B1124="","",IFERROR(VLOOKUP(--B1124,'CATALOGO CECO'!$A$2:$H$550,5,FALSE),""))</f>
        <v/>
      </c>
      <c r="J1124" s="8">
        <f>IF(B1124="","",IFERROR(VLOOKUP(--B1124,'CATALOGO CECO'!$A$2:$H$550,8,FALSE),""))</f>
        <v/>
      </c>
      <c r="K1124" s="8">
        <f>IF(COUNTA(A1124:F1124)=0,"",IF(OR(LEN(A1124)&lt;&gt;7,MID(A1124,5,1)&lt;&gt;"-",ISERROR(--LEFT(A1124,4)),ISERROR(--RIGHT(A1124,2))),"ERROR: PERIODO debe ser AAAA-MM",IF(B1124="","ERROR: falta CODIGO CECO",IF(G1124="CECO NO EXISTE","ERROR: CECO no existe en el catálogo",IF(C1124="","ERROR: falta CUENTA",IF(ISERROR(--C1124),"ERROR: CUENTA debe tener solo dígitos",IF(ISERROR(FIND(LEFT(C1124,1),"567")),"ERROR: CUENTA fuera de las clases de costo",IF(NOT(ISNUMBER(E1124)),"ERROR: VALOR debe ser numérico",IF(E1124=0,"AVISO: valor cero (no se carga)",IF(J1124&lt;&gt;"ACTIVO","NO SE CARGA: CECO en estado "&amp;J1124,"OK"))))))))))</f>
        <v/>
      </c>
    </row>
    <row r="1125">
      <c r="A1125" s="5" t="n"/>
      <c r="B1125" s="6" t="n"/>
      <c r="C1125" s="5" t="n"/>
      <c r="D1125" s="6" t="n"/>
      <c r="E1125" s="7" t="n"/>
      <c r="F1125" s="6" t="n"/>
      <c r="G1125" s="8">
        <f>IF(B1125="","",IFERROR(VLOOKUP(--B1125,'CATALOGO CECO'!$A$2:$H$550,2,FALSE),"CECO NO EXISTE"))</f>
        <v/>
      </c>
      <c r="H1125" s="8">
        <f>IF(B1125="","",IFERROR(VLOOKUP(--B1125,'CATALOGO CECO'!$A$2:$H$550,3,FALSE),""))</f>
        <v/>
      </c>
      <c r="I1125" s="8">
        <f>IF(B1125="","",IFERROR(VLOOKUP(--B1125,'CATALOGO CECO'!$A$2:$H$550,5,FALSE),""))</f>
        <v/>
      </c>
      <c r="J1125" s="8">
        <f>IF(B1125="","",IFERROR(VLOOKUP(--B1125,'CATALOGO CECO'!$A$2:$H$550,8,FALSE),""))</f>
        <v/>
      </c>
      <c r="K1125" s="8">
        <f>IF(COUNTA(A1125:F1125)=0,"",IF(OR(LEN(A1125)&lt;&gt;7,MID(A1125,5,1)&lt;&gt;"-",ISERROR(--LEFT(A1125,4)),ISERROR(--RIGHT(A1125,2))),"ERROR: PERIODO debe ser AAAA-MM",IF(B1125="","ERROR: falta CODIGO CECO",IF(G1125="CECO NO EXISTE","ERROR: CECO no existe en el catálogo",IF(C1125="","ERROR: falta CUENTA",IF(ISERROR(--C1125),"ERROR: CUENTA debe tener solo dígitos",IF(ISERROR(FIND(LEFT(C1125,1),"567")),"ERROR: CUENTA fuera de las clases de costo",IF(NOT(ISNUMBER(E1125)),"ERROR: VALOR debe ser numérico",IF(E1125=0,"AVISO: valor cero (no se carga)",IF(J1125&lt;&gt;"ACTIVO","NO SE CARGA: CECO en estado "&amp;J1125,"OK"))))))))))</f>
        <v/>
      </c>
    </row>
    <row r="1126">
      <c r="A1126" s="5" t="n"/>
      <c r="B1126" s="6" t="n"/>
      <c r="C1126" s="5" t="n"/>
      <c r="D1126" s="6" t="n"/>
      <c r="E1126" s="7" t="n"/>
      <c r="F1126" s="6" t="n"/>
      <c r="G1126" s="8">
        <f>IF(B1126="","",IFERROR(VLOOKUP(--B1126,'CATALOGO CECO'!$A$2:$H$550,2,FALSE),"CECO NO EXISTE"))</f>
        <v/>
      </c>
      <c r="H1126" s="8">
        <f>IF(B1126="","",IFERROR(VLOOKUP(--B1126,'CATALOGO CECO'!$A$2:$H$550,3,FALSE),""))</f>
        <v/>
      </c>
      <c r="I1126" s="8">
        <f>IF(B1126="","",IFERROR(VLOOKUP(--B1126,'CATALOGO CECO'!$A$2:$H$550,5,FALSE),""))</f>
        <v/>
      </c>
      <c r="J1126" s="8">
        <f>IF(B1126="","",IFERROR(VLOOKUP(--B1126,'CATALOGO CECO'!$A$2:$H$550,8,FALSE),""))</f>
        <v/>
      </c>
      <c r="K1126" s="8">
        <f>IF(COUNTA(A1126:F1126)=0,"",IF(OR(LEN(A1126)&lt;&gt;7,MID(A1126,5,1)&lt;&gt;"-",ISERROR(--LEFT(A1126,4)),ISERROR(--RIGHT(A1126,2))),"ERROR: PERIODO debe ser AAAA-MM",IF(B1126="","ERROR: falta CODIGO CECO",IF(G1126="CECO NO EXISTE","ERROR: CECO no existe en el catálogo",IF(C1126="","ERROR: falta CUENTA",IF(ISERROR(--C1126),"ERROR: CUENTA debe tener solo dígitos",IF(ISERROR(FIND(LEFT(C1126,1),"567")),"ERROR: CUENTA fuera de las clases de costo",IF(NOT(ISNUMBER(E1126)),"ERROR: VALOR debe ser numérico",IF(E1126=0,"AVISO: valor cero (no se carga)",IF(J1126&lt;&gt;"ACTIVO","NO SE CARGA: CECO en estado "&amp;J1126,"OK"))))))))))</f>
        <v/>
      </c>
    </row>
    <row r="1127">
      <c r="A1127" s="5" t="n"/>
      <c r="B1127" s="6" t="n"/>
      <c r="C1127" s="5" t="n"/>
      <c r="D1127" s="6" t="n"/>
      <c r="E1127" s="7" t="n"/>
      <c r="F1127" s="6" t="n"/>
      <c r="G1127" s="8">
        <f>IF(B1127="","",IFERROR(VLOOKUP(--B1127,'CATALOGO CECO'!$A$2:$H$550,2,FALSE),"CECO NO EXISTE"))</f>
        <v/>
      </c>
      <c r="H1127" s="8">
        <f>IF(B1127="","",IFERROR(VLOOKUP(--B1127,'CATALOGO CECO'!$A$2:$H$550,3,FALSE),""))</f>
        <v/>
      </c>
      <c r="I1127" s="8">
        <f>IF(B1127="","",IFERROR(VLOOKUP(--B1127,'CATALOGO CECO'!$A$2:$H$550,5,FALSE),""))</f>
        <v/>
      </c>
      <c r="J1127" s="8">
        <f>IF(B1127="","",IFERROR(VLOOKUP(--B1127,'CATALOGO CECO'!$A$2:$H$550,8,FALSE),""))</f>
        <v/>
      </c>
      <c r="K1127" s="8">
        <f>IF(COUNTA(A1127:F1127)=0,"",IF(OR(LEN(A1127)&lt;&gt;7,MID(A1127,5,1)&lt;&gt;"-",ISERROR(--LEFT(A1127,4)),ISERROR(--RIGHT(A1127,2))),"ERROR: PERIODO debe ser AAAA-MM",IF(B1127="","ERROR: falta CODIGO CECO",IF(G1127="CECO NO EXISTE","ERROR: CECO no existe en el catálogo",IF(C1127="","ERROR: falta CUENTA",IF(ISERROR(--C1127),"ERROR: CUENTA debe tener solo dígitos",IF(ISERROR(FIND(LEFT(C1127,1),"567")),"ERROR: CUENTA fuera de las clases de costo",IF(NOT(ISNUMBER(E1127)),"ERROR: VALOR debe ser numérico",IF(E1127=0,"AVISO: valor cero (no se carga)",IF(J1127&lt;&gt;"ACTIVO","NO SE CARGA: CECO en estado "&amp;J1127,"OK"))))))))))</f>
        <v/>
      </c>
    </row>
    <row r="1128">
      <c r="A1128" s="5" t="n"/>
      <c r="B1128" s="6" t="n"/>
      <c r="C1128" s="5" t="n"/>
      <c r="D1128" s="6" t="n"/>
      <c r="E1128" s="7" t="n"/>
      <c r="F1128" s="6" t="n"/>
      <c r="G1128" s="8">
        <f>IF(B1128="","",IFERROR(VLOOKUP(--B1128,'CATALOGO CECO'!$A$2:$H$550,2,FALSE),"CECO NO EXISTE"))</f>
        <v/>
      </c>
      <c r="H1128" s="8">
        <f>IF(B1128="","",IFERROR(VLOOKUP(--B1128,'CATALOGO CECO'!$A$2:$H$550,3,FALSE),""))</f>
        <v/>
      </c>
      <c r="I1128" s="8">
        <f>IF(B1128="","",IFERROR(VLOOKUP(--B1128,'CATALOGO CECO'!$A$2:$H$550,5,FALSE),""))</f>
        <v/>
      </c>
      <c r="J1128" s="8">
        <f>IF(B1128="","",IFERROR(VLOOKUP(--B1128,'CATALOGO CECO'!$A$2:$H$550,8,FALSE),""))</f>
        <v/>
      </c>
      <c r="K1128" s="8">
        <f>IF(COUNTA(A1128:F1128)=0,"",IF(OR(LEN(A1128)&lt;&gt;7,MID(A1128,5,1)&lt;&gt;"-",ISERROR(--LEFT(A1128,4)),ISERROR(--RIGHT(A1128,2))),"ERROR: PERIODO debe ser AAAA-MM",IF(B1128="","ERROR: falta CODIGO CECO",IF(G1128="CECO NO EXISTE","ERROR: CECO no existe en el catálogo",IF(C1128="","ERROR: falta CUENTA",IF(ISERROR(--C1128),"ERROR: CUENTA debe tener solo dígitos",IF(ISERROR(FIND(LEFT(C1128,1),"567")),"ERROR: CUENTA fuera de las clases de costo",IF(NOT(ISNUMBER(E1128)),"ERROR: VALOR debe ser numérico",IF(E1128=0,"AVISO: valor cero (no se carga)",IF(J1128&lt;&gt;"ACTIVO","NO SE CARGA: CECO en estado "&amp;J1128,"OK"))))))))))</f>
        <v/>
      </c>
    </row>
    <row r="1129">
      <c r="A1129" s="5" t="n"/>
      <c r="B1129" s="6" t="n"/>
      <c r="C1129" s="5" t="n"/>
      <c r="D1129" s="6" t="n"/>
      <c r="E1129" s="7" t="n"/>
      <c r="F1129" s="6" t="n"/>
      <c r="G1129" s="8">
        <f>IF(B1129="","",IFERROR(VLOOKUP(--B1129,'CATALOGO CECO'!$A$2:$H$550,2,FALSE),"CECO NO EXISTE"))</f>
        <v/>
      </c>
      <c r="H1129" s="8">
        <f>IF(B1129="","",IFERROR(VLOOKUP(--B1129,'CATALOGO CECO'!$A$2:$H$550,3,FALSE),""))</f>
        <v/>
      </c>
      <c r="I1129" s="8">
        <f>IF(B1129="","",IFERROR(VLOOKUP(--B1129,'CATALOGO CECO'!$A$2:$H$550,5,FALSE),""))</f>
        <v/>
      </c>
      <c r="J1129" s="8">
        <f>IF(B1129="","",IFERROR(VLOOKUP(--B1129,'CATALOGO CECO'!$A$2:$H$550,8,FALSE),""))</f>
        <v/>
      </c>
      <c r="K1129" s="8">
        <f>IF(COUNTA(A1129:F1129)=0,"",IF(OR(LEN(A1129)&lt;&gt;7,MID(A1129,5,1)&lt;&gt;"-",ISERROR(--LEFT(A1129,4)),ISERROR(--RIGHT(A1129,2))),"ERROR: PERIODO debe ser AAAA-MM",IF(B1129="","ERROR: falta CODIGO CECO",IF(G1129="CECO NO EXISTE","ERROR: CECO no existe en el catálogo",IF(C1129="","ERROR: falta CUENTA",IF(ISERROR(--C1129),"ERROR: CUENTA debe tener solo dígitos",IF(ISERROR(FIND(LEFT(C1129,1),"567")),"ERROR: CUENTA fuera de las clases de costo",IF(NOT(ISNUMBER(E1129)),"ERROR: VALOR debe ser numérico",IF(E1129=0,"AVISO: valor cero (no se carga)",IF(J1129&lt;&gt;"ACTIVO","NO SE CARGA: CECO en estado "&amp;J1129,"OK"))))))))))</f>
        <v/>
      </c>
    </row>
    <row r="1130">
      <c r="A1130" s="5" t="n"/>
      <c r="B1130" s="6" t="n"/>
      <c r="C1130" s="5" t="n"/>
      <c r="D1130" s="6" t="n"/>
      <c r="E1130" s="7" t="n"/>
      <c r="F1130" s="6" t="n"/>
      <c r="G1130" s="8">
        <f>IF(B1130="","",IFERROR(VLOOKUP(--B1130,'CATALOGO CECO'!$A$2:$H$550,2,FALSE),"CECO NO EXISTE"))</f>
        <v/>
      </c>
      <c r="H1130" s="8">
        <f>IF(B1130="","",IFERROR(VLOOKUP(--B1130,'CATALOGO CECO'!$A$2:$H$550,3,FALSE),""))</f>
        <v/>
      </c>
      <c r="I1130" s="8">
        <f>IF(B1130="","",IFERROR(VLOOKUP(--B1130,'CATALOGO CECO'!$A$2:$H$550,5,FALSE),""))</f>
        <v/>
      </c>
      <c r="J1130" s="8">
        <f>IF(B1130="","",IFERROR(VLOOKUP(--B1130,'CATALOGO CECO'!$A$2:$H$550,8,FALSE),""))</f>
        <v/>
      </c>
      <c r="K1130" s="8">
        <f>IF(COUNTA(A1130:F1130)=0,"",IF(OR(LEN(A1130)&lt;&gt;7,MID(A1130,5,1)&lt;&gt;"-",ISERROR(--LEFT(A1130,4)),ISERROR(--RIGHT(A1130,2))),"ERROR: PERIODO debe ser AAAA-MM",IF(B1130="","ERROR: falta CODIGO CECO",IF(G1130="CECO NO EXISTE","ERROR: CECO no existe en el catálogo",IF(C1130="","ERROR: falta CUENTA",IF(ISERROR(--C1130),"ERROR: CUENTA debe tener solo dígitos",IF(ISERROR(FIND(LEFT(C1130,1),"567")),"ERROR: CUENTA fuera de las clases de costo",IF(NOT(ISNUMBER(E1130)),"ERROR: VALOR debe ser numérico",IF(E1130=0,"AVISO: valor cero (no se carga)",IF(J1130&lt;&gt;"ACTIVO","NO SE CARGA: CECO en estado "&amp;J1130,"OK"))))))))))</f>
        <v/>
      </c>
    </row>
    <row r="1131">
      <c r="A1131" s="5" t="n"/>
      <c r="B1131" s="6" t="n"/>
      <c r="C1131" s="5" t="n"/>
      <c r="D1131" s="6" t="n"/>
      <c r="E1131" s="7" t="n"/>
      <c r="F1131" s="6" t="n"/>
      <c r="G1131" s="8">
        <f>IF(B1131="","",IFERROR(VLOOKUP(--B1131,'CATALOGO CECO'!$A$2:$H$550,2,FALSE),"CECO NO EXISTE"))</f>
        <v/>
      </c>
      <c r="H1131" s="8">
        <f>IF(B1131="","",IFERROR(VLOOKUP(--B1131,'CATALOGO CECO'!$A$2:$H$550,3,FALSE),""))</f>
        <v/>
      </c>
      <c r="I1131" s="8">
        <f>IF(B1131="","",IFERROR(VLOOKUP(--B1131,'CATALOGO CECO'!$A$2:$H$550,5,FALSE),""))</f>
        <v/>
      </c>
      <c r="J1131" s="8">
        <f>IF(B1131="","",IFERROR(VLOOKUP(--B1131,'CATALOGO CECO'!$A$2:$H$550,8,FALSE),""))</f>
        <v/>
      </c>
      <c r="K1131" s="8">
        <f>IF(COUNTA(A1131:F1131)=0,"",IF(OR(LEN(A1131)&lt;&gt;7,MID(A1131,5,1)&lt;&gt;"-",ISERROR(--LEFT(A1131,4)),ISERROR(--RIGHT(A1131,2))),"ERROR: PERIODO debe ser AAAA-MM",IF(B1131="","ERROR: falta CODIGO CECO",IF(G1131="CECO NO EXISTE","ERROR: CECO no existe en el catálogo",IF(C1131="","ERROR: falta CUENTA",IF(ISERROR(--C1131),"ERROR: CUENTA debe tener solo dígitos",IF(ISERROR(FIND(LEFT(C1131,1),"567")),"ERROR: CUENTA fuera de las clases de costo",IF(NOT(ISNUMBER(E1131)),"ERROR: VALOR debe ser numérico",IF(E1131=0,"AVISO: valor cero (no se carga)",IF(J1131&lt;&gt;"ACTIVO","NO SE CARGA: CECO en estado "&amp;J1131,"OK"))))))))))</f>
        <v/>
      </c>
    </row>
    <row r="1132">
      <c r="A1132" s="5" t="n"/>
      <c r="B1132" s="6" t="n"/>
      <c r="C1132" s="5" t="n"/>
      <c r="D1132" s="6" t="n"/>
      <c r="E1132" s="7" t="n"/>
      <c r="F1132" s="6" t="n"/>
      <c r="G1132" s="8">
        <f>IF(B1132="","",IFERROR(VLOOKUP(--B1132,'CATALOGO CECO'!$A$2:$H$550,2,FALSE),"CECO NO EXISTE"))</f>
        <v/>
      </c>
      <c r="H1132" s="8">
        <f>IF(B1132="","",IFERROR(VLOOKUP(--B1132,'CATALOGO CECO'!$A$2:$H$550,3,FALSE),""))</f>
        <v/>
      </c>
      <c r="I1132" s="8">
        <f>IF(B1132="","",IFERROR(VLOOKUP(--B1132,'CATALOGO CECO'!$A$2:$H$550,5,FALSE),""))</f>
        <v/>
      </c>
      <c r="J1132" s="8">
        <f>IF(B1132="","",IFERROR(VLOOKUP(--B1132,'CATALOGO CECO'!$A$2:$H$550,8,FALSE),""))</f>
        <v/>
      </c>
      <c r="K1132" s="8">
        <f>IF(COUNTA(A1132:F1132)=0,"",IF(OR(LEN(A1132)&lt;&gt;7,MID(A1132,5,1)&lt;&gt;"-",ISERROR(--LEFT(A1132,4)),ISERROR(--RIGHT(A1132,2))),"ERROR: PERIODO debe ser AAAA-MM",IF(B1132="","ERROR: falta CODIGO CECO",IF(G1132="CECO NO EXISTE","ERROR: CECO no existe en el catálogo",IF(C1132="","ERROR: falta CUENTA",IF(ISERROR(--C1132),"ERROR: CUENTA debe tener solo dígitos",IF(ISERROR(FIND(LEFT(C1132,1),"567")),"ERROR: CUENTA fuera de las clases de costo",IF(NOT(ISNUMBER(E1132)),"ERROR: VALOR debe ser numérico",IF(E1132=0,"AVISO: valor cero (no se carga)",IF(J1132&lt;&gt;"ACTIVO","NO SE CARGA: CECO en estado "&amp;J1132,"OK"))))))))))</f>
        <v/>
      </c>
    </row>
    <row r="1133">
      <c r="A1133" s="5" t="n"/>
      <c r="B1133" s="6" t="n"/>
      <c r="C1133" s="5" t="n"/>
      <c r="D1133" s="6" t="n"/>
      <c r="E1133" s="7" t="n"/>
      <c r="F1133" s="6" t="n"/>
      <c r="G1133" s="8">
        <f>IF(B1133="","",IFERROR(VLOOKUP(--B1133,'CATALOGO CECO'!$A$2:$H$550,2,FALSE),"CECO NO EXISTE"))</f>
        <v/>
      </c>
      <c r="H1133" s="8">
        <f>IF(B1133="","",IFERROR(VLOOKUP(--B1133,'CATALOGO CECO'!$A$2:$H$550,3,FALSE),""))</f>
        <v/>
      </c>
      <c r="I1133" s="8">
        <f>IF(B1133="","",IFERROR(VLOOKUP(--B1133,'CATALOGO CECO'!$A$2:$H$550,5,FALSE),""))</f>
        <v/>
      </c>
      <c r="J1133" s="8">
        <f>IF(B1133="","",IFERROR(VLOOKUP(--B1133,'CATALOGO CECO'!$A$2:$H$550,8,FALSE),""))</f>
        <v/>
      </c>
      <c r="K1133" s="8">
        <f>IF(COUNTA(A1133:F1133)=0,"",IF(OR(LEN(A1133)&lt;&gt;7,MID(A1133,5,1)&lt;&gt;"-",ISERROR(--LEFT(A1133,4)),ISERROR(--RIGHT(A1133,2))),"ERROR: PERIODO debe ser AAAA-MM",IF(B1133="","ERROR: falta CODIGO CECO",IF(G1133="CECO NO EXISTE","ERROR: CECO no existe en el catálogo",IF(C1133="","ERROR: falta CUENTA",IF(ISERROR(--C1133),"ERROR: CUENTA debe tener solo dígitos",IF(ISERROR(FIND(LEFT(C1133,1),"567")),"ERROR: CUENTA fuera de las clases de costo",IF(NOT(ISNUMBER(E1133)),"ERROR: VALOR debe ser numérico",IF(E1133=0,"AVISO: valor cero (no se carga)",IF(J1133&lt;&gt;"ACTIVO","NO SE CARGA: CECO en estado "&amp;J1133,"OK"))))))))))</f>
        <v/>
      </c>
    </row>
    <row r="1134">
      <c r="A1134" s="5" t="n"/>
      <c r="B1134" s="6" t="n"/>
      <c r="C1134" s="5" t="n"/>
      <c r="D1134" s="6" t="n"/>
      <c r="E1134" s="7" t="n"/>
      <c r="F1134" s="6" t="n"/>
      <c r="G1134" s="8">
        <f>IF(B1134="","",IFERROR(VLOOKUP(--B1134,'CATALOGO CECO'!$A$2:$H$550,2,FALSE),"CECO NO EXISTE"))</f>
        <v/>
      </c>
      <c r="H1134" s="8">
        <f>IF(B1134="","",IFERROR(VLOOKUP(--B1134,'CATALOGO CECO'!$A$2:$H$550,3,FALSE),""))</f>
        <v/>
      </c>
      <c r="I1134" s="8">
        <f>IF(B1134="","",IFERROR(VLOOKUP(--B1134,'CATALOGO CECO'!$A$2:$H$550,5,FALSE),""))</f>
        <v/>
      </c>
      <c r="J1134" s="8">
        <f>IF(B1134="","",IFERROR(VLOOKUP(--B1134,'CATALOGO CECO'!$A$2:$H$550,8,FALSE),""))</f>
        <v/>
      </c>
      <c r="K1134" s="8">
        <f>IF(COUNTA(A1134:F1134)=0,"",IF(OR(LEN(A1134)&lt;&gt;7,MID(A1134,5,1)&lt;&gt;"-",ISERROR(--LEFT(A1134,4)),ISERROR(--RIGHT(A1134,2))),"ERROR: PERIODO debe ser AAAA-MM",IF(B1134="","ERROR: falta CODIGO CECO",IF(G1134="CECO NO EXISTE","ERROR: CECO no existe en el catálogo",IF(C1134="","ERROR: falta CUENTA",IF(ISERROR(--C1134),"ERROR: CUENTA debe tener solo dígitos",IF(ISERROR(FIND(LEFT(C1134,1),"567")),"ERROR: CUENTA fuera de las clases de costo",IF(NOT(ISNUMBER(E1134)),"ERROR: VALOR debe ser numérico",IF(E1134=0,"AVISO: valor cero (no se carga)",IF(J1134&lt;&gt;"ACTIVO","NO SE CARGA: CECO en estado "&amp;J1134,"OK"))))))))))</f>
        <v/>
      </c>
    </row>
    <row r="1135">
      <c r="A1135" s="5" t="n"/>
      <c r="B1135" s="6" t="n"/>
      <c r="C1135" s="5" t="n"/>
      <c r="D1135" s="6" t="n"/>
      <c r="E1135" s="7" t="n"/>
      <c r="F1135" s="6" t="n"/>
      <c r="G1135" s="8">
        <f>IF(B1135="","",IFERROR(VLOOKUP(--B1135,'CATALOGO CECO'!$A$2:$H$550,2,FALSE),"CECO NO EXISTE"))</f>
        <v/>
      </c>
      <c r="H1135" s="8">
        <f>IF(B1135="","",IFERROR(VLOOKUP(--B1135,'CATALOGO CECO'!$A$2:$H$550,3,FALSE),""))</f>
        <v/>
      </c>
      <c r="I1135" s="8">
        <f>IF(B1135="","",IFERROR(VLOOKUP(--B1135,'CATALOGO CECO'!$A$2:$H$550,5,FALSE),""))</f>
        <v/>
      </c>
      <c r="J1135" s="8">
        <f>IF(B1135="","",IFERROR(VLOOKUP(--B1135,'CATALOGO CECO'!$A$2:$H$550,8,FALSE),""))</f>
        <v/>
      </c>
      <c r="K1135" s="8">
        <f>IF(COUNTA(A1135:F1135)=0,"",IF(OR(LEN(A1135)&lt;&gt;7,MID(A1135,5,1)&lt;&gt;"-",ISERROR(--LEFT(A1135,4)),ISERROR(--RIGHT(A1135,2))),"ERROR: PERIODO debe ser AAAA-MM",IF(B1135="","ERROR: falta CODIGO CECO",IF(G1135="CECO NO EXISTE","ERROR: CECO no existe en el catálogo",IF(C1135="","ERROR: falta CUENTA",IF(ISERROR(--C1135),"ERROR: CUENTA debe tener solo dígitos",IF(ISERROR(FIND(LEFT(C1135,1),"567")),"ERROR: CUENTA fuera de las clases de costo",IF(NOT(ISNUMBER(E1135)),"ERROR: VALOR debe ser numérico",IF(E1135=0,"AVISO: valor cero (no se carga)",IF(J1135&lt;&gt;"ACTIVO","NO SE CARGA: CECO en estado "&amp;J1135,"OK"))))))))))</f>
        <v/>
      </c>
    </row>
    <row r="1136">
      <c r="A1136" s="5" t="n"/>
      <c r="B1136" s="6" t="n"/>
      <c r="C1136" s="5" t="n"/>
      <c r="D1136" s="6" t="n"/>
      <c r="E1136" s="7" t="n"/>
      <c r="F1136" s="6" t="n"/>
      <c r="G1136" s="8">
        <f>IF(B1136="","",IFERROR(VLOOKUP(--B1136,'CATALOGO CECO'!$A$2:$H$550,2,FALSE),"CECO NO EXISTE"))</f>
        <v/>
      </c>
      <c r="H1136" s="8">
        <f>IF(B1136="","",IFERROR(VLOOKUP(--B1136,'CATALOGO CECO'!$A$2:$H$550,3,FALSE),""))</f>
        <v/>
      </c>
      <c r="I1136" s="8">
        <f>IF(B1136="","",IFERROR(VLOOKUP(--B1136,'CATALOGO CECO'!$A$2:$H$550,5,FALSE),""))</f>
        <v/>
      </c>
      <c r="J1136" s="8">
        <f>IF(B1136="","",IFERROR(VLOOKUP(--B1136,'CATALOGO CECO'!$A$2:$H$550,8,FALSE),""))</f>
        <v/>
      </c>
      <c r="K1136" s="8">
        <f>IF(COUNTA(A1136:F1136)=0,"",IF(OR(LEN(A1136)&lt;&gt;7,MID(A1136,5,1)&lt;&gt;"-",ISERROR(--LEFT(A1136,4)),ISERROR(--RIGHT(A1136,2))),"ERROR: PERIODO debe ser AAAA-MM",IF(B1136="","ERROR: falta CODIGO CECO",IF(G1136="CECO NO EXISTE","ERROR: CECO no existe en el catálogo",IF(C1136="","ERROR: falta CUENTA",IF(ISERROR(--C1136),"ERROR: CUENTA debe tener solo dígitos",IF(ISERROR(FIND(LEFT(C1136,1),"567")),"ERROR: CUENTA fuera de las clases de costo",IF(NOT(ISNUMBER(E1136)),"ERROR: VALOR debe ser numérico",IF(E1136=0,"AVISO: valor cero (no se carga)",IF(J1136&lt;&gt;"ACTIVO","NO SE CARGA: CECO en estado "&amp;J1136,"OK"))))))))))</f>
        <v/>
      </c>
    </row>
    <row r="1137">
      <c r="A1137" s="5" t="n"/>
      <c r="B1137" s="6" t="n"/>
      <c r="C1137" s="5" t="n"/>
      <c r="D1137" s="6" t="n"/>
      <c r="E1137" s="7" t="n"/>
      <c r="F1137" s="6" t="n"/>
      <c r="G1137" s="8">
        <f>IF(B1137="","",IFERROR(VLOOKUP(--B1137,'CATALOGO CECO'!$A$2:$H$550,2,FALSE),"CECO NO EXISTE"))</f>
        <v/>
      </c>
      <c r="H1137" s="8">
        <f>IF(B1137="","",IFERROR(VLOOKUP(--B1137,'CATALOGO CECO'!$A$2:$H$550,3,FALSE),""))</f>
        <v/>
      </c>
      <c r="I1137" s="8">
        <f>IF(B1137="","",IFERROR(VLOOKUP(--B1137,'CATALOGO CECO'!$A$2:$H$550,5,FALSE),""))</f>
        <v/>
      </c>
      <c r="J1137" s="8">
        <f>IF(B1137="","",IFERROR(VLOOKUP(--B1137,'CATALOGO CECO'!$A$2:$H$550,8,FALSE),""))</f>
        <v/>
      </c>
      <c r="K1137" s="8">
        <f>IF(COUNTA(A1137:F1137)=0,"",IF(OR(LEN(A1137)&lt;&gt;7,MID(A1137,5,1)&lt;&gt;"-",ISERROR(--LEFT(A1137,4)),ISERROR(--RIGHT(A1137,2))),"ERROR: PERIODO debe ser AAAA-MM",IF(B1137="","ERROR: falta CODIGO CECO",IF(G1137="CECO NO EXISTE","ERROR: CECO no existe en el catálogo",IF(C1137="","ERROR: falta CUENTA",IF(ISERROR(--C1137),"ERROR: CUENTA debe tener solo dígitos",IF(ISERROR(FIND(LEFT(C1137,1),"567")),"ERROR: CUENTA fuera de las clases de costo",IF(NOT(ISNUMBER(E1137)),"ERROR: VALOR debe ser numérico",IF(E1137=0,"AVISO: valor cero (no se carga)",IF(J1137&lt;&gt;"ACTIVO","NO SE CARGA: CECO en estado "&amp;J1137,"OK"))))))))))</f>
        <v/>
      </c>
    </row>
    <row r="1138">
      <c r="A1138" s="5" t="n"/>
      <c r="B1138" s="6" t="n"/>
      <c r="C1138" s="5" t="n"/>
      <c r="D1138" s="6" t="n"/>
      <c r="E1138" s="7" t="n"/>
      <c r="F1138" s="6" t="n"/>
      <c r="G1138" s="8">
        <f>IF(B1138="","",IFERROR(VLOOKUP(--B1138,'CATALOGO CECO'!$A$2:$H$550,2,FALSE),"CECO NO EXISTE"))</f>
        <v/>
      </c>
      <c r="H1138" s="8">
        <f>IF(B1138="","",IFERROR(VLOOKUP(--B1138,'CATALOGO CECO'!$A$2:$H$550,3,FALSE),""))</f>
        <v/>
      </c>
      <c r="I1138" s="8">
        <f>IF(B1138="","",IFERROR(VLOOKUP(--B1138,'CATALOGO CECO'!$A$2:$H$550,5,FALSE),""))</f>
        <v/>
      </c>
      <c r="J1138" s="8">
        <f>IF(B1138="","",IFERROR(VLOOKUP(--B1138,'CATALOGO CECO'!$A$2:$H$550,8,FALSE),""))</f>
        <v/>
      </c>
      <c r="K1138" s="8">
        <f>IF(COUNTA(A1138:F1138)=0,"",IF(OR(LEN(A1138)&lt;&gt;7,MID(A1138,5,1)&lt;&gt;"-",ISERROR(--LEFT(A1138,4)),ISERROR(--RIGHT(A1138,2))),"ERROR: PERIODO debe ser AAAA-MM",IF(B1138="","ERROR: falta CODIGO CECO",IF(G1138="CECO NO EXISTE","ERROR: CECO no existe en el catálogo",IF(C1138="","ERROR: falta CUENTA",IF(ISERROR(--C1138),"ERROR: CUENTA debe tener solo dígitos",IF(ISERROR(FIND(LEFT(C1138,1),"567")),"ERROR: CUENTA fuera de las clases de costo",IF(NOT(ISNUMBER(E1138)),"ERROR: VALOR debe ser numérico",IF(E1138=0,"AVISO: valor cero (no se carga)",IF(J1138&lt;&gt;"ACTIVO","NO SE CARGA: CECO en estado "&amp;J1138,"OK"))))))))))</f>
        <v/>
      </c>
    </row>
    <row r="1139">
      <c r="A1139" s="5" t="n"/>
      <c r="B1139" s="6" t="n"/>
      <c r="C1139" s="5" t="n"/>
      <c r="D1139" s="6" t="n"/>
      <c r="E1139" s="7" t="n"/>
      <c r="F1139" s="6" t="n"/>
      <c r="G1139" s="8">
        <f>IF(B1139="","",IFERROR(VLOOKUP(--B1139,'CATALOGO CECO'!$A$2:$H$550,2,FALSE),"CECO NO EXISTE"))</f>
        <v/>
      </c>
      <c r="H1139" s="8">
        <f>IF(B1139="","",IFERROR(VLOOKUP(--B1139,'CATALOGO CECO'!$A$2:$H$550,3,FALSE),""))</f>
        <v/>
      </c>
      <c r="I1139" s="8">
        <f>IF(B1139="","",IFERROR(VLOOKUP(--B1139,'CATALOGO CECO'!$A$2:$H$550,5,FALSE),""))</f>
        <v/>
      </c>
      <c r="J1139" s="8">
        <f>IF(B1139="","",IFERROR(VLOOKUP(--B1139,'CATALOGO CECO'!$A$2:$H$550,8,FALSE),""))</f>
        <v/>
      </c>
      <c r="K1139" s="8">
        <f>IF(COUNTA(A1139:F1139)=0,"",IF(OR(LEN(A1139)&lt;&gt;7,MID(A1139,5,1)&lt;&gt;"-",ISERROR(--LEFT(A1139,4)),ISERROR(--RIGHT(A1139,2))),"ERROR: PERIODO debe ser AAAA-MM",IF(B1139="","ERROR: falta CODIGO CECO",IF(G1139="CECO NO EXISTE","ERROR: CECO no existe en el catálogo",IF(C1139="","ERROR: falta CUENTA",IF(ISERROR(--C1139),"ERROR: CUENTA debe tener solo dígitos",IF(ISERROR(FIND(LEFT(C1139,1),"567")),"ERROR: CUENTA fuera de las clases de costo",IF(NOT(ISNUMBER(E1139)),"ERROR: VALOR debe ser numérico",IF(E1139=0,"AVISO: valor cero (no se carga)",IF(J1139&lt;&gt;"ACTIVO","NO SE CARGA: CECO en estado "&amp;J1139,"OK"))))))))))</f>
        <v/>
      </c>
    </row>
    <row r="1140">
      <c r="A1140" s="5" t="n"/>
      <c r="B1140" s="6" t="n"/>
      <c r="C1140" s="5" t="n"/>
      <c r="D1140" s="6" t="n"/>
      <c r="E1140" s="7" t="n"/>
      <c r="F1140" s="6" t="n"/>
      <c r="G1140" s="8">
        <f>IF(B1140="","",IFERROR(VLOOKUP(--B1140,'CATALOGO CECO'!$A$2:$H$550,2,FALSE),"CECO NO EXISTE"))</f>
        <v/>
      </c>
      <c r="H1140" s="8">
        <f>IF(B1140="","",IFERROR(VLOOKUP(--B1140,'CATALOGO CECO'!$A$2:$H$550,3,FALSE),""))</f>
        <v/>
      </c>
      <c r="I1140" s="8">
        <f>IF(B1140="","",IFERROR(VLOOKUP(--B1140,'CATALOGO CECO'!$A$2:$H$550,5,FALSE),""))</f>
        <v/>
      </c>
      <c r="J1140" s="8">
        <f>IF(B1140="","",IFERROR(VLOOKUP(--B1140,'CATALOGO CECO'!$A$2:$H$550,8,FALSE),""))</f>
        <v/>
      </c>
      <c r="K1140" s="8">
        <f>IF(COUNTA(A1140:F1140)=0,"",IF(OR(LEN(A1140)&lt;&gt;7,MID(A1140,5,1)&lt;&gt;"-",ISERROR(--LEFT(A1140,4)),ISERROR(--RIGHT(A1140,2))),"ERROR: PERIODO debe ser AAAA-MM",IF(B1140="","ERROR: falta CODIGO CECO",IF(G1140="CECO NO EXISTE","ERROR: CECO no existe en el catálogo",IF(C1140="","ERROR: falta CUENTA",IF(ISERROR(--C1140),"ERROR: CUENTA debe tener solo dígitos",IF(ISERROR(FIND(LEFT(C1140,1),"567")),"ERROR: CUENTA fuera de las clases de costo",IF(NOT(ISNUMBER(E1140)),"ERROR: VALOR debe ser numérico",IF(E1140=0,"AVISO: valor cero (no se carga)",IF(J1140&lt;&gt;"ACTIVO","NO SE CARGA: CECO en estado "&amp;J1140,"OK"))))))))))</f>
        <v/>
      </c>
    </row>
    <row r="1141">
      <c r="A1141" s="5" t="n"/>
      <c r="B1141" s="6" t="n"/>
      <c r="C1141" s="5" t="n"/>
      <c r="D1141" s="6" t="n"/>
      <c r="E1141" s="7" t="n"/>
      <c r="F1141" s="6" t="n"/>
      <c r="G1141" s="8">
        <f>IF(B1141="","",IFERROR(VLOOKUP(--B1141,'CATALOGO CECO'!$A$2:$H$550,2,FALSE),"CECO NO EXISTE"))</f>
        <v/>
      </c>
      <c r="H1141" s="8">
        <f>IF(B1141="","",IFERROR(VLOOKUP(--B1141,'CATALOGO CECO'!$A$2:$H$550,3,FALSE),""))</f>
        <v/>
      </c>
      <c r="I1141" s="8">
        <f>IF(B1141="","",IFERROR(VLOOKUP(--B1141,'CATALOGO CECO'!$A$2:$H$550,5,FALSE),""))</f>
        <v/>
      </c>
      <c r="J1141" s="8">
        <f>IF(B1141="","",IFERROR(VLOOKUP(--B1141,'CATALOGO CECO'!$A$2:$H$550,8,FALSE),""))</f>
        <v/>
      </c>
      <c r="K1141" s="8">
        <f>IF(COUNTA(A1141:F1141)=0,"",IF(OR(LEN(A1141)&lt;&gt;7,MID(A1141,5,1)&lt;&gt;"-",ISERROR(--LEFT(A1141,4)),ISERROR(--RIGHT(A1141,2))),"ERROR: PERIODO debe ser AAAA-MM",IF(B1141="","ERROR: falta CODIGO CECO",IF(G1141="CECO NO EXISTE","ERROR: CECO no existe en el catálogo",IF(C1141="","ERROR: falta CUENTA",IF(ISERROR(--C1141),"ERROR: CUENTA debe tener solo dígitos",IF(ISERROR(FIND(LEFT(C1141,1),"567")),"ERROR: CUENTA fuera de las clases de costo",IF(NOT(ISNUMBER(E1141)),"ERROR: VALOR debe ser numérico",IF(E1141=0,"AVISO: valor cero (no se carga)",IF(J1141&lt;&gt;"ACTIVO","NO SE CARGA: CECO en estado "&amp;J1141,"OK"))))))))))</f>
        <v/>
      </c>
    </row>
    <row r="1142">
      <c r="A1142" s="5" t="n"/>
      <c r="B1142" s="6" t="n"/>
      <c r="C1142" s="5" t="n"/>
      <c r="D1142" s="6" t="n"/>
      <c r="E1142" s="7" t="n"/>
      <c r="F1142" s="6" t="n"/>
      <c r="G1142" s="8">
        <f>IF(B1142="","",IFERROR(VLOOKUP(--B1142,'CATALOGO CECO'!$A$2:$H$550,2,FALSE),"CECO NO EXISTE"))</f>
        <v/>
      </c>
      <c r="H1142" s="8">
        <f>IF(B1142="","",IFERROR(VLOOKUP(--B1142,'CATALOGO CECO'!$A$2:$H$550,3,FALSE),""))</f>
        <v/>
      </c>
      <c r="I1142" s="8">
        <f>IF(B1142="","",IFERROR(VLOOKUP(--B1142,'CATALOGO CECO'!$A$2:$H$550,5,FALSE),""))</f>
        <v/>
      </c>
      <c r="J1142" s="8">
        <f>IF(B1142="","",IFERROR(VLOOKUP(--B1142,'CATALOGO CECO'!$A$2:$H$550,8,FALSE),""))</f>
        <v/>
      </c>
      <c r="K1142" s="8">
        <f>IF(COUNTA(A1142:F1142)=0,"",IF(OR(LEN(A1142)&lt;&gt;7,MID(A1142,5,1)&lt;&gt;"-",ISERROR(--LEFT(A1142,4)),ISERROR(--RIGHT(A1142,2))),"ERROR: PERIODO debe ser AAAA-MM",IF(B1142="","ERROR: falta CODIGO CECO",IF(G1142="CECO NO EXISTE","ERROR: CECO no existe en el catálogo",IF(C1142="","ERROR: falta CUENTA",IF(ISERROR(--C1142),"ERROR: CUENTA debe tener solo dígitos",IF(ISERROR(FIND(LEFT(C1142,1),"567")),"ERROR: CUENTA fuera de las clases de costo",IF(NOT(ISNUMBER(E1142)),"ERROR: VALOR debe ser numérico",IF(E1142=0,"AVISO: valor cero (no se carga)",IF(J1142&lt;&gt;"ACTIVO","NO SE CARGA: CECO en estado "&amp;J1142,"OK"))))))))))</f>
        <v/>
      </c>
    </row>
    <row r="1143">
      <c r="A1143" s="5" t="n"/>
      <c r="B1143" s="6" t="n"/>
      <c r="C1143" s="5" t="n"/>
      <c r="D1143" s="6" t="n"/>
      <c r="E1143" s="7" t="n"/>
      <c r="F1143" s="6" t="n"/>
      <c r="G1143" s="8">
        <f>IF(B1143="","",IFERROR(VLOOKUP(--B1143,'CATALOGO CECO'!$A$2:$H$550,2,FALSE),"CECO NO EXISTE"))</f>
        <v/>
      </c>
      <c r="H1143" s="8">
        <f>IF(B1143="","",IFERROR(VLOOKUP(--B1143,'CATALOGO CECO'!$A$2:$H$550,3,FALSE),""))</f>
        <v/>
      </c>
      <c r="I1143" s="8">
        <f>IF(B1143="","",IFERROR(VLOOKUP(--B1143,'CATALOGO CECO'!$A$2:$H$550,5,FALSE),""))</f>
        <v/>
      </c>
      <c r="J1143" s="8">
        <f>IF(B1143="","",IFERROR(VLOOKUP(--B1143,'CATALOGO CECO'!$A$2:$H$550,8,FALSE),""))</f>
        <v/>
      </c>
      <c r="K1143" s="8">
        <f>IF(COUNTA(A1143:F1143)=0,"",IF(OR(LEN(A1143)&lt;&gt;7,MID(A1143,5,1)&lt;&gt;"-",ISERROR(--LEFT(A1143,4)),ISERROR(--RIGHT(A1143,2))),"ERROR: PERIODO debe ser AAAA-MM",IF(B1143="","ERROR: falta CODIGO CECO",IF(G1143="CECO NO EXISTE","ERROR: CECO no existe en el catálogo",IF(C1143="","ERROR: falta CUENTA",IF(ISERROR(--C1143),"ERROR: CUENTA debe tener solo dígitos",IF(ISERROR(FIND(LEFT(C1143,1),"567")),"ERROR: CUENTA fuera de las clases de costo",IF(NOT(ISNUMBER(E1143)),"ERROR: VALOR debe ser numérico",IF(E1143=0,"AVISO: valor cero (no se carga)",IF(J1143&lt;&gt;"ACTIVO","NO SE CARGA: CECO en estado "&amp;J1143,"OK"))))))))))</f>
        <v/>
      </c>
    </row>
    <row r="1144">
      <c r="A1144" s="5" t="n"/>
      <c r="B1144" s="6" t="n"/>
      <c r="C1144" s="5" t="n"/>
      <c r="D1144" s="6" t="n"/>
      <c r="E1144" s="7" t="n"/>
      <c r="F1144" s="6" t="n"/>
      <c r="G1144" s="8">
        <f>IF(B1144="","",IFERROR(VLOOKUP(--B1144,'CATALOGO CECO'!$A$2:$H$550,2,FALSE),"CECO NO EXISTE"))</f>
        <v/>
      </c>
      <c r="H1144" s="8">
        <f>IF(B1144="","",IFERROR(VLOOKUP(--B1144,'CATALOGO CECO'!$A$2:$H$550,3,FALSE),""))</f>
        <v/>
      </c>
      <c r="I1144" s="8">
        <f>IF(B1144="","",IFERROR(VLOOKUP(--B1144,'CATALOGO CECO'!$A$2:$H$550,5,FALSE),""))</f>
        <v/>
      </c>
      <c r="J1144" s="8">
        <f>IF(B1144="","",IFERROR(VLOOKUP(--B1144,'CATALOGO CECO'!$A$2:$H$550,8,FALSE),""))</f>
        <v/>
      </c>
      <c r="K1144" s="8">
        <f>IF(COUNTA(A1144:F1144)=0,"",IF(OR(LEN(A1144)&lt;&gt;7,MID(A1144,5,1)&lt;&gt;"-",ISERROR(--LEFT(A1144,4)),ISERROR(--RIGHT(A1144,2))),"ERROR: PERIODO debe ser AAAA-MM",IF(B1144="","ERROR: falta CODIGO CECO",IF(G1144="CECO NO EXISTE","ERROR: CECO no existe en el catálogo",IF(C1144="","ERROR: falta CUENTA",IF(ISERROR(--C1144),"ERROR: CUENTA debe tener solo dígitos",IF(ISERROR(FIND(LEFT(C1144,1),"567")),"ERROR: CUENTA fuera de las clases de costo",IF(NOT(ISNUMBER(E1144)),"ERROR: VALOR debe ser numérico",IF(E1144=0,"AVISO: valor cero (no se carga)",IF(J1144&lt;&gt;"ACTIVO","NO SE CARGA: CECO en estado "&amp;J1144,"OK"))))))))))</f>
        <v/>
      </c>
    </row>
    <row r="1145">
      <c r="A1145" s="5" t="n"/>
      <c r="B1145" s="6" t="n"/>
      <c r="C1145" s="5" t="n"/>
      <c r="D1145" s="6" t="n"/>
      <c r="E1145" s="7" t="n"/>
      <c r="F1145" s="6" t="n"/>
      <c r="G1145" s="8">
        <f>IF(B1145="","",IFERROR(VLOOKUP(--B1145,'CATALOGO CECO'!$A$2:$H$550,2,FALSE),"CECO NO EXISTE"))</f>
        <v/>
      </c>
      <c r="H1145" s="8">
        <f>IF(B1145="","",IFERROR(VLOOKUP(--B1145,'CATALOGO CECO'!$A$2:$H$550,3,FALSE),""))</f>
        <v/>
      </c>
      <c r="I1145" s="8">
        <f>IF(B1145="","",IFERROR(VLOOKUP(--B1145,'CATALOGO CECO'!$A$2:$H$550,5,FALSE),""))</f>
        <v/>
      </c>
      <c r="J1145" s="8">
        <f>IF(B1145="","",IFERROR(VLOOKUP(--B1145,'CATALOGO CECO'!$A$2:$H$550,8,FALSE),""))</f>
        <v/>
      </c>
      <c r="K1145" s="8">
        <f>IF(COUNTA(A1145:F1145)=0,"",IF(OR(LEN(A1145)&lt;&gt;7,MID(A1145,5,1)&lt;&gt;"-",ISERROR(--LEFT(A1145,4)),ISERROR(--RIGHT(A1145,2))),"ERROR: PERIODO debe ser AAAA-MM",IF(B1145="","ERROR: falta CODIGO CECO",IF(G1145="CECO NO EXISTE","ERROR: CECO no existe en el catálogo",IF(C1145="","ERROR: falta CUENTA",IF(ISERROR(--C1145),"ERROR: CUENTA debe tener solo dígitos",IF(ISERROR(FIND(LEFT(C1145,1),"567")),"ERROR: CUENTA fuera de las clases de costo",IF(NOT(ISNUMBER(E1145)),"ERROR: VALOR debe ser numérico",IF(E1145=0,"AVISO: valor cero (no se carga)",IF(J1145&lt;&gt;"ACTIVO","NO SE CARGA: CECO en estado "&amp;J1145,"OK"))))))))))</f>
        <v/>
      </c>
    </row>
    <row r="1146">
      <c r="A1146" s="5" t="n"/>
      <c r="B1146" s="6" t="n"/>
      <c r="C1146" s="5" t="n"/>
      <c r="D1146" s="6" t="n"/>
      <c r="E1146" s="7" t="n"/>
      <c r="F1146" s="6" t="n"/>
      <c r="G1146" s="8">
        <f>IF(B1146="","",IFERROR(VLOOKUP(--B1146,'CATALOGO CECO'!$A$2:$H$550,2,FALSE),"CECO NO EXISTE"))</f>
        <v/>
      </c>
      <c r="H1146" s="8">
        <f>IF(B1146="","",IFERROR(VLOOKUP(--B1146,'CATALOGO CECO'!$A$2:$H$550,3,FALSE),""))</f>
        <v/>
      </c>
      <c r="I1146" s="8">
        <f>IF(B1146="","",IFERROR(VLOOKUP(--B1146,'CATALOGO CECO'!$A$2:$H$550,5,FALSE),""))</f>
        <v/>
      </c>
      <c r="J1146" s="8">
        <f>IF(B1146="","",IFERROR(VLOOKUP(--B1146,'CATALOGO CECO'!$A$2:$H$550,8,FALSE),""))</f>
        <v/>
      </c>
      <c r="K1146" s="8">
        <f>IF(COUNTA(A1146:F1146)=0,"",IF(OR(LEN(A1146)&lt;&gt;7,MID(A1146,5,1)&lt;&gt;"-",ISERROR(--LEFT(A1146,4)),ISERROR(--RIGHT(A1146,2))),"ERROR: PERIODO debe ser AAAA-MM",IF(B1146="","ERROR: falta CODIGO CECO",IF(G1146="CECO NO EXISTE","ERROR: CECO no existe en el catálogo",IF(C1146="","ERROR: falta CUENTA",IF(ISERROR(--C1146),"ERROR: CUENTA debe tener solo dígitos",IF(ISERROR(FIND(LEFT(C1146,1),"567")),"ERROR: CUENTA fuera de las clases de costo",IF(NOT(ISNUMBER(E1146)),"ERROR: VALOR debe ser numérico",IF(E1146=0,"AVISO: valor cero (no se carga)",IF(J1146&lt;&gt;"ACTIVO","NO SE CARGA: CECO en estado "&amp;J1146,"OK"))))))))))</f>
        <v/>
      </c>
    </row>
    <row r="1147">
      <c r="A1147" s="5" t="n"/>
      <c r="B1147" s="6" t="n"/>
      <c r="C1147" s="5" t="n"/>
      <c r="D1147" s="6" t="n"/>
      <c r="E1147" s="7" t="n"/>
      <c r="F1147" s="6" t="n"/>
      <c r="G1147" s="8">
        <f>IF(B1147="","",IFERROR(VLOOKUP(--B1147,'CATALOGO CECO'!$A$2:$H$550,2,FALSE),"CECO NO EXISTE"))</f>
        <v/>
      </c>
      <c r="H1147" s="8">
        <f>IF(B1147="","",IFERROR(VLOOKUP(--B1147,'CATALOGO CECO'!$A$2:$H$550,3,FALSE),""))</f>
        <v/>
      </c>
      <c r="I1147" s="8">
        <f>IF(B1147="","",IFERROR(VLOOKUP(--B1147,'CATALOGO CECO'!$A$2:$H$550,5,FALSE),""))</f>
        <v/>
      </c>
      <c r="J1147" s="8">
        <f>IF(B1147="","",IFERROR(VLOOKUP(--B1147,'CATALOGO CECO'!$A$2:$H$550,8,FALSE),""))</f>
        <v/>
      </c>
      <c r="K1147" s="8">
        <f>IF(COUNTA(A1147:F1147)=0,"",IF(OR(LEN(A1147)&lt;&gt;7,MID(A1147,5,1)&lt;&gt;"-",ISERROR(--LEFT(A1147,4)),ISERROR(--RIGHT(A1147,2))),"ERROR: PERIODO debe ser AAAA-MM",IF(B1147="","ERROR: falta CODIGO CECO",IF(G1147="CECO NO EXISTE","ERROR: CECO no existe en el catálogo",IF(C1147="","ERROR: falta CUENTA",IF(ISERROR(--C1147),"ERROR: CUENTA debe tener solo dígitos",IF(ISERROR(FIND(LEFT(C1147,1),"567")),"ERROR: CUENTA fuera de las clases de costo",IF(NOT(ISNUMBER(E1147)),"ERROR: VALOR debe ser numérico",IF(E1147=0,"AVISO: valor cero (no se carga)",IF(J1147&lt;&gt;"ACTIVO","NO SE CARGA: CECO en estado "&amp;J1147,"OK"))))))))))</f>
        <v/>
      </c>
    </row>
    <row r="1148">
      <c r="A1148" s="5" t="n"/>
      <c r="B1148" s="6" t="n"/>
      <c r="C1148" s="5" t="n"/>
      <c r="D1148" s="6" t="n"/>
      <c r="E1148" s="7" t="n"/>
      <c r="F1148" s="6" t="n"/>
      <c r="G1148" s="8">
        <f>IF(B1148="","",IFERROR(VLOOKUP(--B1148,'CATALOGO CECO'!$A$2:$H$550,2,FALSE),"CECO NO EXISTE"))</f>
        <v/>
      </c>
      <c r="H1148" s="8">
        <f>IF(B1148="","",IFERROR(VLOOKUP(--B1148,'CATALOGO CECO'!$A$2:$H$550,3,FALSE),""))</f>
        <v/>
      </c>
      <c r="I1148" s="8">
        <f>IF(B1148="","",IFERROR(VLOOKUP(--B1148,'CATALOGO CECO'!$A$2:$H$550,5,FALSE),""))</f>
        <v/>
      </c>
      <c r="J1148" s="8">
        <f>IF(B1148="","",IFERROR(VLOOKUP(--B1148,'CATALOGO CECO'!$A$2:$H$550,8,FALSE),""))</f>
        <v/>
      </c>
      <c r="K1148" s="8">
        <f>IF(COUNTA(A1148:F1148)=0,"",IF(OR(LEN(A1148)&lt;&gt;7,MID(A1148,5,1)&lt;&gt;"-",ISERROR(--LEFT(A1148,4)),ISERROR(--RIGHT(A1148,2))),"ERROR: PERIODO debe ser AAAA-MM",IF(B1148="","ERROR: falta CODIGO CECO",IF(G1148="CECO NO EXISTE","ERROR: CECO no existe en el catálogo",IF(C1148="","ERROR: falta CUENTA",IF(ISERROR(--C1148),"ERROR: CUENTA debe tener solo dígitos",IF(ISERROR(FIND(LEFT(C1148,1),"567")),"ERROR: CUENTA fuera de las clases de costo",IF(NOT(ISNUMBER(E1148)),"ERROR: VALOR debe ser numérico",IF(E1148=0,"AVISO: valor cero (no se carga)",IF(J1148&lt;&gt;"ACTIVO","NO SE CARGA: CECO en estado "&amp;J1148,"OK"))))))))))</f>
        <v/>
      </c>
    </row>
    <row r="1149">
      <c r="A1149" s="5" t="n"/>
      <c r="B1149" s="6" t="n"/>
      <c r="C1149" s="5" t="n"/>
      <c r="D1149" s="6" t="n"/>
      <c r="E1149" s="7" t="n"/>
      <c r="F1149" s="6" t="n"/>
      <c r="G1149" s="8">
        <f>IF(B1149="","",IFERROR(VLOOKUP(--B1149,'CATALOGO CECO'!$A$2:$H$550,2,FALSE),"CECO NO EXISTE"))</f>
        <v/>
      </c>
      <c r="H1149" s="8">
        <f>IF(B1149="","",IFERROR(VLOOKUP(--B1149,'CATALOGO CECO'!$A$2:$H$550,3,FALSE),""))</f>
        <v/>
      </c>
      <c r="I1149" s="8">
        <f>IF(B1149="","",IFERROR(VLOOKUP(--B1149,'CATALOGO CECO'!$A$2:$H$550,5,FALSE),""))</f>
        <v/>
      </c>
      <c r="J1149" s="8">
        <f>IF(B1149="","",IFERROR(VLOOKUP(--B1149,'CATALOGO CECO'!$A$2:$H$550,8,FALSE),""))</f>
        <v/>
      </c>
      <c r="K1149" s="8">
        <f>IF(COUNTA(A1149:F1149)=0,"",IF(OR(LEN(A1149)&lt;&gt;7,MID(A1149,5,1)&lt;&gt;"-",ISERROR(--LEFT(A1149,4)),ISERROR(--RIGHT(A1149,2))),"ERROR: PERIODO debe ser AAAA-MM",IF(B1149="","ERROR: falta CODIGO CECO",IF(G1149="CECO NO EXISTE","ERROR: CECO no existe en el catálogo",IF(C1149="","ERROR: falta CUENTA",IF(ISERROR(--C1149),"ERROR: CUENTA debe tener solo dígitos",IF(ISERROR(FIND(LEFT(C1149,1),"567")),"ERROR: CUENTA fuera de las clases de costo",IF(NOT(ISNUMBER(E1149)),"ERROR: VALOR debe ser numérico",IF(E1149=0,"AVISO: valor cero (no se carga)",IF(J1149&lt;&gt;"ACTIVO","NO SE CARGA: CECO en estado "&amp;J1149,"OK"))))))))))</f>
        <v/>
      </c>
    </row>
    <row r="1150">
      <c r="A1150" s="5" t="n"/>
      <c r="B1150" s="6" t="n"/>
      <c r="C1150" s="5" t="n"/>
      <c r="D1150" s="6" t="n"/>
      <c r="E1150" s="7" t="n"/>
      <c r="F1150" s="6" t="n"/>
      <c r="G1150" s="8">
        <f>IF(B1150="","",IFERROR(VLOOKUP(--B1150,'CATALOGO CECO'!$A$2:$H$550,2,FALSE),"CECO NO EXISTE"))</f>
        <v/>
      </c>
      <c r="H1150" s="8">
        <f>IF(B1150="","",IFERROR(VLOOKUP(--B1150,'CATALOGO CECO'!$A$2:$H$550,3,FALSE),""))</f>
        <v/>
      </c>
      <c r="I1150" s="8">
        <f>IF(B1150="","",IFERROR(VLOOKUP(--B1150,'CATALOGO CECO'!$A$2:$H$550,5,FALSE),""))</f>
        <v/>
      </c>
      <c r="J1150" s="8">
        <f>IF(B1150="","",IFERROR(VLOOKUP(--B1150,'CATALOGO CECO'!$A$2:$H$550,8,FALSE),""))</f>
        <v/>
      </c>
      <c r="K1150" s="8">
        <f>IF(COUNTA(A1150:F1150)=0,"",IF(OR(LEN(A1150)&lt;&gt;7,MID(A1150,5,1)&lt;&gt;"-",ISERROR(--LEFT(A1150,4)),ISERROR(--RIGHT(A1150,2))),"ERROR: PERIODO debe ser AAAA-MM",IF(B1150="","ERROR: falta CODIGO CECO",IF(G1150="CECO NO EXISTE","ERROR: CECO no existe en el catálogo",IF(C1150="","ERROR: falta CUENTA",IF(ISERROR(--C1150),"ERROR: CUENTA debe tener solo dígitos",IF(ISERROR(FIND(LEFT(C1150,1),"567")),"ERROR: CUENTA fuera de las clases de costo",IF(NOT(ISNUMBER(E1150)),"ERROR: VALOR debe ser numérico",IF(E1150=0,"AVISO: valor cero (no se carga)",IF(J1150&lt;&gt;"ACTIVO","NO SE CARGA: CECO en estado "&amp;J1150,"OK"))))))))))</f>
        <v/>
      </c>
    </row>
    <row r="1151">
      <c r="A1151" s="5" t="n"/>
      <c r="B1151" s="6" t="n"/>
      <c r="C1151" s="5" t="n"/>
      <c r="D1151" s="6" t="n"/>
      <c r="E1151" s="7" t="n"/>
      <c r="F1151" s="6" t="n"/>
      <c r="G1151" s="8">
        <f>IF(B1151="","",IFERROR(VLOOKUP(--B1151,'CATALOGO CECO'!$A$2:$H$550,2,FALSE),"CECO NO EXISTE"))</f>
        <v/>
      </c>
      <c r="H1151" s="8">
        <f>IF(B1151="","",IFERROR(VLOOKUP(--B1151,'CATALOGO CECO'!$A$2:$H$550,3,FALSE),""))</f>
        <v/>
      </c>
      <c r="I1151" s="8">
        <f>IF(B1151="","",IFERROR(VLOOKUP(--B1151,'CATALOGO CECO'!$A$2:$H$550,5,FALSE),""))</f>
        <v/>
      </c>
      <c r="J1151" s="8">
        <f>IF(B1151="","",IFERROR(VLOOKUP(--B1151,'CATALOGO CECO'!$A$2:$H$550,8,FALSE),""))</f>
        <v/>
      </c>
      <c r="K1151" s="8">
        <f>IF(COUNTA(A1151:F1151)=0,"",IF(OR(LEN(A1151)&lt;&gt;7,MID(A1151,5,1)&lt;&gt;"-",ISERROR(--LEFT(A1151,4)),ISERROR(--RIGHT(A1151,2))),"ERROR: PERIODO debe ser AAAA-MM",IF(B1151="","ERROR: falta CODIGO CECO",IF(G1151="CECO NO EXISTE","ERROR: CECO no existe en el catálogo",IF(C1151="","ERROR: falta CUENTA",IF(ISERROR(--C1151),"ERROR: CUENTA debe tener solo dígitos",IF(ISERROR(FIND(LEFT(C1151,1),"567")),"ERROR: CUENTA fuera de las clases de costo",IF(NOT(ISNUMBER(E1151)),"ERROR: VALOR debe ser numérico",IF(E1151=0,"AVISO: valor cero (no se carga)",IF(J1151&lt;&gt;"ACTIVO","NO SE CARGA: CECO en estado "&amp;J1151,"OK"))))))))))</f>
        <v/>
      </c>
    </row>
    <row r="1152">
      <c r="A1152" s="5" t="n"/>
      <c r="B1152" s="6" t="n"/>
      <c r="C1152" s="5" t="n"/>
      <c r="D1152" s="6" t="n"/>
      <c r="E1152" s="7" t="n"/>
      <c r="F1152" s="6" t="n"/>
      <c r="G1152" s="8">
        <f>IF(B1152="","",IFERROR(VLOOKUP(--B1152,'CATALOGO CECO'!$A$2:$H$550,2,FALSE),"CECO NO EXISTE"))</f>
        <v/>
      </c>
      <c r="H1152" s="8">
        <f>IF(B1152="","",IFERROR(VLOOKUP(--B1152,'CATALOGO CECO'!$A$2:$H$550,3,FALSE),""))</f>
        <v/>
      </c>
      <c r="I1152" s="8">
        <f>IF(B1152="","",IFERROR(VLOOKUP(--B1152,'CATALOGO CECO'!$A$2:$H$550,5,FALSE),""))</f>
        <v/>
      </c>
      <c r="J1152" s="8">
        <f>IF(B1152="","",IFERROR(VLOOKUP(--B1152,'CATALOGO CECO'!$A$2:$H$550,8,FALSE),""))</f>
        <v/>
      </c>
      <c r="K1152" s="8">
        <f>IF(COUNTA(A1152:F1152)=0,"",IF(OR(LEN(A1152)&lt;&gt;7,MID(A1152,5,1)&lt;&gt;"-",ISERROR(--LEFT(A1152,4)),ISERROR(--RIGHT(A1152,2))),"ERROR: PERIODO debe ser AAAA-MM",IF(B1152="","ERROR: falta CODIGO CECO",IF(G1152="CECO NO EXISTE","ERROR: CECO no existe en el catálogo",IF(C1152="","ERROR: falta CUENTA",IF(ISERROR(--C1152),"ERROR: CUENTA debe tener solo dígitos",IF(ISERROR(FIND(LEFT(C1152,1),"567")),"ERROR: CUENTA fuera de las clases de costo",IF(NOT(ISNUMBER(E1152)),"ERROR: VALOR debe ser numérico",IF(E1152=0,"AVISO: valor cero (no se carga)",IF(J1152&lt;&gt;"ACTIVO","NO SE CARGA: CECO en estado "&amp;J1152,"OK"))))))))))</f>
        <v/>
      </c>
    </row>
    <row r="1153">
      <c r="A1153" s="5" t="n"/>
      <c r="B1153" s="6" t="n"/>
      <c r="C1153" s="5" t="n"/>
      <c r="D1153" s="6" t="n"/>
      <c r="E1153" s="7" t="n"/>
      <c r="F1153" s="6" t="n"/>
      <c r="G1153" s="8">
        <f>IF(B1153="","",IFERROR(VLOOKUP(--B1153,'CATALOGO CECO'!$A$2:$H$550,2,FALSE),"CECO NO EXISTE"))</f>
        <v/>
      </c>
      <c r="H1153" s="8">
        <f>IF(B1153="","",IFERROR(VLOOKUP(--B1153,'CATALOGO CECO'!$A$2:$H$550,3,FALSE),""))</f>
        <v/>
      </c>
      <c r="I1153" s="8">
        <f>IF(B1153="","",IFERROR(VLOOKUP(--B1153,'CATALOGO CECO'!$A$2:$H$550,5,FALSE),""))</f>
        <v/>
      </c>
      <c r="J1153" s="8">
        <f>IF(B1153="","",IFERROR(VLOOKUP(--B1153,'CATALOGO CECO'!$A$2:$H$550,8,FALSE),""))</f>
        <v/>
      </c>
      <c r="K1153" s="8">
        <f>IF(COUNTA(A1153:F1153)=0,"",IF(OR(LEN(A1153)&lt;&gt;7,MID(A1153,5,1)&lt;&gt;"-",ISERROR(--LEFT(A1153,4)),ISERROR(--RIGHT(A1153,2))),"ERROR: PERIODO debe ser AAAA-MM",IF(B1153="","ERROR: falta CODIGO CECO",IF(G1153="CECO NO EXISTE","ERROR: CECO no existe en el catálogo",IF(C1153="","ERROR: falta CUENTA",IF(ISERROR(--C1153),"ERROR: CUENTA debe tener solo dígitos",IF(ISERROR(FIND(LEFT(C1153,1),"567")),"ERROR: CUENTA fuera de las clases de costo",IF(NOT(ISNUMBER(E1153)),"ERROR: VALOR debe ser numérico",IF(E1153=0,"AVISO: valor cero (no se carga)",IF(J1153&lt;&gt;"ACTIVO","NO SE CARGA: CECO en estado "&amp;J1153,"OK"))))))))))</f>
        <v/>
      </c>
    </row>
    <row r="1154">
      <c r="A1154" s="5" t="n"/>
      <c r="B1154" s="6" t="n"/>
      <c r="C1154" s="5" t="n"/>
      <c r="D1154" s="6" t="n"/>
      <c r="E1154" s="7" t="n"/>
      <c r="F1154" s="6" t="n"/>
      <c r="G1154" s="8">
        <f>IF(B1154="","",IFERROR(VLOOKUP(--B1154,'CATALOGO CECO'!$A$2:$H$550,2,FALSE),"CECO NO EXISTE"))</f>
        <v/>
      </c>
      <c r="H1154" s="8">
        <f>IF(B1154="","",IFERROR(VLOOKUP(--B1154,'CATALOGO CECO'!$A$2:$H$550,3,FALSE),""))</f>
        <v/>
      </c>
      <c r="I1154" s="8">
        <f>IF(B1154="","",IFERROR(VLOOKUP(--B1154,'CATALOGO CECO'!$A$2:$H$550,5,FALSE),""))</f>
        <v/>
      </c>
      <c r="J1154" s="8">
        <f>IF(B1154="","",IFERROR(VLOOKUP(--B1154,'CATALOGO CECO'!$A$2:$H$550,8,FALSE),""))</f>
        <v/>
      </c>
      <c r="K1154" s="8">
        <f>IF(COUNTA(A1154:F1154)=0,"",IF(OR(LEN(A1154)&lt;&gt;7,MID(A1154,5,1)&lt;&gt;"-",ISERROR(--LEFT(A1154,4)),ISERROR(--RIGHT(A1154,2))),"ERROR: PERIODO debe ser AAAA-MM",IF(B1154="","ERROR: falta CODIGO CECO",IF(G1154="CECO NO EXISTE","ERROR: CECO no existe en el catálogo",IF(C1154="","ERROR: falta CUENTA",IF(ISERROR(--C1154),"ERROR: CUENTA debe tener solo dígitos",IF(ISERROR(FIND(LEFT(C1154,1),"567")),"ERROR: CUENTA fuera de las clases de costo",IF(NOT(ISNUMBER(E1154)),"ERROR: VALOR debe ser numérico",IF(E1154=0,"AVISO: valor cero (no se carga)",IF(J1154&lt;&gt;"ACTIVO","NO SE CARGA: CECO en estado "&amp;J1154,"OK"))))))))))</f>
        <v/>
      </c>
    </row>
    <row r="1155">
      <c r="A1155" s="5" t="n"/>
      <c r="B1155" s="6" t="n"/>
      <c r="C1155" s="5" t="n"/>
      <c r="D1155" s="6" t="n"/>
      <c r="E1155" s="7" t="n"/>
      <c r="F1155" s="6" t="n"/>
      <c r="G1155" s="8">
        <f>IF(B1155="","",IFERROR(VLOOKUP(--B1155,'CATALOGO CECO'!$A$2:$H$550,2,FALSE),"CECO NO EXISTE"))</f>
        <v/>
      </c>
      <c r="H1155" s="8">
        <f>IF(B1155="","",IFERROR(VLOOKUP(--B1155,'CATALOGO CECO'!$A$2:$H$550,3,FALSE),""))</f>
        <v/>
      </c>
      <c r="I1155" s="8">
        <f>IF(B1155="","",IFERROR(VLOOKUP(--B1155,'CATALOGO CECO'!$A$2:$H$550,5,FALSE),""))</f>
        <v/>
      </c>
      <c r="J1155" s="8">
        <f>IF(B1155="","",IFERROR(VLOOKUP(--B1155,'CATALOGO CECO'!$A$2:$H$550,8,FALSE),""))</f>
        <v/>
      </c>
      <c r="K1155" s="8">
        <f>IF(COUNTA(A1155:F1155)=0,"",IF(OR(LEN(A1155)&lt;&gt;7,MID(A1155,5,1)&lt;&gt;"-",ISERROR(--LEFT(A1155,4)),ISERROR(--RIGHT(A1155,2))),"ERROR: PERIODO debe ser AAAA-MM",IF(B1155="","ERROR: falta CODIGO CECO",IF(G1155="CECO NO EXISTE","ERROR: CECO no existe en el catálogo",IF(C1155="","ERROR: falta CUENTA",IF(ISERROR(--C1155),"ERROR: CUENTA debe tener solo dígitos",IF(ISERROR(FIND(LEFT(C1155,1),"567")),"ERROR: CUENTA fuera de las clases de costo",IF(NOT(ISNUMBER(E1155)),"ERROR: VALOR debe ser numérico",IF(E1155=0,"AVISO: valor cero (no se carga)",IF(J1155&lt;&gt;"ACTIVO","NO SE CARGA: CECO en estado "&amp;J1155,"OK"))))))))))</f>
        <v/>
      </c>
    </row>
    <row r="1156">
      <c r="A1156" s="5" t="n"/>
      <c r="B1156" s="6" t="n"/>
      <c r="C1156" s="5" t="n"/>
      <c r="D1156" s="6" t="n"/>
      <c r="E1156" s="7" t="n"/>
      <c r="F1156" s="6" t="n"/>
      <c r="G1156" s="8">
        <f>IF(B1156="","",IFERROR(VLOOKUP(--B1156,'CATALOGO CECO'!$A$2:$H$550,2,FALSE),"CECO NO EXISTE"))</f>
        <v/>
      </c>
      <c r="H1156" s="8">
        <f>IF(B1156="","",IFERROR(VLOOKUP(--B1156,'CATALOGO CECO'!$A$2:$H$550,3,FALSE),""))</f>
        <v/>
      </c>
      <c r="I1156" s="8">
        <f>IF(B1156="","",IFERROR(VLOOKUP(--B1156,'CATALOGO CECO'!$A$2:$H$550,5,FALSE),""))</f>
        <v/>
      </c>
      <c r="J1156" s="8">
        <f>IF(B1156="","",IFERROR(VLOOKUP(--B1156,'CATALOGO CECO'!$A$2:$H$550,8,FALSE),""))</f>
        <v/>
      </c>
      <c r="K1156" s="8">
        <f>IF(COUNTA(A1156:F1156)=0,"",IF(OR(LEN(A1156)&lt;&gt;7,MID(A1156,5,1)&lt;&gt;"-",ISERROR(--LEFT(A1156,4)),ISERROR(--RIGHT(A1156,2))),"ERROR: PERIODO debe ser AAAA-MM",IF(B1156="","ERROR: falta CODIGO CECO",IF(G1156="CECO NO EXISTE","ERROR: CECO no existe en el catálogo",IF(C1156="","ERROR: falta CUENTA",IF(ISERROR(--C1156),"ERROR: CUENTA debe tener solo dígitos",IF(ISERROR(FIND(LEFT(C1156,1),"567")),"ERROR: CUENTA fuera de las clases de costo",IF(NOT(ISNUMBER(E1156)),"ERROR: VALOR debe ser numérico",IF(E1156=0,"AVISO: valor cero (no se carga)",IF(J1156&lt;&gt;"ACTIVO","NO SE CARGA: CECO en estado "&amp;J1156,"OK"))))))))))</f>
        <v/>
      </c>
    </row>
    <row r="1157">
      <c r="A1157" s="5" t="n"/>
      <c r="B1157" s="6" t="n"/>
      <c r="C1157" s="5" t="n"/>
      <c r="D1157" s="6" t="n"/>
      <c r="E1157" s="7" t="n"/>
      <c r="F1157" s="6" t="n"/>
      <c r="G1157" s="8">
        <f>IF(B1157="","",IFERROR(VLOOKUP(--B1157,'CATALOGO CECO'!$A$2:$H$550,2,FALSE),"CECO NO EXISTE"))</f>
        <v/>
      </c>
      <c r="H1157" s="8">
        <f>IF(B1157="","",IFERROR(VLOOKUP(--B1157,'CATALOGO CECO'!$A$2:$H$550,3,FALSE),""))</f>
        <v/>
      </c>
      <c r="I1157" s="8">
        <f>IF(B1157="","",IFERROR(VLOOKUP(--B1157,'CATALOGO CECO'!$A$2:$H$550,5,FALSE),""))</f>
        <v/>
      </c>
      <c r="J1157" s="8">
        <f>IF(B1157="","",IFERROR(VLOOKUP(--B1157,'CATALOGO CECO'!$A$2:$H$550,8,FALSE),""))</f>
        <v/>
      </c>
      <c r="K1157" s="8">
        <f>IF(COUNTA(A1157:F1157)=0,"",IF(OR(LEN(A1157)&lt;&gt;7,MID(A1157,5,1)&lt;&gt;"-",ISERROR(--LEFT(A1157,4)),ISERROR(--RIGHT(A1157,2))),"ERROR: PERIODO debe ser AAAA-MM",IF(B1157="","ERROR: falta CODIGO CECO",IF(G1157="CECO NO EXISTE","ERROR: CECO no existe en el catálogo",IF(C1157="","ERROR: falta CUENTA",IF(ISERROR(--C1157),"ERROR: CUENTA debe tener solo dígitos",IF(ISERROR(FIND(LEFT(C1157,1),"567")),"ERROR: CUENTA fuera de las clases de costo",IF(NOT(ISNUMBER(E1157)),"ERROR: VALOR debe ser numérico",IF(E1157=0,"AVISO: valor cero (no se carga)",IF(J1157&lt;&gt;"ACTIVO","NO SE CARGA: CECO en estado "&amp;J1157,"OK"))))))))))</f>
        <v/>
      </c>
    </row>
    <row r="1158">
      <c r="A1158" s="5" t="n"/>
      <c r="B1158" s="6" t="n"/>
      <c r="C1158" s="5" t="n"/>
      <c r="D1158" s="6" t="n"/>
      <c r="E1158" s="7" t="n"/>
      <c r="F1158" s="6" t="n"/>
      <c r="G1158" s="8">
        <f>IF(B1158="","",IFERROR(VLOOKUP(--B1158,'CATALOGO CECO'!$A$2:$H$550,2,FALSE),"CECO NO EXISTE"))</f>
        <v/>
      </c>
      <c r="H1158" s="8">
        <f>IF(B1158="","",IFERROR(VLOOKUP(--B1158,'CATALOGO CECO'!$A$2:$H$550,3,FALSE),""))</f>
        <v/>
      </c>
      <c r="I1158" s="8">
        <f>IF(B1158="","",IFERROR(VLOOKUP(--B1158,'CATALOGO CECO'!$A$2:$H$550,5,FALSE),""))</f>
        <v/>
      </c>
      <c r="J1158" s="8">
        <f>IF(B1158="","",IFERROR(VLOOKUP(--B1158,'CATALOGO CECO'!$A$2:$H$550,8,FALSE),""))</f>
        <v/>
      </c>
      <c r="K1158" s="8">
        <f>IF(COUNTA(A1158:F1158)=0,"",IF(OR(LEN(A1158)&lt;&gt;7,MID(A1158,5,1)&lt;&gt;"-",ISERROR(--LEFT(A1158,4)),ISERROR(--RIGHT(A1158,2))),"ERROR: PERIODO debe ser AAAA-MM",IF(B1158="","ERROR: falta CODIGO CECO",IF(G1158="CECO NO EXISTE","ERROR: CECO no existe en el catálogo",IF(C1158="","ERROR: falta CUENTA",IF(ISERROR(--C1158),"ERROR: CUENTA debe tener solo dígitos",IF(ISERROR(FIND(LEFT(C1158,1),"567")),"ERROR: CUENTA fuera de las clases de costo",IF(NOT(ISNUMBER(E1158)),"ERROR: VALOR debe ser numérico",IF(E1158=0,"AVISO: valor cero (no se carga)",IF(J1158&lt;&gt;"ACTIVO","NO SE CARGA: CECO en estado "&amp;J1158,"OK"))))))))))</f>
        <v/>
      </c>
    </row>
    <row r="1159">
      <c r="A1159" s="5" t="n"/>
      <c r="B1159" s="6" t="n"/>
      <c r="C1159" s="5" t="n"/>
      <c r="D1159" s="6" t="n"/>
      <c r="E1159" s="7" t="n"/>
      <c r="F1159" s="6" t="n"/>
      <c r="G1159" s="8">
        <f>IF(B1159="","",IFERROR(VLOOKUP(--B1159,'CATALOGO CECO'!$A$2:$H$550,2,FALSE),"CECO NO EXISTE"))</f>
        <v/>
      </c>
      <c r="H1159" s="8">
        <f>IF(B1159="","",IFERROR(VLOOKUP(--B1159,'CATALOGO CECO'!$A$2:$H$550,3,FALSE),""))</f>
        <v/>
      </c>
      <c r="I1159" s="8">
        <f>IF(B1159="","",IFERROR(VLOOKUP(--B1159,'CATALOGO CECO'!$A$2:$H$550,5,FALSE),""))</f>
        <v/>
      </c>
      <c r="J1159" s="8">
        <f>IF(B1159="","",IFERROR(VLOOKUP(--B1159,'CATALOGO CECO'!$A$2:$H$550,8,FALSE),""))</f>
        <v/>
      </c>
      <c r="K1159" s="8">
        <f>IF(COUNTA(A1159:F1159)=0,"",IF(OR(LEN(A1159)&lt;&gt;7,MID(A1159,5,1)&lt;&gt;"-",ISERROR(--LEFT(A1159,4)),ISERROR(--RIGHT(A1159,2))),"ERROR: PERIODO debe ser AAAA-MM",IF(B1159="","ERROR: falta CODIGO CECO",IF(G1159="CECO NO EXISTE","ERROR: CECO no existe en el catálogo",IF(C1159="","ERROR: falta CUENTA",IF(ISERROR(--C1159),"ERROR: CUENTA debe tener solo dígitos",IF(ISERROR(FIND(LEFT(C1159,1),"567")),"ERROR: CUENTA fuera de las clases de costo",IF(NOT(ISNUMBER(E1159)),"ERROR: VALOR debe ser numérico",IF(E1159=0,"AVISO: valor cero (no se carga)",IF(J1159&lt;&gt;"ACTIVO","NO SE CARGA: CECO en estado "&amp;J1159,"OK"))))))))))</f>
        <v/>
      </c>
    </row>
    <row r="1160">
      <c r="A1160" s="5" t="n"/>
      <c r="B1160" s="6" t="n"/>
      <c r="C1160" s="5" t="n"/>
      <c r="D1160" s="6" t="n"/>
      <c r="E1160" s="7" t="n"/>
      <c r="F1160" s="6" t="n"/>
      <c r="G1160" s="8">
        <f>IF(B1160="","",IFERROR(VLOOKUP(--B1160,'CATALOGO CECO'!$A$2:$H$550,2,FALSE),"CECO NO EXISTE"))</f>
        <v/>
      </c>
      <c r="H1160" s="8">
        <f>IF(B1160="","",IFERROR(VLOOKUP(--B1160,'CATALOGO CECO'!$A$2:$H$550,3,FALSE),""))</f>
        <v/>
      </c>
      <c r="I1160" s="8">
        <f>IF(B1160="","",IFERROR(VLOOKUP(--B1160,'CATALOGO CECO'!$A$2:$H$550,5,FALSE),""))</f>
        <v/>
      </c>
      <c r="J1160" s="8">
        <f>IF(B1160="","",IFERROR(VLOOKUP(--B1160,'CATALOGO CECO'!$A$2:$H$550,8,FALSE),""))</f>
        <v/>
      </c>
      <c r="K1160" s="8">
        <f>IF(COUNTA(A1160:F1160)=0,"",IF(OR(LEN(A1160)&lt;&gt;7,MID(A1160,5,1)&lt;&gt;"-",ISERROR(--LEFT(A1160,4)),ISERROR(--RIGHT(A1160,2))),"ERROR: PERIODO debe ser AAAA-MM",IF(B1160="","ERROR: falta CODIGO CECO",IF(G1160="CECO NO EXISTE","ERROR: CECO no existe en el catálogo",IF(C1160="","ERROR: falta CUENTA",IF(ISERROR(--C1160),"ERROR: CUENTA debe tener solo dígitos",IF(ISERROR(FIND(LEFT(C1160,1),"567")),"ERROR: CUENTA fuera de las clases de costo",IF(NOT(ISNUMBER(E1160)),"ERROR: VALOR debe ser numérico",IF(E1160=0,"AVISO: valor cero (no se carga)",IF(J1160&lt;&gt;"ACTIVO","NO SE CARGA: CECO en estado "&amp;J1160,"OK"))))))))))</f>
        <v/>
      </c>
    </row>
    <row r="1161">
      <c r="A1161" s="5" t="n"/>
      <c r="B1161" s="6" t="n"/>
      <c r="C1161" s="5" t="n"/>
      <c r="D1161" s="6" t="n"/>
      <c r="E1161" s="7" t="n"/>
      <c r="F1161" s="6" t="n"/>
      <c r="G1161" s="8">
        <f>IF(B1161="","",IFERROR(VLOOKUP(--B1161,'CATALOGO CECO'!$A$2:$H$550,2,FALSE),"CECO NO EXISTE"))</f>
        <v/>
      </c>
      <c r="H1161" s="8">
        <f>IF(B1161="","",IFERROR(VLOOKUP(--B1161,'CATALOGO CECO'!$A$2:$H$550,3,FALSE),""))</f>
        <v/>
      </c>
      <c r="I1161" s="8">
        <f>IF(B1161="","",IFERROR(VLOOKUP(--B1161,'CATALOGO CECO'!$A$2:$H$550,5,FALSE),""))</f>
        <v/>
      </c>
      <c r="J1161" s="8">
        <f>IF(B1161="","",IFERROR(VLOOKUP(--B1161,'CATALOGO CECO'!$A$2:$H$550,8,FALSE),""))</f>
        <v/>
      </c>
      <c r="K1161" s="8">
        <f>IF(COUNTA(A1161:F1161)=0,"",IF(OR(LEN(A1161)&lt;&gt;7,MID(A1161,5,1)&lt;&gt;"-",ISERROR(--LEFT(A1161,4)),ISERROR(--RIGHT(A1161,2))),"ERROR: PERIODO debe ser AAAA-MM",IF(B1161="","ERROR: falta CODIGO CECO",IF(G1161="CECO NO EXISTE","ERROR: CECO no existe en el catálogo",IF(C1161="","ERROR: falta CUENTA",IF(ISERROR(--C1161),"ERROR: CUENTA debe tener solo dígitos",IF(ISERROR(FIND(LEFT(C1161,1),"567")),"ERROR: CUENTA fuera de las clases de costo",IF(NOT(ISNUMBER(E1161)),"ERROR: VALOR debe ser numérico",IF(E1161=0,"AVISO: valor cero (no se carga)",IF(J1161&lt;&gt;"ACTIVO","NO SE CARGA: CECO en estado "&amp;J1161,"OK"))))))))))</f>
        <v/>
      </c>
    </row>
    <row r="1162">
      <c r="A1162" s="5" t="n"/>
      <c r="B1162" s="6" t="n"/>
      <c r="C1162" s="5" t="n"/>
      <c r="D1162" s="6" t="n"/>
      <c r="E1162" s="7" t="n"/>
      <c r="F1162" s="6" t="n"/>
      <c r="G1162" s="8">
        <f>IF(B1162="","",IFERROR(VLOOKUP(--B1162,'CATALOGO CECO'!$A$2:$H$550,2,FALSE),"CECO NO EXISTE"))</f>
        <v/>
      </c>
      <c r="H1162" s="8">
        <f>IF(B1162="","",IFERROR(VLOOKUP(--B1162,'CATALOGO CECO'!$A$2:$H$550,3,FALSE),""))</f>
        <v/>
      </c>
      <c r="I1162" s="8">
        <f>IF(B1162="","",IFERROR(VLOOKUP(--B1162,'CATALOGO CECO'!$A$2:$H$550,5,FALSE),""))</f>
        <v/>
      </c>
      <c r="J1162" s="8">
        <f>IF(B1162="","",IFERROR(VLOOKUP(--B1162,'CATALOGO CECO'!$A$2:$H$550,8,FALSE),""))</f>
        <v/>
      </c>
      <c r="K1162" s="8">
        <f>IF(COUNTA(A1162:F1162)=0,"",IF(OR(LEN(A1162)&lt;&gt;7,MID(A1162,5,1)&lt;&gt;"-",ISERROR(--LEFT(A1162,4)),ISERROR(--RIGHT(A1162,2))),"ERROR: PERIODO debe ser AAAA-MM",IF(B1162="","ERROR: falta CODIGO CECO",IF(G1162="CECO NO EXISTE","ERROR: CECO no existe en el catálogo",IF(C1162="","ERROR: falta CUENTA",IF(ISERROR(--C1162),"ERROR: CUENTA debe tener solo dígitos",IF(ISERROR(FIND(LEFT(C1162,1),"567")),"ERROR: CUENTA fuera de las clases de costo",IF(NOT(ISNUMBER(E1162)),"ERROR: VALOR debe ser numérico",IF(E1162=0,"AVISO: valor cero (no se carga)",IF(J1162&lt;&gt;"ACTIVO","NO SE CARGA: CECO en estado "&amp;J1162,"OK"))))))))))</f>
        <v/>
      </c>
    </row>
    <row r="1163">
      <c r="A1163" s="5" t="n"/>
      <c r="B1163" s="6" t="n"/>
      <c r="C1163" s="5" t="n"/>
      <c r="D1163" s="6" t="n"/>
      <c r="E1163" s="7" t="n"/>
      <c r="F1163" s="6" t="n"/>
      <c r="G1163" s="8">
        <f>IF(B1163="","",IFERROR(VLOOKUP(--B1163,'CATALOGO CECO'!$A$2:$H$550,2,FALSE),"CECO NO EXISTE"))</f>
        <v/>
      </c>
      <c r="H1163" s="8">
        <f>IF(B1163="","",IFERROR(VLOOKUP(--B1163,'CATALOGO CECO'!$A$2:$H$550,3,FALSE),""))</f>
        <v/>
      </c>
      <c r="I1163" s="8">
        <f>IF(B1163="","",IFERROR(VLOOKUP(--B1163,'CATALOGO CECO'!$A$2:$H$550,5,FALSE),""))</f>
        <v/>
      </c>
      <c r="J1163" s="8">
        <f>IF(B1163="","",IFERROR(VLOOKUP(--B1163,'CATALOGO CECO'!$A$2:$H$550,8,FALSE),""))</f>
        <v/>
      </c>
      <c r="K1163" s="8">
        <f>IF(COUNTA(A1163:F1163)=0,"",IF(OR(LEN(A1163)&lt;&gt;7,MID(A1163,5,1)&lt;&gt;"-",ISERROR(--LEFT(A1163,4)),ISERROR(--RIGHT(A1163,2))),"ERROR: PERIODO debe ser AAAA-MM",IF(B1163="","ERROR: falta CODIGO CECO",IF(G1163="CECO NO EXISTE","ERROR: CECO no existe en el catálogo",IF(C1163="","ERROR: falta CUENTA",IF(ISERROR(--C1163),"ERROR: CUENTA debe tener solo dígitos",IF(ISERROR(FIND(LEFT(C1163,1),"567")),"ERROR: CUENTA fuera de las clases de costo",IF(NOT(ISNUMBER(E1163)),"ERROR: VALOR debe ser numérico",IF(E1163=0,"AVISO: valor cero (no se carga)",IF(J1163&lt;&gt;"ACTIVO","NO SE CARGA: CECO en estado "&amp;J1163,"OK"))))))))))</f>
        <v/>
      </c>
    </row>
    <row r="1164">
      <c r="A1164" s="5" t="n"/>
      <c r="B1164" s="6" t="n"/>
      <c r="C1164" s="5" t="n"/>
      <c r="D1164" s="6" t="n"/>
      <c r="E1164" s="7" t="n"/>
      <c r="F1164" s="6" t="n"/>
      <c r="G1164" s="8">
        <f>IF(B1164="","",IFERROR(VLOOKUP(--B1164,'CATALOGO CECO'!$A$2:$H$550,2,FALSE),"CECO NO EXISTE"))</f>
        <v/>
      </c>
      <c r="H1164" s="8">
        <f>IF(B1164="","",IFERROR(VLOOKUP(--B1164,'CATALOGO CECO'!$A$2:$H$550,3,FALSE),""))</f>
        <v/>
      </c>
      <c r="I1164" s="8">
        <f>IF(B1164="","",IFERROR(VLOOKUP(--B1164,'CATALOGO CECO'!$A$2:$H$550,5,FALSE),""))</f>
        <v/>
      </c>
      <c r="J1164" s="8">
        <f>IF(B1164="","",IFERROR(VLOOKUP(--B1164,'CATALOGO CECO'!$A$2:$H$550,8,FALSE),""))</f>
        <v/>
      </c>
      <c r="K1164" s="8">
        <f>IF(COUNTA(A1164:F1164)=0,"",IF(OR(LEN(A1164)&lt;&gt;7,MID(A1164,5,1)&lt;&gt;"-",ISERROR(--LEFT(A1164,4)),ISERROR(--RIGHT(A1164,2))),"ERROR: PERIODO debe ser AAAA-MM",IF(B1164="","ERROR: falta CODIGO CECO",IF(G1164="CECO NO EXISTE","ERROR: CECO no existe en el catálogo",IF(C1164="","ERROR: falta CUENTA",IF(ISERROR(--C1164),"ERROR: CUENTA debe tener solo dígitos",IF(ISERROR(FIND(LEFT(C1164,1),"567")),"ERROR: CUENTA fuera de las clases de costo",IF(NOT(ISNUMBER(E1164)),"ERROR: VALOR debe ser numérico",IF(E1164=0,"AVISO: valor cero (no se carga)",IF(J1164&lt;&gt;"ACTIVO","NO SE CARGA: CECO en estado "&amp;J1164,"OK"))))))))))</f>
        <v/>
      </c>
    </row>
    <row r="1165">
      <c r="A1165" s="5" t="n"/>
      <c r="B1165" s="6" t="n"/>
      <c r="C1165" s="5" t="n"/>
      <c r="D1165" s="6" t="n"/>
      <c r="E1165" s="7" t="n"/>
      <c r="F1165" s="6" t="n"/>
      <c r="G1165" s="8">
        <f>IF(B1165="","",IFERROR(VLOOKUP(--B1165,'CATALOGO CECO'!$A$2:$H$550,2,FALSE),"CECO NO EXISTE"))</f>
        <v/>
      </c>
      <c r="H1165" s="8">
        <f>IF(B1165="","",IFERROR(VLOOKUP(--B1165,'CATALOGO CECO'!$A$2:$H$550,3,FALSE),""))</f>
        <v/>
      </c>
      <c r="I1165" s="8">
        <f>IF(B1165="","",IFERROR(VLOOKUP(--B1165,'CATALOGO CECO'!$A$2:$H$550,5,FALSE),""))</f>
        <v/>
      </c>
      <c r="J1165" s="8">
        <f>IF(B1165="","",IFERROR(VLOOKUP(--B1165,'CATALOGO CECO'!$A$2:$H$550,8,FALSE),""))</f>
        <v/>
      </c>
      <c r="K1165" s="8">
        <f>IF(COUNTA(A1165:F1165)=0,"",IF(OR(LEN(A1165)&lt;&gt;7,MID(A1165,5,1)&lt;&gt;"-",ISERROR(--LEFT(A1165,4)),ISERROR(--RIGHT(A1165,2))),"ERROR: PERIODO debe ser AAAA-MM",IF(B1165="","ERROR: falta CODIGO CECO",IF(G1165="CECO NO EXISTE","ERROR: CECO no existe en el catálogo",IF(C1165="","ERROR: falta CUENTA",IF(ISERROR(--C1165),"ERROR: CUENTA debe tener solo dígitos",IF(ISERROR(FIND(LEFT(C1165,1),"567")),"ERROR: CUENTA fuera de las clases de costo",IF(NOT(ISNUMBER(E1165)),"ERROR: VALOR debe ser numérico",IF(E1165=0,"AVISO: valor cero (no se carga)",IF(J1165&lt;&gt;"ACTIVO","NO SE CARGA: CECO en estado "&amp;J1165,"OK"))))))))))</f>
        <v/>
      </c>
    </row>
    <row r="1166">
      <c r="A1166" s="5" t="n"/>
      <c r="B1166" s="6" t="n"/>
      <c r="C1166" s="5" t="n"/>
      <c r="D1166" s="6" t="n"/>
      <c r="E1166" s="7" t="n"/>
      <c r="F1166" s="6" t="n"/>
      <c r="G1166" s="8">
        <f>IF(B1166="","",IFERROR(VLOOKUP(--B1166,'CATALOGO CECO'!$A$2:$H$550,2,FALSE),"CECO NO EXISTE"))</f>
        <v/>
      </c>
      <c r="H1166" s="8">
        <f>IF(B1166="","",IFERROR(VLOOKUP(--B1166,'CATALOGO CECO'!$A$2:$H$550,3,FALSE),""))</f>
        <v/>
      </c>
      <c r="I1166" s="8">
        <f>IF(B1166="","",IFERROR(VLOOKUP(--B1166,'CATALOGO CECO'!$A$2:$H$550,5,FALSE),""))</f>
        <v/>
      </c>
      <c r="J1166" s="8">
        <f>IF(B1166="","",IFERROR(VLOOKUP(--B1166,'CATALOGO CECO'!$A$2:$H$550,8,FALSE),""))</f>
        <v/>
      </c>
      <c r="K1166" s="8">
        <f>IF(COUNTA(A1166:F1166)=0,"",IF(OR(LEN(A1166)&lt;&gt;7,MID(A1166,5,1)&lt;&gt;"-",ISERROR(--LEFT(A1166,4)),ISERROR(--RIGHT(A1166,2))),"ERROR: PERIODO debe ser AAAA-MM",IF(B1166="","ERROR: falta CODIGO CECO",IF(G1166="CECO NO EXISTE","ERROR: CECO no existe en el catálogo",IF(C1166="","ERROR: falta CUENTA",IF(ISERROR(--C1166),"ERROR: CUENTA debe tener solo dígitos",IF(ISERROR(FIND(LEFT(C1166,1),"567")),"ERROR: CUENTA fuera de las clases de costo",IF(NOT(ISNUMBER(E1166)),"ERROR: VALOR debe ser numérico",IF(E1166=0,"AVISO: valor cero (no se carga)",IF(J1166&lt;&gt;"ACTIVO","NO SE CARGA: CECO en estado "&amp;J1166,"OK"))))))))))</f>
        <v/>
      </c>
    </row>
    <row r="1167">
      <c r="A1167" s="5" t="n"/>
      <c r="B1167" s="6" t="n"/>
      <c r="C1167" s="5" t="n"/>
      <c r="D1167" s="6" t="n"/>
      <c r="E1167" s="7" t="n"/>
      <c r="F1167" s="6" t="n"/>
      <c r="G1167" s="8">
        <f>IF(B1167="","",IFERROR(VLOOKUP(--B1167,'CATALOGO CECO'!$A$2:$H$550,2,FALSE),"CECO NO EXISTE"))</f>
        <v/>
      </c>
      <c r="H1167" s="8">
        <f>IF(B1167="","",IFERROR(VLOOKUP(--B1167,'CATALOGO CECO'!$A$2:$H$550,3,FALSE),""))</f>
        <v/>
      </c>
      <c r="I1167" s="8">
        <f>IF(B1167="","",IFERROR(VLOOKUP(--B1167,'CATALOGO CECO'!$A$2:$H$550,5,FALSE),""))</f>
        <v/>
      </c>
      <c r="J1167" s="8">
        <f>IF(B1167="","",IFERROR(VLOOKUP(--B1167,'CATALOGO CECO'!$A$2:$H$550,8,FALSE),""))</f>
        <v/>
      </c>
      <c r="K1167" s="8">
        <f>IF(COUNTA(A1167:F1167)=0,"",IF(OR(LEN(A1167)&lt;&gt;7,MID(A1167,5,1)&lt;&gt;"-",ISERROR(--LEFT(A1167,4)),ISERROR(--RIGHT(A1167,2))),"ERROR: PERIODO debe ser AAAA-MM",IF(B1167="","ERROR: falta CODIGO CECO",IF(G1167="CECO NO EXISTE","ERROR: CECO no existe en el catálogo",IF(C1167="","ERROR: falta CUENTA",IF(ISERROR(--C1167),"ERROR: CUENTA debe tener solo dígitos",IF(ISERROR(FIND(LEFT(C1167,1),"567")),"ERROR: CUENTA fuera de las clases de costo",IF(NOT(ISNUMBER(E1167)),"ERROR: VALOR debe ser numérico",IF(E1167=0,"AVISO: valor cero (no se carga)",IF(J1167&lt;&gt;"ACTIVO","NO SE CARGA: CECO en estado "&amp;J1167,"OK"))))))))))</f>
        <v/>
      </c>
    </row>
    <row r="1168">
      <c r="A1168" s="5" t="n"/>
      <c r="B1168" s="6" t="n"/>
      <c r="C1168" s="5" t="n"/>
      <c r="D1168" s="6" t="n"/>
      <c r="E1168" s="7" t="n"/>
      <c r="F1168" s="6" t="n"/>
      <c r="G1168" s="8">
        <f>IF(B1168="","",IFERROR(VLOOKUP(--B1168,'CATALOGO CECO'!$A$2:$H$550,2,FALSE),"CECO NO EXISTE"))</f>
        <v/>
      </c>
      <c r="H1168" s="8">
        <f>IF(B1168="","",IFERROR(VLOOKUP(--B1168,'CATALOGO CECO'!$A$2:$H$550,3,FALSE),""))</f>
        <v/>
      </c>
      <c r="I1168" s="8">
        <f>IF(B1168="","",IFERROR(VLOOKUP(--B1168,'CATALOGO CECO'!$A$2:$H$550,5,FALSE),""))</f>
        <v/>
      </c>
      <c r="J1168" s="8">
        <f>IF(B1168="","",IFERROR(VLOOKUP(--B1168,'CATALOGO CECO'!$A$2:$H$550,8,FALSE),""))</f>
        <v/>
      </c>
      <c r="K1168" s="8">
        <f>IF(COUNTA(A1168:F1168)=0,"",IF(OR(LEN(A1168)&lt;&gt;7,MID(A1168,5,1)&lt;&gt;"-",ISERROR(--LEFT(A1168,4)),ISERROR(--RIGHT(A1168,2))),"ERROR: PERIODO debe ser AAAA-MM",IF(B1168="","ERROR: falta CODIGO CECO",IF(G1168="CECO NO EXISTE","ERROR: CECO no existe en el catálogo",IF(C1168="","ERROR: falta CUENTA",IF(ISERROR(--C1168),"ERROR: CUENTA debe tener solo dígitos",IF(ISERROR(FIND(LEFT(C1168,1),"567")),"ERROR: CUENTA fuera de las clases de costo",IF(NOT(ISNUMBER(E1168)),"ERROR: VALOR debe ser numérico",IF(E1168=0,"AVISO: valor cero (no se carga)",IF(J1168&lt;&gt;"ACTIVO","NO SE CARGA: CECO en estado "&amp;J1168,"OK"))))))))))</f>
        <v/>
      </c>
    </row>
    <row r="1169">
      <c r="A1169" s="5" t="n"/>
      <c r="B1169" s="6" t="n"/>
      <c r="C1169" s="5" t="n"/>
      <c r="D1169" s="6" t="n"/>
      <c r="E1169" s="7" t="n"/>
      <c r="F1169" s="6" t="n"/>
      <c r="G1169" s="8">
        <f>IF(B1169="","",IFERROR(VLOOKUP(--B1169,'CATALOGO CECO'!$A$2:$H$550,2,FALSE),"CECO NO EXISTE"))</f>
        <v/>
      </c>
      <c r="H1169" s="8">
        <f>IF(B1169="","",IFERROR(VLOOKUP(--B1169,'CATALOGO CECO'!$A$2:$H$550,3,FALSE),""))</f>
        <v/>
      </c>
      <c r="I1169" s="8">
        <f>IF(B1169="","",IFERROR(VLOOKUP(--B1169,'CATALOGO CECO'!$A$2:$H$550,5,FALSE),""))</f>
        <v/>
      </c>
      <c r="J1169" s="8">
        <f>IF(B1169="","",IFERROR(VLOOKUP(--B1169,'CATALOGO CECO'!$A$2:$H$550,8,FALSE),""))</f>
        <v/>
      </c>
      <c r="K1169" s="8">
        <f>IF(COUNTA(A1169:F1169)=0,"",IF(OR(LEN(A1169)&lt;&gt;7,MID(A1169,5,1)&lt;&gt;"-",ISERROR(--LEFT(A1169,4)),ISERROR(--RIGHT(A1169,2))),"ERROR: PERIODO debe ser AAAA-MM",IF(B1169="","ERROR: falta CODIGO CECO",IF(G1169="CECO NO EXISTE","ERROR: CECO no existe en el catálogo",IF(C1169="","ERROR: falta CUENTA",IF(ISERROR(--C1169),"ERROR: CUENTA debe tener solo dígitos",IF(ISERROR(FIND(LEFT(C1169,1),"567")),"ERROR: CUENTA fuera de las clases de costo",IF(NOT(ISNUMBER(E1169)),"ERROR: VALOR debe ser numérico",IF(E1169=0,"AVISO: valor cero (no se carga)",IF(J1169&lt;&gt;"ACTIVO","NO SE CARGA: CECO en estado "&amp;J1169,"OK"))))))))))</f>
        <v/>
      </c>
    </row>
    <row r="1170">
      <c r="A1170" s="5" t="n"/>
      <c r="B1170" s="6" t="n"/>
      <c r="C1170" s="5" t="n"/>
      <c r="D1170" s="6" t="n"/>
      <c r="E1170" s="7" t="n"/>
      <c r="F1170" s="6" t="n"/>
      <c r="G1170" s="8">
        <f>IF(B1170="","",IFERROR(VLOOKUP(--B1170,'CATALOGO CECO'!$A$2:$H$550,2,FALSE),"CECO NO EXISTE"))</f>
        <v/>
      </c>
      <c r="H1170" s="8">
        <f>IF(B1170="","",IFERROR(VLOOKUP(--B1170,'CATALOGO CECO'!$A$2:$H$550,3,FALSE),""))</f>
        <v/>
      </c>
      <c r="I1170" s="8">
        <f>IF(B1170="","",IFERROR(VLOOKUP(--B1170,'CATALOGO CECO'!$A$2:$H$550,5,FALSE),""))</f>
        <v/>
      </c>
      <c r="J1170" s="8">
        <f>IF(B1170="","",IFERROR(VLOOKUP(--B1170,'CATALOGO CECO'!$A$2:$H$550,8,FALSE),""))</f>
        <v/>
      </c>
      <c r="K1170" s="8">
        <f>IF(COUNTA(A1170:F1170)=0,"",IF(OR(LEN(A1170)&lt;&gt;7,MID(A1170,5,1)&lt;&gt;"-",ISERROR(--LEFT(A1170,4)),ISERROR(--RIGHT(A1170,2))),"ERROR: PERIODO debe ser AAAA-MM",IF(B1170="","ERROR: falta CODIGO CECO",IF(G1170="CECO NO EXISTE","ERROR: CECO no existe en el catálogo",IF(C1170="","ERROR: falta CUENTA",IF(ISERROR(--C1170),"ERROR: CUENTA debe tener solo dígitos",IF(ISERROR(FIND(LEFT(C1170,1),"567")),"ERROR: CUENTA fuera de las clases de costo",IF(NOT(ISNUMBER(E1170)),"ERROR: VALOR debe ser numérico",IF(E1170=0,"AVISO: valor cero (no se carga)",IF(J1170&lt;&gt;"ACTIVO","NO SE CARGA: CECO en estado "&amp;J1170,"OK"))))))))))</f>
        <v/>
      </c>
    </row>
    <row r="1171">
      <c r="A1171" s="5" t="n"/>
      <c r="B1171" s="6" t="n"/>
      <c r="C1171" s="5" t="n"/>
      <c r="D1171" s="6" t="n"/>
      <c r="E1171" s="7" t="n"/>
      <c r="F1171" s="6" t="n"/>
      <c r="G1171" s="8">
        <f>IF(B1171="","",IFERROR(VLOOKUP(--B1171,'CATALOGO CECO'!$A$2:$H$550,2,FALSE),"CECO NO EXISTE"))</f>
        <v/>
      </c>
      <c r="H1171" s="8">
        <f>IF(B1171="","",IFERROR(VLOOKUP(--B1171,'CATALOGO CECO'!$A$2:$H$550,3,FALSE),""))</f>
        <v/>
      </c>
      <c r="I1171" s="8">
        <f>IF(B1171="","",IFERROR(VLOOKUP(--B1171,'CATALOGO CECO'!$A$2:$H$550,5,FALSE),""))</f>
        <v/>
      </c>
      <c r="J1171" s="8">
        <f>IF(B1171="","",IFERROR(VLOOKUP(--B1171,'CATALOGO CECO'!$A$2:$H$550,8,FALSE),""))</f>
        <v/>
      </c>
      <c r="K1171" s="8">
        <f>IF(COUNTA(A1171:F1171)=0,"",IF(OR(LEN(A1171)&lt;&gt;7,MID(A1171,5,1)&lt;&gt;"-",ISERROR(--LEFT(A1171,4)),ISERROR(--RIGHT(A1171,2))),"ERROR: PERIODO debe ser AAAA-MM",IF(B1171="","ERROR: falta CODIGO CECO",IF(G1171="CECO NO EXISTE","ERROR: CECO no existe en el catálogo",IF(C1171="","ERROR: falta CUENTA",IF(ISERROR(--C1171),"ERROR: CUENTA debe tener solo dígitos",IF(ISERROR(FIND(LEFT(C1171,1),"567")),"ERROR: CUENTA fuera de las clases de costo",IF(NOT(ISNUMBER(E1171)),"ERROR: VALOR debe ser numérico",IF(E1171=0,"AVISO: valor cero (no se carga)",IF(J1171&lt;&gt;"ACTIVO","NO SE CARGA: CECO en estado "&amp;J1171,"OK"))))))))))</f>
        <v/>
      </c>
    </row>
    <row r="1172">
      <c r="A1172" s="5" t="n"/>
      <c r="B1172" s="6" t="n"/>
      <c r="C1172" s="5" t="n"/>
      <c r="D1172" s="6" t="n"/>
      <c r="E1172" s="7" t="n"/>
      <c r="F1172" s="6" t="n"/>
      <c r="G1172" s="8">
        <f>IF(B1172="","",IFERROR(VLOOKUP(--B1172,'CATALOGO CECO'!$A$2:$H$550,2,FALSE),"CECO NO EXISTE"))</f>
        <v/>
      </c>
      <c r="H1172" s="8">
        <f>IF(B1172="","",IFERROR(VLOOKUP(--B1172,'CATALOGO CECO'!$A$2:$H$550,3,FALSE),""))</f>
        <v/>
      </c>
      <c r="I1172" s="8">
        <f>IF(B1172="","",IFERROR(VLOOKUP(--B1172,'CATALOGO CECO'!$A$2:$H$550,5,FALSE),""))</f>
        <v/>
      </c>
      <c r="J1172" s="8">
        <f>IF(B1172="","",IFERROR(VLOOKUP(--B1172,'CATALOGO CECO'!$A$2:$H$550,8,FALSE),""))</f>
        <v/>
      </c>
      <c r="K1172" s="8">
        <f>IF(COUNTA(A1172:F1172)=0,"",IF(OR(LEN(A1172)&lt;&gt;7,MID(A1172,5,1)&lt;&gt;"-",ISERROR(--LEFT(A1172,4)),ISERROR(--RIGHT(A1172,2))),"ERROR: PERIODO debe ser AAAA-MM",IF(B1172="","ERROR: falta CODIGO CECO",IF(G1172="CECO NO EXISTE","ERROR: CECO no existe en el catálogo",IF(C1172="","ERROR: falta CUENTA",IF(ISERROR(--C1172),"ERROR: CUENTA debe tener solo dígitos",IF(ISERROR(FIND(LEFT(C1172,1),"567")),"ERROR: CUENTA fuera de las clases de costo",IF(NOT(ISNUMBER(E1172)),"ERROR: VALOR debe ser numérico",IF(E1172=0,"AVISO: valor cero (no se carga)",IF(J1172&lt;&gt;"ACTIVO","NO SE CARGA: CECO en estado "&amp;J1172,"OK"))))))))))</f>
        <v/>
      </c>
    </row>
    <row r="1173">
      <c r="A1173" s="5" t="n"/>
      <c r="B1173" s="6" t="n"/>
      <c r="C1173" s="5" t="n"/>
      <c r="D1173" s="6" t="n"/>
      <c r="E1173" s="7" t="n"/>
      <c r="F1173" s="6" t="n"/>
      <c r="G1173" s="8">
        <f>IF(B1173="","",IFERROR(VLOOKUP(--B1173,'CATALOGO CECO'!$A$2:$H$550,2,FALSE),"CECO NO EXISTE"))</f>
        <v/>
      </c>
      <c r="H1173" s="8">
        <f>IF(B1173="","",IFERROR(VLOOKUP(--B1173,'CATALOGO CECO'!$A$2:$H$550,3,FALSE),""))</f>
        <v/>
      </c>
      <c r="I1173" s="8">
        <f>IF(B1173="","",IFERROR(VLOOKUP(--B1173,'CATALOGO CECO'!$A$2:$H$550,5,FALSE),""))</f>
        <v/>
      </c>
      <c r="J1173" s="8">
        <f>IF(B1173="","",IFERROR(VLOOKUP(--B1173,'CATALOGO CECO'!$A$2:$H$550,8,FALSE),""))</f>
        <v/>
      </c>
      <c r="K1173" s="8">
        <f>IF(COUNTA(A1173:F1173)=0,"",IF(OR(LEN(A1173)&lt;&gt;7,MID(A1173,5,1)&lt;&gt;"-",ISERROR(--LEFT(A1173,4)),ISERROR(--RIGHT(A1173,2))),"ERROR: PERIODO debe ser AAAA-MM",IF(B1173="","ERROR: falta CODIGO CECO",IF(G1173="CECO NO EXISTE","ERROR: CECO no existe en el catálogo",IF(C1173="","ERROR: falta CUENTA",IF(ISERROR(--C1173),"ERROR: CUENTA debe tener solo dígitos",IF(ISERROR(FIND(LEFT(C1173,1),"567")),"ERROR: CUENTA fuera de las clases de costo",IF(NOT(ISNUMBER(E1173)),"ERROR: VALOR debe ser numérico",IF(E1173=0,"AVISO: valor cero (no se carga)",IF(J1173&lt;&gt;"ACTIVO","NO SE CARGA: CECO en estado "&amp;J1173,"OK"))))))))))</f>
        <v/>
      </c>
    </row>
    <row r="1174">
      <c r="A1174" s="5" t="n"/>
      <c r="B1174" s="6" t="n"/>
      <c r="C1174" s="5" t="n"/>
      <c r="D1174" s="6" t="n"/>
      <c r="E1174" s="7" t="n"/>
      <c r="F1174" s="6" t="n"/>
      <c r="G1174" s="8">
        <f>IF(B1174="","",IFERROR(VLOOKUP(--B1174,'CATALOGO CECO'!$A$2:$H$550,2,FALSE),"CECO NO EXISTE"))</f>
        <v/>
      </c>
      <c r="H1174" s="8">
        <f>IF(B1174="","",IFERROR(VLOOKUP(--B1174,'CATALOGO CECO'!$A$2:$H$550,3,FALSE),""))</f>
        <v/>
      </c>
      <c r="I1174" s="8">
        <f>IF(B1174="","",IFERROR(VLOOKUP(--B1174,'CATALOGO CECO'!$A$2:$H$550,5,FALSE),""))</f>
        <v/>
      </c>
      <c r="J1174" s="8">
        <f>IF(B1174="","",IFERROR(VLOOKUP(--B1174,'CATALOGO CECO'!$A$2:$H$550,8,FALSE),""))</f>
        <v/>
      </c>
      <c r="K1174" s="8">
        <f>IF(COUNTA(A1174:F1174)=0,"",IF(OR(LEN(A1174)&lt;&gt;7,MID(A1174,5,1)&lt;&gt;"-",ISERROR(--LEFT(A1174,4)),ISERROR(--RIGHT(A1174,2))),"ERROR: PERIODO debe ser AAAA-MM",IF(B1174="","ERROR: falta CODIGO CECO",IF(G1174="CECO NO EXISTE","ERROR: CECO no existe en el catálogo",IF(C1174="","ERROR: falta CUENTA",IF(ISERROR(--C1174),"ERROR: CUENTA debe tener solo dígitos",IF(ISERROR(FIND(LEFT(C1174,1),"567")),"ERROR: CUENTA fuera de las clases de costo",IF(NOT(ISNUMBER(E1174)),"ERROR: VALOR debe ser numérico",IF(E1174=0,"AVISO: valor cero (no se carga)",IF(J1174&lt;&gt;"ACTIVO","NO SE CARGA: CECO en estado "&amp;J1174,"OK"))))))))))</f>
        <v/>
      </c>
    </row>
    <row r="1175">
      <c r="A1175" s="5" t="n"/>
      <c r="B1175" s="6" t="n"/>
      <c r="C1175" s="5" t="n"/>
      <c r="D1175" s="6" t="n"/>
      <c r="E1175" s="7" t="n"/>
      <c r="F1175" s="6" t="n"/>
      <c r="G1175" s="8">
        <f>IF(B1175="","",IFERROR(VLOOKUP(--B1175,'CATALOGO CECO'!$A$2:$H$550,2,FALSE),"CECO NO EXISTE"))</f>
        <v/>
      </c>
      <c r="H1175" s="8">
        <f>IF(B1175="","",IFERROR(VLOOKUP(--B1175,'CATALOGO CECO'!$A$2:$H$550,3,FALSE),""))</f>
        <v/>
      </c>
      <c r="I1175" s="8">
        <f>IF(B1175="","",IFERROR(VLOOKUP(--B1175,'CATALOGO CECO'!$A$2:$H$550,5,FALSE),""))</f>
        <v/>
      </c>
      <c r="J1175" s="8">
        <f>IF(B1175="","",IFERROR(VLOOKUP(--B1175,'CATALOGO CECO'!$A$2:$H$550,8,FALSE),""))</f>
        <v/>
      </c>
      <c r="K1175" s="8">
        <f>IF(COUNTA(A1175:F1175)=0,"",IF(OR(LEN(A1175)&lt;&gt;7,MID(A1175,5,1)&lt;&gt;"-",ISERROR(--LEFT(A1175,4)),ISERROR(--RIGHT(A1175,2))),"ERROR: PERIODO debe ser AAAA-MM",IF(B1175="","ERROR: falta CODIGO CECO",IF(G1175="CECO NO EXISTE","ERROR: CECO no existe en el catálogo",IF(C1175="","ERROR: falta CUENTA",IF(ISERROR(--C1175),"ERROR: CUENTA debe tener solo dígitos",IF(ISERROR(FIND(LEFT(C1175,1),"567")),"ERROR: CUENTA fuera de las clases de costo",IF(NOT(ISNUMBER(E1175)),"ERROR: VALOR debe ser numérico",IF(E1175=0,"AVISO: valor cero (no se carga)",IF(J1175&lt;&gt;"ACTIVO","NO SE CARGA: CECO en estado "&amp;J1175,"OK"))))))))))</f>
        <v/>
      </c>
    </row>
    <row r="1176">
      <c r="A1176" s="5" t="n"/>
      <c r="B1176" s="6" t="n"/>
      <c r="C1176" s="5" t="n"/>
      <c r="D1176" s="6" t="n"/>
      <c r="E1176" s="7" t="n"/>
      <c r="F1176" s="6" t="n"/>
      <c r="G1176" s="8">
        <f>IF(B1176="","",IFERROR(VLOOKUP(--B1176,'CATALOGO CECO'!$A$2:$H$550,2,FALSE),"CECO NO EXISTE"))</f>
        <v/>
      </c>
      <c r="H1176" s="8">
        <f>IF(B1176="","",IFERROR(VLOOKUP(--B1176,'CATALOGO CECO'!$A$2:$H$550,3,FALSE),""))</f>
        <v/>
      </c>
      <c r="I1176" s="8">
        <f>IF(B1176="","",IFERROR(VLOOKUP(--B1176,'CATALOGO CECO'!$A$2:$H$550,5,FALSE),""))</f>
        <v/>
      </c>
      <c r="J1176" s="8">
        <f>IF(B1176="","",IFERROR(VLOOKUP(--B1176,'CATALOGO CECO'!$A$2:$H$550,8,FALSE),""))</f>
        <v/>
      </c>
      <c r="K1176" s="8">
        <f>IF(COUNTA(A1176:F1176)=0,"",IF(OR(LEN(A1176)&lt;&gt;7,MID(A1176,5,1)&lt;&gt;"-",ISERROR(--LEFT(A1176,4)),ISERROR(--RIGHT(A1176,2))),"ERROR: PERIODO debe ser AAAA-MM",IF(B1176="","ERROR: falta CODIGO CECO",IF(G1176="CECO NO EXISTE","ERROR: CECO no existe en el catálogo",IF(C1176="","ERROR: falta CUENTA",IF(ISERROR(--C1176),"ERROR: CUENTA debe tener solo dígitos",IF(ISERROR(FIND(LEFT(C1176,1),"567")),"ERROR: CUENTA fuera de las clases de costo",IF(NOT(ISNUMBER(E1176)),"ERROR: VALOR debe ser numérico",IF(E1176=0,"AVISO: valor cero (no se carga)",IF(J1176&lt;&gt;"ACTIVO","NO SE CARGA: CECO en estado "&amp;J1176,"OK"))))))))))</f>
        <v/>
      </c>
    </row>
    <row r="1177">
      <c r="A1177" s="5" t="n"/>
      <c r="B1177" s="6" t="n"/>
      <c r="C1177" s="5" t="n"/>
      <c r="D1177" s="6" t="n"/>
      <c r="E1177" s="7" t="n"/>
      <c r="F1177" s="6" t="n"/>
      <c r="G1177" s="8">
        <f>IF(B1177="","",IFERROR(VLOOKUP(--B1177,'CATALOGO CECO'!$A$2:$H$550,2,FALSE),"CECO NO EXISTE"))</f>
        <v/>
      </c>
      <c r="H1177" s="8">
        <f>IF(B1177="","",IFERROR(VLOOKUP(--B1177,'CATALOGO CECO'!$A$2:$H$550,3,FALSE),""))</f>
        <v/>
      </c>
      <c r="I1177" s="8">
        <f>IF(B1177="","",IFERROR(VLOOKUP(--B1177,'CATALOGO CECO'!$A$2:$H$550,5,FALSE),""))</f>
        <v/>
      </c>
      <c r="J1177" s="8">
        <f>IF(B1177="","",IFERROR(VLOOKUP(--B1177,'CATALOGO CECO'!$A$2:$H$550,8,FALSE),""))</f>
        <v/>
      </c>
      <c r="K1177" s="8">
        <f>IF(COUNTA(A1177:F1177)=0,"",IF(OR(LEN(A1177)&lt;&gt;7,MID(A1177,5,1)&lt;&gt;"-",ISERROR(--LEFT(A1177,4)),ISERROR(--RIGHT(A1177,2))),"ERROR: PERIODO debe ser AAAA-MM",IF(B1177="","ERROR: falta CODIGO CECO",IF(G1177="CECO NO EXISTE","ERROR: CECO no existe en el catálogo",IF(C1177="","ERROR: falta CUENTA",IF(ISERROR(--C1177),"ERROR: CUENTA debe tener solo dígitos",IF(ISERROR(FIND(LEFT(C1177,1),"567")),"ERROR: CUENTA fuera de las clases de costo",IF(NOT(ISNUMBER(E1177)),"ERROR: VALOR debe ser numérico",IF(E1177=0,"AVISO: valor cero (no se carga)",IF(J1177&lt;&gt;"ACTIVO","NO SE CARGA: CECO en estado "&amp;J1177,"OK"))))))))))</f>
        <v/>
      </c>
    </row>
    <row r="1178">
      <c r="A1178" s="5" t="n"/>
      <c r="B1178" s="6" t="n"/>
      <c r="C1178" s="5" t="n"/>
      <c r="D1178" s="6" t="n"/>
      <c r="E1178" s="7" t="n"/>
      <c r="F1178" s="6" t="n"/>
      <c r="G1178" s="8">
        <f>IF(B1178="","",IFERROR(VLOOKUP(--B1178,'CATALOGO CECO'!$A$2:$H$550,2,FALSE),"CECO NO EXISTE"))</f>
        <v/>
      </c>
      <c r="H1178" s="8">
        <f>IF(B1178="","",IFERROR(VLOOKUP(--B1178,'CATALOGO CECO'!$A$2:$H$550,3,FALSE),""))</f>
        <v/>
      </c>
      <c r="I1178" s="8">
        <f>IF(B1178="","",IFERROR(VLOOKUP(--B1178,'CATALOGO CECO'!$A$2:$H$550,5,FALSE),""))</f>
        <v/>
      </c>
      <c r="J1178" s="8">
        <f>IF(B1178="","",IFERROR(VLOOKUP(--B1178,'CATALOGO CECO'!$A$2:$H$550,8,FALSE),""))</f>
        <v/>
      </c>
      <c r="K1178" s="8">
        <f>IF(COUNTA(A1178:F1178)=0,"",IF(OR(LEN(A1178)&lt;&gt;7,MID(A1178,5,1)&lt;&gt;"-",ISERROR(--LEFT(A1178,4)),ISERROR(--RIGHT(A1178,2))),"ERROR: PERIODO debe ser AAAA-MM",IF(B1178="","ERROR: falta CODIGO CECO",IF(G1178="CECO NO EXISTE","ERROR: CECO no existe en el catálogo",IF(C1178="","ERROR: falta CUENTA",IF(ISERROR(--C1178),"ERROR: CUENTA debe tener solo dígitos",IF(ISERROR(FIND(LEFT(C1178,1),"567")),"ERROR: CUENTA fuera de las clases de costo",IF(NOT(ISNUMBER(E1178)),"ERROR: VALOR debe ser numérico",IF(E1178=0,"AVISO: valor cero (no se carga)",IF(J1178&lt;&gt;"ACTIVO","NO SE CARGA: CECO en estado "&amp;J1178,"OK"))))))))))</f>
        <v/>
      </c>
    </row>
    <row r="1179">
      <c r="A1179" s="5" t="n"/>
      <c r="B1179" s="6" t="n"/>
      <c r="C1179" s="5" t="n"/>
      <c r="D1179" s="6" t="n"/>
      <c r="E1179" s="7" t="n"/>
      <c r="F1179" s="6" t="n"/>
      <c r="G1179" s="8">
        <f>IF(B1179="","",IFERROR(VLOOKUP(--B1179,'CATALOGO CECO'!$A$2:$H$550,2,FALSE),"CECO NO EXISTE"))</f>
        <v/>
      </c>
      <c r="H1179" s="8">
        <f>IF(B1179="","",IFERROR(VLOOKUP(--B1179,'CATALOGO CECO'!$A$2:$H$550,3,FALSE),""))</f>
        <v/>
      </c>
      <c r="I1179" s="8">
        <f>IF(B1179="","",IFERROR(VLOOKUP(--B1179,'CATALOGO CECO'!$A$2:$H$550,5,FALSE),""))</f>
        <v/>
      </c>
      <c r="J1179" s="8">
        <f>IF(B1179="","",IFERROR(VLOOKUP(--B1179,'CATALOGO CECO'!$A$2:$H$550,8,FALSE),""))</f>
        <v/>
      </c>
      <c r="K1179" s="8">
        <f>IF(COUNTA(A1179:F1179)=0,"",IF(OR(LEN(A1179)&lt;&gt;7,MID(A1179,5,1)&lt;&gt;"-",ISERROR(--LEFT(A1179,4)),ISERROR(--RIGHT(A1179,2))),"ERROR: PERIODO debe ser AAAA-MM",IF(B1179="","ERROR: falta CODIGO CECO",IF(G1179="CECO NO EXISTE","ERROR: CECO no existe en el catálogo",IF(C1179="","ERROR: falta CUENTA",IF(ISERROR(--C1179),"ERROR: CUENTA debe tener solo dígitos",IF(ISERROR(FIND(LEFT(C1179,1),"567")),"ERROR: CUENTA fuera de las clases de costo",IF(NOT(ISNUMBER(E1179)),"ERROR: VALOR debe ser numérico",IF(E1179=0,"AVISO: valor cero (no se carga)",IF(J1179&lt;&gt;"ACTIVO","NO SE CARGA: CECO en estado "&amp;J1179,"OK"))))))))))</f>
        <v/>
      </c>
    </row>
    <row r="1180">
      <c r="A1180" s="5" t="n"/>
      <c r="B1180" s="6" t="n"/>
      <c r="C1180" s="5" t="n"/>
      <c r="D1180" s="6" t="n"/>
      <c r="E1180" s="7" t="n"/>
      <c r="F1180" s="6" t="n"/>
      <c r="G1180" s="8">
        <f>IF(B1180="","",IFERROR(VLOOKUP(--B1180,'CATALOGO CECO'!$A$2:$H$550,2,FALSE),"CECO NO EXISTE"))</f>
        <v/>
      </c>
      <c r="H1180" s="8">
        <f>IF(B1180="","",IFERROR(VLOOKUP(--B1180,'CATALOGO CECO'!$A$2:$H$550,3,FALSE),""))</f>
        <v/>
      </c>
      <c r="I1180" s="8">
        <f>IF(B1180="","",IFERROR(VLOOKUP(--B1180,'CATALOGO CECO'!$A$2:$H$550,5,FALSE),""))</f>
        <v/>
      </c>
      <c r="J1180" s="8">
        <f>IF(B1180="","",IFERROR(VLOOKUP(--B1180,'CATALOGO CECO'!$A$2:$H$550,8,FALSE),""))</f>
        <v/>
      </c>
      <c r="K1180" s="8">
        <f>IF(COUNTA(A1180:F1180)=0,"",IF(OR(LEN(A1180)&lt;&gt;7,MID(A1180,5,1)&lt;&gt;"-",ISERROR(--LEFT(A1180,4)),ISERROR(--RIGHT(A1180,2))),"ERROR: PERIODO debe ser AAAA-MM",IF(B1180="","ERROR: falta CODIGO CECO",IF(G1180="CECO NO EXISTE","ERROR: CECO no existe en el catálogo",IF(C1180="","ERROR: falta CUENTA",IF(ISERROR(--C1180),"ERROR: CUENTA debe tener solo dígitos",IF(ISERROR(FIND(LEFT(C1180,1),"567")),"ERROR: CUENTA fuera de las clases de costo",IF(NOT(ISNUMBER(E1180)),"ERROR: VALOR debe ser numérico",IF(E1180=0,"AVISO: valor cero (no se carga)",IF(J1180&lt;&gt;"ACTIVO","NO SE CARGA: CECO en estado "&amp;J1180,"OK"))))))))))</f>
        <v/>
      </c>
    </row>
    <row r="1181">
      <c r="A1181" s="5" t="n"/>
      <c r="B1181" s="6" t="n"/>
      <c r="C1181" s="5" t="n"/>
      <c r="D1181" s="6" t="n"/>
      <c r="E1181" s="7" t="n"/>
      <c r="F1181" s="6" t="n"/>
      <c r="G1181" s="8">
        <f>IF(B1181="","",IFERROR(VLOOKUP(--B1181,'CATALOGO CECO'!$A$2:$H$550,2,FALSE),"CECO NO EXISTE"))</f>
        <v/>
      </c>
      <c r="H1181" s="8">
        <f>IF(B1181="","",IFERROR(VLOOKUP(--B1181,'CATALOGO CECO'!$A$2:$H$550,3,FALSE),""))</f>
        <v/>
      </c>
      <c r="I1181" s="8">
        <f>IF(B1181="","",IFERROR(VLOOKUP(--B1181,'CATALOGO CECO'!$A$2:$H$550,5,FALSE),""))</f>
        <v/>
      </c>
      <c r="J1181" s="8">
        <f>IF(B1181="","",IFERROR(VLOOKUP(--B1181,'CATALOGO CECO'!$A$2:$H$550,8,FALSE),""))</f>
        <v/>
      </c>
      <c r="K1181" s="8">
        <f>IF(COUNTA(A1181:F1181)=0,"",IF(OR(LEN(A1181)&lt;&gt;7,MID(A1181,5,1)&lt;&gt;"-",ISERROR(--LEFT(A1181,4)),ISERROR(--RIGHT(A1181,2))),"ERROR: PERIODO debe ser AAAA-MM",IF(B1181="","ERROR: falta CODIGO CECO",IF(G1181="CECO NO EXISTE","ERROR: CECO no existe en el catálogo",IF(C1181="","ERROR: falta CUENTA",IF(ISERROR(--C1181),"ERROR: CUENTA debe tener solo dígitos",IF(ISERROR(FIND(LEFT(C1181,1),"567")),"ERROR: CUENTA fuera de las clases de costo",IF(NOT(ISNUMBER(E1181)),"ERROR: VALOR debe ser numérico",IF(E1181=0,"AVISO: valor cero (no se carga)",IF(J1181&lt;&gt;"ACTIVO","NO SE CARGA: CECO en estado "&amp;J1181,"OK"))))))))))</f>
        <v/>
      </c>
    </row>
    <row r="1182">
      <c r="A1182" s="5" t="n"/>
      <c r="B1182" s="6" t="n"/>
      <c r="C1182" s="5" t="n"/>
      <c r="D1182" s="6" t="n"/>
      <c r="E1182" s="7" t="n"/>
      <c r="F1182" s="6" t="n"/>
      <c r="G1182" s="8">
        <f>IF(B1182="","",IFERROR(VLOOKUP(--B1182,'CATALOGO CECO'!$A$2:$H$550,2,FALSE),"CECO NO EXISTE"))</f>
        <v/>
      </c>
      <c r="H1182" s="8">
        <f>IF(B1182="","",IFERROR(VLOOKUP(--B1182,'CATALOGO CECO'!$A$2:$H$550,3,FALSE),""))</f>
        <v/>
      </c>
      <c r="I1182" s="8">
        <f>IF(B1182="","",IFERROR(VLOOKUP(--B1182,'CATALOGO CECO'!$A$2:$H$550,5,FALSE),""))</f>
        <v/>
      </c>
      <c r="J1182" s="8">
        <f>IF(B1182="","",IFERROR(VLOOKUP(--B1182,'CATALOGO CECO'!$A$2:$H$550,8,FALSE),""))</f>
        <v/>
      </c>
      <c r="K1182" s="8">
        <f>IF(COUNTA(A1182:F1182)=0,"",IF(OR(LEN(A1182)&lt;&gt;7,MID(A1182,5,1)&lt;&gt;"-",ISERROR(--LEFT(A1182,4)),ISERROR(--RIGHT(A1182,2))),"ERROR: PERIODO debe ser AAAA-MM",IF(B1182="","ERROR: falta CODIGO CECO",IF(G1182="CECO NO EXISTE","ERROR: CECO no existe en el catálogo",IF(C1182="","ERROR: falta CUENTA",IF(ISERROR(--C1182),"ERROR: CUENTA debe tener solo dígitos",IF(ISERROR(FIND(LEFT(C1182,1),"567")),"ERROR: CUENTA fuera de las clases de costo",IF(NOT(ISNUMBER(E1182)),"ERROR: VALOR debe ser numérico",IF(E1182=0,"AVISO: valor cero (no se carga)",IF(J1182&lt;&gt;"ACTIVO","NO SE CARGA: CECO en estado "&amp;J1182,"OK"))))))))))</f>
        <v/>
      </c>
    </row>
    <row r="1183">
      <c r="A1183" s="5" t="n"/>
      <c r="B1183" s="6" t="n"/>
      <c r="C1183" s="5" t="n"/>
      <c r="D1183" s="6" t="n"/>
      <c r="E1183" s="7" t="n"/>
      <c r="F1183" s="6" t="n"/>
      <c r="G1183" s="8">
        <f>IF(B1183="","",IFERROR(VLOOKUP(--B1183,'CATALOGO CECO'!$A$2:$H$550,2,FALSE),"CECO NO EXISTE"))</f>
        <v/>
      </c>
      <c r="H1183" s="8">
        <f>IF(B1183="","",IFERROR(VLOOKUP(--B1183,'CATALOGO CECO'!$A$2:$H$550,3,FALSE),""))</f>
        <v/>
      </c>
      <c r="I1183" s="8">
        <f>IF(B1183="","",IFERROR(VLOOKUP(--B1183,'CATALOGO CECO'!$A$2:$H$550,5,FALSE),""))</f>
        <v/>
      </c>
      <c r="J1183" s="8">
        <f>IF(B1183="","",IFERROR(VLOOKUP(--B1183,'CATALOGO CECO'!$A$2:$H$550,8,FALSE),""))</f>
        <v/>
      </c>
      <c r="K1183" s="8">
        <f>IF(COUNTA(A1183:F1183)=0,"",IF(OR(LEN(A1183)&lt;&gt;7,MID(A1183,5,1)&lt;&gt;"-",ISERROR(--LEFT(A1183,4)),ISERROR(--RIGHT(A1183,2))),"ERROR: PERIODO debe ser AAAA-MM",IF(B1183="","ERROR: falta CODIGO CECO",IF(G1183="CECO NO EXISTE","ERROR: CECO no existe en el catálogo",IF(C1183="","ERROR: falta CUENTA",IF(ISERROR(--C1183),"ERROR: CUENTA debe tener solo dígitos",IF(ISERROR(FIND(LEFT(C1183,1),"567")),"ERROR: CUENTA fuera de las clases de costo",IF(NOT(ISNUMBER(E1183)),"ERROR: VALOR debe ser numérico",IF(E1183=0,"AVISO: valor cero (no se carga)",IF(J1183&lt;&gt;"ACTIVO","NO SE CARGA: CECO en estado "&amp;J1183,"OK"))))))))))</f>
        <v/>
      </c>
    </row>
    <row r="1184">
      <c r="A1184" s="5" t="n"/>
      <c r="B1184" s="6" t="n"/>
      <c r="C1184" s="5" t="n"/>
      <c r="D1184" s="6" t="n"/>
      <c r="E1184" s="7" t="n"/>
      <c r="F1184" s="6" t="n"/>
      <c r="G1184" s="8">
        <f>IF(B1184="","",IFERROR(VLOOKUP(--B1184,'CATALOGO CECO'!$A$2:$H$550,2,FALSE),"CECO NO EXISTE"))</f>
        <v/>
      </c>
      <c r="H1184" s="8">
        <f>IF(B1184="","",IFERROR(VLOOKUP(--B1184,'CATALOGO CECO'!$A$2:$H$550,3,FALSE),""))</f>
        <v/>
      </c>
      <c r="I1184" s="8">
        <f>IF(B1184="","",IFERROR(VLOOKUP(--B1184,'CATALOGO CECO'!$A$2:$H$550,5,FALSE),""))</f>
        <v/>
      </c>
      <c r="J1184" s="8">
        <f>IF(B1184="","",IFERROR(VLOOKUP(--B1184,'CATALOGO CECO'!$A$2:$H$550,8,FALSE),""))</f>
        <v/>
      </c>
      <c r="K1184" s="8">
        <f>IF(COUNTA(A1184:F1184)=0,"",IF(OR(LEN(A1184)&lt;&gt;7,MID(A1184,5,1)&lt;&gt;"-",ISERROR(--LEFT(A1184,4)),ISERROR(--RIGHT(A1184,2))),"ERROR: PERIODO debe ser AAAA-MM",IF(B1184="","ERROR: falta CODIGO CECO",IF(G1184="CECO NO EXISTE","ERROR: CECO no existe en el catálogo",IF(C1184="","ERROR: falta CUENTA",IF(ISERROR(--C1184),"ERROR: CUENTA debe tener solo dígitos",IF(ISERROR(FIND(LEFT(C1184,1),"567")),"ERROR: CUENTA fuera de las clases de costo",IF(NOT(ISNUMBER(E1184)),"ERROR: VALOR debe ser numérico",IF(E1184=0,"AVISO: valor cero (no se carga)",IF(J1184&lt;&gt;"ACTIVO","NO SE CARGA: CECO en estado "&amp;J1184,"OK"))))))))))</f>
        <v/>
      </c>
    </row>
    <row r="1185">
      <c r="A1185" s="5" t="n"/>
      <c r="B1185" s="6" t="n"/>
      <c r="C1185" s="5" t="n"/>
      <c r="D1185" s="6" t="n"/>
      <c r="E1185" s="7" t="n"/>
      <c r="F1185" s="6" t="n"/>
      <c r="G1185" s="8">
        <f>IF(B1185="","",IFERROR(VLOOKUP(--B1185,'CATALOGO CECO'!$A$2:$H$550,2,FALSE),"CECO NO EXISTE"))</f>
        <v/>
      </c>
      <c r="H1185" s="8">
        <f>IF(B1185="","",IFERROR(VLOOKUP(--B1185,'CATALOGO CECO'!$A$2:$H$550,3,FALSE),""))</f>
        <v/>
      </c>
      <c r="I1185" s="8">
        <f>IF(B1185="","",IFERROR(VLOOKUP(--B1185,'CATALOGO CECO'!$A$2:$H$550,5,FALSE),""))</f>
        <v/>
      </c>
      <c r="J1185" s="8">
        <f>IF(B1185="","",IFERROR(VLOOKUP(--B1185,'CATALOGO CECO'!$A$2:$H$550,8,FALSE),""))</f>
        <v/>
      </c>
      <c r="K1185" s="8">
        <f>IF(COUNTA(A1185:F1185)=0,"",IF(OR(LEN(A1185)&lt;&gt;7,MID(A1185,5,1)&lt;&gt;"-",ISERROR(--LEFT(A1185,4)),ISERROR(--RIGHT(A1185,2))),"ERROR: PERIODO debe ser AAAA-MM",IF(B1185="","ERROR: falta CODIGO CECO",IF(G1185="CECO NO EXISTE","ERROR: CECO no existe en el catálogo",IF(C1185="","ERROR: falta CUENTA",IF(ISERROR(--C1185),"ERROR: CUENTA debe tener solo dígitos",IF(ISERROR(FIND(LEFT(C1185,1),"567")),"ERROR: CUENTA fuera de las clases de costo",IF(NOT(ISNUMBER(E1185)),"ERROR: VALOR debe ser numérico",IF(E1185=0,"AVISO: valor cero (no se carga)",IF(J1185&lt;&gt;"ACTIVO","NO SE CARGA: CECO en estado "&amp;J1185,"OK"))))))))))</f>
        <v/>
      </c>
    </row>
    <row r="1186">
      <c r="A1186" s="5" t="n"/>
      <c r="B1186" s="6" t="n"/>
      <c r="C1186" s="5" t="n"/>
      <c r="D1186" s="6" t="n"/>
      <c r="E1186" s="7" t="n"/>
      <c r="F1186" s="6" t="n"/>
      <c r="G1186" s="8">
        <f>IF(B1186="","",IFERROR(VLOOKUP(--B1186,'CATALOGO CECO'!$A$2:$H$550,2,FALSE),"CECO NO EXISTE"))</f>
        <v/>
      </c>
      <c r="H1186" s="8">
        <f>IF(B1186="","",IFERROR(VLOOKUP(--B1186,'CATALOGO CECO'!$A$2:$H$550,3,FALSE),""))</f>
        <v/>
      </c>
      <c r="I1186" s="8">
        <f>IF(B1186="","",IFERROR(VLOOKUP(--B1186,'CATALOGO CECO'!$A$2:$H$550,5,FALSE),""))</f>
        <v/>
      </c>
      <c r="J1186" s="8">
        <f>IF(B1186="","",IFERROR(VLOOKUP(--B1186,'CATALOGO CECO'!$A$2:$H$550,8,FALSE),""))</f>
        <v/>
      </c>
      <c r="K1186" s="8">
        <f>IF(COUNTA(A1186:F1186)=0,"",IF(OR(LEN(A1186)&lt;&gt;7,MID(A1186,5,1)&lt;&gt;"-",ISERROR(--LEFT(A1186,4)),ISERROR(--RIGHT(A1186,2))),"ERROR: PERIODO debe ser AAAA-MM",IF(B1186="","ERROR: falta CODIGO CECO",IF(G1186="CECO NO EXISTE","ERROR: CECO no existe en el catálogo",IF(C1186="","ERROR: falta CUENTA",IF(ISERROR(--C1186),"ERROR: CUENTA debe tener solo dígitos",IF(ISERROR(FIND(LEFT(C1186,1),"567")),"ERROR: CUENTA fuera de las clases de costo",IF(NOT(ISNUMBER(E1186)),"ERROR: VALOR debe ser numérico",IF(E1186=0,"AVISO: valor cero (no se carga)",IF(J1186&lt;&gt;"ACTIVO","NO SE CARGA: CECO en estado "&amp;J1186,"OK"))))))))))</f>
        <v/>
      </c>
    </row>
    <row r="1187">
      <c r="A1187" s="5" t="n"/>
      <c r="B1187" s="6" t="n"/>
      <c r="C1187" s="5" t="n"/>
      <c r="D1187" s="6" t="n"/>
      <c r="E1187" s="7" t="n"/>
      <c r="F1187" s="6" t="n"/>
      <c r="G1187" s="8">
        <f>IF(B1187="","",IFERROR(VLOOKUP(--B1187,'CATALOGO CECO'!$A$2:$H$550,2,FALSE),"CECO NO EXISTE"))</f>
        <v/>
      </c>
      <c r="H1187" s="8">
        <f>IF(B1187="","",IFERROR(VLOOKUP(--B1187,'CATALOGO CECO'!$A$2:$H$550,3,FALSE),""))</f>
        <v/>
      </c>
      <c r="I1187" s="8">
        <f>IF(B1187="","",IFERROR(VLOOKUP(--B1187,'CATALOGO CECO'!$A$2:$H$550,5,FALSE),""))</f>
        <v/>
      </c>
      <c r="J1187" s="8">
        <f>IF(B1187="","",IFERROR(VLOOKUP(--B1187,'CATALOGO CECO'!$A$2:$H$550,8,FALSE),""))</f>
        <v/>
      </c>
      <c r="K1187" s="8">
        <f>IF(COUNTA(A1187:F1187)=0,"",IF(OR(LEN(A1187)&lt;&gt;7,MID(A1187,5,1)&lt;&gt;"-",ISERROR(--LEFT(A1187,4)),ISERROR(--RIGHT(A1187,2))),"ERROR: PERIODO debe ser AAAA-MM",IF(B1187="","ERROR: falta CODIGO CECO",IF(G1187="CECO NO EXISTE","ERROR: CECO no existe en el catálogo",IF(C1187="","ERROR: falta CUENTA",IF(ISERROR(--C1187),"ERROR: CUENTA debe tener solo dígitos",IF(ISERROR(FIND(LEFT(C1187,1),"567")),"ERROR: CUENTA fuera de las clases de costo",IF(NOT(ISNUMBER(E1187)),"ERROR: VALOR debe ser numérico",IF(E1187=0,"AVISO: valor cero (no se carga)",IF(J1187&lt;&gt;"ACTIVO","NO SE CARGA: CECO en estado "&amp;J1187,"OK"))))))))))</f>
        <v/>
      </c>
    </row>
    <row r="1188">
      <c r="A1188" s="5" t="n"/>
      <c r="B1188" s="6" t="n"/>
      <c r="C1188" s="5" t="n"/>
      <c r="D1188" s="6" t="n"/>
      <c r="E1188" s="7" t="n"/>
      <c r="F1188" s="6" t="n"/>
      <c r="G1188" s="8">
        <f>IF(B1188="","",IFERROR(VLOOKUP(--B1188,'CATALOGO CECO'!$A$2:$H$550,2,FALSE),"CECO NO EXISTE"))</f>
        <v/>
      </c>
      <c r="H1188" s="8">
        <f>IF(B1188="","",IFERROR(VLOOKUP(--B1188,'CATALOGO CECO'!$A$2:$H$550,3,FALSE),""))</f>
        <v/>
      </c>
      <c r="I1188" s="8">
        <f>IF(B1188="","",IFERROR(VLOOKUP(--B1188,'CATALOGO CECO'!$A$2:$H$550,5,FALSE),""))</f>
        <v/>
      </c>
      <c r="J1188" s="8">
        <f>IF(B1188="","",IFERROR(VLOOKUP(--B1188,'CATALOGO CECO'!$A$2:$H$550,8,FALSE),""))</f>
        <v/>
      </c>
      <c r="K1188" s="8">
        <f>IF(COUNTA(A1188:F1188)=0,"",IF(OR(LEN(A1188)&lt;&gt;7,MID(A1188,5,1)&lt;&gt;"-",ISERROR(--LEFT(A1188,4)),ISERROR(--RIGHT(A1188,2))),"ERROR: PERIODO debe ser AAAA-MM",IF(B1188="","ERROR: falta CODIGO CECO",IF(G1188="CECO NO EXISTE","ERROR: CECO no existe en el catálogo",IF(C1188="","ERROR: falta CUENTA",IF(ISERROR(--C1188),"ERROR: CUENTA debe tener solo dígitos",IF(ISERROR(FIND(LEFT(C1188,1),"567")),"ERROR: CUENTA fuera de las clases de costo",IF(NOT(ISNUMBER(E1188)),"ERROR: VALOR debe ser numérico",IF(E1188=0,"AVISO: valor cero (no se carga)",IF(J1188&lt;&gt;"ACTIVO","NO SE CARGA: CECO en estado "&amp;J1188,"OK"))))))))))</f>
        <v/>
      </c>
    </row>
    <row r="1189">
      <c r="A1189" s="5" t="n"/>
      <c r="B1189" s="6" t="n"/>
      <c r="C1189" s="5" t="n"/>
      <c r="D1189" s="6" t="n"/>
      <c r="E1189" s="7" t="n"/>
      <c r="F1189" s="6" t="n"/>
      <c r="G1189" s="8">
        <f>IF(B1189="","",IFERROR(VLOOKUP(--B1189,'CATALOGO CECO'!$A$2:$H$550,2,FALSE),"CECO NO EXISTE"))</f>
        <v/>
      </c>
      <c r="H1189" s="8">
        <f>IF(B1189="","",IFERROR(VLOOKUP(--B1189,'CATALOGO CECO'!$A$2:$H$550,3,FALSE),""))</f>
        <v/>
      </c>
      <c r="I1189" s="8">
        <f>IF(B1189="","",IFERROR(VLOOKUP(--B1189,'CATALOGO CECO'!$A$2:$H$550,5,FALSE),""))</f>
        <v/>
      </c>
      <c r="J1189" s="8">
        <f>IF(B1189="","",IFERROR(VLOOKUP(--B1189,'CATALOGO CECO'!$A$2:$H$550,8,FALSE),""))</f>
        <v/>
      </c>
      <c r="K1189" s="8">
        <f>IF(COUNTA(A1189:F1189)=0,"",IF(OR(LEN(A1189)&lt;&gt;7,MID(A1189,5,1)&lt;&gt;"-",ISERROR(--LEFT(A1189,4)),ISERROR(--RIGHT(A1189,2))),"ERROR: PERIODO debe ser AAAA-MM",IF(B1189="","ERROR: falta CODIGO CECO",IF(G1189="CECO NO EXISTE","ERROR: CECO no existe en el catálogo",IF(C1189="","ERROR: falta CUENTA",IF(ISERROR(--C1189),"ERROR: CUENTA debe tener solo dígitos",IF(ISERROR(FIND(LEFT(C1189,1),"567")),"ERROR: CUENTA fuera de las clases de costo",IF(NOT(ISNUMBER(E1189)),"ERROR: VALOR debe ser numérico",IF(E1189=0,"AVISO: valor cero (no se carga)",IF(J1189&lt;&gt;"ACTIVO","NO SE CARGA: CECO en estado "&amp;J1189,"OK"))))))))))</f>
        <v/>
      </c>
    </row>
    <row r="1190">
      <c r="A1190" s="5" t="n"/>
      <c r="B1190" s="6" t="n"/>
      <c r="C1190" s="5" t="n"/>
      <c r="D1190" s="6" t="n"/>
      <c r="E1190" s="7" t="n"/>
      <c r="F1190" s="6" t="n"/>
      <c r="G1190" s="8">
        <f>IF(B1190="","",IFERROR(VLOOKUP(--B1190,'CATALOGO CECO'!$A$2:$H$550,2,FALSE),"CECO NO EXISTE"))</f>
        <v/>
      </c>
      <c r="H1190" s="8">
        <f>IF(B1190="","",IFERROR(VLOOKUP(--B1190,'CATALOGO CECO'!$A$2:$H$550,3,FALSE),""))</f>
        <v/>
      </c>
      <c r="I1190" s="8">
        <f>IF(B1190="","",IFERROR(VLOOKUP(--B1190,'CATALOGO CECO'!$A$2:$H$550,5,FALSE),""))</f>
        <v/>
      </c>
      <c r="J1190" s="8">
        <f>IF(B1190="","",IFERROR(VLOOKUP(--B1190,'CATALOGO CECO'!$A$2:$H$550,8,FALSE),""))</f>
        <v/>
      </c>
      <c r="K1190" s="8">
        <f>IF(COUNTA(A1190:F1190)=0,"",IF(OR(LEN(A1190)&lt;&gt;7,MID(A1190,5,1)&lt;&gt;"-",ISERROR(--LEFT(A1190,4)),ISERROR(--RIGHT(A1190,2))),"ERROR: PERIODO debe ser AAAA-MM",IF(B1190="","ERROR: falta CODIGO CECO",IF(G1190="CECO NO EXISTE","ERROR: CECO no existe en el catálogo",IF(C1190="","ERROR: falta CUENTA",IF(ISERROR(--C1190),"ERROR: CUENTA debe tener solo dígitos",IF(ISERROR(FIND(LEFT(C1190,1),"567")),"ERROR: CUENTA fuera de las clases de costo",IF(NOT(ISNUMBER(E1190)),"ERROR: VALOR debe ser numérico",IF(E1190=0,"AVISO: valor cero (no se carga)",IF(J1190&lt;&gt;"ACTIVO","NO SE CARGA: CECO en estado "&amp;J1190,"OK"))))))))))</f>
        <v/>
      </c>
    </row>
    <row r="1191">
      <c r="A1191" s="5" t="n"/>
      <c r="B1191" s="6" t="n"/>
      <c r="C1191" s="5" t="n"/>
      <c r="D1191" s="6" t="n"/>
      <c r="E1191" s="7" t="n"/>
      <c r="F1191" s="6" t="n"/>
      <c r="G1191" s="8">
        <f>IF(B1191="","",IFERROR(VLOOKUP(--B1191,'CATALOGO CECO'!$A$2:$H$550,2,FALSE),"CECO NO EXISTE"))</f>
        <v/>
      </c>
      <c r="H1191" s="8">
        <f>IF(B1191="","",IFERROR(VLOOKUP(--B1191,'CATALOGO CECO'!$A$2:$H$550,3,FALSE),""))</f>
        <v/>
      </c>
      <c r="I1191" s="8">
        <f>IF(B1191="","",IFERROR(VLOOKUP(--B1191,'CATALOGO CECO'!$A$2:$H$550,5,FALSE),""))</f>
        <v/>
      </c>
      <c r="J1191" s="8">
        <f>IF(B1191="","",IFERROR(VLOOKUP(--B1191,'CATALOGO CECO'!$A$2:$H$550,8,FALSE),""))</f>
        <v/>
      </c>
      <c r="K1191" s="8">
        <f>IF(COUNTA(A1191:F1191)=0,"",IF(OR(LEN(A1191)&lt;&gt;7,MID(A1191,5,1)&lt;&gt;"-",ISERROR(--LEFT(A1191,4)),ISERROR(--RIGHT(A1191,2))),"ERROR: PERIODO debe ser AAAA-MM",IF(B1191="","ERROR: falta CODIGO CECO",IF(G1191="CECO NO EXISTE","ERROR: CECO no existe en el catálogo",IF(C1191="","ERROR: falta CUENTA",IF(ISERROR(--C1191),"ERROR: CUENTA debe tener solo dígitos",IF(ISERROR(FIND(LEFT(C1191,1),"567")),"ERROR: CUENTA fuera de las clases de costo",IF(NOT(ISNUMBER(E1191)),"ERROR: VALOR debe ser numérico",IF(E1191=0,"AVISO: valor cero (no se carga)",IF(J1191&lt;&gt;"ACTIVO","NO SE CARGA: CECO en estado "&amp;J1191,"OK"))))))))))</f>
        <v/>
      </c>
    </row>
    <row r="1192">
      <c r="A1192" s="5" t="n"/>
      <c r="B1192" s="6" t="n"/>
      <c r="C1192" s="5" t="n"/>
      <c r="D1192" s="6" t="n"/>
      <c r="E1192" s="7" t="n"/>
      <c r="F1192" s="6" t="n"/>
      <c r="G1192" s="8">
        <f>IF(B1192="","",IFERROR(VLOOKUP(--B1192,'CATALOGO CECO'!$A$2:$H$550,2,FALSE),"CECO NO EXISTE"))</f>
        <v/>
      </c>
      <c r="H1192" s="8">
        <f>IF(B1192="","",IFERROR(VLOOKUP(--B1192,'CATALOGO CECO'!$A$2:$H$550,3,FALSE),""))</f>
        <v/>
      </c>
      <c r="I1192" s="8">
        <f>IF(B1192="","",IFERROR(VLOOKUP(--B1192,'CATALOGO CECO'!$A$2:$H$550,5,FALSE),""))</f>
        <v/>
      </c>
      <c r="J1192" s="8">
        <f>IF(B1192="","",IFERROR(VLOOKUP(--B1192,'CATALOGO CECO'!$A$2:$H$550,8,FALSE),""))</f>
        <v/>
      </c>
      <c r="K1192" s="8">
        <f>IF(COUNTA(A1192:F1192)=0,"",IF(OR(LEN(A1192)&lt;&gt;7,MID(A1192,5,1)&lt;&gt;"-",ISERROR(--LEFT(A1192,4)),ISERROR(--RIGHT(A1192,2))),"ERROR: PERIODO debe ser AAAA-MM",IF(B1192="","ERROR: falta CODIGO CECO",IF(G1192="CECO NO EXISTE","ERROR: CECO no existe en el catálogo",IF(C1192="","ERROR: falta CUENTA",IF(ISERROR(--C1192),"ERROR: CUENTA debe tener solo dígitos",IF(ISERROR(FIND(LEFT(C1192,1),"567")),"ERROR: CUENTA fuera de las clases de costo",IF(NOT(ISNUMBER(E1192)),"ERROR: VALOR debe ser numérico",IF(E1192=0,"AVISO: valor cero (no se carga)",IF(J1192&lt;&gt;"ACTIVO","NO SE CARGA: CECO en estado "&amp;J1192,"OK"))))))))))</f>
        <v/>
      </c>
    </row>
    <row r="1193">
      <c r="A1193" s="5" t="n"/>
      <c r="B1193" s="6" t="n"/>
      <c r="C1193" s="5" t="n"/>
      <c r="D1193" s="6" t="n"/>
      <c r="E1193" s="7" t="n"/>
      <c r="F1193" s="6" t="n"/>
      <c r="G1193" s="8">
        <f>IF(B1193="","",IFERROR(VLOOKUP(--B1193,'CATALOGO CECO'!$A$2:$H$550,2,FALSE),"CECO NO EXISTE"))</f>
        <v/>
      </c>
      <c r="H1193" s="8">
        <f>IF(B1193="","",IFERROR(VLOOKUP(--B1193,'CATALOGO CECO'!$A$2:$H$550,3,FALSE),""))</f>
        <v/>
      </c>
      <c r="I1193" s="8">
        <f>IF(B1193="","",IFERROR(VLOOKUP(--B1193,'CATALOGO CECO'!$A$2:$H$550,5,FALSE),""))</f>
        <v/>
      </c>
      <c r="J1193" s="8">
        <f>IF(B1193="","",IFERROR(VLOOKUP(--B1193,'CATALOGO CECO'!$A$2:$H$550,8,FALSE),""))</f>
        <v/>
      </c>
      <c r="K1193" s="8">
        <f>IF(COUNTA(A1193:F1193)=0,"",IF(OR(LEN(A1193)&lt;&gt;7,MID(A1193,5,1)&lt;&gt;"-",ISERROR(--LEFT(A1193,4)),ISERROR(--RIGHT(A1193,2))),"ERROR: PERIODO debe ser AAAA-MM",IF(B1193="","ERROR: falta CODIGO CECO",IF(G1193="CECO NO EXISTE","ERROR: CECO no existe en el catálogo",IF(C1193="","ERROR: falta CUENTA",IF(ISERROR(--C1193),"ERROR: CUENTA debe tener solo dígitos",IF(ISERROR(FIND(LEFT(C1193,1),"567")),"ERROR: CUENTA fuera de las clases de costo",IF(NOT(ISNUMBER(E1193)),"ERROR: VALOR debe ser numérico",IF(E1193=0,"AVISO: valor cero (no se carga)",IF(J1193&lt;&gt;"ACTIVO","NO SE CARGA: CECO en estado "&amp;J1193,"OK"))))))))))</f>
        <v/>
      </c>
    </row>
    <row r="1194">
      <c r="A1194" s="5" t="n"/>
      <c r="B1194" s="6" t="n"/>
      <c r="C1194" s="5" t="n"/>
      <c r="D1194" s="6" t="n"/>
      <c r="E1194" s="7" t="n"/>
      <c r="F1194" s="6" t="n"/>
      <c r="G1194" s="8">
        <f>IF(B1194="","",IFERROR(VLOOKUP(--B1194,'CATALOGO CECO'!$A$2:$H$550,2,FALSE),"CECO NO EXISTE"))</f>
        <v/>
      </c>
      <c r="H1194" s="8">
        <f>IF(B1194="","",IFERROR(VLOOKUP(--B1194,'CATALOGO CECO'!$A$2:$H$550,3,FALSE),""))</f>
        <v/>
      </c>
      <c r="I1194" s="8">
        <f>IF(B1194="","",IFERROR(VLOOKUP(--B1194,'CATALOGO CECO'!$A$2:$H$550,5,FALSE),""))</f>
        <v/>
      </c>
      <c r="J1194" s="8">
        <f>IF(B1194="","",IFERROR(VLOOKUP(--B1194,'CATALOGO CECO'!$A$2:$H$550,8,FALSE),""))</f>
        <v/>
      </c>
      <c r="K1194" s="8">
        <f>IF(COUNTA(A1194:F1194)=0,"",IF(OR(LEN(A1194)&lt;&gt;7,MID(A1194,5,1)&lt;&gt;"-",ISERROR(--LEFT(A1194,4)),ISERROR(--RIGHT(A1194,2))),"ERROR: PERIODO debe ser AAAA-MM",IF(B1194="","ERROR: falta CODIGO CECO",IF(G1194="CECO NO EXISTE","ERROR: CECO no existe en el catálogo",IF(C1194="","ERROR: falta CUENTA",IF(ISERROR(--C1194),"ERROR: CUENTA debe tener solo dígitos",IF(ISERROR(FIND(LEFT(C1194,1),"567")),"ERROR: CUENTA fuera de las clases de costo",IF(NOT(ISNUMBER(E1194)),"ERROR: VALOR debe ser numérico",IF(E1194=0,"AVISO: valor cero (no se carga)",IF(J1194&lt;&gt;"ACTIVO","NO SE CARGA: CECO en estado "&amp;J1194,"OK"))))))))))</f>
        <v/>
      </c>
    </row>
    <row r="1195">
      <c r="A1195" s="5" t="n"/>
      <c r="B1195" s="6" t="n"/>
      <c r="C1195" s="5" t="n"/>
      <c r="D1195" s="6" t="n"/>
      <c r="E1195" s="7" t="n"/>
      <c r="F1195" s="6" t="n"/>
      <c r="G1195" s="8">
        <f>IF(B1195="","",IFERROR(VLOOKUP(--B1195,'CATALOGO CECO'!$A$2:$H$550,2,FALSE),"CECO NO EXISTE"))</f>
        <v/>
      </c>
      <c r="H1195" s="8">
        <f>IF(B1195="","",IFERROR(VLOOKUP(--B1195,'CATALOGO CECO'!$A$2:$H$550,3,FALSE),""))</f>
        <v/>
      </c>
      <c r="I1195" s="8">
        <f>IF(B1195="","",IFERROR(VLOOKUP(--B1195,'CATALOGO CECO'!$A$2:$H$550,5,FALSE),""))</f>
        <v/>
      </c>
      <c r="J1195" s="8">
        <f>IF(B1195="","",IFERROR(VLOOKUP(--B1195,'CATALOGO CECO'!$A$2:$H$550,8,FALSE),""))</f>
        <v/>
      </c>
      <c r="K1195" s="8">
        <f>IF(COUNTA(A1195:F1195)=0,"",IF(OR(LEN(A1195)&lt;&gt;7,MID(A1195,5,1)&lt;&gt;"-",ISERROR(--LEFT(A1195,4)),ISERROR(--RIGHT(A1195,2))),"ERROR: PERIODO debe ser AAAA-MM",IF(B1195="","ERROR: falta CODIGO CECO",IF(G1195="CECO NO EXISTE","ERROR: CECO no existe en el catálogo",IF(C1195="","ERROR: falta CUENTA",IF(ISERROR(--C1195),"ERROR: CUENTA debe tener solo dígitos",IF(ISERROR(FIND(LEFT(C1195,1),"567")),"ERROR: CUENTA fuera de las clases de costo",IF(NOT(ISNUMBER(E1195)),"ERROR: VALOR debe ser numérico",IF(E1195=0,"AVISO: valor cero (no se carga)",IF(J1195&lt;&gt;"ACTIVO","NO SE CARGA: CECO en estado "&amp;J1195,"OK"))))))))))</f>
        <v/>
      </c>
    </row>
    <row r="1196">
      <c r="A1196" s="5" t="n"/>
      <c r="B1196" s="6" t="n"/>
      <c r="C1196" s="5" t="n"/>
      <c r="D1196" s="6" t="n"/>
      <c r="E1196" s="7" t="n"/>
      <c r="F1196" s="6" t="n"/>
      <c r="G1196" s="8">
        <f>IF(B1196="","",IFERROR(VLOOKUP(--B1196,'CATALOGO CECO'!$A$2:$H$550,2,FALSE),"CECO NO EXISTE"))</f>
        <v/>
      </c>
      <c r="H1196" s="8">
        <f>IF(B1196="","",IFERROR(VLOOKUP(--B1196,'CATALOGO CECO'!$A$2:$H$550,3,FALSE),""))</f>
        <v/>
      </c>
      <c r="I1196" s="8">
        <f>IF(B1196="","",IFERROR(VLOOKUP(--B1196,'CATALOGO CECO'!$A$2:$H$550,5,FALSE),""))</f>
        <v/>
      </c>
      <c r="J1196" s="8">
        <f>IF(B1196="","",IFERROR(VLOOKUP(--B1196,'CATALOGO CECO'!$A$2:$H$550,8,FALSE),""))</f>
        <v/>
      </c>
      <c r="K1196" s="8">
        <f>IF(COUNTA(A1196:F1196)=0,"",IF(OR(LEN(A1196)&lt;&gt;7,MID(A1196,5,1)&lt;&gt;"-",ISERROR(--LEFT(A1196,4)),ISERROR(--RIGHT(A1196,2))),"ERROR: PERIODO debe ser AAAA-MM",IF(B1196="","ERROR: falta CODIGO CECO",IF(G1196="CECO NO EXISTE","ERROR: CECO no existe en el catálogo",IF(C1196="","ERROR: falta CUENTA",IF(ISERROR(--C1196),"ERROR: CUENTA debe tener solo dígitos",IF(ISERROR(FIND(LEFT(C1196,1),"567")),"ERROR: CUENTA fuera de las clases de costo",IF(NOT(ISNUMBER(E1196)),"ERROR: VALOR debe ser numérico",IF(E1196=0,"AVISO: valor cero (no se carga)",IF(J1196&lt;&gt;"ACTIVO","NO SE CARGA: CECO en estado "&amp;J1196,"OK"))))))))))</f>
        <v/>
      </c>
    </row>
    <row r="1197">
      <c r="A1197" s="5" t="n"/>
      <c r="B1197" s="6" t="n"/>
      <c r="C1197" s="5" t="n"/>
      <c r="D1197" s="6" t="n"/>
      <c r="E1197" s="7" t="n"/>
      <c r="F1197" s="6" t="n"/>
      <c r="G1197" s="8">
        <f>IF(B1197="","",IFERROR(VLOOKUP(--B1197,'CATALOGO CECO'!$A$2:$H$550,2,FALSE),"CECO NO EXISTE"))</f>
        <v/>
      </c>
      <c r="H1197" s="8">
        <f>IF(B1197="","",IFERROR(VLOOKUP(--B1197,'CATALOGO CECO'!$A$2:$H$550,3,FALSE),""))</f>
        <v/>
      </c>
      <c r="I1197" s="8">
        <f>IF(B1197="","",IFERROR(VLOOKUP(--B1197,'CATALOGO CECO'!$A$2:$H$550,5,FALSE),""))</f>
        <v/>
      </c>
      <c r="J1197" s="8">
        <f>IF(B1197="","",IFERROR(VLOOKUP(--B1197,'CATALOGO CECO'!$A$2:$H$550,8,FALSE),""))</f>
        <v/>
      </c>
      <c r="K1197" s="8">
        <f>IF(COUNTA(A1197:F1197)=0,"",IF(OR(LEN(A1197)&lt;&gt;7,MID(A1197,5,1)&lt;&gt;"-",ISERROR(--LEFT(A1197,4)),ISERROR(--RIGHT(A1197,2))),"ERROR: PERIODO debe ser AAAA-MM",IF(B1197="","ERROR: falta CODIGO CECO",IF(G1197="CECO NO EXISTE","ERROR: CECO no existe en el catálogo",IF(C1197="","ERROR: falta CUENTA",IF(ISERROR(--C1197),"ERROR: CUENTA debe tener solo dígitos",IF(ISERROR(FIND(LEFT(C1197,1),"567")),"ERROR: CUENTA fuera de las clases de costo",IF(NOT(ISNUMBER(E1197)),"ERROR: VALOR debe ser numérico",IF(E1197=0,"AVISO: valor cero (no se carga)",IF(J1197&lt;&gt;"ACTIVO","NO SE CARGA: CECO en estado "&amp;J1197,"OK"))))))))))</f>
        <v/>
      </c>
    </row>
    <row r="1198">
      <c r="A1198" s="5" t="n"/>
      <c r="B1198" s="6" t="n"/>
      <c r="C1198" s="5" t="n"/>
      <c r="D1198" s="6" t="n"/>
      <c r="E1198" s="7" t="n"/>
      <c r="F1198" s="6" t="n"/>
      <c r="G1198" s="8">
        <f>IF(B1198="","",IFERROR(VLOOKUP(--B1198,'CATALOGO CECO'!$A$2:$H$550,2,FALSE),"CECO NO EXISTE"))</f>
        <v/>
      </c>
      <c r="H1198" s="8">
        <f>IF(B1198="","",IFERROR(VLOOKUP(--B1198,'CATALOGO CECO'!$A$2:$H$550,3,FALSE),""))</f>
        <v/>
      </c>
      <c r="I1198" s="8">
        <f>IF(B1198="","",IFERROR(VLOOKUP(--B1198,'CATALOGO CECO'!$A$2:$H$550,5,FALSE),""))</f>
        <v/>
      </c>
      <c r="J1198" s="8">
        <f>IF(B1198="","",IFERROR(VLOOKUP(--B1198,'CATALOGO CECO'!$A$2:$H$550,8,FALSE),""))</f>
        <v/>
      </c>
      <c r="K1198" s="8">
        <f>IF(COUNTA(A1198:F1198)=0,"",IF(OR(LEN(A1198)&lt;&gt;7,MID(A1198,5,1)&lt;&gt;"-",ISERROR(--LEFT(A1198,4)),ISERROR(--RIGHT(A1198,2))),"ERROR: PERIODO debe ser AAAA-MM",IF(B1198="","ERROR: falta CODIGO CECO",IF(G1198="CECO NO EXISTE","ERROR: CECO no existe en el catálogo",IF(C1198="","ERROR: falta CUENTA",IF(ISERROR(--C1198),"ERROR: CUENTA debe tener solo dígitos",IF(ISERROR(FIND(LEFT(C1198,1),"567")),"ERROR: CUENTA fuera de las clases de costo",IF(NOT(ISNUMBER(E1198)),"ERROR: VALOR debe ser numérico",IF(E1198=0,"AVISO: valor cero (no se carga)",IF(J1198&lt;&gt;"ACTIVO","NO SE CARGA: CECO en estado "&amp;J1198,"OK"))))))))))</f>
        <v/>
      </c>
    </row>
    <row r="1199">
      <c r="A1199" s="5" t="n"/>
      <c r="B1199" s="6" t="n"/>
      <c r="C1199" s="5" t="n"/>
      <c r="D1199" s="6" t="n"/>
      <c r="E1199" s="7" t="n"/>
      <c r="F1199" s="6" t="n"/>
      <c r="G1199" s="8">
        <f>IF(B1199="","",IFERROR(VLOOKUP(--B1199,'CATALOGO CECO'!$A$2:$H$550,2,FALSE),"CECO NO EXISTE"))</f>
        <v/>
      </c>
      <c r="H1199" s="8">
        <f>IF(B1199="","",IFERROR(VLOOKUP(--B1199,'CATALOGO CECO'!$A$2:$H$550,3,FALSE),""))</f>
        <v/>
      </c>
      <c r="I1199" s="8">
        <f>IF(B1199="","",IFERROR(VLOOKUP(--B1199,'CATALOGO CECO'!$A$2:$H$550,5,FALSE),""))</f>
        <v/>
      </c>
      <c r="J1199" s="8">
        <f>IF(B1199="","",IFERROR(VLOOKUP(--B1199,'CATALOGO CECO'!$A$2:$H$550,8,FALSE),""))</f>
        <v/>
      </c>
      <c r="K1199" s="8">
        <f>IF(COUNTA(A1199:F1199)=0,"",IF(OR(LEN(A1199)&lt;&gt;7,MID(A1199,5,1)&lt;&gt;"-",ISERROR(--LEFT(A1199,4)),ISERROR(--RIGHT(A1199,2))),"ERROR: PERIODO debe ser AAAA-MM",IF(B1199="","ERROR: falta CODIGO CECO",IF(G1199="CECO NO EXISTE","ERROR: CECO no existe en el catálogo",IF(C1199="","ERROR: falta CUENTA",IF(ISERROR(--C1199),"ERROR: CUENTA debe tener solo dígitos",IF(ISERROR(FIND(LEFT(C1199,1),"567")),"ERROR: CUENTA fuera de las clases de costo",IF(NOT(ISNUMBER(E1199)),"ERROR: VALOR debe ser numérico",IF(E1199=0,"AVISO: valor cero (no se carga)",IF(J1199&lt;&gt;"ACTIVO","NO SE CARGA: CECO en estado "&amp;J1199,"OK"))))))))))</f>
        <v/>
      </c>
    </row>
    <row r="1200">
      <c r="A1200" s="5" t="n"/>
      <c r="B1200" s="6" t="n"/>
      <c r="C1200" s="5" t="n"/>
      <c r="D1200" s="6" t="n"/>
      <c r="E1200" s="7" t="n"/>
      <c r="F1200" s="6" t="n"/>
      <c r="G1200" s="8">
        <f>IF(B1200="","",IFERROR(VLOOKUP(--B1200,'CATALOGO CECO'!$A$2:$H$550,2,FALSE),"CECO NO EXISTE"))</f>
        <v/>
      </c>
      <c r="H1200" s="8">
        <f>IF(B1200="","",IFERROR(VLOOKUP(--B1200,'CATALOGO CECO'!$A$2:$H$550,3,FALSE),""))</f>
        <v/>
      </c>
      <c r="I1200" s="8">
        <f>IF(B1200="","",IFERROR(VLOOKUP(--B1200,'CATALOGO CECO'!$A$2:$H$550,5,FALSE),""))</f>
        <v/>
      </c>
      <c r="J1200" s="8">
        <f>IF(B1200="","",IFERROR(VLOOKUP(--B1200,'CATALOGO CECO'!$A$2:$H$550,8,FALSE),""))</f>
        <v/>
      </c>
      <c r="K1200" s="8">
        <f>IF(COUNTA(A1200:F1200)=0,"",IF(OR(LEN(A1200)&lt;&gt;7,MID(A1200,5,1)&lt;&gt;"-",ISERROR(--LEFT(A1200,4)),ISERROR(--RIGHT(A1200,2))),"ERROR: PERIODO debe ser AAAA-MM",IF(B1200="","ERROR: falta CODIGO CECO",IF(G1200="CECO NO EXISTE","ERROR: CECO no existe en el catálogo",IF(C1200="","ERROR: falta CUENTA",IF(ISERROR(--C1200),"ERROR: CUENTA debe tener solo dígitos",IF(ISERROR(FIND(LEFT(C1200,1),"567")),"ERROR: CUENTA fuera de las clases de costo",IF(NOT(ISNUMBER(E1200)),"ERROR: VALOR debe ser numérico",IF(E1200=0,"AVISO: valor cero (no se carga)",IF(J1200&lt;&gt;"ACTIVO","NO SE CARGA: CECO en estado "&amp;J1200,"OK"))))))))))</f>
        <v/>
      </c>
    </row>
    <row r="1201">
      <c r="A1201" s="5" t="n"/>
      <c r="B1201" s="6" t="n"/>
      <c r="C1201" s="5" t="n"/>
      <c r="D1201" s="6" t="n"/>
      <c r="E1201" s="7" t="n"/>
      <c r="F1201" s="6" t="n"/>
      <c r="G1201" s="8">
        <f>IF(B1201="","",IFERROR(VLOOKUP(--B1201,'CATALOGO CECO'!$A$2:$H$550,2,FALSE),"CECO NO EXISTE"))</f>
        <v/>
      </c>
      <c r="H1201" s="8">
        <f>IF(B1201="","",IFERROR(VLOOKUP(--B1201,'CATALOGO CECO'!$A$2:$H$550,3,FALSE),""))</f>
        <v/>
      </c>
      <c r="I1201" s="8">
        <f>IF(B1201="","",IFERROR(VLOOKUP(--B1201,'CATALOGO CECO'!$A$2:$H$550,5,FALSE),""))</f>
        <v/>
      </c>
      <c r="J1201" s="8">
        <f>IF(B1201="","",IFERROR(VLOOKUP(--B1201,'CATALOGO CECO'!$A$2:$H$550,8,FALSE),""))</f>
        <v/>
      </c>
      <c r="K1201" s="8">
        <f>IF(COUNTA(A1201:F1201)=0,"",IF(OR(LEN(A1201)&lt;&gt;7,MID(A1201,5,1)&lt;&gt;"-",ISERROR(--LEFT(A1201,4)),ISERROR(--RIGHT(A1201,2))),"ERROR: PERIODO debe ser AAAA-MM",IF(B1201="","ERROR: falta CODIGO CECO",IF(G1201="CECO NO EXISTE","ERROR: CECO no existe en el catálogo",IF(C1201="","ERROR: falta CUENTA",IF(ISERROR(--C1201),"ERROR: CUENTA debe tener solo dígitos",IF(ISERROR(FIND(LEFT(C1201,1),"567")),"ERROR: CUENTA fuera de las clases de costo",IF(NOT(ISNUMBER(E1201)),"ERROR: VALOR debe ser numérico",IF(E1201=0,"AVISO: valor cero (no se carga)",IF(J1201&lt;&gt;"ACTIVO","NO SE CARGA: CECO en estado "&amp;J1201,"OK"))))))))))</f>
        <v/>
      </c>
    </row>
    <row r="1202">
      <c r="A1202" s="5" t="n"/>
      <c r="B1202" s="6" t="n"/>
      <c r="C1202" s="5" t="n"/>
      <c r="D1202" s="6" t="n"/>
      <c r="E1202" s="7" t="n"/>
      <c r="F1202" s="6" t="n"/>
      <c r="G1202" s="8">
        <f>IF(B1202="","",IFERROR(VLOOKUP(--B1202,'CATALOGO CECO'!$A$2:$H$550,2,FALSE),"CECO NO EXISTE"))</f>
        <v/>
      </c>
      <c r="H1202" s="8">
        <f>IF(B1202="","",IFERROR(VLOOKUP(--B1202,'CATALOGO CECO'!$A$2:$H$550,3,FALSE),""))</f>
        <v/>
      </c>
      <c r="I1202" s="8">
        <f>IF(B1202="","",IFERROR(VLOOKUP(--B1202,'CATALOGO CECO'!$A$2:$H$550,5,FALSE),""))</f>
        <v/>
      </c>
      <c r="J1202" s="8">
        <f>IF(B1202="","",IFERROR(VLOOKUP(--B1202,'CATALOGO CECO'!$A$2:$H$550,8,FALSE),""))</f>
        <v/>
      </c>
      <c r="K1202" s="8">
        <f>IF(COUNTA(A1202:F1202)=0,"",IF(OR(LEN(A1202)&lt;&gt;7,MID(A1202,5,1)&lt;&gt;"-",ISERROR(--LEFT(A1202,4)),ISERROR(--RIGHT(A1202,2))),"ERROR: PERIODO debe ser AAAA-MM",IF(B1202="","ERROR: falta CODIGO CECO",IF(G1202="CECO NO EXISTE","ERROR: CECO no existe en el catálogo",IF(C1202="","ERROR: falta CUENTA",IF(ISERROR(--C1202),"ERROR: CUENTA debe tener solo dígitos",IF(ISERROR(FIND(LEFT(C1202,1),"567")),"ERROR: CUENTA fuera de las clases de costo",IF(NOT(ISNUMBER(E1202)),"ERROR: VALOR debe ser numérico",IF(E1202=0,"AVISO: valor cero (no se carga)",IF(J1202&lt;&gt;"ACTIVO","NO SE CARGA: CECO en estado "&amp;J1202,"OK"))))))))))</f>
        <v/>
      </c>
    </row>
    <row r="1203">
      <c r="A1203" s="5" t="n"/>
      <c r="B1203" s="6" t="n"/>
      <c r="C1203" s="5" t="n"/>
      <c r="D1203" s="6" t="n"/>
      <c r="E1203" s="7" t="n"/>
      <c r="F1203" s="6" t="n"/>
      <c r="G1203" s="8">
        <f>IF(B1203="","",IFERROR(VLOOKUP(--B1203,'CATALOGO CECO'!$A$2:$H$550,2,FALSE),"CECO NO EXISTE"))</f>
        <v/>
      </c>
      <c r="H1203" s="8">
        <f>IF(B1203="","",IFERROR(VLOOKUP(--B1203,'CATALOGO CECO'!$A$2:$H$550,3,FALSE),""))</f>
        <v/>
      </c>
      <c r="I1203" s="8">
        <f>IF(B1203="","",IFERROR(VLOOKUP(--B1203,'CATALOGO CECO'!$A$2:$H$550,5,FALSE),""))</f>
        <v/>
      </c>
      <c r="J1203" s="8">
        <f>IF(B1203="","",IFERROR(VLOOKUP(--B1203,'CATALOGO CECO'!$A$2:$H$550,8,FALSE),""))</f>
        <v/>
      </c>
      <c r="K1203" s="8">
        <f>IF(COUNTA(A1203:F1203)=0,"",IF(OR(LEN(A1203)&lt;&gt;7,MID(A1203,5,1)&lt;&gt;"-",ISERROR(--LEFT(A1203,4)),ISERROR(--RIGHT(A1203,2))),"ERROR: PERIODO debe ser AAAA-MM",IF(B1203="","ERROR: falta CODIGO CECO",IF(G1203="CECO NO EXISTE","ERROR: CECO no existe en el catálogo",IF(C1203="","ERROR: falta CUENTA",IF(ISERROR(--C1203),"ERROR: CUENTA debe tener solo dígitos",IF(ISERROR(FIND(LEFT(C1203,1),"567")),"ERROR: CUENTA fuera de las clases de costo",IF(NOT(ISNUMBER(E1203)),"ERROR: VALOR debe ser numérico",IF(E1203=0,"AVISO: valor cero (no se carga)",IF(J1203&lt;&gt;"ACTIVO","NO SE CARGA: CECO en estado "&amp;J1203,"OK"))))))))))</f>
        <v/>
      </c>
    </row>
    <row r="1204">
      <c r="A1204" s="5" t="n"/>
      <c r="B1204" s="6" t="n"/>
      <c r="C1204" s="5" t="n"/>
      <c r="D1204" s="6" t="n"/>
      <c r="E1204" s="7" t="n"/>
      <c r="F1204" s="6" t="n"/>
      <c r="G1204" s="8">
        <f>IF(B1204="","",IFERROR(VLOOKUP(--B1204,'CATALOGO CECO'!$A$2:$H$550,2,FALSE),"CECO NO EXISTE"))</f>
        <v/>
      </c>
      <c r="H1204" s="8">
        <f>IF(B1204="","",IFERROR(VLOOKUP(--B1204,'CATALOGO CECO'!$A$2:$H$550,3,FALSE),""))</f>
        <v/>
      </c>
      <c r="I1204" s="8">
        <f>IF(B1204="","",IFERROR(VLOOKUP(--B1204,'CATALOGO CECO'!$A$2:$H$550,5,FALSE),""))</f>
        <v/>
      </c>
      <c r="J1204" s="8">
        <f>IF(B1204="","",IFERROR(VLOOKUP(--B1204,'CATALOGO CECO'!$A$2:$H$550,8,FALSE),""))</f>
        <v/>
      </c>
      <c r="K1204" s="8">
        <f>IF(COUNTA(A1204:F1204)=0,"",IF(OR(LEN(A1204)&lt;&gt;7,MID(A1204,5,1)&lt;&gt;"-",ISERROR(--LEFT(A1204,4)),ISERROR(--RIGHT(A1204,2))),"ERROR: PERIODO debe ser AAAA-MM",IF(B1204="","ERROR: falta CODIGO CECO",IF(G1204="CECO NO EXISTE","ERROR: CECO no existe en el catálogo",IF(C1204="","ERROR: falta CUENTA",IF(ISERROR(--C1204),"ERROR: CUENTA debe tener solo dígitos",IF(ISERROR(FIND(LEFT(C1204,1),"567")),"ERROR: CUENTA fuera de las clases de costo",IF(NOT(ISNUMBER(E1204)),"ERROR: VALOR debe ser numérico",IF(E1204=0,"AVISO: valor cero (no se carga)",IF(J1204&lt;&gt;"ACTIVO","NO SE CARGA: CECO en estado "&amp;J1204,"OK"))))))))))</f>
        <v/>
      </c>
    </row>
    <row r="1205">
      <c r="A1205" s="5" t="n"/>
      <c r="B1205" s="6" t="n"/>
      <c r="C1205" s="5" t="n"/>
      <c r="D1205" s="6" t="n"/>
      <c r="E1205" s="7" t="n"/>
      <c r="F1205" s="6" t="n"/>
      <c r="G1205" s="8">
        <f>IF(B1205="","",IFERROR(VLOOKUP(--B1205,'CATALOGO CECO'!$A$2:$H$550,2,FALSE),"CECO NO EXISTE"))</f>
        <v/>
      </c>
      <c r="H1205" s="8">
        <f>IF(B1205="","",IFERROR(VLOOKUP(--B1205,'CATALOGO CECO'!$A$2:$H$550,3,FALSE),""))</f>
        <v/>
      </c>
      <c r="I1205" s="8">
        <f>IF(B1205="","",IFERROR(VLOOKUP(--B1205,'CATALOGO CECO'!$A$2:$H$550,5,FALSE),""))</f>
        <v/>
      </c>
      <c r="J1205" s="8">
        <f>IF(B1205="","",IFERROR(VLOOKUP(--B1205,'CATALOGO CECO'!$A$2:$H$550,8,FALSE),""))</f>
        <v/>
      </c>
      <c r="K1205" s="8">
        <f>IF(COUNTA(A1205:F1205)=0,"",IF(OR(LEN(A1205)&lt;&gt;7,MID(A1205,5,1)&lt;&gt;"-",ISERROR(--LEFT(A1205,4)),ISERROR(--RIGHT(A1205,2))),"ERROR: PERIODO debe ser AAAA-MM",IF(B1205="","ERROR: falta CODIGO CECO",IF(G1205="CECO NO EXISTE","ERROR: CECO no existe en el catálogo",IF(C1205="","ERROR: falta CUENTA",IF(ISERROR(--C1205),"ERROR: CUENTA debe tener solo dígitos",IF(ISERROR(FIND(LEFT(C1205,1),"567")),"ERROR: CUENTA fuera de las clases de costo",IF(NOT(ISNUMBER(E1205)),"ERROR: VALOR debe ser numérico",IF(E1205=0,"AVISO: valor cero (no se carga)",IF(J1205&lt;&gt;"ACTIVO","NO SE CARGA: CECO en estado "&amp;J1205,"OK"))))))))))</f>
        <v/>
      </c>
    </row>
    <row r="1206">
      <c r="A1206" s="5" t="n"/>
      <c r="B1206" s="6" t="n"/>
      <c r="C1206" s="5" t="n"/>
      <c r="D1206" s="6" t="n"/>
      <c r="E1206" s="7" t="n"/>
      <c r="F1206" s="6" t="n"/>
      <c r="G1206" s="8">
        <f>IF(B1206="","",IFERROR(VLOOKUP(--B1206,'CATALOGO CECO'!$A$2:$H$550,2,FALSE),"CECO NO EXISTE"))</f>
        <v/>
      </c>
      <c r="H1206" s="8">
        <f>IF(B1206="","",IFERROR(VLOOKUP(--B1206,'CATALOGO CECO'!$A$2:$H$550,3,FALSE),""))</f>
        <v/>
      </c>
      <c r="I1206" s="8">
        <f>IF(B1206="","",IFERROR(VLOOKUP(--B1206,'CATALOGO CECO'!$A$2:$H$550,5,FALSE),""))</f>
        <v/>
      </c>
      <c r="J1206" s="8">
        <f>IF(B1206="","",IFERROR(VLOOKUP(--B1206,'CATALOGO CECO'!$A$2:$H$550,8,FALSE),""))</f>
        <v/>
      </c>
      <c r="K1206" s="8">
        <f>IF(COUNTA(A1206:F1206)=0,"",IF(OR(LEN(A1206)&lt;&gt;7,MID(A1206,5,1)&lt;&gt;"-",ISERROR(--LEFT(A1206,4)),ISERROR(--RIGHT(A1206,2))),"ERROR: PERIODO debe ser AAAA-MM",IF(B1206="","ERROR: falta CODIGO CECO",IF(G1206="CECO NO EXISTE","ERROR: CECO no existe en el catálogo",IF(C1206="","ERROR: falta CUENTA",IF(ISERROR(--C1206),"ERROR: CUENTA debe tener solo dígitos",IF(ISERROR(FIND(LEFT(C1206,1),"567")),"ERROR: CUENTA fuera de las clases de costo",IF(NOT(ISNUMBER(E1206)),"ERROR: VALOR debe ser numérico",IF(E1206=0,"AVISO: valor cero (no se carga)",IF(J1206&lt;&gt;"ACTIVO","NO SE CARGA: CECO en estado "&amp;J1206,"OK"))))))))))</f>
        <v/>
      </c>
    </row>
    <row r="1207">
      <c r="A1207" s="5" t="n"/>
      <c r="B1207" s="6" t="n"/>
      <c r="C1207" s="5" t="n"/>
      <c r="D1207" s="6" t="n"/>
      <c r="E1207" s="7" t="n"/>
      <c r="F1207" s="6" t="n"/>
      <c r="G1207" s="8">
        <f>IF(B1207="","",IFERROR(VLOOKUP(--B1207,'CATALOGO CECO'!$A$2:$H$550,2,FALSE),"CECO NO EXISTE"))</f>
        <v/>
      </c>
      <c r="H1207" s="8">
        <f>IF(B1207="","",IFERROR(VLOOKUP(--B1207,'CATALOGO CECO'!$A$2:$H$550,3,FALSE),""))</f>
        <v/>
      </c>
      <c r="I1207" s="8">
        <f>IF(B1207="","",IFERROR(VLOOKUP(--B1207,'CATALOGO CECO'!$A$2:$H$550,5,FALSE),""))</f>
        <v/>
      </c>
      <c r="J1207" s="8">
        <f>IF(B1207="","",IFERROR(VLOOKUP(--B1207,'CATALOGO CECO'!$A$2:$H$550,8,FALSE),""))</f>
        <v/>
      </c>
      <c r="K1207" s="8">
        <f>IF(COUNTA(A1207:F1207)=0,"",IF(OR(LEN(A1207)&lt;&gt;7,MID(A1207,5,1)&lt;&gt;"-",ISERROR(--LEFT(A1207,4)),ISERROR(--RIGHT(A1207,2))),"ERROR: PERIODO debe ser AAAA-MM",IF(B1207="","ERROR: falta CODIGO CECO",IF(G1207="CECO NO EXISTE","ERROR: CECO no existe en el catálogo",IF(C1207="","ERROR: falta CUENTA",IF(ISERROR(--C1207),"ERROR: CUENTA debe tener solo dígitos",IF(ISERROR(FIND(LEFT(C1207,1),"567")),"ERROR: CUENTA fuera de las clases de costo",IF(NOT(ISNUMBER(E1207)),"ERROR: VALOR debe ser numérico",IF(E1207=0,"AVISO: valor cero (no se carga)",IF(J1207&lt;&gt;"ACTIVO","NO SE CARGA: CECO en estado "&amp;J1207,"OK"))))))))))</f>
        <v/>
      </c>
    </row>
    <row r="1208">
      <c r="A1208" s="5" t="n"/>
      <c r="B1208" s="6" t="n"/>
      <c r="C1208" s="5" t="n"/>
      <c r="D1208" s="6" t="n"/>
      <c r="E1208" s="7" t="n"/>
      <c r="F1208" s="6" t="n"/>
      <c r="G1208" s="8">
        <f>IF(B1208="","",IFERROR(VLOOKUP(--B1208,'CATALOGO CECO'!$A$2:$H$550,2,FALSE),"CECO NO EXISTE"))</f>
        <v/>
      </c>
      <c r="H1208" s="8">
        <f>IF(B1208="","",IFERROR(VLOOKUP(--B1208,'CATALOGO CECO'!$A$2:$H$550,3,FALSE),""))</f>
        <v/>
      </c>
      <c r="I1208" s="8">
        <f>IF(B1208="","",IFERROR(VLOOKUP(--B1208,'CATALOGO CECO'!$A$2:$H$550,5,FALSE),""))</f>
        <v/>
      </c>
      <c r="J1208" s="8">
        <f>IF(B1208="","",IFERROR(VLOOKUP(--B1208,'CATALOGO CECO'!$A$2:$H$550,8,FALSE),""))</f>
        <v/>
      </c>
      <c r="K1208" s="8">
        <f>IF(COUNTA(A1208:F1208)=0,"",IF(OR(LEN(A1208)&lt;&gt;7,MID(A1208,5,1)&lt;&gt;"-",ISERROR(--LEFT(A1208,4)),ISERROR(--RIGHT(A1208,2))),"ERROR: PERIODO debe ser AAAA-MM",IF(B1208="","ERROR: falta CODIGO CECO",IF(G1208="CECO NO EXISTE","ERROR: CECO no existe en el catálogo",IF(C1208="","ERROR: falta CUENTA",IF(ISERROR(--C1208),"ERROR: CUENTA debe tener solo dígitos",IF(ISERROR(FIND(LEFT(C1208,1),"567")),"ERROR: CUENTA fuera de las clases de costo",IF(NOT(ISNUMBER(E1208)),"ERROR: VALOR debe ser numérico",IF(E1208=0,"AVISO: valor cero (no se carga)",IF(J1208&lt;&gt;"ACTIVO","NO SE CARGA: CECO en estado "&amp;J1208,"OK"))))))))))</f>
        <v/>
      </c>
    </row>
    <row r="1209">
      <c r="A1209" s="5" t="n"/>
      <c r="B1209" s="6" t="n"/>
      <c r="C1209" s="5" t="n"/>
      <c r="D1209" s="6" t="n"/>
      <c r="E1209" s="7" t="n"/>
      <c r="F1209" s="6" t="n"/>
      <c r="G1209" s="8">
        <f>IF(B1209="","",IFERROR(VLOOKUP(--B1209,'CATALOGO CECO'!$A$2:$H$550,2,FALSE),"CECO NO EXISTE"))</f>
        <v/>
      </c>
      <c r="H1209" s="8">
        <f>IF(B1209="","",IFERROR(VLOOKUP(--B1209,'CATALOGO CECO'!$A$2:$H$550,3,FALSE),""))</f>
        <v/>
      </c>
      <c r="I1209" s="8">
        <f>IF(B1209="","",IFERROR(VLOOKUP(--B1209,'CATALOGO CECO'!$A$2:$H$550,5,FALSE),""))</f>
        <v/>
      </c>
      <c r="J1209" s="8">
        <f>IF(B1209="","",IFERROR(VLOOKUP(--B1209,'CATALOGO CECO'!$A$2:$H$550,8,FALSE),""))</f>
        <v/>
      </c>
      <c r="K1209" s="8">
        <f>IF(COUNTA(A1209:F1209)=0,"",IF(OR(LEN(A1209)&lt;&gt;7,MID(A1209,5,1)&lt;&gt;"-",ISERROR(--LEFT(A1209,4)),ISERROR(--RIGHT(A1209,2))),"ERROR: PERIODO debe ser AAAA-MM",IF(B1209="","ERROR: falta CODIGO CECO",IF(G1209="CECO NO EXISTE","ERROR: CECO no existe en el catálogo",IF(C1209="","ERROR: falta CUENTA",IF(ISERROR(--C1209),"ERROR: CUENTA debe tener solo dígitos",IF(ISERROR(FIND(LEFT(C1209,1),"567")),"ERROR: CUENTA fuera de las clases de costo",IF(NOT(ISNUMBER(E1209)),"ERROR: VALOR debe ser numérico",IF(E1209=0,"AVISO: valor cero (no se carga)",IF(J1209&lt;&gt;"ACTIVO","NO SE CARGA: CECO en estado "&amp;J1209,"OK"))))))))))</f>
        <v/>
      </c>
    </row>
    <row r="1210">
      <c r="A1210" s="5" t="n"/>
      <c r="B1210" s="6" t="n"/>
      <c r="C1210" s="5" t="n"/>
      <c r="D1210" s="6" t="n"/>
      <c r="E1210" s="7" t="n"/>
      <c r="F1210" s="6" t="n"/>
      <c r="G1210" s="8">
        <f>IF(B1210="","",IFERROR(VLOOKUP(--B1210,'CATALOGO CECO'!$A$2:$H$550,2,FALSE),"CECO NO EXISTE"))</f>
        <v/>
      </c>
      <c r="H1210" s="8">
        <f>IF(B1210="","",IFERROR(VLOOKUP(--B1210,'CATALOGO CECO'!$A$2:$H$550,3,FALSE),""))</f>
        <v/>
      </c>
      <c r="I1210" s="8">
        <f>IF(B1210="","",IFERROR(VLOOKUP(--B1210,'CATALOGO CECO'!$A$2:$H$550,5,FALSE),""))</f>
        <v/>
      </c>
      <c r="J1210" s="8">
        <f>IF(B1210="","",IFERROR(VLOOKUP(--B1210,'CATALOGO CECO'!$A$2:$H$550,8,FALSE),""))</f>
        <v/>
      </c>
      <c r="K1210" s="8">
        <f>IF(COUNTA(A1210:F1210)=0,"",IF(OR(LEN(A1210)&lt;&gt;7,MID(A1210,5,1)&lt;&gt;"-",ISERROR(--LEFT(A1210,4)),ISERROR(--RIGHT(A1210,2))),"ERROR: PERIODO debe ser AAAA-MM",IF(B1210="","ERROR: falta CODIGO CECO",IF(G1210="CECO NO EXISTE","ERROR: CECO no existe en el catálogo",IF(C1210="","ERROR: falta CUENTA",IF(ISERROR(--C1210),"ERROR: CUENTA debe tener solo dígitos",IF(ISERROR(FIND(LEFT(C1210,1),"567")),"ERROR: CUENTA fuera de las clases de costo",IF(NOT(ISNUMBER(E1210)),"ERROR: VALOR debe ser numérico",IF(E1210=0,"AVISO: valor cero (no se carga)",IF(J1210&lt;&gt;"ACTIVO","NO SE CARGA: CECO en estado "&amp;J1210,"OK"))))))))))</f>
        <v/>
      </c>
    </row>
    <row r="1211">
      <c r="A1211" s="5" t="n"/>
      <c r="B1211" s="6" t="n"/>
      <c r="C1211" s="5" t="n"/>
      <c r="D1211" s="6" t="n"/>
      <c r="E1211" s="7" t="n"/>
      <c r="F1211" s="6" t="n"/>
      <c r="G1211" s="8">
        <f>IF(B1211="","",IFERROR(VLOOKUP(--B1211,'CATALOGO CECO'!$A$2:$H$550,2,FALSE),"CECO NO EXISTE"))</f>
        <v/>
      </c>
      <c r="H1211" s="8">
        <f>IF(B1211="","",IFERROR(VLOOKUP(--B1211,'CATALOGO CECO'!$A$2:$H$550,3,FALSE),""))</f>
        <v/>
      </c>
      <c r="I1211" s="8">
        <f>IF(B1211="","",IFERROR(VLOOKUP(--B1211,'CATALOGO CECO'!$A$2:$H$550,5,FALSE),""))</f>
        <v/>
      </c>
      <c r="J1211" s="8">
        <f>IF(B1211="","",IFERROR(VLOOKUP(--B1211,'CATALOGO CECO'!$A$2:$H$550,8,FALSE),""))</f>
        <v/>
      </c>
      <c r="K1211" s="8">
        <f>IF(COUNTA(A1211:F1211)=0,"",IF(OR(LEN(A1211)&lt;&gt;7,MID(A1211,5,1)&lt;&gt;"-",ISERROR(--LEFT(A1211,4)),ISERROR(--RIGHT(A1211,2))),"ERROR: PERIODO debe ser AAAA-MM",IF(B1211="","ERROR: falta CODIGO CECO",IF(G1211="CECO NO EXISTE","ERROR: CECO no existe en el catálogo",IF(C1211="","ERROR: falta CUENTA",IF(ISERROR(--C1211),"ERROR: CUENTA debe tener solo dígitos",IF(ISERROR(FIND(LEFT(C1211,1),"567")),"ERROR: CUENTA fuera de las clases de costo",IF(NOT(ISNUMBER(E1211)),"ERROR: VALOR debe ser numérico",IF(E1211=0,"AVISO: valor cero (no se carga)",IF(J1211&lt;&gt;"ACTIVO","NO SE CARGA: CECO en estado "&amp;J1211,"OK"))))))))))</f>
        <v/>
      </c>
    </row>
    <row r="1212">
      <c r="A1212" s="5" t="n"/>
      <c r="B1212" s="6" t="n"/>
      <c r="C1212" s="5" t="n"/>
      <c r="D1212" s="6" t="n"/>
      <c r="E1212" s="7" t="n"/>
      <c r="F1212" s="6" t="n"/>
      <c r="G1212" s="8">
        <f>IF(B1212="","",IFERROR(VLOOKUP(--B1212,'CATALOGO CECO'!$A$2:$H$550,2,FALSE),"CECO NO EXISTE"))</f>
        <v/>
      </c>
      <c r="H1212" s="8">
        <f>IF(B1212="","",IFERROR(VLOOKUP(--B1212,'CATALOGO CECO'!$A$2:$H$550,3,FALSE),""))</f>
        <v/>
      </c>
      <c r="I1212" s="8">
        <f>IF(B1212="","",IFERROR(VLOOKUP(--B1212,'CATALOGO CECO'!$A$2:$H$550,5,FALSE),""))</f>
        <v/>
      </c>
      <c r="J1212" s="8">
        <f>IF(B1212="","",IFERROR(VLOOKUP(--B1212,'CATALOGO CECO'!$A$2:$H$550,8,FALSE),""))</f>
        <v/>
      </c>
      <c r="K1212" s="8">
        <f>IF(COUNTA(A1212:F1212)=0,"",IF(OR(LEN(A1212)&lt;&gt;7,MID(A1212,5,1)&lt;&gt;"-",ISERROR(--LEFT(A1212,4)),ISERROR(--RIGHT(A1212,2))),"ERROR: PERIODO debe ser AAAA-MM",IF(B1212="","ERROR: falta CODIGO CECO",IF(G1212="CECO NO EXISTE","ERROR: CECO no existe en el catálogo",IF(C1212="","ERROR: falta CUENTA",IF(ISERROR(--C1212),"ERROR: CUENTA debe tener solo dígitos",IF(ISERROR(FIND(LEFT(C1212,1),"567")),"ERROR: CUENTA fuera de las clases de costo",IF(NOT(ISNUMBER(E1212)),"ERROR: VALOR debe ser numérico",IF(E1212=0,"AVISO: valor cero (no se carga)",IF(J1212&lt;&gt;"ACTIVO","NO SE CARGA: CECO en estado "&amp;J1212,"OK"))))))))))</f>
        <v/>
      </c>
    </row>
    <row r="1213">
      <c r="A1213" s="5" t="n"/>
      <c r="B1213" s="6" t="n"/>
      <c r="C1213" s="5" t="n"/>
      <c r="D1213" s="6" t="n"/>
      <c r="E1213" s="7" t="n"/>
      <c r="F1213" s="6" t="n"/>
      <c r="G1213" s="8">
        <f>IF(B1213="","",IFERROR(VLOOKUP(--B1213,'CATALOGO CECO'!$A$2:$H$550,2,FALSE),"CECO NO EXISTE"))</f>
        <v/>
      </c>
      <c r="H1213" s="8">
        <f>IF(B1213="","",IFERROR(VLOOKUP(--B1213,'CATALOGO CECO'!$A$2:$H$550,3,FALSE),""))</f>
        <v/>
      </c>
      <c r="I1213" s="8">
        <f>IF(B1213="","",IFERROR(VLOOKUP(--B1213,'CATALOGO CECO'!$A$2:$H$550,5,FALSE),""))</f>
        <v/>
      </c>
      <c r="J1213" s="8">
        <f>IF(B1213="","",IFERROR(VLOOKUP(--B1213,'CATALOGO CECO'!$A$2:$H$550,8,FALSE),""))</f>
        <v/>
      </c>
      <c r="K1213" s="8">
        <f>IF(COUNTA(A1213:F1213)=0,"",IF(OR(LEN(A1213)&lt;&gt;7,MID(A1213,5,1)&lt;&gt;"-",ISERROR(--LEFT(A1213,4)),ISERROR(--RIGHT(A1213,2))),"ERROR: PERIODO debe ser AAAA-MM",IF(B1213="","ERROR: falta CODIGO CECO",IF(G1213="CECO NO EXISTE","ERROR: CECO no existe en el catálogo",IF(C1213="","ERROR: falta CUENTA",IF(ISERROR(--C1213),"ERROR: CUENTA debe tener solo dígitos",IF(ISERROR(FIND(LEFT(C1213,1),"567")),"ERROR: CUENTA fuera de las clases de costo",IF(NOT(ISNUMBER(E1213)),"ERROR: VALOR debe ser numérico",IF(E1213=0,"AVISO: valor cero (no se carga)",IF(J1213&lt;&gt;"ACTIVO","NO SE CARGA: CECO en estado "&amp;J1213,"OK"))))))))))</f>
        <v/>
      </c>
    </row>
    <row r="1214">
      <c r="A1214" s="5" t="n"/>
      <c r="B1214" s="6" t="n"/>
      <c r="C1214" s="5" t="n"/>
      <c r="D1214" s="6" t="n"/>
      <c r="E1214" s="7" t="n"/>
      <c r="F1214" s="6" t="n"/>
      <c r="G1214" s="8">
        <f>IF(B1214="","",IFERROR(VLOOKUP(--B1214,'CATALOGO CECO'!$A$2:$H$550,2,FALSE),"CECO NO EXISTE"))</f>
        <v/>
      </c>
      <c r="H1214" s="8">
        <f>IF(B1214="","",IFERROR(VLOOKUP(--B1214,'CATALOGO CECO'!$A$2:$H$550,3,FALSE),""))</f>
        <v/>
      </c>
      <c r="I1214" s="8">
        <f>IF(B1214="","",IFERROR(VLOOKUP(--B1214,'CATALOGO CECO'!$A$2:$H$550,5,FALSE),""))</f>
        <v/>
      </c>
      <c r="J1214" s="8">
        <f>IF(B1214="","",IFERROR(VLOOKUP(--B1214,'CATALOGO CECO'!$A$2:$H$550,8,FALSE),""))</f>
        <v/>
      </c>
      <c r="K1214" s="8">
        <f>IF(COUNTA(A1214:F1214)=0,"",IF(OR(LEN(A1214)&lt;&gt;7,MID(A1214,5,1)&lt;&gt;"-",ISERROR(--LEFT(A1214,4)),ISERROR(--RIGHT(A1214,2))),"ERROR: PERIODO debe ser AAAA-MM",IF(B1214="","ERROR: falta CODIGO CECO",IF(G1214="CECO NO EXISTE","ERROR: CECO no existe en el catálogo",IF(C1214="","ERROR: falta CUENTA",IF(ISERROR(--C1214),"ERROR: CUENTA debe tener solo dígitos",IF(ISERROR(FIND(LEFT(C1214,1),"567")),"ERROR: CUENTA fuera de las clases de costo",IF(NOT(ISNUMBER(E1214)),"ERROR: VALOR debe ser numérico",IF(E1214=0,"AVISO: valor cero (no se carga)",IF(J1214&lt;&gt;"ACTIVO","NO SE CARGA: CECO en estado "&amp;J1214,"OK"))))))))))</f>
        <v/>
      </c>
    </row>
    <row r="1215">
      <c r="A1215" s="5" t="n"/>
      <c r="B1215" s="6" t="n"/>
      <c r="C1215" s="5" t="n"/>
      <c r="D1215" s="6" t="n"/>
      <c r="E1215" s="7" t="n"/>
      <c r="F1215" s="6" t="n"/>
      <c r="G1215" s="8">
        <f>IF(B1215="","",IFERROR(VLOOKUP(--B1215,'CATALOGO CECO'!$A$2:$H$550,2,FALSE),"CECO NO EXISTE"))</f>
        <v/>
      </c>
      <c r="H1215" s="8">
        <f>IF(B1215="","",IFERROR(VLOOKUP(--B1215,'CATALOGO CECO'!$A$2:$H$550,3,FALSE),""))</f>
        <v/>
      </c>
      <c r="I1215" s="8">
        <f>IF(B1215="","",IFERROR(VLOOKUP(--B1215,'CATALOGO CECO'!$A$2:$H$550,5,FALSE),""))</f>
        <v/>
      </c>
      <c r="J1215" s="8">
        <f>IF(B1215="","",IFERROR(VLOOKUP(--B1215,'CATALOGO CECO'!$A$2:$H$550,8,FALSE),""))</f>
        <v/>
      </c>
      <c r="K1215" s="8">
        <f>IF(COUNTA(A1215:F1215)=0,"",IF(OR(LEN(A1215)&lt;&gt;7,MID(A1215,5,1)&lt;&gt;"-",ISERROR(--LEFT(A1215,4)),ISERROR(--RIGHT(A1215,2))),"ERROR: PERIODO debe ser AAAA-MM",IF(B1215="","ERROR: falta CODIGO CECO",IF(G1215="CECO NO EXISTE","ERROR: CECO no existe en el catálogo",IF(C1215="","ERROR: falta CUENTA",IF(ISERROR(--C1215),"ERROR: CUENTA debe tener solo dígitos",IF(ISERROR(FIND(LEFT(C1215,1),"567")),"ERROR: CUENTA fuera de las clases de costo",IF(NOT(ISNUMBER(E1215)),"ERROR: VALOR debe ser numérico",IF(E1215=0,"AVISO: valor cero (no se carga)",IF(J1215&lt;&gt;"ACTIVO","NO SE CARGA: CECO en estado "&amp;J1215,"OK"))))))))))</f>
        <v/>
      </c>
    </row>
    <row r="1216">
      <c r="A1216" s="5" t="n"/>
      <c r="B1216" s="6" t="n"/>
      <c r="C1216" s="5" t="n"/>
      <c r="D1216" s="6" t="n"/>
      <c r="E1216" s="7" t="n"/>
      <c r="F1216" s="6" t="n"/>
      <c r="G1216" s="8">
        <f>IF(B1216="","",IFERROR(VLOOKUP(--B1216,'CATALOGO CECO'!$A$2:$H$550,2,FALSE),"CECO NO EXISTE"))</f>
        <v/>
      </c>
      <c r="H1216" s="8">
        <f>IF(B1216="","",IFERROR(VLOOKUP(--B1216,'CATALOGO CECO'!$A$2:$H$550,3,FALSE),""))</f>
        <v/>
      </c>
      <c r="I1216" s="8">
        <f>IF(B1216="","",IFERROR(VLOOKUP(--B1216,'CATALOGO CECO'!$A$2:$H$550,5,FALSE),""))</f>
        <v/>
      </c>
      <c r="J1216" s="8">
        <f>IF(B1216="","",IFERROR(VLOOKUP(--B1216,'CATALOGO CECO'!$A$2:$H$550,8,FALSE),""))</f>
        <v/>
      </c>
      <c r="K1216" s="8">
        <f>IF(COUNTA(A1216:F1216)=0,"",IF(OR(LEN(A1216)&lt;&gt;7,MID(A1216,5,1)&lt;&gt;"-",ISERROR(--LEFT(A1216,4)),ISERROR(--RIGHT(A1216,2))),"ERROR: PERIODO debe ser AAAA-MM",IF(B1216="","ERROR: falta CODIGO CECO",IF(G1216="CECO NO EXISTE","ERROR: CECO no existe en el catálogo",IF(C1216="","ERROR: falta CUENTA",IF(ISERROR(--C1216),"ERROR: CUENTA debe tener solo dígitos",IF(ISERROR(FIND(LEFT(C1216,1),"567")),"ERROR: CUENTA fuera de las clases de costo",IF(NOT(ISNUMBER(E1216)),"ERROR: VALOR debe ser numérico",IF(E1216=0,"AVISO: valor cero (no se carga)",IF(J1216&lt;&gt;"ACTIVO","NO SE CARGA: CECO en estado "&amp;J1216,"OK"))))))))))</f>
        <v/>
      </c>
    </row>
    <row r="1217">
      <c r="A1217" s="5" t="n"/>
      <c r="B1217" s="6" t="n"/>
      <c r="C1217" s="5" t="n"/>
      <c r="D1217" s="6" t="n"/>
      <c r="E1217" s="7" t="n"/>
      <c r="F1217" s="6" t="n"/>
      <c r="G1217" s="8">
        <f>IF(B1217="","",IFERROR(VLOOKUP(--B1217,'CATALOGO CECO'!$A$2:$H$550,2,FALSE),"CECO NO EXISTE"))</f>
        <v/>
      </c>
      <c r="H1217" s="8">
        <f>IF(B1217="","",IFERROR(VLOOKUP(--B1217,'CATALOGO CECO'!$A$2:$H$550,3,FALSE),""))</f>
        <v/>
      </c>
      <c r="I1217" s="8">
        <f>IF(B1217="","",IFERROR(VLOOKUP(--B1217,'CATALOGO CECO'!$A$2:$H$550,5,FALSE),""))</f>
        <v/>
      </c>
      <c r="J1217" s="8">
        <f>IF(B1217="","",IFERROR(VLOOKUP(--B1217,'CATALOGO CECO'!$A$2:$H$550,8,FALSE),""))</f>
        <v/>
      </c>
      <c r="K1217" s="8">
        <f>IF(COUNTA(A1217:F1217)=0,"",IF(OR(LEN(A1217)&lt;&gt;7,MID(A1217,5,1)&lt;&gt;"-",ISERROR(--LEFT(A1217,4)),ISERROR(--RIGHT(A1217,2))),"ERROR: PERIODO debe ser AAAA-MM",IF(B1217="","ERROR: falta CODIGO CECO",IF(G1217="CECO NO EXISTE","ERROR: CECO no existe en el catálogo",IF(C1217="","ERROR: falta CUENTA",IF(ISERROR(--C1217),"ERROR: CUENTA debe tener solo dígitos",IF(ISERROR(FIND(LEFT(C1217,1),"567")),"ERROR: CUENTA fuera de las clases de costo",IF(NOT(ISNUMBER(E1217)),"ERROR: VALOR debe ser numérico",IF(E1217=0,"AVISO: valor cero (no se carga)",IF(J1217&lt;&gt;"ACTIVO","NO SE CARGA: CECO en estado "&amp;J1217,"OK"))))))))))</f>
        <v/>
      </c>
    </row>
    <row r="1218">
      <c r="A1218" s="5" t="n"/>
      <c r="B1218" s="6" t="n"/>
      <c r="C1218" s="5" t="n"/>
      <c r="D1218" s="6" t="n"/>
      <c r="E1218" s="7" t="n"/>
      <c r="F1218" s="6" t="n"/>
      <c r="G1218" s="8">
        <f>IF(B1218="","",IFERROR(VLOOKUP(--B1218,'CATALOGO CECO'!$A$2:$H$550,2,FALSE),"CECO NO EXISTE"))</f>
        <v/>
      </c>
      <c r="H1218" s="8">
        <f>IF(B1218="","",IFERROR(VLOOKUP(--B1218,'CATALOGO CECO'!$A$2:$H$550,3,FALSE),""))</f>
        <v/>
      </c>
      <c r="I1218" s="8">
        <f>IF(B1218="","",IFERROR(VLOOKUP(--B1218,'CATALOGO CECO'!$A$2:$H$550,5,FALSE),""))</f>
        <v/>
      </c>
      <c r="J1218" s="8">
        <f>IF(B1218="","",IFERROR(VLOOKUP(--B1218,'CATALOGO CECO'!$A$2:$H$550,8,FALSE),""))</f>
        <v/>
      </c>
      <c r="K1218" s="8">
        <f>IF(COUNTA(A1218:F1218)=0,"",IF(OR(LEN(A1218)&lt;&gt;7,MID(A1218,5,1)&lt;&gt;"-",ISERROR(--LEFT(A1218,4)),ISERROR(--RIGHT(A1218,2))),"ERROR: PERIODO debe ser AAAA-MM",IF(B1218="","ERROR: falta CODIGO CECO",IF(G1218="CECO NO EXISTE","ERROR: CECO no existe en el catálogo",IF(C1218="","ERROR: falta CUENTA",IF(ISERROR(--C1218),"ERROR: CUENTA debe tener solo dígitos",IF(ISERROR(FIND(LEFT(C1218,1),"567")),"ERROR: CUENTA fuera de las clases de costo",IF(NOT(ISNUMBER(E1218)),"ERROR: VALOR debe ser numérico",IF(E1218=0,"AVISO: valor cero (no se carga)",IF(J1218&lt;&gt;"ACTIVO","NO SE CARGA: CECO en estado "&amp;J1218,"OK"))))))))))</f>
        <v/>
      </c>
    </row>
    <row r="1219">
      <c r="A1219" s="5" t="n"/>
      <c r="B1219" s="6" t="n"/>
      <c r="C1219" s="5" t="n"/>
      <c r="D1219" s="6" t="n"/>
      <c r="E1219" s="7" t="n"/>
      <c r="F1219" s="6" t="n"/>
      <c r="G1219" s="8">
        <f>IF(B1219="","",IFERROR(VLOOKUP(--B1219,'CATALOGO CECO'!$A$2:$H$550,2,FALSE),"CECO NO EXISTE"))</f>
        <v/>
      </c>
      <c r="H1219" s="8">
        <f>IF(B1219="","",IFERROR(VLOOKUP(--B1219,'CATALOGO CECO'!$A$2:$H$550,3,FALSE),""))</f>
        <v/>
      </c>
      <c r="I1219" s="8">
        <f>IF(B1219="","",IFERROR(VLOOKUP(--B1219,'CATALOGO CECO'!$A$2:$H$550,5,FALSE),""))</f>
        <v/>
      </c>
      <c r="J1219" s="8">
        <f>IF(B1219="","",IFERROR(VLOOKUP(--B1219,'CATALOGO CECO'!$A$2:$H$550,8,FALSE),""))</f>
        <v/>
      </c>
      <c r="K1219" s="8">
        <f>IF(COUNTA(A1219:F1219)=0,"",IF(OR(LEN(A1219)&lt;&gt;7,MID(A1219,5,1)&lt;&gt;"-",ISERROR(--LEFT(A1219,4)),ISERROR(--RIGHT(A1219,2))),"ERROR: PERIODO debe ser AAAA-MM",IF(B1219="","ERROR: falta CODIGO CECO",IF(G1219="CECO NO EXISTE","ERROR: CECO no existe en el catálogo",IF(C1219="","ERROR: falta CUENTA",IF(ISERROR(--C1219),"ERROR: CUENTA debe tener solo dígitos",IF(ISERROR(FIND(LEFT(C1219,1),"567")),"ERROR: CUENTA fuera de las clases de costo",IF(NOT(ISNUMBER(E1219)),"ERROR: VALOR debe ser numérico",IF(E1219=0,"AVISO: valor cero (no se carga)",IF(J1219&lt;&gt;"ACTIVO","NO SE CARGA: CECO en estado "&amp;J1219,"OK"))))))))))</f>
        <v/>
      </c>
    </row>
    <row r="1220">
      <c r="A1220" s="5" t="n"/>
      <c r="B1220" s="6" t="n"/>
      <c r="C1220" s="5" t="n"/>
      <c r="D1220" s="6" t="n"/>
      <c r="E1220" s="7" t="n"/>
      <c r="F1220" s="6" t="n"/>
      <c r="G1220" s="8">
        <f>IF(B1220="","",IFERROR(VLOOKUP(--B1220,'CATALOGO CECO'!$A$2:$H$550,2,FALSE),"CECO NO EXISTE"))</f>
        <v/>
      </c>
      <c r="H1220" s="8">
        <f>IF(B1220="","",IFERROR(VLOOKUP(--B1220,'CATALOGO CECO'!$A$2:$H$550,3,FALSE),""))</f>
        <v/>
      </c>
      <c r="I1220" s="8">
        <f>IF(B1220="","",IFERROR(VLOOKUP(--B1220,'CATALOGO CECO'!$A$2:$H$550,5,FALSE),""))</f>
        <v/>
      </c>
      <c r="J1220" s="8">
        <f>IF(B1220="","",IFERROR(VLOOKUP(--B1220,'CATALOGO CECO'!$A$2:$H$550,8,FALSE),""))</f>
        <v/>
      </c>
      <c r="K1220" s="8">
        <f>IF(COUNTA(A1220:F1220)=0,"",IF(OR(LEN(A1220)&lt;&gt;7,MID(A1220,5,1)&lt;&gt;"-",ISERROR(--LEFT(A1220,4)),ISERROR(--RIGHT(A1220,2))),"ERROR: PERIODO debe ser AAAA-MM",IF(B1220="","ERROR: falta CODIGO CECO",IF(G1220="CECO NO EXISTE","ERROR: CECO no existe en el catálogo",IF(C1220="","ERROR: falta CUENTA",IF(ISERROR(--C1220),"ERROR: CUENTA debe tener solo dígitos",IF(ISERROR(FIND(LEFT(C1220,1),"567")),"ERROR: CUENTA fuera de las clases de costo",IF(NOT(ISNUMBER(E1220)),"ERROR: VALOR debe ser numérico",IF(E1220=0,"AVISO: valor cero (no se carga)",IF(J1220&lt;&gt;"ACTIVO","NO SE CARGA: CECO en estado "&amp;J1220,"OK"))))))))))</f>
        <v/>
      </c>
    </row>
    <row r="1221">
      <c r="A1221" s="5" t="n"/>
      <c r="B1221" s="6" t="n"/>
      <c r="C1221" s="5" t="n"/>
      <c r="D1221" s="6" t="n"/>
      <c r="E1221" s="7" t="n"/>
      <c r="F1221" s="6" t="n"/>
      <c r="G1221" s="8">
        <f>IF(B1221="","",IFERROR(VLOOKUP(--B1221,'CATALOGO CECO'!$A$2:$H$550,2,FALSE),"CECO NO EXISTE"))</f>
        <v/>
      </c>
      <c r="H1221" s="8">
        <f>IF(B1221="","",IFERROR(VLOOKUP(--B1221,'CATALOGO CECO'!$A$2:$H$550,3,FALSE),""))</f>
        <v/>
      </c>
      <c r="I1221" s="8">
        <f>IF(B1221="","",IFERROR(VLOOKUP(--B1221,'CATALOGO CECO'!$A$2:$H$550,5,FALSE),""))</f>
        <v/>
      </c>
      <c r="J1221" s="8">
        <f>IF(B1221="","",IFERROR(VLOOKUP(--B1221,'CATALOGO CECO'!$A$2:$H$550,8,FALSE),""))</f>
        <v/>
      </c>
      <c r="K1221" s="8">
        <f>IF(COUNTA(A1221:F1221)=0,"",IF(OR(LEN(A1221)&lt;&gt;7,MID(A1221,5,1)&lt;&gt;"-",ISERROR(--LEFT(A1221,4)),ISERROR(--RIGHT(A1221,2))),"ERROR: PERIODO debe ser AAAA-MM",IF(B1221="","ERROR: falta CODIGO CECO",IF(G1221="CECO NO EXISTE","ERROR: CECO no existe en el catálogo",IF(C1221="","ERROR: falta CUENTA",IF(ISERROR(--C1221),"ERROR: CUENTA debe tener solo dígitos",IF(ISERROR(FIND(LEFT(C1221,1),"567")),"ERROR: CUENTA fuera de las clases de costo",IF(NOT(ISNUMBER(E1221)),"ERROR: VALOR debe ser numérico",IF(E1221=0,"AVISO: valor cero (no se carga)",IF(J1221&lt;&gt;"ACTIVO","NO SE CARGA: CECO en estado "&amp;J1221,"OK"))))))))))</f>
        <v/>
      </c>
    </row>
    <row r="1222">
      <c r="A1222" s="5" t="n"/>
      <c r="B1222" s="6" t="n"/>
      <c r="C1222" s="5" t="n"/>
      <c r="D1222" s="6" t="n"/>
      <c r="E1222" s="7" t="n"/>
      <c r="F1222" s="6" t="n"/>
      <c r="G1222" s="8">
        <f>IF(B1222="","",IFERROR(VLOOKUP(--B1222,'CATALOGO CECO'!$A$2:$H$550,2,FALSE),"CECO NO EXISTE"))</f>
        <v/>
      </c>
      <c r="H1222" s="8">
        <f>IF(B1222="","",IFERROR(VLOOKUP(--B1222,'CATALOGO CECO'!$A$2:$H$550,3,FALSE),""))</f>
        <v/>
      </c>
      <c r="I1222" s="8">
        <f>IF(B1222="","",IFERROR(VLOOKUP(--B1222,'CATALOGO CECO'!$A$2:$H$550,5,FALSE),""))</f>
        <v/>
      </c>
      <c r="J1222" s="8">
        <f>IF(B1222="","",IFERROR(VLOOKUP(--B1222,'CATALOGO CECO'!$A$2:$H$550,8,FALSE),""))</f>
        <v/>
      </c>
      <c r="K1222" s="8">
        <f>IF(COUNTA(A1222:F1222)=0,"",IF(OR(LEN(A1222)&lt;&gt;7,MID(A1222,5,1)&lt;&gt;"-",ISERROR(--LEFT(A1222,4)),ISERROR(--RIGHT(A1222,2))),"ERROR: PERIODO debe ser AAAA-MM",IF(B1222="","ERROR: falta CODIGO CECO",IF(G1222="CECO NO EXISTE","ERROR: CECO no existe en el catálogo",IF(C1222="","ERROR: falta CUENTA",IF(ISERROR(--C1222),"ERROR: CUENTA debe tener solo dígitos",IF(ISERROR(FIND(LEFT(C1222,1),"567")),"ERROR: CUENTA fuera de las clases de costo",IF(NOT(ISNUMBER(E1222)),"ERROR: VALOR debe ser numérico",IF(E1222=0,"AVISO: valor cero (no se carga)",IF(J1222&lt;&gt;"ACTIVO","NO SE CARGA: CECO en estado "&amp;J1222,"OK"))))))))))</f>
        <v/>
      </c>
    </row>
    <row r="1223">
      <c r="A1223" s="5" t="n"/>
      <c r="B1223" s="6" t="n"/>
      <c r="C1223" s="5" t="n"/>
      <c r="D1223" s="6" t="n"/>
      <c r="E1223" s="7" t="n"/>
      <c r="F1223" s="6" t="n"/>
      <c r="G1223" s="8">
        <f>IF(B1223="","",IFERROR(VLOOKUP(--B1223,'CATALOGO CECO'!$A$2:$H$550,2,FALSE),"CECO NO EXISTE"))</f>
        <v/>
      </c>
      <c r="H1223" s="8">
        <f>IF(B1223="","",IFERROR(VLOOKUP(--B1223,'CATALOGO CECO'!$A$2:$H$550,3,FALSE),""))</f>
        <v/>
      </c>
      <c r="I1223" s="8">
        <f>IF(B1223="","",IFERROR(VLOOKUP(--B1223,'CATALOGO CECO'!$A$2:$H$550,5,FALSE),""))</f>
        <v/>
      </c>
      <c r="J1223" s="8">
        <f>IF(B1223="","",IFERROR(VLOOKUP(--B1223,'CATALOGO CECO'!$A$2:$H$550,8,FALSE),""))</f>
        <v/>
      </c>
      <c r="K1223" s="8">
        <f>IF(COUNTA(A1223:F1223)=0,"",IF(OR(LEN(A1223)&lt;&gt;7,MID(A1223,5,1)&lt;&gt;"-",ISERROR(--LEFT(A1223,4)),ISERROR(--RIGHT(A1223,2))),"ERROR: PERIODO debe ser AAAA-MM",IF(B1223="","ERROR: falta CODIGO CECO",IF(G1223="CECO NO EXISTE","ERROR: CECO no existe en el catálogo",IF(C1223="","ERROR: falta CUENTA",IF(ISERROR(--C1223),"ERROR: CUENTA debe tener solo dígitos",IF(ISERROR(FIND(LEFT(C1223,1),"567")),"ERROR: CUENTA fuera de las clases de costo",IF(NOT(ISNUMBER(E1223)),"ERROR: VALOR debe ser numérico",IF(E1223=0,"AVISO: valor cero (no se carga)",IF(J1223&lt;&gt;"ACTIVO","NO SE CARGA: CECO en estado "&amp;J1223,"OK"))))))))))</f>
        <v/>
      </c>
    </row>
    <row r="1224">
      <c r="A1224" s="5" t="n"/>
      <c r="B1224" s="6" t="n"/>
      <c r="C1224" s="5" t="n"/>
      <c r="D1224" s="6" t="n"/>
      <c r="E1224" s="7" t="n"/>
      <c r="F1224" s="6" t="n"/>
      <c r="G1224" s="8">
        <f>IF(B1224="","",IFERROR(VLOOKUP(--B1224,'CATALOGO CECO'!$A$2:$H$550,2,FALSE),"CECO NO EXISTE"))</f>
        <v/>
      </c>
      <c r="H1224" s="8">
        <f>IF(B1224="","",IFERROR(VLOOKUP(--B1224,'CATALOGO CECO'!$A$2:$H$550,3,FALSE),""))</f>
        <v/>
      </c>
      <c r="I1224" s="8">
        <f>IF(B1224="","",IFERROR(VLOOKUP(--B1224,'CATALOGO CECO'!$A$2:$H$550,5,FALSE),""))</f>
        <v/>
      </c>
      <c r="J1224" s="8">
        <f>IF(B1224="","",IFERROR(VLOOKUP(--B1224,'CATALOGO CECO'!$A$2:$H$550,8,FALSE),""))</f>
        <v/>
      </c>
      <c r="K1224" s="8">
        <f>IF(COUNTA(A1224:F1224)=0,"",IF(OR(LEN(A1224)&lt;&gt;7,MID(A1224,5,1)&lt;&gt;"-",ISERROR(--LEFT(A1224,4)),ISERROR(--RIGHT(A1224,2))),"ERROR: PERIODO debe ser AAAA-MM",IF(B1224="","ERROR: falta CODIGO CECO",IF(G1224="CECO NO EXISTE","ERROR: CECO no existe en el catálogo",IF(C1224="","ERROR: falta CUENTA",IF(ISERROR(--C1224),"ERROR: CUENTA debe tener solo dígitos",IF(ISERROR(FIND(LEFT(C1224,1),"567")),"ERROR: CUENTA fuera de las clases de costo",IF(NOT(ISNUMBER(E1224)),"ERROR: VALOR debe ser numérico",IF(E1224=0,"AVISO: valor cero (no se carga)",IF(J1224&lt;&gt;"ACTIVO","NO SE CARGA: CECO en estado "&amp;J1224,"OK"))))))))))</f>
        <v/>
      </c>
    </row>
    <row r="1225">
      <c r="A1225" s="5" t="n"/>
      <c r="B1225" s="6" t="n"/>
      <c r="C1225" s="5" t="n"/>
      <c r="D1225" s="6" t="n"/>
      <c r="E1225" s="7" t="n"/>
      <c r="F1225" s="6" t="n"/>
      <c r="G1225" s="8">
        <f>IF(B1225="","",IFERROR(VLOOKUP(--B1225,'CATALOGO CECO'!$A$2:$H$550,2,FALSE),"CECO NO EXISTE"))</f>
        <v/>
      </c>
      <c r="H1225" s="8">
        <f>IF(B1225="","",IFERROR(VLOOKUP(--B1225,'CATALOGO CECO'!$A$2:$H$550,3,FALSE),""))</f>
        <v/>
      </c>
      <c r="I1225" s="8">
        <f>IF(B1225="","",IFERROR(VLOOKUP(--B1225,'CATALOGO CECO'!$A$2:$H$550,5,FALSE),""))</f>
        <v/>
      </c>
      <c r="J1225" s="8">
        <f>IF(B1225="","",IFERROR(VLOOKUP(--B1225,'CATALOGO CECO'!$A$2:$H$550,8,FALSE),""))</f>
        <v/>
      </c>
      <c r="K1225" s="8">
        <f>IF(COUNTA(A1225:F1225)=0,"",IF(OR(LEN(A1225)&lt;&gt;7,MID(A1225,5,1)&lt;&gt;"-",ISERROR(--LEFT(A1225,4)),ISERROR(--RIGHT(A1225,2))),"ERROR: PERIODO debe ser AAAA-MM",IF(B1225="","ERROR: falta CODIGO CECO",IF(G1225="CECO NO EXISTE","ERROR: CECO no existe en el catálogo",IF(C1225="","ERROR: falta CUENTA",IF(ISERROR(--C1225),"ERROR: CUENTA debe tener solo dígitos",IF(ISERROR(FIND(LEFT(C1225,1),"567")),"ERROR: CUENTA fuera de las clases de costo",IF(NOT(ISNUMBER(E1225)),"ERROR: VALOR debe ser numérico",IF(E1225=0,"AVISO: valor cero (no se carga)",IF(J1225&lt;&gt;"ACTIVO","NO SE CARGA: CECO en estado "&amp;J1225,"OK"))))))))))</f>
        <v/>
      </c>
    </row>
    <row r="1226">
      <c r="A1226" s="5" t="n"/>
      <c r="B1226" s="6" t="n"/>
      <c r="C1226" s="5" t="n"/>
      <c r="D1226" s="6" t="n"/>
      <c r="E1226" s="7" t="n"/>
      <c r="F1226" s="6" t="n"/>
      <c r="G1226" s="8">
        <f>IF(B1226="","",IFERROR(VLOOKUP(--B1226,'CATALOGO CECO'!$A$2:$H$550,2,FALSE),"CECO NO EXISTE"))</f>
        <v/>
      </c>
      <c r="H1226" s="8">
        <f>IF(B1226="","",IFERROR(VLOOKUP(--B1226,'CATALOGO CECO'!$A$2:$H$550,3,FALSE),""))</f>
        <v/>
      </c>
      <c r="I1226" s="8">
        <f>IF(B1226="","",IFERROR(VLOOKUP(--B1226,'CATALOGO CECO'!$A$2:$H$550,5,FALSE),""))</f>
        <v/>
      </c>
      <c r="J1226" s="8">
        <f>IF(B1226="","",IFERROR(VLOOKUP(--B1226,'CATALOGO CECO'!$A$2:$H$550,8,FALSE),""))</f>
        <v/>
      </c>
      <c r="K1226" s="8">
        <f>IF(COUNTA(A1226:F1226)=0,"",IF(OR(LEN(A1226)&lt;&gt;7,MID(A1226,5,1)&lt;&gt;"-",ISERROR(--LEFT(A1226,4)),ISERROR(--RIGHT(A1226,2))),"ERROR: PERIODO debe ser AAAA-MM",IF(B1226="","ERROR: falta CODIGO CECO",IF(G1226="CECO NO EXISTE","ERROR: CECO no existe en el catálogo",IF(C1226="","ERROR: falta CUENTA",IF(ISERROR(--C1226),"ERROR: CUENTA debe tener solo dígitos",IF(ISERROR(FIND(LEFT(C1226,1),"567")),"ERROR: CUENTA fuera de las clases de costo",IF(NOT(ISNUMBER(E1226)),"ERROR: VALOR debe ser numérico",IF(E1226=0,"AVISO: valor cero (no se carga)",IF(J1226&lt;&gt;"ACTIVO","NO SE CARGA: CECO en estado "&amp;J1226,"OK"))))))))))</f>
        <v/>
      </c>
    </row>
    <row r="1227">
      <c r="A1227" s="5" t="n"/>
      <c r="B1227" s="6" t="n"/>
      <c r="C1227" s="5" t="n"/>
      <c r="D1227" s="6" t="n"/>
      <c r="E1227" s="7" t="n"/>
      <c r="F1227" s="6" t="n"/>
      <c r="G1227" s="8">
        <f>IF(B1227="","",IFERROR(VLOOKUP(--B1227,'CATALOGO CECO'!$A$2:$H$550,2,FALSE),"CECO NO EXISTE"))</f>
        <v/>
      </c>
      <c r="H1227" s="8">
        <f>IF(B1227="","",IFERROR(VLOOKUP(--B1227,'CATALOGO CECO'!$A$2:$H$550,3,FALSE),""))</f>
        <v/>
      </c>
      <c r="I1227" s="8">
        <f>IF(B1227="","",IFERROR(VLOOKUP(--B1227,'CATALOGO CECO'!$A$2:$H$550,5,FALSE),""))</f>
        <v/>
      </c>
      <c r="J1227" s="8">
        <f>IF(B1227="","",IFERROR(VLOOKUP(--B1227,'CATALOGO CECO'!$A$2:$H$550,8,FALSE),""))</f>
        <v/>
      </c>
      <c r="K1227" s="8">
        <f>IF(COUNTA(A1227:F1227)=0,"",IF(OR(LEN(A1227)&lt;&gt;7,MID(A1227,5,1)&lt;&gt;"-",ISERROR(--LEFT(A1227,4)),ISERROR(--RIGHT(A1227,2))),"ERROR: PERIODO debe ser AAAA-MM",IF(B1227="","ERROR: falta CODIGO CECO",IF(G1227="CECO NO EXISTE","ERROR: CECO no existe en el catálogo",IF(C1227="","ERROR: falta CUENTA",IF(ISERROR(--C1227),"ERROR: CUENTA debe tener solo dígitos",IF(ISERROR(FIND(LEFT(C1227,1),"567")),"ERROR: CUENTA fuera de las clases de costo",IF(NOT(ISNUMBER(E1227)),"ERROR: VALOR debe ser numérico",IF(E1227=0,"AVISO: valor cero (no se carga)",IF(J1227&lt;&gt;"ACTIVO","NO SE CARGA: CECO en estado "&amp;J1227,"OK"))))))))))</f>
        <v/>
      </c>
    </row>
    <row r="1228">
      <c r="A1228" s="5" t="n"/>
      <c r="B1228" s="6" t="n"/>
      <c r="C1228" s="5" t="n"/>
      <c r="D1228" s="6" t="n"/>
      <c r="E1228" s="7" t="n"/>
      <c r="F1228" s="6" t="n"/>
      <c r="G1228" s="8">
        <f>IF(B1228="","",IFERROR(VLOOKUP(--B1228,'CATALOGO CECO'!$A$2:$H$550,2,FALSE),"CECO NO EXISTE"))</f>
        <v/>
      </c>
      <c r="H1228" s="8">
        <f>IF(B1228="","",IFERROR(VLOOKUP(--B1228,'CATALOGO CECO'!$A$2:$H$550,3,FALSE),""))</f>
        <v/>
      </c>
      <c r="I1228" s="8">
        <f>IF(B1228="","",IFERROR(VLOOKUP(--B1228,'CATALOGO CECO'!$A$2:$H$550,5,FALSE),""))</f>
        <v/>
      </c>
      <c r="J1228" s="8">
        <f>IF(B1228="","",IFERROR(VLOOKUP(--B1228,'CATALOGO CECO'!$A$2:$H$550,8,FALSE),""))</f>
        <v/>
      </c>
      <c r="K1228" s="8">
        <f>IF(COUNTA(A1228:F1228)=0,"",IF(OR(LEN(A1228)&lt;&gt;7,MID(A1228,5,1)&lt;&gt;"-",ISERROR(--LEFT(A1228,4)),ISERROR(--RIGHT(A1228,2))),"ERROR: PERIODO debe ser AAAA-MM",IF(B1228="","ERROR: falta CODIGO CECO",IF(G1228="CECO NO EXISTE","ERROR: CECO no existe en el catálogo",IF(C1228="","ERROR: falta CUENTA",IF(ISERROR(--C1228),"ERROR: CUENTA debe tener solo dígitos",IF(ISERROR(FIND(LEFT(C1228,1),"567")),"ERROR: CUENTA fuera de las clases de costo",IF(NOT(ISNUMBER(E1228)),"ERROR: VALOR debe ser numérico",IF(E1228=0,"AVISO: valor cero (no se carga)",IF(J1228&lt;&gt;"ACTIVO","NO SE CARGA: CECO en estado "&amp;J1228,"OK"))))))))))</f>
        <v/>
      </c>
    </row>
    <row r="1229">
      <c r="A1229" s="5" t="n"/>
      <c r="B1229" s="6" t="n"/>
      <c r="C1229" s="5" t="n"/>
      <c r="D1229" s="6" t="n"/>
      <c r="E1229" s="7" t="n"/>
      <c r="F1229" s="6" t="n"/>
      <c r="G1229" s="8">
        <f>IF(B1229="","",IFERROR(VLOOKUP(--B1229,'CATALOGO CECO'!$A$2:$H$550,2,FALSE),"CECO NO EXISTE"))</f>
        <v/>
      </c>
      <c r="H1229" s="8">
        <f>IF(B1229="","",IFERROR(VLOOKUP(--B1229,'CATALOGO CECO'!$A$2:$H$550,3,FALSE),""))</f>
        <v/>
      </c>
      <c r="I1229" s="8">
        <f>IF(B1229="","",IFERROR(VLOOKUP(--B1229,'CATALOGO CECO'!$A$2:$H$550,5,FALSE),""))</f>
        <v/>
      </c>
      <c r="J1229" s="8">
        <f>IF(B1229="","",IFERROR(VLOOKUP(--B1229,'CATALOGO CECO'!$A$2:$H$550,8,FALSE),""))</f>
        <v/>
      </c>
      <c r="K1229" s="8">
        <f>IF(COUNTA(A1229:F1229)=0,"",IF(OR(LEN(A1229)&lt;&gt;7,MID(A1229,5,1)&lt;&gt;"-",ISERROR(--LEFT(A1229,4)),ISERROR(--RIGHT(A1229,2))),"ERROR: PERIODO debe ser AAAA-MM",IF(B1229="","ERROR: falta CODIGO CECO",IF(G1229="CECO NO EXISTE","ERROR: CECO no existe en el catálogo",IF(C1229="","ERROR: falta CUENTA",IF(ISERROR(--C1229),"ERROR: CUENTA debe tener solo dígitos",IF(ISERROR(FIND(LEFT(C1229,1),"567")),"ERROR: CUENTA fuera de las clases de costo",IF(NOT(ISNUMBER(E1229)),"ERROR: VALOR debe ser numérico",IF(E1229=0,"AVISO: valor cero (no se carga)",IF(J1229&lt;&gt;"ACTIVO","NO SE CARGA: CECO en estado "&amp;J1229,"OK"))))))))))</f>
        <v/>
      </c>
    </row>
    <row r="1230">
      <c r="A1230" s="5" t="n"/>
      <c r="B1230" s="6" t="n"/>
      <c r="C1230" s="5" t="n"/>
      <c r="D1230" s="6" t="n"/>
      <c r="E1230" s="7" t="n"/>
      <c r="F1230" s="6" t="n"/>
      <c r="G1230" s="8">
        <f>IF(B1230="","",IFERROR(VLOOKUP(--B1230,'CATALOGO CECO'!$A$2:$H$550,2,FALSE),"CECO NO EXISTE"))</f>
        <v/>
      </c>
      <c r="H1230" s="8">
        <f>IF(B1230="","",IFERROR(VLOOKUP(--B1230,'CATALOGO CECO'!$A$2:$H$550,3,FALSE),""))</f>
        <v/>
      </c>
      <c r="I1230" s="8">
        <f>IF(B1230="","",IFERROR(VLOOKUP(--B1230,'CATALOGO CECO'!$A$2:$H$550,5,FALSE),""))</f>
        <v/>
      </c>
      <c r="J1230" s="8">
        <f>IF(B1230="","",IFERROR(VLOOKUP(--B1230,'CATALOGO CECO'!$A$2:$H$550,8,FALSE),""))</f>
        <v/>
      </c>
      <c r="K1230" s="8">
        <f>IF(COUNTA(A1230:F1230)=0,"",IF(OR(LEN(A1230)&lt;&gt;7,MID(A1230,5,1)&lt;&gt;"-",ISERROR(--LEFT(A1230,4)),ISERROR(--RIGHT(A1230,2))),"ERROR: PERIODO debe ser AAAA-MM",IF(B1230="","ERROR: falta CODIGO CECO",IF(G1230="CECO NO EXISTE","ERROR: CECO no existe en el catálogo",IF(C1230="","ERROR: falta CUENTA",IF(ISERROR(--C1230),"ERROR: CUENTA debe tener solo dígitos",IF(ISERROR(FIND(LEFT(C1230,1),"567")),"ERROR: CUENTA fuera de las clases de costo",IF(NOT(ISNUMBER(E1230)),"ERROR: VALOR debe ser numérico",IF(E1230=0,"AVISO: valor cero (no se carga)",IF(J1230&lt;&gt;"ACTIVO","NO SE CARGA: CECO en estado "&amp;J1230,"OK"))))))))))</f>
        <v/>
      </c>
    </row>
    <row r="1231">
      <c r="A1231" s="5" t="n"/>
      <c r="B1231" s="6" t="n"/>
      <c r="C1231" s="5" t="n"/>
      <c r="D1231" s="6" t="n"/>
      <c r="E1231" s="7" t="n"/>
      <c r="F1231" s="6" t="n"/>
      <c r="G1231" s="8">
        <f>IF(B1231="","",IFERROR(VLOOKUP(--B1231,'CATALOGO CECO'!$A$2:$H$550,2,FALSE),"CECO NO EXISTE"))</f>
        <v/>
      </c>
      <c r="H1231" s="8">
        <f>IF(B1231="","",IFERROR(VLOOKUP(--B1231,'CATALOGO CECO'!$A$2:$H$550,3,FALSE),""))</f>
        <v/>
      </c>
      <c r="I1231" s="8">
        <f>IF(B1231="","",IFERROR(VLOOKUP(--B1231,'CATALOGO CECO'!$A$2:$H$550,5,FALSE),""))</f>
        <v/>
      </c>
      <c r="J1231" s="8">
        <f>IF(B1231="","",IFERROR(VLOOKUP(--B1231,'CATALOGO CECO'!$A$2:$H$550,8,FALSE),""))</f>
        <v/>
      </c>
      <c r="K1231" s="8">
        <f>IF(COUNTA(A1231:F1231)=0,"",IF(OR(LEN(A1231)&lt;&gt;7,MID(A1231,5,1)&lt;&gt;"-",ISERROR(--LEFT(A1231,4)),ISERROR(--RIGHT(A1231,2))),"ERROR: PERIODO debe ser AAAA-MM",IF(B1231="","ERROR: falta CODIGO CECO",IF(G1231="CECO NO EXISTE","ERROR: CECO no existe en el catálogo",IF(C1231="","ERROR: falta CUENTA",IF(ISERROR(--C1231),"ERROR: CUENTA debe tener solo dígitos",IF(ISERROR(FIND(LEFT(C1231,1),"567")),"ERROR: CUENTA fuera de las clases de costo",IF(NOT(ISNUMBER(E1231)),"ERROR: VALOR debe ser numérico",IF(E1231=0,"AVISO: valor cero (no se carga)",IF(J1231&lt;&gt;"ACTIVO","NO SE CARGA: CECO en estado "&amp;J1231,"OK"))))))))))</f>
        <v/>
      </c>
    </row>
    <row r="1232">
      <c r="A1232" s="5" t="n"/>
      <c r="B1232" s="6" t="n"/>
      <c r="C1232" s="5" t="n"/>
      <c r="D1232" s="6" t="n"/>
      <c r="E1232" s="7" t="n"/>
      <c r="F1232" s="6" t="n"/>
      <c r="G1232" s="8">
        <f>IF(B1232="","",IFERROR(VLOOKUP(--B1232,'CATALOGO CECO'!$A$2:$H$550,2,FALSE),"CECO NO EXISTE"))</f>
        <v/>
      </c>
      <c r="H1232" s="8">
        <f>IF(B1232="","",IFERROR(VLOOKUP(--B1232,'CATALOGO CECO'!$A$2:$H$550,3,FALSE),""))</f>
        <v/>
      </c>
      <c r="I1232" s="8">
        <f>IF(B1232="","",IFERROR(VLOOKUP(--B1232,'CATALOGO CECO'!$A$2:$H$550,5,FALSE),""))</f>
        <v/>
      </c>
      <c r="J1232" s="8">
        <f>IF(B1232="","",IFERROR(VLOOKUP(--B1232,'CATALOGO CECO'!$A$2:$H$550,8,FALSE),""))</f>
        <v/>
      </c>
      <c r="K1232" s="8">
        <f>IF(COUNTA(A1232:F1232)=0,"",IF(OR(LEN(A1232)&lt;&gt;7,MID(A1232,5,1)&lt;&gt;"-",ISERROR(--LEFT(A1232,4)),ISERROR(--RIGHT(A1232,2))),"ERROR: PERIODO debe ser AAAA-MM",IF(B1232="","ERROR: falta CODIGO CECO",IF(G1232="CECO NO EXISTE","ERROR: CECO no existe en el catálogo",IF(C1232="","ERROR: falta CUENTA",IF(ISERROR(--C1232),"ERROR: CUENTA debe tener solo dígitos",IF(ISERROR(FIND(LEFT(C1232,1),"567")),"ERROR: CUENTA fuera de las clases de costo",IF(NOT(ISNUMBER(E1232)),"ERROR: VALOR debe ser numérico",IF(E1232=0,"AVISO: valor cero (no se carga)",IF(J1232&lt;&gt;"ACTIVO","NO SE CARGA: CECO en estado "&amp;J1232,"OK"))))))))))</f>
        <v/>
      </c>
    </row>
    <row r="1233">
      <c r="A1233" s="5" t="n"/>
      <c r="B1233" s="6" t="n"/>
      <c r="C1233" s="5" t="n"/>
      <c r="D1233" s="6" t="n"/>
      <c r="E1233" s="7" t="n"/>
      <c r="F1233" s="6" t="n"/>
      <c r="G1233" s="8">
        <f>IF(B1233="","",IFERROR(VLOOKUP(--B1233,'CATALOGO CECO'!$A$2:$H$550,2,FALSE),"CECO NO EXISTE"))</f>
        <v/>
      </c>
      <c r="H1233" s="8">
        <f>IF(B1233="","",IFERROR(VLOOKUP(--B1233,'CATALOGO CECO'!$A$2:$H$550,3,FALSE),""))</f>
        <v/>
      </c>
      <c r="I1233" s="8">
        <f>IF(B1233="","",IFERROR(VLOOKUP(--B1233,'CATALOGO CECO'!$A$2:$H$550,5,FALSE),""))</f>
        <v/>
      </c>
      <c r="J1233" s="8">
        <f>IF(B1233="","",IFERROR(VLOOKUP(--B1233,'CATALOGO CECO'!$A$2:$H$550,8,FALSE),""))</f>
        <v/>
      </c>
      <c r="K1233" s="8">
        <f>IF(COUNTA(A1233:F1233)=0,"",IF(OR(LEN(A1233)&lt;&gt;7,MID(A1233,5,1)&lt;&gt;"-",ISERROR(--LEFT(A1233,4)),ISERROR(--RIGHT(A1233,2))),"ERROR: PERIODO debe ser AAAA-MM",IF(B1233="","ERROR: falta CODIGO CECO",IF(G1233="CECO NO EXISTE","ERROR: CECO no existe en el catálogo",IF(C1233="","ERROR: falta CUENTA",IF(ISERROR(--C1233),"ERROR: CUENTA debe tener solo dígitos",IF(ISERROR(FIND(LEFT(C1233,1),"567")),"ERROR: CUENTA fuera de las clases de costo",IF(NOT(ISNUMBER(E1233)),"ERROR: VALOR debe ser numérico",IF(E1233=0,"AVISO: valor cero (no se carga)",IF(J1233&lt;&gt;"ACTIVO","NO SE CARGA: CECO en estado "&amp;J1233,"OK"))))))))))</f>
        <v/>
      </c>
    </row>
    <row r="1234">
      <c r="A1234" s="5" t="n"/>
      <c r="B1234" s="6" t="n"/>
      <c r="C1234" s="5" t="n"/>
      <c r="D1234" s="6" t="n"/>
      <c r="E1234" s="7" t="n"/>
      <c r="F1234" s="6" t="n"/>
      <c r="G1234" s="8">
        <f>IF(B1234="","",IFERROR(VLOOKUP(--B1234,'CATALOGO CECO'!$A$2:$H$550,2,FALSE),"CECO NO EXISTE"))</f>
        <v/>
      </c>
      <c r="H1234" s="8">
        <f>IF(B1234="","",IFERROR(VLOOKUP(--B1234,'CATALOGO CECO'!$A$2:$H$550,3,FALSE),""))</f>
        <v/>
      </c>
      <c r="I1234" s="8">
        <f>IF(B1234="","",IFERROR(VLOOKUP(--B1234,'CATALOGO CECO'!$A$2:$H$550,5,FALSE),""))</f>
        <v/>
      </c>
      <c r="J1234" s="8">
        <f>IF(B1234="","",IFERROR(VLOOKUP(--B1234,'CATALOGO CECO'!$A$2:$H$550,8,FALSE),""))</f>
        <v/>
      </c>
      <c r="K1234" s="8">
        <f>IF(COUNTA(A1234:F1234)=0,"",IF(OR(LEN(A1234)&lt;&gt;7,MID(A1234,5,1)&lt;&gt;"-",ISERROR(--LEFT(A1234,4)),ISERROR(--RIGHT(A1234,2))),"ERROR: PERIODO debe ser AAAA-MM",IF(B1234="","ERROR: falta CODIGO CECO",IF(G1234="CECO NO EXISTE","ERROR: CECO no existe en el catálogo",IF(C1234="","ERROR: falta CUENTA",IF(ISERROR(--C1234),"ERROR: CUENTA debe tener solo dígitos",IF(ISERROR(FIND(LEFT(C1234,1),"567")),"ERROR: CUENTA fuera de las clases de costo",IF(NOT(ISNUMBER(E1234)),"ERROR: VALOR debe ser numérico",IF(E1234=0,"AVISO: valor cero (no se carga)",IF(J1234&lt;&gt;"ACTIVO","NO SE CARGA: CECO en estado "&amp;J1234,"OK"))))))))))</f>
        <v/>
      </c>
    </row>
    <row r="1235">
      <c r="A1235" s="5" t="n"/>
      <c r="B1235" s="6" t="n"/>
      <c r="C1235" s="5" t="n"/>
      <c r="D1235" s="6" t="n"/>
      <c r="E1235" s="7" t="n"/>
      <c r="F1235" s="6" t="n"/>
      <c r="G1235" s="8">
        <f>IF(B1235="","",IFERROR(VLOOKUP(--B1235,'CATALOGO CECO'!$A$2:$H$550,2,FALSE),"CECO NO EXISTE"))</f>
        <v/>
      </c>
      <c r="H1235" s="8">
        <f>IF(B1235="","",IFERROR(VLOOKUP(--B1235,'CATALOGO CECO'!$A$2:$H$550,3,FALSE),""))</f>
        <v/>
      </c>
      <c r="I1235" s="8">
        <f>IF(B1235="","",IFERROR(VLOOKUP(--B1235,'CATALOGO CECO'!$A$2:$H$550,5,FALSE),""))</f>
        <v/>
      </c>
      <c r="J1235" s="8">
        <f>IF(B1235="","",IFERROR(VLOOKUP(--B1235,'CATALOGO CECO'!$A$2:$H$550,8,FALSE),""))</f>
        <v/>
      </c>
      <c r="K1235" s="8">
        <f>IF(COUNTA(A1235:F1235)=0,"",IF(OR(LEN(A1235)&lt;&gt;7,MID(A1235,5,1)&lt;&gt;"-",ISERROR(--LEFT(A1235,4)),ISERROR(--RIGHT(A1235,2))),"ERROR: PERIODO debe ser AAAA-MM",IF(B1235="","ERROR: falta CODIGO CECO",IF(G1235="CECO NO EXISTE","ERROR: CECO no existe en el catálogo",IF(C1235="","ERROR: falta CUENTA",IF(ISERROR(--C1235),"ERROR: CUENTA debe tener solo dígitos",IF(ISERROR(FIND(LEFT(C1235,1),"567")),"ERROR: CUENTA fuera de las clases de costo",IF(NOT(ISNUMBER(E1235)),"ERROR: VALOR debe ser numérico",IF(E1235=0,"AVISO: valor cero (no se carga)",IF(J1235&lt;&gt;"ACTIVO","NO SE CARGA: CECO en estado "&amp;J1235,"OK"))))))))))</f>
        <v/>
      </c>
    </row>
    <row r="1236">
      <c r="A1236" s="5" t="n"/>
      <c r="B1236" s="6" t="n"/>
      <c r="C1236" s="5" t="n"/>
      <c r="D1236" s="6" t="n"/>
      <c r="E1236" s="7" t="n"/>
      <c r="F1236" s="6" t="n"/>
      <c r="G1236" s="8">
        <f>IF(B1236="","",IFERROR(VLOOKUP(--B1236,'CATALOGO CECO'!$A$2:$H$550,2,FALSE),"CECO NO EXISTE"))</f>
        <v/>
      </c>
      <c r="H1236" s="8">
        <f>IF(B1236="","",IFERROR(VLOOKUP(--B1236,'CATALOGO CECO'!$A$2:$H$550,3,FALSE),""))</f>
        <v/>
      </c>
      <c r="I1236" s="8">
        <f>IF(B1236="","",IFERROR(VLOOKUP(--B1236,'CATALOGO CECO'!$A$2:$H$550,5,FALSE),""))</f>
        <v/>
      </c>
      <c r="J1236" s="8">
        <f>IF(B1236="","",IFERROR(VLOOKUP(--B1236,'CATALOGO CECO'!$A$2:$H$550,8,FALSE),""))</f>
        <v/>
      </c>
      <c r="K1236" s="8">
        <f>IF(COUNTA(A1236:F1236)=0,"",IF(OR(LEN(A1236)&lt;&gt;7,MID(A1236,5,1)&lt;&gt;"-",ISERROR(--LEFT(A1236,4)),ISERROR(--RIGHT(A1236,2))),"ERROR: PERIODO debe ser AAAA-MM",IF(B1236="","ERROR: falta CODIGO CECO",IF(G1236="CECO NO EXISTE","ERROR: CECO no existe en el catálogo",IF(C1236="","ERROR: falta CUENTA",IF(ISERROR(--C1236),"ERROR: CUENTA debe tener solo dígitos",IF(ISERROR(FIND(LEFT(C1236,1),"567")),"ERROR: CUENTA fuera de las clases de costo",IF(NOT(ISNUMBER(E1236)),"ERROR: VALOR debe ser numérico",IF(E1236=0,"AVISO: valor cero (no se carga)",IF(J1236&lt;&gt;"ACTIVO","NO SE CARGA: CECO en estado "&amp;J1236,"OK"))))))))))</f>
        <v/>
      </c>
    </row>
    <row r="1237">
      <c r="A1237" s="5" t="n"/>
      <c r="B1237" s="6" t="n"/>
      <c r="C1237" s="5" t="n"/>
      <c r="D1237" s="6" t="n"/>
      <c r="E1237" s="7" t="n"/>
      <c r="F1237" s="6" t="n"/>
      <c r="G1237" s="8">
        <f>IF(B1237="","",IFERROR(VLOOKUP(--B1237,'CATALOGO CECO'!$A$2:$H$550,2,FALSE),"CECO NO EXISTE"))</f>
        <v/>
      </c>
      <c r="H1237" s="8">
        <f>IF(B1237="","",IFERROR(VLOOKUP(--B1237,'CATALOGO CECO'!$A$2:$H$550,3,FALSE),""))</f>
        <v/>
      </c>
      <c r="I1237" s="8">
        <f>IF(B1237="","",IFERROR(VLOOKUP(--B1237,'CATALOGO CECO'!$A$2:$H$550,5,FALSE),""))</f>
        <v/>
      </c>
      <c r="J1237" s="8">
        <f>IF(B1237="","",IFERROR(VLOOKUP(--B1237,'CATALOGO CECO'!$A$2:$H$550,8,FALSE),""))</f>
        <v/>
      </c>
      <c r="K1237" s="8">
        <f>IF(COUNTA(A1237:F1237)=0,"",IF(OR(LEN(A1237)&lt;&gt;7,MID(A1237,5,1)&lt;&gt;"-",ISERROR(--LEFT(A1237,4)),ISERROR(--RIGHT(A1237,2))),"ERROR: PERIODO debe ser AAAA-MM",IF(B1237="","ERROR: falta CODIGO CECO",IF(G1237="CECO NO EXISTE","ERROR: CECO no existe en el catálogo",IF(C1237="","ERROR: falta CUENTA",IF(ISERROR(--C1237),"ERROR: CUENTA debe tener solo dígitos",IF(ISERROR(FIND(LEFT(C1237,1),"567")),"ERROR: CUENTA fuera de las clases de costo",IF(NOT(ISNUMBER(E1237)),"ERROR: VALOR debe ser numérico",IF(E1237=0,"AVISO: valor cero (no se carga)",IF(J1237&lt;&gt;"ACTIVO","NO SE CARGA: CECO en estado "&amp;J1237,"OK"))))))))))</f>
        <v/>
      </c>
    </row>
    <row r="1238">
      <c r="A1238" s="5" t="n"/>
      <c r="B1238" s="6" t="n"/>
      <c r="C1238" s="5" t="n"/>
      <c r="D1238" s="6" t="n"/>
      <c r="E1238" s="7" t="n"/>
      <c r="F1238" s="6" t="n"/>
      <c r="G1238" s="8">
        <f>IF(B1238="","",IFERROR(VLOOKUP(--B1238,'CATALOGO CECO'!$A$2:$H$550,2,FALSE),"CECO NO EXISTE"))</f>
        <v/>
      </c>
      <c r="H1238" s="8">
        <f>IF(B1238="","",IFERROR(VLOOKUP(--B1238,'CATALOGO CECO'!$A$2:$H$550,3,FALSE),""))</f>
        <v/>
      </c>
      <c r="I1238" s="8">
        <f>IF(B1238="","",IFERROR(VLOOKUP(--B1238,'CATALOGO CECO'!$A$2:$H$550,5,FALSE),""))</f>
        <v/>
      </c>
      <c r="J1238" s="8">
        <f>IF(B1238="","",IFERROR(VLOOKUP(--B1238,'CATALOGO CECO'!$A$2:$H$550,8,FALSE),""))</f>
        <v/>
      </c>
      <c r="K1238" s="8">
        <f>IF(COUNTA(A1238:F1238)=0,"",IF(OR(LEN(A1238)&lt;&gt;7,MID(A1238,5,1)&lt;&gt;"-",ISERROR(--LEFT(A1238,4)),ISERROR(--RIGHT(A1238,2))),"ERROR: PERIODO debe ser AAAA-MM",IF(B1238="","ERROR: falta CODIGO CECO",IF(G1238="CECO NO EXISTE","ERROR: CECO no existe en el catálogo",IF(C1238="","ERROR: falta CUENTA",IF(ISERROR(--C1238),"ERROR: CUENTA debe tener solo dígitos",IF(ISERROR(FIND(LEFT(C1238,1),"567")),"ERROR: CUENTA fuera de las clases de costo",IF(NOT(ISNUMBER(E1238)),"ERROR: VALOR debe ser numérico",IF(E1238=0,"AVISO: valor cero (no se carga)",IF(J1238&lt;&gt;"ACTIVO","NO SE CARGA: CECO en estado "&amp;J1238,"OK"))))))))))</f>
        <v/>
      </c>
    </row>
    <row r="1239">
      <c r="A1239" s="5" t="n"/>
      <c r="B1239" s="6" t="n"/>
      <c r="C1239" s="5" t="n"/>
      <c r="D1239" s="6" t="n"/>
      <c r="E1239" s="7" t="n"/>
      <c r="F1239" s="6" t="n"/>
      <c r="G1239" s="8">
        <f>IF(B1239="","",IFERROR(VLOOKUP(--B1239,'CATALOGO CECO'!$A$2:$H$550,2,FALSE),"CECO NO EXISTE"))</f>
        <v/>
      </c>
      <c r="H1239" s="8">
        <f>IF(B1239="","",IFERROR(VLOOKUP(--B1239,'CATALOGO CECO'!$A$2:$H$550,3,FALSE),""))</f>
        <v/>
      </c>
      <c r="I1239" s="8">
        <f>IF(B1239="","",IFERROR(VLOOKUP(--B1239,'CATALOGO CECO'!$A$2:$H$550,5,FALSE),""))</f>
        <v/>
      </c>
      <c r="J1239" s="8">
        <f>IF(B1239="","",IFERROR(VLOOKUP(--B1239,'CATALOGO CECO'!$A$2:$H$550,8,FALSE),""))</f>
        <v/>
      </c>
      <c r="K1239" s="8">
        <f>IF(COUNTA(A1239:F1239)=0,"",IF(OR(LEN(A1239)&lt;&gt;7,MID(A1239,5,1)&lt;&gt;"-",ISERROR(--LEFT(A1239,4)),ISERROR(--RIGHT(A1239,2))),"ERROR: PERIODO debe ser AAAA-MM",IF(B1239="","ERROR: falta CODIGO CECO",IF(G1239="CECO NO EXISTE","ERROR: CECO no existe en el catálogo",IF(C1239="","ERROR: falta CUENTA",IF(ISERROR(--C1239),"ERROR: CUENTA debe tener solo dígitos",IF(ISERROR(FIND(LEFT(C1239,1),"567")),"ERROR: CUENTA fuera de las clases de costo",IF(NOT(ISNUMBER(E1239)),"ERROR: VALOR debe ser numérico",IF(E1239=0,"AVISO: valor cero (no se carga)",IF(J1239&lt;&gt;"ACTIVO","NO SE CARGA: CECO en estado "&amp;J1239,"OK"))))))))))</f>
        <v/>
      </c>
    </row>
    <row r="1240">
      <c r="A1240" s="5" t="n"/>
      <c r="B1240" s="6" t="n"/>
      <c r="C1240" s="5" t="n"/>
      <c r="D1240" s="6" t="n"/>
      <c r="E1240" s="7" t="n"/>
      <c r="F1240" s="6" t="n"/>
      <c r="G1240" s="8">
        <f>IF(B1240="","",IFERROR(VLOOKUP(--B1240,'CATALOGO CECO'!$A$2:$H$550,2,FALSE),"CECO NO EXISTE"))</f>
        <v/>
      </c>
      <c r="H1240" s="8">
        <f>IF(B1240="","",IFERROR(VLOOKUP(--B1240,'CATALOGO CECO'!$A$2:$H$550,3,FALSE),""))</f>
        <v/>
      </c>
      <c r="I1240" s="8">
        <f>IF(B1240="","",IFERROR(VLOOKUP(--B1240,'CATALOGO CECO'!$A$2:$H$550,5,FALSE),""))</f>
        <v/>
      </c>
      <c r="J1240" s="8">
        <f>IF(B1240="","",IFERROR(VLOOKUP(--B1240,'CATALOGO CECO'!$A$2:$H$550,8,FALSE),""))</f>
        <v/>
      </c>
      <c r="K1240" s="8">
        <f>IF(COUNTA(A1240:F1240)=0,"",IF(OR(LEN(A1240)&lt;&gt;7,MID(A1240,5,1)&lt;&gt;"-",ISERROR(--LEFT(A1240,4)),ISERROR(--RIGHT(A1240,2))),"ERROR: PERIODO debe ser AAAA-MM",IF(B1240="","ERROR: falta CODIGO CECO",IF(G1240="CECO NO EXISTE","ERROR: CECO no existe en el catálogo",IF(C1240="","ERROR: falta CUENTA",IF(ISERROR(--C1240),"ERROR: CUENTA debe tener solo dígitos",IF(ISERROR(FIND(LEFT(C1240,1),"567")),"ERROR: CUENTA fuera de las clases de costo",IF(NOT(ISNUMBER(E1240)),"ERROR: VALOR debe ser numérico",IF(E1240=0,"AVISO: valor cero (no se carga)",IF(J1240&lt;&gt;"ACTIVO","NO SE CARGA: CECO en estado "&amp;J1240,"OK"))))))))))</f>
        <v/>
      </c>
    </row>
    <row r="1241">
      <c r="A1241" s="5" t="n"/>
      <c r="B1241" s="6" t="n"/>
      <c r="C1241" s="5" t="n"/>
      <c r="D1241" s="6" t="n"/>
      <c r="E1241" s="7" t="n"/>
      <c r="F1241" s="6" t="n"/>
      <c r="G1241" s="8">
        <f>IF(B1241="","",IFERROR(VLOOKUP(--B1241,'CATALOGO CECO'!$A$2:$H$550,2,FALSE),"CECO NO EXISTE"))</f>
        <v/>
      </c>
      <c r="H1241" s="8">
        <f>IF(B1241="","",IFERROR(VLOOKUP(--B1241,'CATALOGO CECO'!$A$2:$H$550,3,FALSE),""))</f>
        <v/>
      </c>
      <c r="I1241" s="8">
        <f>IF(B1241="","",IFERROR(VLOOKUP(--B1241,'CATALOGO CECO'!$A$2:$H$550,5,FALSE),""))</f>
        <v/>
      </c>
      <c r="J1241" s="8">
        <f>IF(B1241="","",IFERROR(VLOOKUP(--B1241,'CATALOGO CECO'!$A$2:$H$550,8,FALSE),""))</f>
        <v/>
      </c>
      <c r="K1241" s="8">
        <f>IF(COUNTA(A1241:F1241)=0,"",IF(OR(LEN(A1241)&lt;&gt;7,MID(A1241,5,1)&lt;&gt;"-",ISERROR(--LEFT(A1241,4)),ISERROR(--RIGHT(A1241,2))),"ERROR: PERIODO debe ser AAAA-MM",IF(B1241="","ERROR: falta CODIGO CECO",IF(G1241="CECO NO EXISTE","ERROR: CECO no existe en el catálogo",IF(C1241="","ERROR: falta CUENTA",IF(ISERROR(--C1241),"ERROR: CUENTA debe tener solo dígitos",IF(ISERROR(FIND(LEFT(C1241,1),"567")),"ERROR: CUENTA fuera de las clases de costo",IF(NOT(ISNUMBER(E1241)),"ERROR: VALOR debe ser numérico",IF(E1241=0,"AVISO: valor cero (no se carga)",IF(J1241&lt;&gt;"ACTIVO","NO SE CARGA: CECO en estado "&amp;J1241,"OK"))))))))))</f>
        <v/>
      </c>
    </row>
    <row r="1242">
      <c r="A1242" s="5" t="n"/>
      <c r="B1242" s="6" t="n"/>
      <c r="C1242" s="5" t="n"/>
      <c r="D1242" s="6" t="n"/>
      <c r="E1242" s="7" t="n"/>
      <c r="F1242" s="6" t="n"/>
      <c r="G1242" s="8">
        <f>IF(B1242="","",IFERROR(VLOOKUP(--B1242,'CATALOGO CECO'!$A$2:$H$550,2,FALSE),"CECO NO EXISTE"))</f>
        <v/>
      </c>
      <c r="H1242" s="8">
        <f>IF(B1242="","",IFERROR(VLOOKUP(--B1242,'CATALOGO CECO'!$A$2:$H$550,3,FALSE),""))</f>
        <v/>
      </c>
      <c r="I1242" s="8">
        <f>IF(B1242="","",IFERROR(VLOOKUP(--B1242,'CATALOGO CECO'!$A$2:$H$550,5,FALSE),""))</f>
        <v/>
      </c>
      <c r="J1242" s="8">
        <f>IF(B1242="","",IFERROR(VLOOKUP(--B1242,'CATALOGO CECO'!$A$2:$H$550,8,FALSE),""))</f>
        <v/>
      </c>
      <c r="K1242" s="8">
        <f>IF(COUNTA(A1242:F1242)=0,"",IF(OR(LEN(A1242)&lt;&gt;7,MID(A1242,5,1)&lt;&gt;"-",ISERROR(--LEFT(A1242,4)),ISERROR(--RIGHT(A1242,2))),"ERROR: PERIODO debe ser AAAA-MM",IF(B1242="","ERROR: falta CODIGO CECO",IF(G1242="CECO NO EXISTE","ERROR: CECO no existe en el catálogo",IF(C1242="","ERROR: falta CUENTA",IF(ISERROR(--C1242),"ERROR: CUENTA debe tener solo dígitos",IF(ISERROR(FIND(LEFT(C1242,1),"567")),"ERROR: CUENTA fuera de las clases de costo",IF(NOT(ISNUMBER(E1242)),"ERROR: VALOR debe ser numérico",IF(E1242=0,"AVISO: valor cero (no se carga)",IF(J1242&lt;&gt;"ACTIVO","NO SE CARGA: CECO en estado "&amp;J1242,"OK"))))))))))</f>
        <v/>
      </c>
    </row>
    <row r="1243">
      <c r="A1243" s="5" t="n"/>
      <c r="B1243" s="6" t="n"/>
      <c r="C1243" s="5" t="n"/>
      <c r="D1243" s="6" t="n"/>
      <c r="E1243" s="7" t="n"/>
      <c r="F1243" s="6" t="n"/>
      <c r="G1243" s="8">
        <f>IF(B1243="","",IFERROR(VLOOKUP(--B1243,'CATALOGO CECO'!$A$2:$H$550,2,FALSE),"CECO NO EXISTE"))</f>
        <v/>
      </c>
      <c r="H1243" s="8">
        <f>IF(B1243="","",IFERROR(VLOOKUP(--B1243,'CATALOGO CECO'!$A$2:$H$550,3,FALSE),""))</f>
        <v/>
      </c>
      <c r="I1243" s="8">
        <f>IF(B1243="","",IFERROR(VLOOKUP(--B1243,'CATALOGO CECO'!$A$2:$H$550,5,FALSE),""))</f>
        <v/>
      </c>
      <c r="J1243" s="8">
        <f>IF(B1243="","",IFERROR(VLOOKUP(--B1243,'CATALOGO CECO'!$A$2:$H$550,8,FALSE),""))</f>
        <v/>
      </c>
      <c r="K1243" s="8">
        <f>IF(COUNTA(A1243:F1243)=0,"",IF(OR(LEN(A1243)&lt;&gt;7,MID(A1243,5,1)&lt;&gt;"-",ISERROR(--LEFT(A1243,4)),ISERROR(--RIGHT(A1243,2))),"ERROR: PERIODO debe ser AAAA-MM",IF(B1243="","ERROR: falta CODIGO CECO",IF(G1243="CECO NO EXISTE","ERROR: CECO no existe en el catálogo",IF(C1243="","ERROR: falta CUENTA",IF(ISERROR(--C1243),"ERROR: CUENTA debe tener solo dígitos",IF(ISERROR(FIND(LEFT(C1243,1),"567")),"ERROR: CUENTA fuera de las clases de costo",IF(NOT(ISNUMBER(E1243)),"ERROR: VALOR debe ser numérico",IF(E1243=0,"AVISO: valor cero (no se carga)",IF(J1243&lt;&gt;"ACTIVO","NO SE CARGA: CECO en estado "&amp;J1243,"OK"))))))))))</f>
        <v/>
      </c>
    </row>
    <row r="1244">
      <c r="A1244" s="5" t="n"/>
      <c r="B1244" s="6" t="n"/>
      <c r="C1244" s="5" t="n"/>
      <c r="D1244" s="6" t="n"/>
      <c r="E1244" s="7" t="n"/>
      <c r="F1244" s="6" t="n"/>
      <c r="G1244" s="8">
        <f>IF(B1244="","",IFERROR(VLOOKUP(--B1244,'CATALOGO CECO'!$A$2:$H$550,2,FALSE),"CECO NO EXISTE"))</f>
        <v/>
      </c>
      <c r="H1244" s="8">
        <f>IF(B1244="","",IFERROR(VLOOKUP(--B1244,'CATALOGO CECO'!$A$2:$H$550,3,FALSE),""))</f>
        <v/>
      </c>
      <c r="I1244" s="8">
        <f>IF(B1244="","",IFERROR(VLOOKUP(--B1244,'CATALOGO CECO'!$A$2:$H$550,5,FALSE),""))</f>
        <v/>
      </c>
      <c r="J1244" s="8">
        <f>IF(B1244="","",IFERROR(VLOOKUP(--B1244,'CATALOGO CECO'!$A$2:$H$550,8,FALSE),""))</f>
        <v/>
      </c>
      <c r="K1244" s="8">
        <f>IF(COUNTA(A1244:F1244)=0,"",IF(OR(LEN(A1244)&lt;&gt;7,MID(A1244,5,1)&lt;&gt;"-",ISERROR(--LEFT(A1244,4)),ISERROR(--RIGHT(A1244,2))),"ERROR: PERIODO debe ser AAAA-MM",IF(B1244="","ERROR: falta CODIGO CECO",IF(G1244="CECO NO EXISTE","ERROR: CECO no existe en el catálogo",IF(C1244="","ERROR: falta CUENTA",IF(ISERROR(--C1244),"ERROR: CUENTA debe tener solo dígitos",IF(ISERROR(FIND(LEFT(C1244,1),"567")),"ERROR: CUENTA fuera de las clases de costo",IF(NOT(ISNUMBER(E1244)),"ERROR: VALOR debe ser numérico",IF(E1244=0,"AVISO: valor cero (no se carga)",IF(J1244&lt;&gt;"ACTIVO","NO SE CARGA: CECO en estado "&amp;J1244,"OK"))))))))))</f>
        <v/>
      </c>
    </row>
    <row r="1245">
      <c r="A1245" s="5" t="n"/>
      <c r="B1245" s="6" t="n"/>
      <c r="C1245" s="5" t="n"/>
      <c r="D1245" s="6" t="n"/>
      <c r="E1245" s="7" t="n"/>
      <c r="F1245" s="6" t="n"/>
      <c r="G1245" s="8">
        <f>IF(B1245="","",IFERROR(VLOOKUP(--B1245,'CATALOGO CECO'!$A$2:$H$550,2,FALSE),"CECO NO EXISTE"))</f>
        <v/>
      </c>
      <c r="H1245" s="8">
        <f>IF(B1245="","",IFERROR(VLOOKUP(--B1245,'CATALOGO CECO'!$A$2:$H$550,3,FALSE),""))</f>
        <v/>
      </c>
      <c r="I1245" s="8">
        <f>IF(B1245="","",IFERROR(VLOOKUP(--B1245,'CATALOGO CECO'!$A$2:$H$550,5,FALSE),""))</f>
        <v/>
      </c>
      <c r="J1245" s="8">
        <f>IF(B1245="","",IFERROR(VLOOKUP(--B1245,'CATALOGO CECO'!$A$2:$H$550,8,FALSE),""))</f>
        <v/>
      </c>
      <c r="K1245" s="8">
        <f>IF(COUNTA(A1245:F1245)=0,"",IF(OR(LEN(A1245)&lt;&gt;7,MID(A1245,5,1)&lt;&gt;"-",ISERROR(--LEFT(A1245,4)),ISERROR(--RIGHT(A1245,2))),"ERROR: PERIODO debe ser AAAA-MM",IF(B1245="","ERROR: falta CODIGO CECO",IF(G1245="CECO NO EXISTE","ERROR: CECO no existe en el catálogo",IF(C1245="","ERROR: falta CUENTA",IF(ISERROR(--C1245),"ERROR: CUENTA debe tener solo dígitos",IF(ISERROR(FIND(LEFT(C1245,1),"567")),"ERROR: CUENTA fuera de las clases de costo",IF(NOT(ISNUMBER(E1245)),"ERROR: VALOR debe ser numérico",IF(E1245=0,"AVISO: valor cero (no se carga)",IF(J1245&lt;&gt;"ACTIVO","NO SE CARGA: CECO en estado "&amp;J1245,"OK"))))))))))</f>
        <v/>
      </c>
    </row>
    <row r="1246">
      <c r="A1246" s="5" t="n"/>
      <c r="B1246" s="6" t="n"/>
      <c r="C1246" s="5" t="n"/>
      <c r="D1246" s="6" t="n"/>
      <c r="E1246" s="7" t="n"/>
      <c r="F1246" s="6" t="n"/>
      <c r="G1246" s="8">
        <f>IF(B1246="","",IFERROR(VLOOKUP(--B1246,'CATALOGO CECO'!$A$2:$H$550,2,FALSE),"CECO NO EXISTE"))</f>
        <v/>
      </c>
      <c r="H1246" s="8">
        <f>IF(B1246="","",IFERROR(VLOOKUP(--B1246,'CATALOGO CECO'!$A$2:$H$550,3,FALSE),""))</f>
        <v/>
      </c>
      <c r="I1246" s="8">
        <f>IF(B1246="","",IFERROR(VLOOKUP(--B1246,'CATALOGO CECO'!$A$2:$H$550,5,FALSE),""))</f>
        <v/>
      </c>
      <c r="J1246" s="8">
        <f>IF(B1246="","",IFERROR(VLOOKUP(--B1246,'CATALOGO CECO'!$A$2:$H$550,8,FALSE),""))</f>
        <v/>
      </c>
      <c r="K1246" s="8">
        <f>IF(COUNTA(A1246:F1246)=0,"",IF(OR(LEN(A1246)&lt;&gt;7,MID(A1246,5,1)&lt;&gt;"-",ISERROR(--LEFT(A1246,4)),ISERROR(--RIGHT(A1246,2))),"ERROR: PERIODO debe ser AAAA-MM",IF(B1246="","ERROR: falta CODIGO CECO",IF(G1246="CECO NO EXISTE","ERROR: CECO no existe en el catálogo",IF(C1246="","ERROR: falta CUENTA",IF(ISERROR(--C1246),"ERROR: CUENTA debe tener solo dígitos",IF(ISERROR(FIND(LEFT(C1246,1),"567")),"ERROR: CUENTA fuera de las clases de costo",IF(NOT(ISNUMBER(E1246)),"ERROR: VALOR debe ser numérico",IF(E1246=0,"AVISO: valor cero (no se carga)",IF(J1246&lt;&gt;"ACTIVO","NO SE CARGA: CECO en estado "&amp;J1246,"OK"))))))))))</f>
        <v/>
      </c>
    </row>
    <row r="1247">
      <c r="A1247" s="5" t="n"/>
      <c r="B1247" s="6" t="n"/>
      <c r="C1247" s="5" t="n"/>
      <c r="D1247" s="6" t="n"/>
      <c r="E1247" s="7" t="n"/>
      <c r="F1247" s="6" t="n"/>
      <c r="G1247" s="8">
        <f>IF(B1247="","",IFERROR(VLOOKUP(--B1247,'CATALOGO CECO'!$A$2:$H$550,2,FALSE),"CECO NO EXISTE"))</f>
        <v/>
      </c>
      <c r="H1247" s="8">
        <f>IF(B1247="","",IFERROR(VLOOKUP(--B1247,'CATALOGO CECO'!$A$2:$H$550,3,FALSE),""))</f>
        <v/>
      </c>
      <c r="I1247" s="8">
        <f>IF(B1247="","",IFERROR(VLOOKUP(--B1247,'CATALOGO CECO'!$A$2:$H$550,5,FALSE),""))</f>
        <v/>
      </c>
      <c r="J1247" s="8">
        <f>IF(B1247="","",IFERROR(VLOOKUP(--B1247,'CATALOGO CECO'!$A$2:$H$550,8,FALSE),""))</f>
        <v/>
      </c>
      <c r="K1247" s="8">
        <f>IF(COUNTA(A1247:F1247)=0,"",IF(OR(LEN(A1247)&lt;&gt;7,MID(A1247,5,1)&lt;&gt;"-",ISERROR(--LEFT(A1247,4)),ISERROR(--RIGHT(A1247,2))),"ERROR: PERIODO debe ser AAAA-MM",IF(B1247="","ERROR: falta CODIGO CECO",IF(G1247="CECO NO EXISTE","ERROR: CECO no existe en el catálogo",IF(C1247="","ERROR: falta CUENTA",IF(ISERROR(--C1247),"ERROR: CUENTA debe tener solo dígitos",IF(ISERROR(FIND(LEFT(C1247,1),"567")),"ERROR: CUENTA fuera de las clases de costo",IF(NOT(ISNUMBER(E1247)),"ERROR: VALOR debe ser numérico",IF(E1247=0,"AVISO: valor cero (no se carga)",IF(J1247&lt;&gt;"ACTIVO","NO SE CARGA: CECO en estado "&amp;J1247,"OK"))))))))))</f>
        <v/>
      </c>
    </row>
    <row r="1248">
      <c r="A1248" s="5" t="n"/>
      <c r="B1248" s="6" t="n"/>
      <c r="C1248" s="5" t="n"/>
      <c r="D1248" s="6" t="n"/>
      <c r="E1248" s="7" t="n"/>
      <c r="F1248" s="6" t="n"/>
      <c r="G1248" s="8">
        <f>IF(B1248="","",IFERROR(VLOOKUP(--B1248,'CATALOGO CECO'!$A$2:$H$550,2,FALSE),"CECO NO EXISTE"))</f>
        <v/>
      </c>
      <c r="H1248" s="8">
        <f>IF(B1248="","",IFERROR(VLOOKUP(--B1248,'CATALOGO CECO'!$A$2:$H$550,3,FALSE),""))</f>
        <v/>
      </c>
      <c r="I1248" s="8">
        <f>IF(B1248="","",IFERROR(VLOOKUP(--B1248,'CATALOGO CECO'!$A$2:$H$550,5,FALSE),""))</f>
        <v/>
      </c>
      <c r="J1248" s="8">
        <f>IF(B1248="","",IFERROR(VLOOKUP(--B1248,'CATALOGO CECO'!$A$2:$H$550,8,FALSE),""))</f>
        <v/>
      </c>
      <c r="K1248" s="8">
        <f>IF(COUNTA(A1248:F1248)=0,"",IF(OR(LEN(A1248)&lt;&gt;7,MID(A1248,5,1)&lt;&gt;"-",ISERROR(--LEFT(A1248,4)),ISERROR(--RIGHT(A1248,2))),"ERROR: PERIODO debe ser AAAA-MM",IF(B1248="","ERROR: falta CODIGO CECO",IF(G1248="CECO NO EXISTE","ERROR: CECO no existe en el catálogo",IF(C1248="","ERROR: falta CUENTA",IF(ISERROR(--C1248),"ERROR: CUENTA debe tener solo dígitos",IF(ISERROR(FIND(LEFT(C1248,1),"567")),"ERROR: CUENTA fuera de las clases de costo",IF(NOT(ISNUMBER(E1248)),"ERROR: VALOR debe ser numérico",IF(E1248=0,"AVISO: valor cero (no se carga)",IF(J1248&lt;&gt;"ACTIVO","NO SE CARGA: CECO en estado "&amp;J1248,"OK"))))))))))</f>
        <v/>
      </c>
    </row>
    <row r="1249">
      <c r="A1249" s="5" t="n"/>
      <c r="B1249" s="6" t="n"/>
      <c r="C1249" s="5" t="n"/>
      <c r="D1249" s="6" t="n"/>
      <c r="E1249" s="7" t="n"/>
      <c r="F1249" s="6" t="n"/>
      <c r="G1249" s="8">
        <f>IF(B1249="","",IFERROR(VLOOKUP(--B1249,'CATALOGO CECO'!$A$2:$H$550,2,FALSE),"CECO NO EXISTE"))</f>
        <v/>
      </c>
      <c r="H1249" s="8">
        <f>IF(B1249="","",IFERROR(VLOOKUP(--B1249,'CATALOGO CECO'!$A$2:$H$550,3,FALSE),""))</f>
        <v/>
      </c>
      <c r="I1249" s="8">
        <f>IF(B1249="","",IFERROR(VLOOKUP(--B1249,'CATALOGO CECO'!$A$2:$H$550,5,FALSE),""))</f>
        <v/>
      </c>
      <c r="J1249" s="8">
        <f>IF(B1249="","",IFERROR(VLOOKUP(--B1249,'CATALOGO CECO'!$A$2:$H$550,8,FALSE),""))</f>
        <v/>
      </c>
      <c r="K1249" s="8">
        <f>IF(COUNTA(A1249:F1249)=0,"",IF(OR(LEN(A1249)&lt;&gt;7,MID(A1249,5,1)&lt;&gt;"-",ISERROR(--LEFT(A1249,4)),ISERROR(--RIGHT(A1249,2))),"ERROR: PERIODO debe ser AAAA-MM",IF(B1249="","ERROR: falta CODIGO CECO",IF(G1249="CECO NO EXISTE","ERROR: CECO no existe en el catálogo",IF(C1249="","ERROR: falta CUENTA",IF(ISERROR(--C1249),"ERROR: CUENTA debe tener solo dígitos",IF(ISERROR(FIND(LEFT(C1249,1),"567")),"ERROR: CUENTA fuera de las clases de costo",IF(NOT(ISNUMBER(E1249)),"ERROR: VALOR debe ser numérico",IF(E1249=0,"AVISO: valor cero (no se carga)",IF(J1249&lt;&gt;"ACTIVO","NO SE CARGA: CECO en estado "&amp;J1249,"OK"))))))))))</f>
        <v/>
      </c>
    </row>
    <row r="1250">
      <c r="A1250" s="5" t="n"/>
      <c r="B1250" s="6" t="n"/>
      <c r="C1250" s="5" t="n"/>
      <c r="D1250" s="6" t="n"/>
      <c r="E1250" s="7" t="n"/>
      <c r="F1250" s="6" t="n"/>
      <c r="G1250" s="8">
        <f>IF(B1250="","",IFERROR(VLOOKUP(--B1250,'CATALOGO CECO'!$A$2:$H$550,2,FALSE),"CECO NO EXISTE"))</f>
        <v/>
      </c>
      <c r="H1250" s="8">
        <f>IF(B1250="","",IFERROR(VLOOKUP(--B1250,'CATALOGO CECO'!$A$2:$H$550,3,FALSE),""))</f>
        <v/>
      </c>
      <c r="I1250" s="8">
        <f>IF(B1250="","",IFERROR(VLOOKUP(--B1250,'CATALOGO CECO'!$A$2:$H$550,5,FALSE),""))</f>
        <v/>
      </c>
      <c r="J1250" s="8">
        <f>IF(B1250="","",IFERROR(VLOOKUP(--B1250,'CATALOGO CECO'!$A$2:$H$550,8,FALSE),""))</f>
        <v/>
      </c>
      <c r="K1250" s="8">
        <f>IF(COUNTA(A1250:F1250)=0,"",IF(OR(LEN(A1250)&lt;&gt;7,MID(A1250,5,1)&lt;&gt;"-",ISERROR(--LEFT(A1250,4)),ISERROR(--RIGHT(A1250,2))),"ERROR: PERIODO debe ser AAAA-MM",IF(B1250="","ERROR: falta CODIGO CECO",IF(G1250="CECO NO EXISTE","ERROR: CECO no existe en el catálogo",IF(C1250="","ERROR: falta CUENTA",IF(ISERROR(--C1250),"ERROR: CUENTA debe tener solo dígitos",IF(ISERROR(FIND(LEFT(C1250,1),"567")),"ERROR: CUENTA fuera de las clases de costo",IF(NOT(ISNUMBER(E1250)),"ERROR: VALOR debe ser numérico",IF(E1250=0,"AVISO: valor cero (no se carga)",IF(J1250&lt;&gt;"ACTIVO","NO SE CARGA: CECO en estado "&amp;J1250,"OK"))))))))))</f>
        <v/>
      </c>
    </row>
    <row r="1251">
      <c r="A1251" s="5" t="n"/>
      <c r="B1251" s="6" t="n"/>
      <c r="C1251" s="5" t="n"/>
      <c r="D1251" s="6" t="n"/>
      <c r="E1251" s="7" t="n"/>
      <c r="F1251" s="6" t="n"/>
      <c r="G1251" s="8">
        <f>IF(B1251="","",IFERROR(VLOOKUP(--B1251,'CATALOGO CECO'!$A$2:$H$550,2,FALSE),"CECO NO EXISTE"))</f>
        <v/>
      </c>
      <c r="H1251" s="8">
        <f>IF(B1251="","",IFERROR(VLOOKUP(--B1251,'CATALOGO CECO'!$A$2:$H$550,3,FALSE),""))</f>
        <v/>
      </c>
      <c r="I1251" s="8">
        <f>IF(B1251="","",IFERROR(VLOOKUP(--B1251,'CATALOGO CECO'!$A$2:$H$550,5,FALSE),""))</f>
        <v/>
      </c>
      <c r="J1251" s="8">
        <f>IF(B1251="","",IFERROR(VLOOKUP(--B1251,'CATALOGO CECO'!$A$2:$H$550,8,FALSE),""))</f>
        <v/>
      </c>
      <c r="K1251" s="8">
        <f>IF(COUNTA(A1251:F1251)=0,"",IF(OR(LEN(A1251)&lt;&gt;7,MID(A1251,5,1)&lt;&gt;"-",ISERROR(--LEFT(A1251,4)),ISERROR(--RIGHT(A1251,2))),"ERROR: PERIODO debe ser AAAA-MM",IF(B1251="","ERROR: falta CODIGO CECO",IF(G1251="CECO NO EXISTE","ERROR: CECO no existe en el catálogo",IF(C1251="","ERROR: falta CUENTA",IF(ISERROR(--C1251),"ERROR: CUENTA debe tener solo dígitos",IF(ISERROR(FIND(LEFT(C1251,1),"567")),"ERROR: CUENTA fuera de las clases de costo",IF(NOT(ISNUMBER(E1251)),"ERROR: VALOR debe ser numérico",IF(E1251=0,"AVISO: valor cero (no se carga)",IF(J1251&lt;&gt;"ACTIVO","NO SE CARGA: CECO en estado "&amp;J1251,"OK"))))))))))</f>
        <v/>
      </c>
    </row>
    <row r="1252">
      <c r="A1252" s="5" t="n"/>
      <c r="B1252" s="6" t="n"/>
      <c r="C1252" s="5" t="n"/>
      <c r="D1252" s="6" t="n"/>
      <c r="E1252" s="7" t="n"/>
      <c r="F1252" s="6" t="n"/>
      <c r="G1252" s="8">
        <f>IF(B1252="","",IFERROR(VLOOKUP(--B1252,'CATALOGO CECO'!$A$2:$H$550,2,FALSE),"CECO NO EXISTE"))</f>
        <v/>
      </c>
      <c r="H1252" s="8">
        <f>IF(B1252="","",IFERROR(VLOOKUP(--B1252,'CATALOGO CECO'!$A$2:$H$550,3,FALSE),""))</f>
        <v/>
      </c>
      <c r="I1252" s="8">
        <f>IF(B1252="","",IFERROR(VLOOKUP(--B1252,'CATALOGO CECO'!$A$2:$H$550,5,FALSE),""))</f>
        <v/>
      </c>
      <c r="J1252" s="8">
        <f>IF(B1252="","",IFERROR(VLOOKUP(--B1252,'CATALOGO CECO'!$A$2:$H$550,8,FALSE),""))</f>
        <v/>
      </c>
      <c r="K1252" s="8">
        <f>IF(COUNTA(A1252:F1252)=0,"",IF(OR(LEN(A1252)&lt;&gt;7,MID(A1252,5,1)&lt;&gt;"-",ISERROR(--LEFT(A1252,4)),ISERROR(--RIGHT(A1252,2))),"ERROR: PERIODO debe ser AAAA-MM",IF(B1252="","ERROR: falta CODIGO CECO",IF(G1252="CECO NO EXISTE","ERROR: CECO no existe en el catálogo",IF(C1252="","ERROR: falta CUENTA",IF(ISERROR(--C1252),"ERROR: CUENTA debe tener solo dígitos",IF(ISERROR(FIND(LEFT(C1252,1),"567")),"ERROR: CUENTA fuera de las clases de costo",IF(NOT(ISNUMBER(E1252)),"ERROR: VALOR debe ser numérico",IF(E1252=0,"AVISO: valor cero (no se carga)",IF(J1252&lt;&gt;"ACTIVO","NO SE CARGA: CECO en estado "&amp;J1252,"OK"))))))))))</f>
        <v/>
      </c>
    </row>
    <row r="1253">
      <c r="A1253" s="5" t="n"/>
      <c r="B1253" s="6" t="n"/>
      <c r="C1253" s="5" t="n"/>
      <c r="D1253" s="6" t="n"/>
      <c r="E1253" s="7" t="n"/>
      <c r="F1253" s="6" t="n"/>
      <c r="G1253" s="8">
        <f>IF(B1253="","",IFERROR(VLOOKUP(--B1253,'CATALOGO CECO'!$A$2:$H$550,2,FALSE),"CECO NO EXISTE"))</f>
        <v/>
      </c>
      <c r="H1253" s="8">
        <f>IF(B1253="","",IFERROR(VLOOKUP(--B1253,'CATALOGO CECO'!$A$2:$H$550,3,FALSE),""))</f>
        <v/>
      </c>
      <c r="I1253" s="8">
        <f>IF(B1253="","",IFERROR(VLOOKUP(--B1253,'CATALOGO CECO'!$A$2:$H$550,5,FALSE),""))</f>
        <v/>
      </c>
      <c r="J1253" s="8">
        <f>IF(B1253="","",IFERROR(VLOOKUP(--B1253,'CATALOGO CECO'!$A$2:$H$550,8,FALSE),""))</f>
        <v/>
      </c>
      <c r="K1253" s="8">
        <f>IF(COUNTA(A1253:F1253)=0,"",IF(OR(LEN(A1253)&lt;&gt;7,MID(A1253,5,1)&lt;&gt;"-",ISERROR(--LEFT(A1253,4)),ISERROR(--RIGHT(A1253,2))),"ERROR: PERIODO debe ser AAAA-MM",IF(B1253="","ERROR: falta CODIGO CECO",IF(G1253="CECO NO EXISTE","ERROR: CECO no existe en el catálogo",IF(C1253="","ERROR: falta CUENTA",IF(ISERROR(--C1253),"ERROR: CUENTA debe tener solo dígitos",IF(ISERROR(FIND(LEFT(C1253,1),"567")),"ERROR: CUENTA fuera de las clases de costo",IF(NOT(ISNUMBER(E1253)),"ERROR: VALOR debe ser numérico",IF(E1253=0,"AVISO: valor cero (no se carga)",IF(J1253&lt;&gt;"ACTIVO","NO SE CARGA: CECO en estado "&amp;J1253,"OK"))))))))))</f>
        <v/>
      </c>
    </row>
    <row r="1254">
      <c r="A1254" s="5" t="n"/>
      <c r="B1254" s="6" t="n"/>
      <c r="C1254" s="5" t="n"/>
      <c r="D1254" s="6" t="n"/>
      <c r="E1254" s="7" t="n"/>
      <c r="F1254" s="6" t="n"/>
      <c r="G1254" s="8">
        <f>IF(B1254="","",IFERROR(VLOOKUP(--B1254,'CATALOGO CECO'!$A$2:$H$550,2,FALSE),"CECO NO EXISTE"))</f>
        <v/>
      </c>
      <c r="H1254" s="8">
        <f>IF(B1254="","",IFERROR(VLOOKUP(--B1254,'CATALOGO CECO'!$A$2:$H$550,3,FALSE),""))</f>
        <v/>
      </c>
      <c r="I1254" s="8">
        <f>IF(B1254="","",IFERROR(VLOOKUP(--B1254,'CATALOGO CECO'!$A$2:$H$550,5,FALSE),""))</f>
        <v/>
      </c>
      <c r="J1254" s="8">
        <f>IF(B1254="","",IFERROR(VLOOKUP(--B1254,'CATALOGO CECO'!$A$2:$H$550,8,FALSE),""))</f>
        <v/>
      </c>
      <c r="K1254" s="8">
        <f>IF(COUNTA(A1254:F1254)=0,"",IF(OR(LEN(A1254)&lt;&gt;7,MID(A1254,5,1)&lt;&gt;"-",ISERROR(--LEFT(A1254,4)),ISERROR(--RIGHT(A1254,2))),"ERROR: PERIODO debe ser AAAA-MM",IF(B1254="","ERROR: falta CODIGO CECO",IF(G1254="CECO NO EXISTE","ERROR: CECO no existe en el catálogo",IF(C1254="","ERROR: falta CUENTA",IF(ISERROR(--C1254),"ERROR: CUENTA debe tener solo dígitos",IF(ISERROR(FIND(LEFT(C1254,1),"567")),"ERROR: CUENTA fuera de las clases de costo",IF(NOT(ISNUMBER(E1254)),"ERROR: VALOR debe ser numérico",IF(E1254=0,"AVISO: valor cero (no se carga)",IF(J1254&lt;&gt;"ACTIVO","NO SE CARGA: CECO en estado "&amp;J1254,"OK"))))))))))</f>
        <v/>
      </c>
    </row>
    <row r="1255">
      <c r="A1255" s="5" t="n"/>
      <c r="B1255" s="6" t="n"/>
      <c r="C1255" s="5" t="n"/>
      <c r="D1255" s="6" t="n"/>
      <c r="E1255" s="7" t="n"/>
      <c r="F1255" s="6" t="n"/>
      <c r="G1255" s="8">
        <f>IF(B1255="","",IFERROR(VLOOKUP(--B1255,'CATALOGO CECO'!$A$2:$H$550,2,FALSE),"CECO NO EXISTE"))</f>
        <v/>
      </c>
      <c r="H1255" s="8">
        <f>IF(B1255="","",IFERROR(VLOOKUP(--B1255,'CATALOGO CECO'!$A$2:$H$550,3,FALSE),""))</f>
        <v/>
      </c>
      <c r="I1255" s="8">
        <f>IF(B1255="","",IFERROR(VLOOKUP(--B1255,'CATALOGO CECO'!$A$2:$H$550,5,FALSE),""))</f>
        <v/>
      </c>
      <c r="J1255" s="8">
        <f>IF(B1255="","",IFERROR(VLOOKUP(--B1255,'CATALOGO CECO'!$A$2:$H$550,8,FALSE),""))</f>
        <v/>
      </c>
      <c r="K1255" s="8">
        <f>IF(COUNTA(A1255:F1255)=0,"",IF(OR(LEN(A1255)&lt;&gt;7,MID(A1255,5,1)&lt;&gt;"-",ISERROR(--LEFT(A1255,4)),ISERROR(--RIGHT(A1255,2))),"ERROR: PERIODO debe ser AAAA-MM",IF(B1255="","ERROR: falta CODIGO CECO",IF(G1255="CECO NO EXISTE","ERROR: CECO no existe en el catálogo",IF(C1255="","ERROR: falta CUENTA",IF(ISERROR(--C1255),"ERROR: CUENTA debe tener solo dígitos",IF(ISERROR(FIND(LEFT(C1255,1),"567")),"ERROR: CUENTA fuera de las clases de costo",IF(NOT(ISNUMBER(E1255)),"ERROR: VALOR debe ser numérico",IF(E1255=0,"AVISO: valor cero (no se carga)",IF(J1255&lt;&gt;"ACTIVO","NO SE CARGA: CECO en estado "&amp;J1255,"OK"))))))))))</f>
        <v/>
      </c>
    </row>
    <row r="1256">
      <c r="A1256" s="5" t="n"/>
      <c r="B1256" s="6" t="n"/>
      <c r="C1256" s="5" t="n"/>
      <c r="D1256" s="6" t="n"/>
      <c r="E1256" s="7" t="n"/>
      <c r="F1256" s="6" t="n"/>
      <c r="G1256" s="8">
        <f>IF(B1256="","",IFERROR(VLOOKUP(--B1256,'CATALOGO CECO'!$A$2:$H$550,2,FALSE),"CECO NO EXISTE"))</f>
        <v/>
      </c>
      <c r="H1256" s="8">
        <f>IF(B1256="","",IFERROR(VLOOKUP(--B1256,'CATALOGO CECO'!$A$2:$H$550,3,FALSE),""))</f>
        <v/>
      </c>
      <c r="I1256" s="8">
        <f>IF(B1256="","",IFERROR(VLOOKUP(--B1256,'CATALOGO CECO'!$A$2:$H$550,5,FALSE),""))</f>
        <v/>
      </c>
      <c r="J1256" s="8">
        <f>IF(B1256="","",IFERROR(VLOOKUP(--B1256,'CATALOGO CECO'!$A$2:$H$550,8,FALSE),""))</f>
        <v/>
      </c>
      <c r="K1256" s="8">
        <f>IF(COUNTA(A1256:F1256)=0,"",IF(OR(LEN(A1256)&lt;&gt;7,MID(A1256,5,1)&lt;&gt;"-",ISERROR(--LEFT(A1256,4)),ISERROR(--RIGHT(A1256,2))),"ERROR: PERIODO debe ser AAAA-MM",IF(B1256="","ERROR: falta CODIGO CECO",IF(G1256="CECO NO EXISTE","ERROR: CECO no existe en el catálogo",IF(C1256="","ERROR: falta CUENTA",IF(ISERROR(--C1256),"ERROR: CUENTA debe tener solo dígitos",IF(ISERROR(FIND(LEFT(C1256,1),"567")),"ERROR: CUENTA fuera de las clases de costo",IF(NOT(ISNUMBER(E1256)),"ERROR: VALOR debe ser numérico",IF(E1256=0,"AVISO: valor cero (no se carga)",IF(J1256&lt;&gt;"ACTIVO","NO SE CARGA: CECO en estado "&amp;J1256,"OK"))))))))))</f>
        <v/>
      </c>
    </row>
    <row r="1257">
      <c r="A1257" s="5" t="n"/>
      <c r="B1257" s="6" t="n"/>
      <c r="C1257" s="5" t="n"/>
      <c r="D1257" s="6" t="n"/>
      <c r="E1257" s="7" t="n"/>
      <c r="F1257" s="6" t="n"/>
      <c r="G1257" s="8">
        <f>IF(B1257="","",IFERROR(VLOOKUP(--B1257,'CATALOGO CECO'!$A$2:$H$550,2,FALSE),"CECO NO EXISTE"))</f>
        <v/>
      </c>
      <c r="H1257" s="8">
        <f>IF(B1257="","",IFERROR(VLOOKUP(--B1257,'CATALOGO CECO'!$A$2:$H$550,3,FALSE),""))</f>
        <v/>
      </c>
      <c r="I1257" s="8">
        <f>IF(B1257="","",IFERROR(VLOOKUP(--B1257,'CATALOGO CECO'!$A$2:$H$550,5,FALSE),""))</f>
        <v/>
      </c>
      <c r="J1257" s="8">
        <f>IF(B1257="","",IFERROR(VLOOKUP(--B1257,'CATALOGO CECO'!$A$2:$H$550,8,FALSE),""))</f>
        <v/>
      </c>
      <c r="K1257" s="8">
        <f>IF(COUNTA(A1257:F1257)=0,"",IF(OR(LEN(A1257)&lt;&gt;7,MID(A1257,5,1)&lt;&gt;"-",ISERROR(--LEFT(A1257,4)),ISERROR(--RIGHT(A1257,2))),"ERROR: PERIODO debe ser AAAA-MM",IF(B1257="","ERROR: falta CODIGO CECO",IF(G1257="CECO NO EXISTE","ERROR: CECO no existe en el catálogo",IF(C1257="","ERROR: falta CUENTA",IF(ISERROR(--C1257),"ERROR: CUENTA debe tener solo dígitos",IF(ISERROR(FIND(LEFT(C1257,1),"567")),"ERROR: CUENTA fuera de las clases de costo",IF(NOT(ISNUMBER(E1257)),"ERROR: VALOR debe ser numérico",IF(E1257=0,"AVISO: valor cero (no se carga)",IF(J1257&lt;&gt;"ACTIVO","NO SE CARGA: CECO en estado "&amp;J1257,"OK"))))))))))</f>
        <v/>
      </c>
    </row>
    <row r="1258">
      <c r="A1258" s="5" t="n"/>
      <c r="B1258" s="6" t="n"/>
      <c r="C1258" s="5" t="n"/>
      <c r="D1258" s="6" t="n"/>
      <c r="E1258" s="7" t="n"/>
      <c r="F1258" s="6" t="n"/>
      <c r="G1258" s="8">
        <f>IF(B1258="","",IFERROR(VLOOKUP(--B1258,'CATALOGO CECO'!$A$2:$H$550,2,FALSE),"CECO NO EXISTE"))</f>
        <v/>
      </c>
      <c r="H1258" s="8">
        <f>IF(B1258="","",IFERROR(VLOOKUP(--B1258,'CATALOGO CECO'!$A$2:$H$550,3,FALSE),""))</f>
        <v/>
      </c>
      <c r="I1258" s="8">
        <f>IF(B1258="","",IFERROR(VLOOKUP(--B1258,'CATALOGO CECO'!$A$2:$H$550,5,FALSE),""))</f>
        <v/>
      </c>
      <c r="J1258" s="8">
        <f>IF(B1258="","",IFERROR(VLOOKUP(--B1258,'CATALOGO CECO'!$A$2:$H$550,8,FALSE),""))</f>
        <v/>
      </c>
      <c r="K1258" s="8">
        <f>IF(COUNTA(A1258:F1258)=0,"",IF(OR(LEN(A1258)&lt;&gt;7,MID(A1258,5,1)&lt;&gt;"-",ISERROR(--LEFT(A1258,4)),ISERROR(--RIGHT(A1258,2))),"ERROR: PERIODO debe ser AAAA-MM",IF(B1258="","ERROR: falta CODIGO CECO",IF(G1258="CECO NO EXISTE","ERROR: CECO no existe en el catálogo",IF(C1258="","ERROR: falta CUENTA",IF(ISERROR(--C1258),"ERROR: CUENTA debe tener solo dígitos",IF(ISERROR(FIND(LEFT(C1258,1),"567")),"ERROR: CUENTA fuera de las clases de costo",IF(NOT(ISNUMBER(E1258)),"ERROR: VALOR debe ser numérico",IF(E1258=0,"AVISO: valor cero (no se carga)",IF(J1258&lt;&gt;"ACTIVO","NO SE CARGA: CECO en estado "&amp;J1258,"OK"))))))))))</f>
        <v/>
      </c>
    </row>
    <row r="1259">
      <c r="A1259" s="5" t="n"/>
      <c r="B1259" s="6" t="n"/>
      <c r="C1259" s="5" t="n"/>
      <c r="D1259" s="6" t="n"/>
      <c r="E1259" s="7" t="n"/>
      <c r="F1259" s="6" t="n"/>
      <c r="G1259" s="8">
        <f>IF(B1259="","",IFERROR(VLOOKUP(--B1259,'CATALOGO CECO'!$A$2:$H$550,2,FALSE),"CECO NO EXISTE"))</f>
        <v/>
      </c>
      <c r="H1259" s="8">
        <f>IF(B1259="","",IFERROR(VLOOKUP(--B1259,'CATALOGO CECO'!$A$2:$H$550,3,FALSE),""))</f>
        <v/>
      </c>
      <c r="I1259" s="8">
        <f>IF(B1259="","",IFERROR(VLOOKUP(--B1259,'CATALOGO CECO'!$A$2:$H$550,5,FALSE),""))</f>
        <v/>
      </c>
      <c r="J1259" s="8">
        <f>IF(B1259="","",IFERROR(VLOOKUP(--B1259,'CATALOGO CECO'!$A$2:$H$550,8,FALSE),""))</f>
        <v/>
      </c>
      <c r="K1259" s="8">
        <f>IF(COUNTA(A1259:F1259)=0,"",IF(OR(LEN(A1259)&lt;&gt;7,MID(A1259,5,1)&lt;&gt;"-",ISERROR(--LEFT(A1259,4)),ISERROR(--RIGHT(A1259,2))),"ERROR: PERIODO debe ser AAAA-MM",IF(B1259="","ERROR: falta CODIGO CECO",IF(G1259="CECO NO EXISTE","ERROR: CECO no existe en el catálogo",IF(C1259="","ERROR: falta CUENTA",IF(ISERROR(--C1259),"ERROR: CUENTA debe tener solo dígitos",IF(ISERROR(FIND(LEFT(C1259,1),"567")),"ERROR: CUENTA fuera de las clases de costo",IF(NOT(ISNUMBER(E1259)),"ERROR: VALOR debe ser numérico",IF(E1259=0,"AVISO: valor cero (no se carga)",IF(J1259&lt;&gt;"ACTIVO","NO SE CARGA: CECO en estado "&amp;J1259,"OK"))))))))))</f>
        <v/>
      </c>
    </row>
    <row r="1260">
      <c r="A1260" s="5" t="n"/>
      <c r="B1260" s="6" t="n"/>
      <c r="C1260" s="5" t="n"/>
      <c r="D1260" s="6" t="n"/>
      <c r="E1260" s="7" t="n"/>
      <c r="F1260" s="6" t="n"/>
      <c r="G1260" s="8">
        <f>IF(B1260="","",IFERROR(VLOOKUP(--B1260,'CATALOGO CECO'!$A$2:$H$550,2,FALSE),"CECO NO EXISTE"))</f>
        <v/>
      </c>
      <c r="H1260" s="8">
        <f>IF(B1260="","",IFERROR(VLOOKUP(--B1260,'CATALOGO CECO'!$A$2:$H$550,3,FALSE),""))</f>
        <v/>
      </c>
      <c r="I1260" s="8">
        <f>IF(B1260="","",IFERROR(VLOOKUP(--B1260,'CATALOGO CECO'!$A$2:$H$550,5,FALSE),""))</f>
        <v/>
      </c>
      <c r="J1260" s="8">
        <f>IF(B1260="","",IFERROR(VLOOKUP(--B1260,'CATALOGO CECO'!$A$2:$H$550,8,FALSE),""))</f>
        <v/>
      </c>
      <c r="K1260" s="8">
        <f>IF(COUNTA(A1260:F1260)=0,"",IF(OR(LEN(A1260)&lt;&gt;7,MID(A1260,5,1)&lt;&gt;"-",ISERROR(--LEFT(A1260,4)),ISERROR(--RIGHT(A1260,2))),"ERROR: PERIODO debe ser AAAA-MM",IF(B1260="","ERROR: falta CODIGO CECO",IF(G1260="CECO NO EXISTE","ERROR: CECO no existe en el catálogo",IF(C1260="","ERROR: falta CUENTA",IF(ISERROR(--C1260),"ERROR: CUENTA debe tener solo dígitos",IF(ISERROR(FIND(LEFT(C1260,1),"567")),"ERROR: CUENTA fuera de las clases de costo",IF(NOT(ISNUMBER(E1260)),"ERROR: VALOR debe ser numérico",IF(E1260=0,"AVISO: valor cero (no se carga)",IF(J1260&lt;&gt;"ACTIVO","NO SE CARGA: CECO en estado "&amp;J1260,"OK"))))))))))</f>
        <v/>
      </c>
    </row>
    <row r="1261">
      <c r="A1261" s="5" t="n"/>
      <c r="B1261" s="6" t="n"/>
      <c r="C1261" s="5" t="n"/>
      <c r="D1261" s="6" t="n"/>
      <c r="E1261" s="7" t="n"/>
      <c r="F1261" s="6" t="n"/>
      <c r="G1261" s="8">
        <f>IF(B1261="","",IFERROR(VLOOKUP(--B1261,'CATALOGO CECO'!$A$2:$H$550,2,FALSE),"CECO NO EXISTE"))</f>
        <v/>
      </c>
      <c r="H1261" s="8">
        <f>IF(B1261="","",IFERROR(VLOOKUP(--B1261,'CATALOGO CECO'!$A$2:$H$550,3,FALSE),""))</f>
        <v/>
      </c>
      <c r="I1261" s="8">
        <f>IF(B1261="","",IFERROR(VLOOKUP(--B1261,'CATALOGO CECO'!$A$2:$H$550,5,FALSE),""))</f>
        <v/>
      </c>
      <c r="J1261" s="8">
        <f>IF(B1261="","",IFERROR(VLOOKUP(--B1261,'CATALOGO CECO'!$A$2:$H$550,8,FALSE),""))</f>
        <v/>
      </c>
      <c r="K1261" s="8">
        <f>IF(COUNTA(A1261:F1261)=0,"",IF(OR(LEN(A1261)&lt;&gt;7,MID(A1261,5,1)&lt;&gt;"-",ISERROR(--LEFT(A1261,4)),ISERROR(--RIGHT(A1261,2))),"ERROR: PERIODO debe ser AAAA-MM",IF(B1261="","ERROR: falta CODIGO CECO",IF(G1261="CECO NO EXISTE","ERROR: CECO no existe en el catálogo",IF(C1261="","ERROR: falta CUENTA",IF(ISERROR(--C1261),"ERROR: CUENTA debe tener solo dígitos",IF(ISERROR(FIND(LEFT(C1261,1),"567")),"ERROR: CUENTA fuera de las clases de costo",IF(NOT(ISNUMBER(E1261)),"ERROR: VALOR debe ser numérico",IF(E1261=0,"AVISO: valor cero (no se carga)",IF(J1261&lt;&gt;"ACTIVO","NO SE CARGA: CECO en estado "&amp;J1261,"OK"))))))))))</f>
        <v/>
      </c>
    </row>
    <row r="1262">
      <c r="A1262" s="5" t="n"/>
      <c r="B1262" s="6" t="n"/>
      <c r="C1262" s="5" t="n"/>
      <c r="D1262" s="6" t="n"/>
      <c r="E1262" s="7" t="n"/>
      <c r="F1262" s="6" t="n"/>
      <c r="G1262" s="8">
        <f>IF(B1262="","",IFERROR(VLOOKUP(--B1262,'CATALOGO CECO'!$A$2:$H$550,2,FALSE),"CECO NO EXISTE"))</f>
        <v/>
      </c>
      <c r="H1262" s="8">
        <f>IF(B1262="","",IFERROR(VLOOKUP(--B1262,'CATALOGO CECO'!$A$2:$H$550,3,FALSE),""))</f>
        <v/>
      </c>
      <c r="I1262" s="8">
        <f>IF(B1262="","",IFERROR(VLOOKUP(--B1262,'CATALOGO CECO'!$A$2:$H$550,5,FALSE),""))</f>
        <v/>
      </c>
      <c r="J1262" s="8">
        <f>IF(B1262="","",IFERROR(VLOOKUP(--B1262,'CATALOGO CECO'!$A$2:$H$550,8,FALSE),""))</f>
        <v/>
      </c>
      <c r="K1262" s="8">
        <f>IF(COUNTA(A1262:F1262)=0,"",IF(OR(LEN(A1262)&lt;&gt;7,MID(A1262,5,1)&lt;&gt;"-",ISERROR(--LEFT(A1262,4)),ISERROR(--RIGHT(A1262,2))),"ERROR: PERIODO debe ser AAAA-MM",IF(B1262="","ERROR: falta CODIGO CECO",IF(G1262="CECO NO EXISTE","ERROR: CECO no existe en el catálogo",IF(C1262="","ERROR: falta CUENTA",IF(ISERROR(--C1262),"ERROR: CUENTA debe tener solo dígitos",IF(ISERROR(FIND(LEFT(C1262,1),"567")),"ERROR: CUENTA fuera de las clases de costo",IF(NOT(ISNUMBER(E1262)),"ERROR: VALOR debe ser numérico",IF(E1262=0,"AVISO: valor cero (no se carga)",IF(J1262&lt;&gt;"ACTIVO","NO SE CARGA: CECO en estado "&amp;J1262,"OK"))))))))))</f>
        <v/>
      </c>
    </row>
    <row r="1263">
      <c r="A1263" s="5" t="n"/>
      <c r="B1263" s="6" t="n"/>
      <c r="C1263" s="5" t="n"/>
      <c r="D1263" s="6" t="n"/>
      <c r="E1263" s="7" t="n"/>
      <c r="F1263" s="6" t="n"/>
      <c r="G1263" s="8">
        <f>IF(B1263="","",IFERROR(VLOOKUP(--B1263,'CATALOGO CECO'!$A$2:$H$550,2,FALSE),"CECO NO EXISTE"))</f>
        <v/>
      </c>
      <c r="H1263" s="8">
        <f>IF(B1263="","",IFERROR(VLOOKUP(--B1263,'CATALOGO CECO'!$A$2:$H$550,3,FALSE),""))</f>
        <v/>
      </c>
      <c r="I1263" s="8">
        <f>IF(B1263="","",IFERROR(VLOOKUP(--B1263,'CATALOGO CECO'!$A$2:$H$550,5,FALSE),""))</f>
        <v/>
      </c>
      <c r="J1263" s="8">
        <f>IF(B1263="","",IFERROR(VLOOKUP(--B1263,'CATALOGO CECO'!$A$2:$H$550,8,FALSE),""))</f>
        <v/>
      </c>
      <c r="K1263" s="8">
        <f>IF(COUNTA(A1263:F1263)=0,"",IF(OR(LEN(A1263)&lt;&gt;7,MID(A1263,5,1)&lt;&gt;"-",ISERROR(--LEFT(A1263,4)),ISERROR(--RIGHT(A1263,2))),"ERROR: PERIODO debe ser AAAA-MM",IF(B1263="","ERROR: falta CODIGO CECO",IF(G1263="CECO NO EXISTE","ERROR: CECO no existe en el catálogo",IF(C1263="","ERROR: falta CUENTA",IF(ISERROR(--C1263),"ERROR: CUENTA debe tener solo dígitos",IF(ISERROR(FIND(LEFT(C1263,1),"567")),"ERROR: CUENTA fuera de las clases de costo",IF(NOT(ISNUMBER(E1263)),"ERROR: VALOR debe ser numérico",IF(E1263=0,"AVISO: valor cero (no se carga)",IF(J1263&lt;&gt;"ACTIVO","NO SE CARGA: CECO en estado "&amp;J1263,"OK"))))))))))</f>
        <v/>
      </c>
    </row>
    <row r="1264">
      <c r="A1264" s="5" t="n"/>
      <c r="B1264" s="6" t="n"/>
      <c r="C1264" s="5" t="n"/>
      <c r="D1264" s="6" t="n"/>
      <c r="E1264" s="7" t="n"/>
      <c r="F1264" s="6" t="n"/>
      <c r="G1264" s="8">
        <f>IF(B1264="","",IFERROR(VLOOKUP(--B1264,'CATALOGO CECO'!$A$2:$H$550,2,FALSE),"CECO NO EXISTE"))</f>
        <v/>
      </c>
      <c r="H1264" s="8">
        <f>IF(B1264="","",IFERROR(VLOOKUP(--B1264,'CATALOGO CECO'!$A$2:$H$550,3,FALSE),""))</f>
        <v/>
      </c>
      <c r="I1264" s="8">
        <f>IF(B1264="","",IFERROR(VLOOKUP(--B1264,'CATALOGO CECO'!$A$2:$H$550,5,FALSE),""))</f>
        <v/>
      </c>
      <c r="J1264" s="8">
        <f>IF(B1264="","",IFERROR(VLOOKUP(--B1264,'CATALOGO CECO'!$A$2:$H$550,8,FALSE),""))</f>
        <v/>
      </c>
      <c r="K1264" s="8">
        <f>IF(COUNTA(A1264:F1264)=0,"",IF(OR(LEN(A1264)&lt;&gt;7,MID(A1264,5,1)&lt;&gt;"-",ISERROR(--LEFT(A1264,4)),ISERROR(--RIGHT(A1264,2))),"ERROR: PERIODO debe ser AAAA-MM",IF(B1264="","ERROR: falta CODIGO CECO",IF(G1264="CECO NO EXISTE","ERROR: CECO no existe en el catálogo",IF(C1264="","ERROR: falta CUENTA",IF(ISERROR(--C1264),"ERROR: CUENTA debe tener solo dígitos",IF(ISERROR(FIND(LEFT(C1264,1),"567")),"ERROR: CUENTA fuera de las clases de costo",IF(NOT(ISNUMBER(E1264)),"ERROR: VALOR debe ser numérico",IF(E1264=0,"AVISO: valor cero (no se carga)",IF(J1264&lt;&gt;"ACTIVO","NO SE CARGA: CECO en estado "&amp;J1264,"OK"))))))))))</f>
        <v/>
      </c>
    </row>
    <row r="1265">
      <c r="A1265" s="5" t="n"/>
      <c r="B1265" s="6" t="n"/>
      <c r="C1265" s="5" t="n"/>
      <c r="D1265" s="6" t="n"/>
      <c r="E1265" s="7" t="n"/>
      <c r="F1265" s="6" t="n"/>
      <c r="G1265" s="8">
        <f>IF(B1265="","",IFERROR(VLOOKUP(--B1265,'CATALOGO CECO'!$A$2:$H$550,2,FALSE),"CECO NO EXISTE"))</f>
        <v/>
      </c>
      <c r="H1265" s="8">
        <f>IF(B1265="","",IFERROR(VLOOKUP(--B1265,'CATALOGO CECO'!$A$2:$H$550,3,FALSE),""))</f>
        <v/>
      </c>
      <c r="I1265" s="8">
        <f>IF(B1265="","",IFERROR(VLOOKUP(--B1265,'CATALOGO CECO'!$A$2:$H$550,5,FALSE),""))</f>
        <v/>
      </c>
      <c r="J1265" s="8">
        <f>IF(B1265="","",IFERROR(VLOOKUP(--B1265,'CATALOGO CECO'!$A$2:$H$550,8,FALSE),""))</f>
        <v/>
      </c>
      <c r="K1265" s="8">
        <f>IF(COUNTA(A1265:F1265)=0,"",IF(OR(LEN(A1265)&lt;&gt;7,MID(A1265,5,1)&lt;&gt;"-",ISERROR(--LEFT(A1265,4)),ISERROR(--RIGHT(A1265,2))),"ERROR: PERIODO debe ser AAAA-MM",IF(B1265="","ERROR: falta CODIGO CECO",IF(G1265="CECO NO EXISTE","ERROR: CECO no existe en el catálogo",IF(C1265="","ERROR: falta CUENTA",IF(ISERROR(--C1265),"ERROR: CUENTA debe tener solo dígitos",IF(ISERROR(FIND(LEFT(C1265,1),"567")),"ERROR: CUENTA fuera de las clases de costo",IF(NOT(ISNUMBER(E1265)),"ERROR: VALOR debe ser numérico",IF(E1265=0,"AVISO: valor cero (no se carga)",IF(J1265&lt;&gt;"ACTIVO","NO SE CARGA: CECO en estado "&amp;J1265,"OK"))))))))))</f>
        <v/>
      </c>
    </row>
    <row r="1266">
      <c r="A1266" s="5" t="n"/>
      <c r="B1266" s="6" t="n"/>
      <c r="C1266" s="5" t="n"/>
      <c r="D1266" s="6" t="n"/>
      <c r="E1266" s="7" t="n"/>
      <c r="F1266" s="6" t="n"/>
      <c r="G1266" s="8">
        <f>IF(B1266="","",IFERROR(VLOOKUP(--B1266,'CATALOGO CECO'!$A$2:$H$550,2,FALSE),"CECO NO EXISTE"))</f>
        <v/>
      </c>
      <c r="H1266" s="8">
        <f>IF(B1266="","",IFERROR(VLOOKUP(--B1266,'CATALOGO CECO'!$A$2:$H$550,3,FALSE),""))</f>
        <v/>
      </c>
      <c r="I1266" s="8">
        <f>IF(B1266="","",IFERROR(VLOOKUP(--B1266,'CATALOGO CECO'!$A$2:$H$550,5,FALSE),""))</f>
        <v/>
      </c>
      <c r="J1266" s="8">
        <f>IF(B1266="","",IFERROR(VLOOKUP(--B1266,'CATALOGO CECO'!$A$2:$H$550,8,FALSE),""))</f>
        <v/>
      </c>
      <c r="K1266" s="8">
        <f>IF(COUNTA(A1266:F1266)=0,"",IF(OR(LEN(A1266)&lt;&gt;7,MID(A1266,5,1)&lt;&gt;"-",ISERROR(--LEFT(A1266,4)),ISERROR(--RIGHT(A1266,2))),"ERROR: PERIODO debe ser AAAA-MM",IF(B1266="","ERROR: falta CODIGO CECO",IF(G1266="CECO NO EXISTE","ERROR: CECO no existe en el catálogo",IF(C1266="","ERROR: falta CUENTA",IF(ISERROR(--C1266),"ERROR: CUENTA debe tener solo dígitos",IF(ISERROR(FIND(LEFT(C1266,1),"567")),"ERROR: CUENTA fuera de las clases de costo",IF(NOT(ISNUMBER(E1266)),"ERROR: VALOR debe ser numérico",IF(E1266=0,"AVISO: valor cero (no se carga)",IF(J1266&lt;&gt;"ACTIVO","NO SE CARGA: CECO en estado "&amp;J1266,"OK"))))))))))</f>
        <v/>
      </c>
    </row>
    <row r="1267">
      <c r="A1267" s="5" t="n"/>
      <c r="B1267" s="6" t="n"/>
      <c r="C1267" s="5" t="n"/>
      <c r="D1267" s="6" t="n"/>
      <c r="E1267" s="7" t="n"/>
      <c r="F1267" s="6" t="n"/>
      <c r="G1267" s="8">
        <f>IF(B1267="","",IFERROR(VLOOKUP(--B1267,'CATALOGO CECO'!$A$2:$H$550,2,FALSE),"CECO NO EXISTE"))</f>
        <v/>
      </c>
      <c r="H1267" s="8">
        <f>IF(B1267="","",IFERROR(VLOOKUP(--B1267,'CATALOGO CECO'!$A$2:$H$550,3,FALSE),""))</f>
        <v/>
      </c>
      <c r="I1267" s="8">
        <f>IF(B1267="","",IFERROR(VLOOKUP(--B1267,'CATALOGO CECO'!$A$2:$H$550,5,FALSE),""))</f>
        <v/>
      </c>
      <c r="J1267" s="8">
        <f>IF(B1267="","",IFERROR(VLOOKUP(--B1267,'CATALOGO CECO'!$A$2:$H$550,8,FALSE),""))</f>
        <v/>
      </c>
      <c r="K1267" s="8">
        <f>IF(COUNTA(A1267:F1267)=0,"",IF(OR(LEN(A1267)&lt;&gt;7,MID(A1267,5,1)&lt;&gt;"-",ISERROR(--LEFT(A1267,4)),ISERROR(--RIGHT(A1267,2))),"ERROR: PERIODO debe ser AAAA-MM",IF(B1267="","ERROR: falta CODIGO CECO",IF(G1267="CECO NO EXISTE","ERROR: CECO no existe en el catálogo",IF(C1267="","ERROR: falta CUENTA",IF(ISERROR(--C1267),"ERROR: CUENTA debe tener solo dígitos",IF(ISERROR(FIND(LEFT(C1267,1),"567")),"ERROR: CUENTA fuera de las clases de costo",IF(NOT(ISNUMBER(E1267)),"ERROR: VALOR debe ser numérico",IF(E1267=0,"AVISO: valor cero (no se carga)",IF(J1267&lt;&gt;"ACTIVO","NO SE CARGA: CECO en estado "&amp;J1267,"OK"))))))))))</f>
        <v/>
      </c>
    </row>
    <row r="1268">
      <c r="A1268" s="5" t="n"/>
      <c r="B1268" s="6" t="n"/>
      <c r="C1268" s="5" t="n"/>
      <c r="D1268" s="6" t="n"/>
      <c r="E1268" s="7" t="n"/>
      <c r="F1268" s="6" t="n"/>
      <c r="G1268" s="8">
        <f>IF(B1268="","",IFERROR(VLOOKUP(--B1268,'CATALOGO CECO'!$A$2:$H$550,2,FALSE),"CECO NO EXISTE"))</f>
        <v/>
      </c>
      <c r="H1268" s="8">
        <f>IF(B1268="","",IFERROR(VLOOKUP(--B1268,'CATALOGO CECO'!$A$2:$H$550,3,FALSE),""))</f>
        <v/>
      </c>
      <c r="I1268" s="8">
        <f>IF(B1268="","",IFERROR(VLOOKUP(--B1268,'CATALOGO CECO'!$A$2:$H$550,5,FALSE),""))</f>
        <v/>
      </c>
      <c r="J1268" s="8">
        <f>IF(B1268="","",IFERROR(VLOOKUP(--B1268,'CATALOGO CECO'!$A$2:$H$550,8,FALSE),""))</f>
        <v/>
      </c>
      <c r="K1268" s="8">
        <f>IF(COUNTA(A1268:F1268)=0,"",IF(OR(LEN(A1268)&lt;&gt;7,MID(A1268,5,1)&lt;&gt;"-",ISERROR(--LEFT(A1268,4)),ISERROR(--RIGHT(A1268,2))),"ERROR: PERIODO debe ser AAAA-MM",IF(B1268="","ERROR: falta CODIGO CECO",IF(G1268="CECO NO EXISTE","ERROR: CECO no existe en el catálogo",IF(C1268="","ERROR: falta CUENTA",IF(ISERROR(--C1268),"ERROR: CUENTA debe tener solo dígitos",IF(ISERROR(FIND(LEFT(C1268,1),"567")),"ERROR: CUENTA fuera de las clases de costo",IF(NOT(ISNUMBER(E1268)),"ERROR: VALOR debe ser numérico",IF(E1268=0,"AVISO: valor cero (no se carga)",IF(J1268&lt;&gt;"ACTIVO","NO SE CARGA: CECO en estado "&amp;J1268,"OK"))))))))))</f>
        <v/>
      </c>
    </row>
    <row r="1269">
      <c r="A1269" s="5" t="n"/>
      <c r="B1269" s="6" t="n"/>
      <c r="C1269" s="5" t="n"/>
      <c r="D1269" s="6" t="n"/>
      <c r="E1269" s="7" t="n"/>
      <c r="F1269" s="6" t="n"/>
      <c r="G1269" s="8">
        <f>IF(B1269="","",IFERROR(VLOOKUP(--B1269,'CATALOGO CECO'!$A$2:$H$550,2,FALSE),"CECO NO EXISTE"))</f>
        <v/>
      </c>
      <c r="H1269" s="8">
        <f>IF(B1269="","",IFERROR(VLOOKUP(--B1269,'CATALOGO CECO'!$A$2:$H$550,3,FALSE),""))</f>
        <v/>
      </c>
      <c r="I1269" s="8">
        <f>IF(B1269="","",IFERROR(VLOOKUP(--B1269,'CATALOGO CECO'!$A$2:$H$550,5,FALSE),""))</f>
        <v/>
      </c>
      <c r="J1269" s="8">
        <f>IF(B1269="","",IFERROR(VLOOKUP(--B1269,'CATALOGO CECO'!$A$2:$H$550,8,FALSE),""))</f>
        <v/>
      </c>
      <c r="K1269" s="8">
        <f>IF(COUNTA(A1269:F1269)=0,"",IF(OR(LEN(A1269)&lt;&gt;7,MID(A1269,5,1)&lt;&gt;"-",ISERROR(--LEFT(A1269,4)),ISERROR(--RIGHT(A1269,2))),"ERROR: PERIODO debe ser AAAA-MM",IF(B1269="","ERROR: falta CODIGO CECO",IF(G1269="CECO NO EXISTE","ERROR: CECO no existe en el catálogo",IF(C1269="","ERROR: falta CUENTA",IF(ISERROR(--C1269),"ERROR: CUENTA debe tener solo dígitos",IF(ISERROR(FIND(LEFT(C1269,1),"567")),"ERROR: CUENTA fuera de las clases de costo",IF(NOT(ISNUMBER(E1269)),"ERROR: VALOR debe ser numérico",IF(E1269=0,"AVISO: valor cero (no se carga)",IF(J1269&lt;&gt;"ACTIVO","NO SE CARGA: CECO en estado "&amp;J1269,"OK"))))))))))</f>
        <v/>
      </c>
    </row>
    <row r="1270">
      <c r="A1270" s="5" t="n"/>
      <c r="B1270" s="6" t="n"/>
      <c r="C1270" s="5" t="n"/>
      <c r="D1270" s="6" t="n"/>
      <c r="E1270" s="7" t="n"/>
      <c r="F1270" s="6" t="n"/>
      <c r="G1270" s="8">
        <f>IF(B1270="","",IFERROR(VLOOKUP(--B1270,'CATALOGO CECO'!$A$2:$H$550,2,FALSE),"CECO NO EXISTE"))</f>
        <v/>
      </c>
      <c r="H1270" s="8">
        <f>IF(B1270="","",IFERROR(VLOOKUP(--B1270,'CATALOGO CECO'!$A$2:$H$550,3,FALSE),""))</f>
        <v/>
      </c>
      <c r="I1270" s="8">
        <f>IF(B1270="","",IFERROR(VLOOKUP(--B1270,'CATALOGO CECO'!$A$2:$H$550,5,FALSE),""))</f>
        <v/>
      </c>
      <c r="J1270" s="8">
        <f>IF(B1270="","",IFERROR(VLOOKUP(--B1270,'CATALOGO CECO'!$A$2:$H$550,8,FALSE),""))</f>
        <v/>
      </c>
      <c r="K1270" s="8">
        <f>IF(COUNTA(A1270:F1270)=0,"",IF(OR(LEN(A1270)&lt;&gt;7,MID(A1270,5,1)&lt;&gt;"-",ISERROR(--LEFT(A1270,4)),ISERROR(--RIGHT(A1270,2))),"ERROR: PERIODO debe ser AAAA-MM",IF(B1270="","ERROR: falta CODIGO CECO",IF(G1270="CECO NO EXISTE","ERROR: CECO no existe en el catálogo",IF(C1270="","ERROR: falta CUENTA",IF(ISERROR(--C1270),"ERROR: CUENTA debe tener solo dígitos",IF(ISERROR(FIND(LEFT(C1270,1),"567")),"ERROR: CUENTA fuera de las clases de costo",IF(NOT(ISNUMBER(E1270)),"ERROR: VALOR debe ser numérico",IF(E1270=0,"AVISO: valor cero (no se carga)",IF(J1270&lt;&gt;"ACTIVO","NO SE CARGA: CECO en estado "&amp;J1270,"OK"))))))))))</f>
        <v/>
      </c>
    </row>
    <row r="1271">
      <c r="A1271" s="5" t="n"/>
      <c r="B1271" s="6" t="n"/>
      <c r="C1271" s="5" t="n"/>
      <c r="D1271" s="6" t="n"/>
      <c r="E1271" s="7" t="n"/>
      <c r="F1271" s="6" t="n"/>
      <c r="G1271" s="8">
        <f>IF(B1271="","",IFERROR(VLOOKUP(--B1271,'CATALOGO CECO'!$A$2:$H$550,2,FALSE),"CECO NO EXISTE"))</f>
        <v/>
      </c>
      <c r="H1271" s="8">
        <f>IF(B1271="","",IFERROR(VLOOKUP(--B1271,'CATALOGO CECO'!$A$2:$H$550,3,FALSE),""))</f>
        <v/>
      </c>
      <c r="I1271" s="8">
        <f>IF(B1271="","",IFERROR(VLOOKUP(--B1271,'CATALOGO CECO'!$A$2:$H$550,5,FALSE),""))</f>
        <v/>
      </c>
      <c r="J1271" s="8">
        <f>IF(B1271="","",IFERROR(VLOOKUP(--B1271,'CATALOGO CECO'!$A$2:$H$550,8,FALSE),""))</f>
        <v/>
      </c>
      <c r="K1271" s="8">
        <f>IF(COUNTA(A1271:F1271)=0,"",IF(OR(LEN(A1271)&lt;&gt;7,MID(A1271,5,1)&lt;&gt;"-",ISERROR(--LEFT(A1271,4)),ISERROR(--RIGHT(A1271,2))),"ERROR: PERIODO debe ser AAAA-MM",IF(B1271="","ERROR: falta CODIGO CECO",IF(G1271="CECO NO EXISTE","ERROR: CECO no existe en el catálogo",IF(C1271="","ERROR: falta CUENTA",IF(ISERROR(--C1271),"ERROR: CUENTA debe tener solo dígitos",IF(ISERROR(FIND(LEFT(C1271,1),"567")),"ERROR: CUENTA fuera de las clases de costo",IF(NOT(ISNUMBER(E1271)),"ERROR: VALOR debe ser numérico",IF(E1271=0,"AVISO: valor cero (no se carga)",IF(J1271&lt;&gt;"ACTIVO","NO SE CARGA: CECO en estado "&amp;J1271,"OK"))))))))))</f>
        <v/>
      </c>
    </row>
    <row r="1272">
      <c r="A1272" s="5" t="n"/>
      <c r="B1272" s="6" t="n"/>
      <c r="C1272" s="5" t="n"/>
      <c r="D1272" s="6" t="n"/>
      <c r="E1272" s="7" t="n"/>
      <c r="F1272" s="6" t="n"/>
      <c r="G1272" s="8">
        <f>IF(B1272="","",IFERROR(VLOOKUP(--B1272,'CATALOGO CECO'!$A$2:$H$550,2,FALSE),"CECO NO EXISTE"))</f>
        <v/>
      </c>
      <c r="H1272" s="8">
        <f>IF(B1272="","",IFERROR(VLOOKUP(--B1272,'CATALOGO CECO'!$A$2:$H$550,3,FALSE),""))</f>
        <v/>
      </c>
      <c r="I1272" s="8">
        <f>IF(B1272="","",IFERROR(VLOOKUP(--B1272,'CATALOGO CECO'!$A$2:$H$550,5,FALSE),""))</f>
        <v/>
      </c>
      <c r="J1272" s="8">
        <f>IF(B1272="","",IFERROR(VLOOKUP(--B1272,'CATALOGO CECO'!$A$2:$H$550,8,FALSE),""))</f>
        <v/>
      </c>
      <c r="K1272" s="8">
        <f>IF(COUNTA(A1272:F1272)=0,"",IF(OR(LEN(A1272)&lt;&gt;7,MID(A1272,5,1)&lt;&gt;"-",ISERROR(--LEFT(A1272,4)),ISERROR(--RIGHT(A1272,2))),"ERROR: PERIODO debe ser AAAA-MM",IF(B1272="","ERROR: falta CODIGO CECO",IF(G1272="CECO NO EXISTE","ERROR: CECO no existe en el catálogo",IF(C1272="","ERROR: falta CUENTA",IF(ISERROR(--C1272),"ERROR: CUENTA debe tener solo dígitos",IF(ISERROR(FIND(LEFT(C1272,1),"567")),"ERROR: CUENTA fuera de las clases de costo",IF(NOT(ISNUMBER(E1272)),"ERROR: VALOR debe ser numérico",IF(E1272=0,"AVISO: valor cero (no se carga)",IF(J1272&lt;&gt;"ACTIVO","NO SE CARGA: CECO en estado "&amp;J1272,"OK"))))))))))</f>
        <v/>
      </c>
    </row>
    <row r="1273">
      <c r="A1273" s="5" t="n"/>
      <c r="B1273" s="6" t="n"/>
      <c r="C1273" s="5" t="n"/>
      <c r="D1273" s="6" t="n"/>
      <c r="E1273" s="7" t="n"/>
      <c r="F1273" s="6" t="n"/>
      <c r="G1273" s="8">
        <f>IF(B1273="","",IFERROR(VLOOKUP(--B1273,'CATALOGO CECO'!$A$2:$H$550,2,FALSE),"CECO NO EXISTE"))</f>
        <v/>
      </c>
      <c r="H1273" s="8">
        <f>IF(B1273="","",IFERROR(VLOOKUP(--B1273,'CATALOGO CECO'!$A$2:$H$550,3,FALSE),""))</f>
        <v/>
      </c>
      <c r="I1273" s="8">
        <f>IF(B1273="","",IFERROR(VLOOKUP(--B1273,'CATALOGO CECO'!$A$2:$H$550,5,FALSE),""))</f>
        <v/>
      </c>
      <c r="J1273" s="8">
        <f>IF(B1273="","",IFERROR(VLOOKUP(--B1273,'CATALOGO CECO'!$A$2:$H$550,8,FALSE),""))</f>
        <v/>
      </c>
      <c r="K1273" s="8">
        <f>IF(COUNTA(A1273:F1273)=0,"",IF(OR(LEN(A1273)&lt;&gt;7,MID(A1273,5,1)&lt;&gt;"-",ISERROR(--LEFT(A1273,4)),ISERROR(--RIGHT(A1273,2))),"ERROR: PERIODO debe ser AAAA-MM",IF(B1273="","ERROR: falta CODIGO CECO",IF(G1273="CECO NO EXISTE","ERROR: CECO no existe en el catálogo",IF(C1273="","ERROR: falta CUENTA",IF(ISERROR(--C1273),"ERROR: CUENTA debe tener solo dígitos",IF(ISERROR(FIND(LEFT(C1273,1),"567")),"ERROR: CUENTA fuera de las clases de costo",IF(NOT(ISNUMBER(E1273)),"ERROR: VALOR debe ser numérico",IF(E1273=0,"AVISO: valor cero (no se carga)",IF(J1273&lt;&gt;"ACTIVO","NO SE CARGA: CECO en estado "&amp;J1273,"OK"))))))))))</f>
        <v/>
      </c>
    </row>
    <row r="1274">
      <c r="A1274" s="5" t="n"/>
      <c r="B1274" s="6" t="n"/>
      <c r="C1274" s="5" t="n"/>
      <c r="D1274" s="6" t="n"/>
      <c r="E1274" s="7" t="n"/>
      <c r="F1274" s="6" t="n"/>
      <c r="G1274" s="8">
        <f>IF(B1274="","",IFERROR(VLOOKUP(--B1274,'CATALOGO CECO'!$A$2:$H$550,2,FALSE),"CECO NO EXISTE"))</f>
        <v/>
      </c>
      <c r="H1274" s="8">
        <f>IF(B1274="","",IFERROR(VLOOKUP(--B1274,'CATALOGO CECO'!$A$2:$H$550,3,FALSE),""))</f>
        <v/>
      </c>
      <c r="I1274" s="8">
        <f>IF(B1274="","",IFERROR(VLOOKUP(--B1274,'CATALOGO CECO'!$A$2:$H$550,5,FALSE),""))</f>
        <v/>
      </c>
      <c r="J1274" s="8">
        <f>IF(B1274="","",IFERROR(VLOOKUP(--B1274,'CATALOGO CECO'!$A$2:$H$550,8,FALSE),""))</f>
        <v/>
      </c>
      <c r="K1274" s="8">
        <f>IF(COUNTA(A1274:F1274)=0,"",IF(OR(LEN(A1274)&lt;&gt;7,MID(A1274,5,1)&lt;&gt;"-",ISERROR(--LEFT(A1274,4)),ISERROR(--RIGHT(A1274,2))),"ERROR: PERIODO debe ser AAAA-MM",IF(B1274="","ERROR: falta CODIGO CECO",IF(G1274="CECO NO EXISTE","ERROR: CECO no existe en el catálogo",IF(C1274="","ERROR: falta CUENTA",IF(ISERROR(--C1274),"ERROR: CUENTA debe tener solo dígitos",IF(ISERROR(FIND(LEFT(C1274,1),"567")),"ERROR: CUENTA fuera de las clases de costo",IF(NOT(ISNUMBER(E1274)),"ERROR: VALOR debe ser numérico",IF(E1274=0,"AVISO: valor cero (no se carga)",IF(J1274&lt;&gt;"ACTIVO","NO SE CARGA: CECO en estado "&amp;J1274,"OK"))))))))))</f>
        <v/>
      </c>
    </row>
    <row r="1275">
      <c r="A1275" s="5" t="n"/>
      <c r="B1275" s="6" t="n"/>
      <c r="C1275" s="5" t="n"/>
      <c r="D1275" s="6" t="n"/>
      <c r="E1275" s="7" t="n"/>
      <c r="F1275" s="6" t="n"/>
      <c r="G1275" s="8">
        <f>IF(B1275="","",IFERROR(VLOOKUP(--B1275,'CATALOGO CECO'!$A$2:$H$550,2,FALSE),"CECO NO EXISTE"))</f>
        <v/>
      </c>
      <c r="H1275" s="8">
        <f>IF(B1275="","",IFERROR(VLOOKUP(--B1275,'CATALOGO CECO'!$A$2:$H$550,3,FALSE),""))</f>
        <v/>
      </c>
      <c r="I1275" s="8">
        <f>IF(B1275="","",IFERROR(VLOOKUP(--B1275,'CATALOGO CECO'!$A$2:$H$550,5,FALSE),""))</f>
        <v/>
      </c>
      <c r="J1275" s="8">
        <f>IF(B1275="","",IFERROR(VLOOKUP(--B1275,'CATALOGO CECO'!$A$2:$H$550,8,FALSE),""))</f>
        <v/>
      </c>
      <c r="K1275" s="8">
        <f>IF(COUNTA(A1275:F1275)=0,"",IF(OR(LEN(A1275)&lt;&gt;7,MID(A1275,5,1)&lt;&gt;"-",ISERROR(--LEFT(A1275,4)),ISERROR(--RIGHT(A1275,2))),"ERROR: PERIODO debe ser AAAA-MM",IF(B1275="","ERROR: falta CODIGO CECO",IF(G1275="CECO NO EXISTE","ERROR: CECO no existe en el catálogo",IF(C1275="","ERROR: falta CUENTA",IF(ISERROR(--C1275),"ERROR: CUENTA debe tener solo dígitos",IF(ISERROR(FIND(LEFT(C1275,1),"567")),"ERROR: CUENTA fuera de las clases de costo",IF(NOT(ISNUMBER(E1275)),"ERROR: VALOR debe ser numérico",IF(E1275=0,"AVISO: valor cero (no se carga)",IF(J1275&lt;&gt;"ACTIVO","NO SE CARGA: CECO en estado "&amp;J1275,"OK"))))))))))</f>
        <v/>
      </c>
    </row>
    <row r="1276">
      <c r="A1276" s="5" t="n"/>
      <c r="B1276" s="6" t="n"/>
      <c r="C1276" s="5" t="n"/>
      <c r="D1276" s="6" t="n"/>
      <c r="E1276" s="7" t="n"/>
      <c r="F1276" s="6" t="n"/>
      <c r="G1276" s="8">
        <f>IF(B1276="","",IFERROR(VLOOKUP(--B1276,'CATALOGO CECO'!$A$2:$H$550,2,FALSE),"CECO NO EXISTE"))</f>
        <v/>
      </c>
      <c r="H1276" s="8">
        <f>IF(B1276="","",IFERROR(VLOOKUP(--B1276,'CATALOGO CECO'!$A$2:$H$550,3,FALSE),""))</f>
        <v/>
      </c>
      <c r="I1276" s="8">
        <f>IF(B1276="","",IFERROR(VLOOKUP(--B1276,'CATALOGO CECO'!$A$2:$H$550,5,FALSE),""))</f>
        <v/>
      </c>
      <c r="J1276" s="8">
        <f>IF(B1276="","",IFERROR(VLOOKUP(--B1276,'CATALOGO CECO'!$A$2:$H$550,8,FALSE),""))</f>
        <v/>
      </c>
      <c r="K1276" s="8">
        <f>IF(COUNTA(A1276:F1276)=0,"",IF(OR(LEN(A1276)&lt;&gt;7,MID(A1276,5,1)&lt;&gt;"-",ISERROR(--LEFT(A1276,4)),ISERROR(--RIGHT(A1276,2))),"ERROR: PERIODO debe ser AAAA-MM",IF(B1276="","ERROR: falta CODIGO CECO",IF(G1276="CECO NO EXISTE","ERROR: CECO no existe en el catálogo",IF(C1276="","ERROR: falta CUENTA",IF(ISERROR(--C1276),"ERROR: CUENTA debe tener solo dígitos",IF(ISERROR(FIND(LEFT(C1276,1),"567")),"ERROR: CUENTA fuera de las clases de costo",IF(NOT(ISNUMBER(E1276)),"ERROR: VALOR debe ser numérico",IF(E1276=0,"AVISO: valor cero (no se carga)",IF(J1276&lt;&gt;"ACTIVO","NO SE CARGA: CECO en estado "&amp;J1276,"OK"))))))))))</f>
        <v/>
      </c>
    </row>
    <row r="1277">
      <c r="A1277" s="5" t="n"/>
      <c r="B1277" s="6" t="n"/>
      <c r="C1277" s="5" t="n"/>
      <c r="D1277" s="6" t="n"/>
      <c r="E1277" s="7" t="n"/>
      <c r="F1277" s="6" t="n"/>
      <c r="G1277" s="8">
        <f>IF(B1277="","",IFERROR(VLOOKUP(--B1277,'CATALOGO CECO'!$A$2:$H$550,2,FALSE),"CECO NO EXISTE"))</f>
        <v/>
      </c>
      <c r="H1277" s="8">
        <f>IF(B1277="","",IFERROR(VLOOKUP(--B1277,'CATALOGO CECO'!$A$2:$H$550,3,FALSE),""))</f>
        <v/>
      </c>
      <c r="I1277" s="8">
        <f>IF(B1277="","",IFERROR(VLOOKUP(--B1277,'CATALOGO CECO'!$A$2:$H$550,5,FALSE),""))</f>
        <v/>
      </c>
      <c r="J1277" s="8">
        <f>IF(B1277="","",IFERROR(VLOOKUP(--B1277,'CATALOGO CECO'!$A$2:$H$550,8,FALSE),""))</f>
        <v/>
      </c>
      <c r="K1277" s="8">
        <f>IF(COUNTA(A1277:F1277)=0,"",IF(OR(LEN(A1277)&lt;&gt;7,MID(A1277,5,1)&lt;&gt;"-",ISERROR(--LEFT(A1277,4)),ISERROR(--RIGHT(A1277,2))),"ERROR: PERIODO debe ser AAAA-MM",IF(B1277="","ERROR: falta CODIGO CECO",IF(G1277="CECO NO EXISTE","ERROR: CECO no existe en el catálogo",IF(C1277="","ERROR: falta CUENTA",IF(ISERROR(--C1277),"ERROR: CUENTA debe tener solo dígitos",IF(ISERROR(FIND(LEFT(C1277,1),"567")),"ERROR: CUENTA fuera de las clases de costo",IF(NOT(ISNUMBER(E1277)),"ERROR: VALOR debe ser numérico",IF(E1277=0,"AVISO: valor cero (no se carga)",IF(J1277&lt;&gt;"ACTIVO","NO SE CARGA: CECO en estado "&amp;J1277,"OK"))))))))))</f>
        <v/>
      </c>
    </row>
    <row r="1278">
      <c r="A1278" s="5" t="n"/>
      <c r="B1278" s="6" t="n"/>
      <c r="C1278" s="5" t="n"/>
      <c r="D1278" s="6" t="n"/>
      <c r="E1278" s="7" t="n"/>
      <c r="F1278" s="6" t="n"/>
      <c r="G1278" s="8">
        <f>IF(B1278="","",IFERROR(VLOOKUP(--B1278,'CATALOGO CECO'!$A$2:$H$550,2,FALSE),"CECO NO EXISTE"))</f>
        <v/>
      </c>
      <c r="H1278" s="8">
        <f>IF(B1278="","",IFERROR(VLOOKUP(--B1278,'CATALOGO CECO'!$A$2:$H$550,3,FALSE),""))</f>
        <v/>
      </c>
      <c r="I1278" s="8">
        <f>IF(B1278="","",IFERROR(VLOOKUP(--B1278,'CATALOGO CECO'!$A$2:$H$550,5,FALSE),""))</f>
        <v/>
      </c>
      <c r="J1278" s="8">
        <f>IF(B1278="","",IFERROR(VLOOKUP(--B1278,'CATALOGO CECO'!$A$2:$H$550,8,FALSE),""))</f>
        <v/>
      </c>
      <c r="K1278" s="8">
        <f>IF(COUNTA(A1278:F1278)=0,"",IF(OR(LEN(A1278)&lt;&gt;7,MID(A1278,5,1)&lt;&gt;"-",ISERROR(--LEFT(A1278,4)),ISERROR(--RIGHT(A1278,2))),"ERROR: PERIODO debe ser AAAA-MM",IF(B1278="","ERROR: falta CODIGO CECO",IF(G1278="CECO NO EXISTE","ERROR: CECO no existe en el catálogo",IF(C1278="","ERROR: falta CUENTA",IF(ISERROR(--C1278),"ERROR: CUENTA debe tener solo dígitos",IF(ISERROR(FIND(LEFT(C1278,1),"567")),"ERROR: CUENTA fuera de las clases de costo",IF(NOT(ISNUMBER(E1278)),"ERROR: VALOR debe ser numérico",IF(E1278=0,"AVISO: valor cero (no se carga)",IF(J1278&lt;&gt;"ACTIVO","NO SE CARGA: CECO en estado "&amp;J1278,"OK"))))))))))</f>
        <v/>
      </c>
    </row>
    <row r="1279">
      <c r="A1279" s="5" t="n"/>
      <c r="B1279" s="6" t="n"/>
      <c r="C1279" s="5" t="n"/>
      <c r="D1279" s="6" t="n"/>
      <c r="E1279" s="7" t="n"/>
      <c r="F1279" s="6" t="n"/>
      <c r="G1279" s="8">
        <f>IF(B1279="","",IFERROR(VLOOKUP(--B1279,'CATALOGO CECO'!$A$2:$H$550,2,FALSE),"CECO NO EXISTE"))</f>
        <v/>
      </c>
      <c r="H1279" s="8">
        <f>IF(B1279="","",IFERROR(VLOOKUP(--B1279,'CATALOGO CECO'!$A$2:$H$550,3,FALSE),""))</f>
        <v/>
      </c>
      <c r="I1279" s="8">
        <f>IF(B1279="","",IFERROR(VLOOKUP(--B1279,'CATALOGO CECO'!$A$2:$H$550,5,FALSE),""))</f>
        <v/>
      </c>
      <c r="J1279" s="8">
        <f>IF(B1279="","",IFERROR(VLOOKUP(--B1279,'CATALOGO CECO'!$A$2:$H$550,8,FALSE),""))</f>
        <v/>
      </c>
      <c r="K1279" s="8">
        <f>IF(COUNTA(A1279:F1279)=0,"",IF(OR(LEN(A1279)&lt;&gt;7,MID(A1279,5,1)&lt;&gt;"-",ISERROR(--LEFT(A1279,4)),ISERROR(--RIGHT(A1279,2))),"ERROR: PERIODO debe ser AAAA-MM",IF(B1279="","ERROR: falta CODIGO CECO",IF(G1279="CECO NO EXISTE","ERROR: CECO no existe en el catálogo",IF(C1279="","ERROR: falta CUENTA",IF(ISERROR(--C1279),"ERROR: CUENTA debe tener solo dígitos",IF(ISERROR(FIND(LEFT(C1279,1),"567")),"ERROR: CUENTA fuera de las clases de costo",IF(NOT(ISNUMBER(E1279)),"ERROR: VALOR debe ser numérico",IF(E1279=0,"AVISO: valor cero (no se carga)",IF(J1279&lt;&gt;"ACTIVO","NO SE CARGA: CECO en estado "&amp;J1279,"OK"))))))))))</f>
        <v/>
      </c>
    </row>
    <row r="1280">
      <c r="A1280" s="5" t="n"/>
      <c r="B1280" s="6" t="n"/>
      <c r="C1280" s="5" t="n"/>
      <c r="D1280" s="6" t="n"/>
      <c r="E1280" s="7" t="n"/>
      <c r="F1280" s="6" t="n"/>
      <c r="G1280" s="8">
        <f>IF(B1280="","",IFERROR(VLOOKUP(--B1280,'CATALOGO CECO'!$A$2:$H$550,2,FALSE),"CECO NO EXISTE"))</f>
        <v/>
      </c>
      <c r="H1280" s="8">
        <f>IF(B1280="","",IFERROR(VLOOKUP(--B1280,'CATALOGO CECO'!$A$2:$H$550,3,FALSE),""))</f>
        <v/>
      </c>
      <c r="I1280" s="8">
        <f>IF(B1280="","",IFERROR(VLOOKUP(--B1280,'CATALOGO CECO'!$A$2:$H$550,5,FALSE),""))</f>
        <v/>
      </c>
      <c r="J1280" s="8">
        <f>IF(B1280="","",IFERROR(VLOOKUP(--B1280,'CATALOGO CECO'!$A$2:$H$550,8,FALSE),""))</f>
        <v/>
      </c>
      <c r="K1280" s="8">
        <f>IF(COUNTA(A1280:F1280)=0,"",IF(OR(LEN(A1280)&lt;&gt;7,MID(A1280,5,1)&lt;&gt;"-",ISERROR(--LEFT(A1280,4)),ISERROR(--RIGHT(A1280,2))),"ERROR: PERIODO debe ser AAAA-MM",IF(B1280="","ERROR: falta CODIGO CECO",IF(G1280="CECO NO EXISTE","ERROR: CECO no existe en el catálogo",IF(C1280="","ERROR: falta CUENTA",IF(ISERROR(--C1280),"ERROR: CUENTA debe tener solo dígitos",IF(ISERROR(FIND(LEFT(C1280,1),"567")),"ERROR: CUENTA fuera de las clases de costo",IF(NOT(ISNUMBER(E1280)),"ERROR: VALOR debe ser numérico",IF(E1280=0,"AVISO: valor cero (no se carga)",IF(J1280&lt;&gt;"ACTIVO","NO SE CARGA: CECO en estado "&amp;J1280,"OK"))))))))))</f>
        <v/>
      </c>
    </row>
    <row r="1281">
      <c r="A1281" s="5" t="n"/>
      <c r="B1281" s="6" t="n"/>
      <c r="C1281" s="5" t="n"/>
      <c r="D1281" s="6" t="n"/>
      <c r="E1281" s="7" t="n"/>
      <c r="F1281" s="6" t="n"/>
      <c r="G1281" s="8">
        <f>IF(B1281="","",IFERROR(VLOOKUP(--B1281,'CATALOGO CECO'!$A$2:$H$550,2,FALSE),"CECO NO EXISTE"))</f>
        <v/>
      </c>
      <c r="H1281" s="8">
        <f>IF(B1281="","",IFERROR(VLOOKUP(--B1281,'CATALOGO CECO'!$A$2:$H$550,3,FALSE),""))</f>
        <v/>
      </c>
      <c r="I1281" s="8">
        <f>IF(B1281="","",IFERROR(VLOOKUP(--B1281,'CATALOGO CECO'!$A$2:$H$550,5,FALSE),""))</f>
        <v/>
      </c>
      <c r="J1281" s="8">
        <f>IF(B1281="","",IFERROR(VLOOKUP(--B1281,'CATALOGO CECO'!$A$2:$H$550,8,FALSE),""))</f>
        <v/>
      </c>
      <c r="K1281" s="8">
        <f>IF(COUNTA(A1281:F1281)=0,"",IF(OR(LEN(A1281)&lt;&gt;7,MID(A1281,5,1)&lt;&gt;"-",ISERROR(--LEFT(A1281,4)),ISERROR(--RIGHT(A1281,2))),"ERROR: PERIODO debe ser AAAA-MM",IF(B1281="","ERROR: falta CODIGO CECO",IF(G1281="CECO NO EXISTE","ERROR: CECO no existe en el catálogo",IF(C1281="","ERROR: falta CUENTA",IF(ISERROR(--C1281),"ERROR: CUENTA debe tener solo dígitos",IF(ISERROR(FIND(LEFT(C1281,1),"567")),"ERROR: CUENTA fuera de las clases de costo",IF(NOT(ISNUMBER(E1281)),"ERROR: VALOR debe ser numérico",IF(E1281=0,"AVISO: valor cero (no se carga)",IF(J1281&lt;&gt;"ACTIVO","NO SE CARGA: CECO en estado "&amp;J1281,"OK"))))))))))</f>
        <v/>
      </c>
    </row>
    <row r="1282">
      <c r="A1282" s="5" t="n"/>
      <c r="B1282" s="6" t="n"/>
      <c r="C1282" s="5" t="n"/>
      <c r="D1282" s="6" t="n"/>
      <c r="E1282" s="7" t="n"/>
      <c r="F1282" s="6" t="n"/>
      <c r="G1282" s="8">
        <f>IF(B1282="","",IFERROR(VLOOKUP(--B1282,'CATALOGO CECO'!$A$2:$H$550,2,FALSE),"CECO NO EXISTE"))</f>
        <v/>
      </c>
      <c r="H1282" s="8">
        <f>IF(B1282="","",IFERROR(VLOOKUP(--B1282,'CATALOGO CECO'!$A$2:$H$550,3,FALSE),""))</f>
        <v/>
      </c>
      <c r="I1282" s="8">
        <f>IF(B1282="","",IFERROR(VLOOKUP(--B1282,'CATALOGO CECO'!$A$2:$H$550,5,FALSE),""))</f>
        <v/>
      </c>
      <c r="J1282" s="8">
        <f>IF(B1282="","",IFERROR(VLOOKUP(--B1282,'CATALOGO CECO'!$A$2:$H$550,8,FALSE),""))</f>
        <v/>
      </c>
      <c r="K1282" s="8">
        <f>IF(COUNTA(A1282:F1282)=0,"",IF(OR(LEN(A1282)&lt;&gt;7,MID(A1282,5,1)&lt;&gt;"-",ISERROR(--LEFT(A1282,4)),ISERROR(--RIGHT(A1282,2))),"ERROR: PERIODO debe ser AAAA-MM",IF(B1282="","ERROR: falta CODIGO CECO",IF(G1282="CECO NO EXISTE","ERROR: CECO no existe en el catálogo",IF(C1282="","ERROR: falta CUENTA",IF(ISERROR(--C1282),"ERROR: CUENTA debe tener solo dígitos",IF(ISERROR(FIND(LEFT(C1282,1),"567")),"ERROR: CUENTA fuera de las clases de costo",IF(NOT(ISNUMBER(E1282)),"ERROR: VALOR debe ser numérico",IF(E1282=0,"AVISO: valor cero (no se carga)",IF(J1282&lt;&gt;"ACTIVO","NO SE CARGA: CECO en estado "&amp;J1282,"OK"))))))))))</f>
        <v/>
      </c>
    </row>
    <row r="1283">
      <c r="A1283" s="5" t="n"/>
      <c r="B1283" s="6" t="n"/>
      <c r="C1283" s="5" t="n"/>
      <c r="D1283" s="6" t="n"/>
      <c r="E1283" s="7" t="n"/>
      <c r="F1283" s="6" t="n"/>
      <c r="G1283" s="8">
        <f>IF(B1283="","",IFERROR(VLOOKUP(--B1283,'CATALOGO CECO'!$A$2:$H$550,2,FALSE),"CECO NO EXISTE"))</f>
        <v/>
      </c>
      <c r="H1283" s="8">
        <f>IF(B1283="","",IFERROR(VLOOKUP(--B1283,'CATALOGO CECO'!$A$2:$H$550,3,FALSE),""))</f>
        <v/>
      </c>
      <c r="I1283" s="8">
        <f>IF(B1283="","",IFERROR(VLOOKUP(--B1283,'CATALOGO CECO'!$A$2:$H$550,5,FALSE),""))</f>
        <v/>
      </c>
      <c r="J1283" s="8">
        <f>IF(B1283="","",IFERROR(VLOOKUP(--B1283,'CATALOGO CECO'!$A$2:$H$550,8,FALSE),""))</f>
        <v/>
      </c>
      <c r="K1283" s="8">
        <f>IF(COUNTA(A1283:F1283)=0,"",IF(OR(LEN(A1283)&lt;&gt;7,MID(A1283,5,1)&lt;&gt;"-",ISERROR(--LEFT(A1283,4)),ISERROR(--RIGHT(A1283,2))),"ERROR: PERIODO debe ser AAAA-MM",IF(B1283="","ERROR: falta CODIGO CECO",IF(G1283="CECO NO EXISTE","ERROR: CECO no existe en el catálogo",IF(C1283="","ERROR: falta CUENTA",IF(ISERROR(--C1283),"ERROR: CUENTA debe tener solo dígitos",IF(ISERROR(FIND(LEFT(C1283,1),"567")),"ERROR: CUENTA fuera de las clases de costo",IF(NOT(ISNUMBER(E1283)),"ERROR: VALOR debe ser numérico",IF(E1283=0,"AVISO: valor cero (no se carga)",IF(J1283&lt;&gt;"ACTIVO","NO SE CARGA: CECO en estado "&amp;J1283,"OK"))))))))))</f>
        <v/>
      </c>
    </row>
    <row r="1284">
      <c r="A1284" s="5" t="n"/>
      <c r="B1284" s="6" t="n"/>
      <c r="C1284" s="5" t="n"/>
      <c r="D1284" s="6" t="n"/>
      <c r="E1284" s="7" t="n"/>
      <c r="F1284" s="6" t="n"/>
      <c r="G1284" s="8">
        <f>IF(B1284="","",IFERROR(VLOOKUP(--B1284,'CATALOGO CECO'!$A$2:$H$550,2,FALSE),"CECO NO EXISTE"))</f>
        <v/>
      </c>
      <c r="H1284" s="8">
        <f>IF(B1284="","",IFERROR(VLOOKUP(--B1284,'CATALOGO CECO'!$A$2:$H$550,3,FALSE),""))</f>
        <v/>
      </c>
      <c r="I1284" s="8">
        <f>IF(B1284="","",IFERROR(VLOOKUP(--B1284,'CATALOGO CECO'!$A$2:$H$550,5,FALSE),""))</f>
        <v/>
      </c>
      <c r="J1284" s="8">
        <f>IF(B1284="","",IFERROR(VLOOKUP(--B1284,'CATALOGO CECO'!$A$2:$H$550,8,FALSE),""))</f>
        <v/>
      </c>
      <c r="K1284" s="8">
        <f>IF(COUNTA(A1284:F1284)=0,"",IF(OR(LEN(A1284)&lt;&gt;7,MID(A1284,5,1)&lt;&gt;"-",ISERROR(--LEFT(A1284,4)),ISERROR(--RIGHT(A1284,2))),"ERROR: PERIODO debe ser AAAA-MM",IF(B1284="","ERROR: falta CODIGO CECO",IF(G1284="CECO NO EXISTE","ERROR: CECO no existe en el catálogo",IF(C1284="","ERROR: falta CUENTA",IF(ISERROR(--C1284),"ERROR: CUENTA debe tener solo dígitos",IF(ISERROR(FIND(LEFT(C1284,1),"567")),"ERROR: CUENTA fuera de las clases de costo",IF(NOT(ISNUMBER(E1284)),"ERROR: VALOR debe ser numérico",IF(E1284=0,"AVISO: valor cero (no se carga)",IF(J1284&lt;&gt;"ACTIVO","NO SE CARGA: CECO en estado "&amp;J1284,"OK"))))))))))</f>
        <v/>
      </c>
    </row>
    <row r="1285">
      <c r="A1285" s="5" t="n"/>
      <c r="B1285" s="6" t="n"/>
      <c r="C1285" s="5" t="n"/>
      <c r="D1285" s="6" t="n"/>
      <c r="E1285" s="7" t="n"/>
      <c r="F1285" s="6" t="n"/>
      <c r="G1285" s="8">
        <f>IF(B1285="","",IFERROR(VLOOKUP(--B1285,'CATALOGO CECO'!$A$2:$H$550,2,FALSE),"CECO NO EXISTE"))</f>
        <v/>
      </c>
      <c r="H1285" s="8">
        <f>IF(B1285="","",IFERROR(VLOOKUP(--B1285,'CATALOGO CECO'!$A$2:$H$550,3,FALSE),""))</f>
        <v/>
      </c>
      <c r="I1285" s="8">
        <f>IF(B1285="","",IFERROR(VLOOKUP(--B1285,'CATALOGO CECO'!$A$2:$H$550,5,FALSE),""))</f>
        <v/>
      </c>
      <c r="J1285" s="8">
        <f>IF(B1285="","",IFERROR(VLOOKUP(--B1285,'CATALOGO CECO'!$A$2:$H$550,8,FALSE),""))</f>
        <v/>
      </c>
      <c r="K1285" s="8">
        <f>IF(COUNTA(A1285:F1285)=0,"",IF(OR(LEN(A1285)&lt;&gt;7,MID(A1285,5,1)&lt;&gt;"-",ISERROR(--LEFT(A1285,4)),ISERROR(--RIGHT(A1285,2))),"ERROR: PERIODO debe ser AAAA-MM",IF(B1285="","ERROR: falta CODIGO CECO",IF(G1285="CECO NO EXISTE","ERROR: CECO no existe en el catálogo",IF(C1285="","ERROR: falta CUENTA",IF(ISERROR(--C1285),"ERROR: CUENTA debe tener solo dígitos",IF(ISERROR(FIND(LEFT(C1285,1),"567")),"ERROR: CUENTA fuera de las clases de costo",IF(NOT(ISNUMBER(E1285)),"ERROR: VALOR debe ser numérico",IF(E1285=0,"AVISO: valor cero (no se carga)",IF(J1285&lt;&gt;"ACTIVO","NO SE CARGA: CECO en estado "&amp;J1285,"OK"))))))))))</f>
        <v/>
      </c>
    </row>
    <row r="1286">
      <c r="A1286" s="5" t="n"/>
      <c r="B1286" s="6" t="n"/>
      <c r="C1286" s="5" t="n"/>
      <c r="D1286" s="6" t="n"/>
      <c r="E1286" s="7" t="n"/>
      <c r="F1286" s="6" t="n"/>
      <c r="G1286" s="8">
        <f>IF(B1286="","",IFERROR(VLOOKUP(--B1286,'CATALOGO CECO'!$A$2:$H$550,2,FALSE),"CECO NO EXISTE"))</f>
        <v/>
      </c>
      <c r="H1286" s="8">
        <f>IF(B1286="","",IFERROR(VLOOKUP(--B1286,'CATALOGO CECO'!$A$2:$H$550,3,FALSE),""))</f>
        <v/>
      </c>
      <c r="I1286" s="8">
        <f>IF(B1286="","",IFERROR(VLOOKUP(--B1286,'CATALOGO CECO'!$A$2:$H$550,5,FALSE),""))</f>
        <v/>
      </c>
      <c r="J1286" s="8">
        <f>IF(B1286="","",IFERROR(VLOOKUP(--B1286,'CATALOGO CECO'!$A$2:$H$550,8,FALSE),""))</f>
        <v/>
      </c>
      <c r="K1286" s="8">
        <f>IF(COUNTA(A1286:F1286)=0,"",IF(OR(LEN(A1286)&lt;&gt;7,MID(A1286,5,1)&lt;&gt;"-",ISERROR(--LEFT(A1286,4)),ISERROR(--RIGHT(A1286,2))),"ERROR: PERIODO debe ser AAAA-MM",IF(B1286="","ERROR: falta CODIGO CECO",IF(G1286="CECO NO EXISTE","ERROR: CECO no existe en el catálogo",IF(C1286="","ERROR: falta CUENTA",IF(ISERROR(--C1286),"ERROR: CUENTA debe tener solo dígitos",IF(ISERROR(FIND(LEFT(C1286,1),"567")),"ERROR: CUENTA fuera de las clases de costo",IF(NOT(ISNUMBER(E1286)),"ERROR: VALOR debe ser numérico",IF(E1286=0,"AVISO: valor cero (no se carga)",IF(J1286&lt;&gt;"ACTIVO","NO SE CARGA: CECO en estado "&amp;J1286,"OK"))))))))))</f>
        <v/>
      </c>
    </row>
    <row r="1287">
      <c r="A1287" s="5" t="n"/>
      <c r="B1287" s="6" t="n"/>
      <c r="C1287" s="5" t="n"/>
      <c r="D1287" s="6" t="n"/>
      <c r="E1287" s="7" t="n"/>
      <c r="F1287" s="6" t="n"/>
      <c r="G1287" s="8">
        <f>IF(B1287="","",IFERROR(VLOOKUP(--B1287,'CATALOGO CECO'!$A$2:$H$550,2,FALSE),"CECO NO EXISTE"))</f>
        <v/>
      </c>
      <c r="H1287" s="8">
        <f>IF(B1287="","",IFERROR(VLOOKUP(--B1287,'CATALOGO CECO'!$A$2:$H$550,3,FALSE),""))</f>
        <v/>
      </c>
      <c r="I1287" s="8">
        <f>IF(B1287="","",IFERROR(VLOOKUP(--B1287,'CATALOGO CECO'!$A$2:$H$550,5,FALSE),""))</f>
        <v/>
      </c>
      <c r="J1287" s="8">
        <f>IF(B1287="","",IFERROR(VLOOKUP(--B1287,'CATALOGO CECO'!$A$2:$H$550,8,FALSE),""))</f>
        <v/>
      </c>
      <c r="K1287" s="8">
        <f>IF(COUNTA(A1287:F1287)=0,"",IF(OR(LEN(A1287)&lt;&gt;7,MID(A1287,5,1)&lt;&gt;"-",ISERROR(--LEFT(A1287,4)),ISERROR(--RIGHT(A1287,2))),"ERROR: PERIODO debe ser AAAA-MM",IF(B1287="","ERROR: falta CODIGO CECO",IF(G1287="CECO NO EXISTE","ERROR: CECO no existe en el catálogo",IF(C1287="","ERROR: falta CUENTA",IF(ISERROR(--C1287),"ERROR: CUENTA debe tener solo dígitos",IF(ISERROR(FIND(LEFT(C1287,1),"567")),"ERROR: CUENTA fuera de las clases de costo",IF(NOT(ISNUMBER(E1287)),"ERROR: VALOR debe ser numérico",IF(E1287=0,"AVISO: valor cero (no se carga)",IF(J1287&lt;&gt;"ACTIVO","NO SE CARGA: CECO en estado "&amp;J1287,"OK"))))))))))</f>
        <v/>
      </c>
    </row>
    <row r="1288">
      <c r="A1288" s="5" t="n"/>
      <c r="B1288" s="6" t="n"/>
      <c r="C1288" s="5" t="n"/>
      <c r="D1288" s="6" t="n"/>
      <c r="E1288" s="7" t="n"/>
      <c r="F1288" s="6" t="n"/>
      <c r="G1288" s="8">
        <f>IF(B1288="","",IFERROR(VLOOKUP(--B1288,'CATALOGO CECO'!$A$2:$H$550,2,FALSE),"CECO NO EXISTE"))</f>
        <v/>
      </c>
      <c r="H1288" s="8">
        <f>IF(B1288="","",IFERROR(VLOOKUP(--B1288,'CATALOGO CECO'!$A$2:$H$550,3,FALSE),""))</f>
        <v/>
      </c>
      <c r="I1288" s="8">
        <f>IF(B1288="","",IFERROR(VLOOKUP(--B1288,'CATALOGO CECO'!$A$2:$H$550,5,FALSE),""))</f>
        <v/>
      </c>
      <c r="J1288" s="8">
        <f>IF(B1288="","",IFERROR(VLOOKUP(--B1288,'CATALOGO CECO'!$A$2:$H$550,8,FALSE),""))</f>
        <v/>
      </c>
      <c r="K1288" s="8">
        <f>IF(COUNTA(A1288:F1288)=0,"",IF(OR(LEN(A1288)&lt;&gt;7,MID(A1288,5,1)&lt;&gt;"-",ISERROR(--LEFT(A1288,4)),ISERROR(--RIGHT(A1288,2))),"ERROR: PERIODO debe ser AAAA-MM",IF(B1288="","ERROR: falta CODIGO CECO",IF(G1288="CECO NO EXISTE","ERROR: CECO no existe en el catálogo",IF(C1288="","ERROR: falta CUENTA",IF(ISERROR(--C1288),"ERROR: CUENTA debe tener solo dígitos",IF(ISERROR(FIND(LEFT(C1288,1),"567")),"ERROR: CUENTA fuera de las clases de costo",IF(NOT(ISNUMBER(E1288)),"ERROR: VALOR debe ser numérico",IF(E1288=0,"AVISO: valor cero (no se carga)",IF(J1288&lt;&gt;"ACTIVO","NO SE CARGA: CECO en estado "&amp;J1288,"OK"))))))))))</f>
        <v/>
      </c>
    </row>
    <row r="1289">
      <c r="A1289" s="5" t="n"/>
      <c r="B1289" s="6" t="n"/>
      <c r="C1289" s="5" t="n"/>
      <c r="D1289" s="6" t="n"/>
      <c r="E1289" s="7" t="n"/>
      <c r="F1289" s="6" t="n"/>
      <c r="G1289" s="8">
        <f>IF(B1289="","",IFERROR(VLOOKUP(--B1289,'CATALOGO CECO'!$A$2:$H$550,2,FALSE),"CECO NO EXISTE"))</f>
        <v/>
      </c>
      <c r="H1289" s="8">
        <f>IF(B1289="","",IFERROR(VLOOKUP(--B1289,'CATALOGO CECO'!$A$2:$H$550,3,FALSE),""))</f>
        <v/>
      </c>
      <c r="I1289" s="8">
        <f>IF(B1289="","",IFERROR(VLOOKUP(--B1289,'CATALOGO CECO'!$A$2:$H$550,5,FALSE),""))</f>
        <v/>
      </c>
      <c r="J1289" s="8">
        <f>IF(B1289="","",IFERROR(VLOOKUP(--B1289,'CATALOGO CECO'!$A$2:$H$550,8,FALSE),""))</f>
        <v/>
      </c>
      <c r="K1289" s="8">
        <f>IF(COUNTA(A1289:F1289)=0,"",IF(OR(LEN(A1289)&lt;&gt;7,MID(A1289,5,1)&lt;&gt;"-",ISERROR(--LEFT(A1289,4)),ISERROR(--RIGHT(A1289,2))),"ERROR: PERIODO debe ser AAAA-MM",IF(B1289="","ERROR: falta CODIGO CECO",IF(G1289="CECO NO EXISTE","ERROR: CECO no existe en el catálogo",IF(C1289="","ERROR: falta CUENTA",IF(ISERROR(--C1289),"ERROR: CUENTA debe tener solo dígitos",IF(ISERROR(FIND(LEFT(C1289,1),"567")),"ERROR: CUENTA fuera de las clases de costo",IF(NOT(ISNUMBER(E1289)),"ERROR: VALOR debe ser numérico",IF(E1289=0,"AVISO: valor cero (no se carga)",IF(J1289&lt;&gt;"ACTIVO","NO SE CARGA: CECO en estado "&amp;J1289,"OK"))))))))))</f>
        <v/>
      </c>
    </row>
    <row r="1290">
      <c r="A1290" s="5" t="n"/>
      <c r="B1290" s="6" t="n"/>
      <c r="C1290" s="5" t="n"/>
      <c r="D1290" s="6" t="n"/>
      <c r="E1290" s="7" t="n"/>
      <c r="F1290" s="6" t="n"/>
      <c r="G1290" s="8">
        <f>IF(B1290="","",IFERROR(VLOOKUP(--B1290,'CATALOGO CECO'!$A$2:$H$550,2,FALSE),"CECO NO EXISTE"))</f>
        <v/>
      </c>
      <c r="H1290" s="8">
        <f>IF(B1290="","",IFERROR(VLOOKUP(--B1290,'CATALOGO CECO'!$A$2:$H$550,3,FALSE),""))</f>
        <v/>
      </c>
      <c r="I1290" s="8">
        <f>IF(B1290="","",IFERROR(VLOOKUP(--B1290,'CATALOGO CECO'!$A$2:$H$550,5,FALSE),""))</f>
        <v/>
      </c>
      <c r="J1290" s="8">
        <f>IF(B1290="","",IFERROR(VLOOKUP(--B1290,'CATALOGO CECO'!$A$2:$H$550,8,FALSE),""))</f>
        <v/>
      </c>
      <c r="K1290" s="8">
        <f>IF(COUNTA(A1290:F1290)=0,"",IF(OR(LEN(A1290)&lt;&gt;7,MID(A1290,5,1)&lt;&gt;"-",ISERROR(--LEFT(A1290,4)),ISERROR(--RIGHT(A1290,2))),"ERROR: PERIODO debe ser AAAA-MM",IF(B1290="","ERROR: falta CODIGO CECO",IF(G1290="CECO NO EXISTE","ERROR: CECO no existe en el catálogo",IF(C1290="","ERROR: falta CUENTA",IF(ISERROR(--C1290),"ERROR: CUENTA debe tener solo dígitos",IF(ISERROR(FIND(LEFT(C1290,1),"567")),"ERROR: CUENTA fuera de las clases de costo",IF(NOT(ISNUMBER(E1290)),"ERROR: VALOR debe ser numérico",IF(E1290=0,"AVISO: valor cero (no se carga)",IF(J1290&lt;&gt;"ACTIVO","NO SE CARGA: CECO en estado "&amp;J1290,"OK"))))))))))</f>
        <v/>
      </c>
    </row>
    <row r="1291">
      <c r="A1291" s="5" t="n"/>
      <c r="B1291" s="6" t="n"/>
      <c r="C1291" s="5" t="n"/>
      <c r="D1291" s="6" t="n"/>
      <c r="E1291" s="7" t="n"/>
      <c r="F1291" s="6" t="n"/>
      <c r="G1291" s="8">
        <f>IF(B1291="","",IFERROR(VLOOKUP(--B1291,'CATALOGO CECO'!$A$2:$H$550,2,FALSE),"CECO NO EXISTE"))</f>
        <v/>
      </c>
      <c r="H1291" s="8">
        <f>IF(B1291="","",IFERROR(VLOOKUP(--B1291,'CATALOGO CECO'!$A$2:$H$550,3,FALSE),""))</f>
        <v/>
      </c>
      <c r="I1291" s="8">
        <f>IF(B1291="","",IFERROR(VLOOKUP(--B1291,'CATALOGO CECO'!$A$2:$H$550,5,FALSE),""))</f>
        <v/>
      </c>
      <c r="J1291" s="8">
        <f>IF(B1291="","",IFERROR(VLOOKUP(--B1291,'CATALOGO CECO'!$A$2:$H$550,8,FALSE),""))</f>
        <v/>
      </c>
      <c r="K1291" s="8">
        <f>IF(COUNTA(A1291:F1291)=0,"",IF(OR(LEN(A1291)&lt;&gt;7,MID(A1291,5,1)&lt;&gt;"-",ISERROR(--LEFT(A1291,4)),ISERROR(--RIGHT(A1291,2))),"ERROR: PERIODO debe ser AAAA-MM",IF(B1291="","ERROR: falta CODIGO CECO",IF(G1291="CECO NO EXISTE","ERROR: CECO no existe en el catálogo",IF(C1291="","ERROR: falta CUENTA",IF(ISERROR(--C1291),"ERROR: CUENTA debe tener solo dígitos",IF(ISERROR(FIND(LEFT(C1291,1),"567")),"ERROR: CUENTA fuera de las clases de costo",IF(NOT(ISNUMBER(E1291)),"ERROR: VALOR debe ser numérico",IF(E1291=0,"AVISO: valor cero (no se carga)",IF(J1291&lt;&gt;"ACTIVO","NO SE CARGA: CECO en estado "&amp;J1291,"OK"))))))))))</f>
        <v/>
      </c>
    </row>
    <row r="1292">
      <c r="A1292" s="5" t="n"/>
      <c r="B1292" s="6" t="n"/>
      <c r="C1292" s="5" t="n"/>
      <c r="D1292" s="6" t="n"/>
      <c r="E1292" s="7" t="n"/>
      <c r="F1292" s="6" t="n"/>
      <c r="G1292" s="8">
        <f>IF(B1292="","",IFERROR(VLOOKUP(--B1292,'CATALOGO CECO'!$A$2:$H$550,2,FALSE),"CECO NO EXISTE"))</f>
        <v/>
      </c>
      <c r="H1292" s="8">
        <f>IF(B1292="","",IFERROR(VLOOKUP(--B1292,'CATALOGO CECO'!$A$2:$H$550,3,FALSE),""))</f>
        <v/>
      </c>
      <c r="I1292" s="8">
        <f>IF(B1292="","",IFERROR(VLOOKUP(--B1292,'CATALOGO CECO'!$A$2:$H$550,5,FALSE),""))</f>
        <v/>
      </c>
      <c r="J1292" s="8">
        <f>IF(B1292="","",IFERROR(VLOOKUP(--B1292,'CATALOGO CECO'!$A$2:$H$550,8,FALSE),""))</f>
        <v/>
      </c>
      <c r="K1292" s="8">
        <f>IF(COUNTA(A1292:F1292)=0,"",IF(OR(LEN(A1292)&lt;&gt;7,MID(A1292,5,1)&lt;&gt;"-",ISERROR(--LEFT(A1292,4)),ISERROR(--RIGHT(A1292,2))),"ERROR: PERIODO debe ser AAAA-MM",IF(B1292="","ERROR: falta CODIGO CECO",IF(G1292="CECO NO EXISTE","ERROR: CECO no existe en el catálogo",IF(C1292="","ERROR: falta CUENTA",IF(ISERROR(--C1292),"ERROR: CUENTA debe tener solo dígitos",IF(ISERROR(FIND(LEFT(C1292,1),"567")),"ERROR: CUENTA fuera de las clases de costo",IF(NOT(ISNUMBER(E1292)),"ERROR: VALOR debe ser numérico",IF(E1292=0,"AVISO: valor cero (no se carga)",IF(J1292&lt;&gt;"ACTIVO","NO SE CARGA: CECO en estado "&amp;J1292,"OK"))))))))))</f>
        <v/>
      </c>
    </row>
    <row r="1293">
      <c r="A1293" s="5" t="n"/>
      <c r="B1293" s="6" t="n"/>
      <c r="C1293" s="5" t="n"/>
      <c r="D1293" s="6" t="n"/>
      <c r="E1293" s="7" t="n"/>
      <c r="F1293" s="6" t="n"/>
      <c r="G1293" s="8">
        <f>IF(B1293="","",IFERROR(VLOOKUP(--B1293,'CATALOGO CECO'!$A$2:$H$550,2,FALSE),"CECO NO EXISTE"))</f>
        <v/>
      </c>
      <c r="H1293" s="8">
        <f>IF(B1293="","",IFERROR(VLOOKUP(--B1293,'CATALOGO CECO'!$A$2:$H$550,3,FALSE),""))</f>
        <v/>
      </c>
      <c r="I1293" s="8">
        <f>IF(B1293="","",IFERROR(VLOOKUP(--B1293,'CATALOGO CECO'!$A$2:$H$550,5,FALSE),""))</f>
        <v/>
      </c>
      <c r="J1293" s="8">
        <f>IF(B1293="","",IFERROR(VLOOKUP(--B1293,'CATALOGO CECO'!$A$2:$H$550,8,FALSE),""))</f>
        <v/>
      </c>
      <c r="K1293" s="8">
        <f>IF(COUNTA(A1293:F1293)=0,"",IF(OR(LEN(A1293)&lt;&gt;7,MID(A1293,5,1)&lt;&gt;"-",ISERROR(--LEFT(A1293,4)),ISERROR(--RIGHT(A1293,2))),"ERROR: PERIODO debe ser AAAA-MM",IF(B1293="","ERROR: falta CODIGO CECO",IF(G1293="CECO NO EXISTE","ERROR: CECO no existe en el catálogo",IF(C1293="","ERROR: falta CUENTA",IF(ISERROR(--C1293),"ERROR: CUENTA debe tener solo dígitos",IF(ISERROR(FIND(LEFT(C1293,1),"567")),"ERROR: CUENTA fuera de las clases de costo",IF(NOT(ISNUMBER(E1293)),"ERROR: VALOR debe ser numérico",IF(E1293=0,"AVISO: valor cero (no se carga)",IF(J1293&lt;&gt;"ACTIVO","NO SE CARGA: CECO en estado "&amp;J1293,"OK"))))))))))</f>
        <v/>
      </c>
    </row>
    <row r="1294">
      <c r="A1294" s="5" t="n"/>
      <c r="B1294" s="6" t="n"/>
      <c r="C1294" s="5" t="n"/>
      <c r="D1294" s="6" t="n"/>
      <c r="E1294" s="7" t="n"/>
      <c r="F1294" s="6" t="n"/>
      <c r="G1294" s="8">
        <f>IF(B1294="","",IFERROR(VLOOKUP(--B1294,'CATALOGO CECO'!$A$2:$H$550,2,FALSE),"CECO NO EXISTE"))</f>
        <v/>
      </c>
      <c r="H1294" s="8">
        <f>IF(B1294="","",IFERROR(VLOOKUP(--B1294,'CATALOGO CECO'!$A$2:$H$550,3,FALSE),""))</f>
        <v/>
      </c>
      <c r="I1294" s="8">
        <f>IF(B1294="","",IFERROR(VLOOKUP(--B1294,'CATALOGO CECO'!$A$2:$H$550,5,FALSE),""))</f>
        <v/>
      </c>
      <c r="J1294" s="8">
        <f>IF(B1294="","",IFERROR(VLOOKUP(--B1294,'CATALOGO CECO'!$A$2:$H$550,8,FALSE),""))</f>
        <v/>
      </c>
      <c r="K1294" s="8">
        <f>IF(COUNTA(A1294:F1294)=0,"",IF(OR(LEN(A1294)&lt;&gt;7,MID(A1294,5,1)&lt;&gt;"-",ISERROR(--LEFT(A1294,4)),ISERROR(--RIGHT(A1294,2))),"ERROR: PERIODO debe ser AAAA-MM",IF(B1294="","ERROR: falta CODIGO CECO",IF(G1294="CECO NO EXISTE","ERROR: CECO no existe en el catálogo",IF(C1294="","ERROR: falta CUENTA",IF(ISERROR(--C1294),"ERROR: CUENTA debe tener solo dígitos",IF(ISERROR(FIND(LEFT(C1294,1),"567")),"ERROR: CUENTA fuera de las clases de costo",IF(NOT(ISNUMBER(E1294)),"ERROR: VALOR debe ser numérico",IF(E1294=0,"AVISO: valor cero (no se carga)",IF(J1294&lt;&gt;"ACTIVO","NO SE CARGA: CECO en estado "&amp;J1294,"OK"))))))))))</f>
        <v/>
      </c>
    </row>
    <row r="1295">
      <c r="A1295" s="5" t="n"/>
      <c r="B1295" s="6" t="n"/>
      <c r="C1295" s="5" t="n"/>
      <c r="D1295" s="6" t="n"/>
      <c r="E1295" s="7" t="n"/>
      <c r="F1295" s="6" t="n"/>
      <c r="G1295" s="8">
        <f>IF(B1295="","",IFERROR(VLOOKUP(--B1295,'CATALOGO CECO'!$A$2:$H$550,2,FALSE),"CECO NO EXISTE"))</f>
        <v/>
      </c>
      <c r="H1295" s="8">
        <f>IF(B1295="","",IFERROR(VLOOKUP(--B1295,'CATALOGO CECO'!$A$2:$H$550,3,FALSE),""))</f>
        <v/>
      </c>
      <c r="I1295" s="8">
        <f>IF(B1295="","",IFERROR(VLOOKUP(--B1295,'CATALOGO CECO'!$A$2:$H$550,5,FALSE),""))</f>
        <v/>
      </c>
      <c r="J1295" s="8">
        <f>IF(B1295="","",IFERROR(VLOOKUP(--B1295,'CATALOGO CECO'!$A$2:$H$550,8,FALSE),""))</f>
        <v/>
      </c>
      <c r="K1295" s="8">
        <f>IF(COUNTA(A1295:F1295)=0,"",IF(OR(LEN(A1295)&lt;&gt;7,MID(A1295,5,1)&lt;&gt;"-",ISERROR(--LEFT(A1295,4)),ISERROR(--RIGHT(A1295,2))),"ERROR: PERIODO debe ser AAAA-MM",IF(B1295="","ERROR: falta CODIGO CECO",IF(G1295="CECO NO EXISTE","ERROR: CECO no existe en el catálogo",IF(C1295="","ERROR: falta CUENTA",IF(ISERROR(--C1295),"ERROR: CUENTA debe tener solo dígitos",IF(ISERROR(FIND(LEFT(C1295,1),"567")),"ERROR: CUENTA fuera de las clases de costo",IF(NOT(ISNUMBER(E1295)),"ERROR: VALOR debe ser numérico",IF(E1295=0,"AVISO: valor cero (no se carga)",IF(J1295&lt;&gt;"ACTIVO","NO SE CARGA: CECO en estado "&amp;J1295,"OK"))))))))))</f>
        <v/>
      </c>
    </row>
    <row r="1296">
      <c r="A1296" s="5" t="n"/>
      <c r="B1296" s="6" t="n"/>
      <c r="C1296" s="5" t="n"/>
      <c r="D1296" s="6" t="n"/>
      <c r="E1296" s="7" t="n"/>
      <c r="F1296" s="6" t="n"/>
      <c r="G1296" s="8">
        <f>IF(B1296="","",IFERROR(VLOOKUP(--B1296,'CATALOGO CECO'!$A$2:$H$550,2,FALSE),"CECO NO EXISTE"))</f>
        <v/>
      </c>
      <c r="H1296" s="8">
        <f>IF(B1296="","",IFERROR(VLOOKUP(--B1296,'CATALOGO CECO'!$A$2:$H$550,3,FALSE),""))</f>
        <v/>
      </c>
      <c r="I1296" s="8">
        <f>IF(B1296="","",IFERROR(VLOOKUP(--B1296,'CATALOGO CECO'!$A$2:$H$550,5,FALSE),""))</f>
        <v/>
      </c>
      <c r="J1296" s="8">
        <f>IF(B1296="","",IFERROR(VLOOKUP(--B1296,'CATALOGO CECO'!$A$2:$H$550,8,FALSE),""))</f>
        <v/>
      </c>
      <c r="K1296" s="8">
        <f>IF(COUNTA(A1296:F1296)=0,"",IF(OR(LEN(A1296)&lt;&gt;7,MID(A1296,5,1)&lt;&gt;"-",ISERROR(--LEFT(A1296,4)),ISERROR(--RIGHT(A1296,2))),"ERROR: PERIODO debe ser AAAA-MM",IF(B1296="","ERROR: falta CODIGO CECO",IF(G1296="CECO NO EXISTE","ERROR: CECO no existe en el catálogo",IF(C1296="","ERROR: falta CUENTA",IF(ISERROR(--C1296),"ERROR: CUENTA debe tener solo dígitos",IF(ISERROR(FIND(LEFT(C1296,1),"567")),"ERROR: CUENTA fuera de las clases de costo",IF(NOT(ISNUMBER(E1296)),"ERROR: VALOR debe ser numérico",IF(E1296=0,"AVISO: valor cero (no se carga)",IF(J1296&lt;&gt;"ACTIVO","NO SE CARGA: CECO en estado "&amp;J1296,"OK"))))))))))</f>
        <v/>
      </c>
    </row>
    <row r="1297">
      <c r="A1297" s="5" t="n"/>
      <c r="B1297" s="6" t="n"/>
      <c r="C1297" s="5" t="n"/>
      <c r="D1297" s="6" t="n"/>
      <c r="E1297" s="7" t="n"/>
      <c r="F1297" s="6" t="n"/>
      <c r="G1297" s="8">
        <f>IF(B1297="","",IFERROR(VLOOKUP(--B1297,'CATALOGO CECO'!$A$2:$H$550,2,FALSE),"CECO NO EXISTE"))</f>
        <v/>
      </c>
      <c r="H1297" s="8">
        <f>IF(B1297="","",IFERROR(VLOOKUP(--B1297,'CATALOGO CECO'!$A$2:$H$550,3,FALSE),""))</f>
        <v/>
      </c>
      <c r="I1297" s="8">
        <f>IF(B1297="","",IFERROR(VLOOKUP(--B1297,'CATALOGO CECO'!$A$2:$H$550,5,FALSE),""))</f>
        <v/>
      </c>
      <c r="J1297" s="8">
        <f>IF(B1297="","",IFERROR(VLOOKUP(--B1297,'CATALOGO CECO'!$A$2:$H$550,8,FALSE),""))</f>
        <v/>
      </c>
      <c r="K1297" s="8">
        <f>IF(COUNTA(A1297:F1297)=0,"",IF(OR(LEN(A1297)&lt;&gt;7,MID(A1297,5,1)&lt;&gt;"-",ISERROR(--LEFT(A1297,4)),ISERROR(--RIGHT(A1297,2))),"ERROR: PERIODO debe ser AAAA-MM",IF(B1297="","ERROR: falta CODIGO CECO",IF(G1297="CECO NO EXISTE","ERROR: CECO no existe en el catálogo",IF(C1297="","ERROR: falta CUENTA",IF(ISERROR(--C1297),"ERROR: CUENTA debe tener solo dígitos",IF(ISERROR(FIND(LEFT(C1297,1),"567")),"ERROR: CUENTA fuera de las clases de costo",IF(NOT(ISNUMBER(E1297)),"ERROR: VALOR debe ser numérico",IF(E1297=0,"AVISO: valor cero (no se carga)",IF(J1297&lt;&gt;"ACTIVO","NO SE CARGA: CECO en estado "&amp;J1297,"OK"))))))))))</f>
        <v/>
      </c>
    </row>
    <row r="1298">
      <c r="A1298" s="5" t="n"/>
      <c r="B1298" s="6" t="n"/>
      <c r="C1298" s="5" t="n"/>
      <c r="D1298" s="6" t="n"/>
      <c r="E1298" s="7" t="n"/>
      <c r="F1298" s="6" t="n"/>
      <c r="G1298" s="8">
        <f>IF(B1298="","",IFERROR(VLOOKUP(--B1298,'CATALOGO CECO'!$A$2:$H$550,2,FALSE),"CECO NO EXISTE"))</f>
        <v/>
      </c>
      <c r="H1298" s="8">
        <f>IF(B1298="","",IFERROR(VLOOKUP(--B1298,'CATALOGO CECO'!$A$2:$H$550,3,FALSE),""))</f>
        <v/>
      </c>
      <c r="I1298" s="8">
        <f>IF(B1298="","",IFERROR(VLOOKUP(--B1298,'CATALOGO CECO'!$A$2:$H$550,5,FALSE),""))</f>
        <v/>
      </c>
      <c r="J1298" s="8">
        <f>IF(B1298="","",IFERROR(VLOOKUP(--B1298,'CATALOGO CECO'!$A$2:$H$550,8,FALSE),""))</f>
        <v/>
      </c>
      <c r="K1298" s="8">
        <f>IF(COUNTA(A1298:F1298)=0,"",IF(OR(LEN(A1298)&lt;&gt;7,MID(A1298,5,1)&lt;&gt;"-",ISERROR(--LEFT(A1298,4)),ISERROR(--RIGHT(A1298,2))),"ERROR: PERIODO debe ser AAAA-MM",IF(B1298="","ERROR: falta CODIGO CECO",IF(G1298="CECO NO EXISTE","ERROR: CECO no existe en el catálogo",IF(C1298="","ERROR: falta CUENTA",IF(ISERROR(--C1298),"ERROR: CUENTA debe tener solo dígitos",IF(ISERROR(FIND(LEFT(C1298,1),"567")),"ERROR: CUENTA fuera de las clases de costo",IF(NOT(ISNUMBER(E1298)),"ERROR: VALOR debe ser numérico",IF(E1298=0,"AVISO: valor cero (no se carga)",IF(J1298&lt;&gt;"ACTIVO","NO SE CARGA: CECO en estado "&amp;J1298,"OK"))))))))))</f>
        <v/>
      </c>
    </row>
    <row r="1299">
      <c r="A1299" s="5" t="n"/>
      <c r="B1299" s="6" t="n"/>
      <c r="C1299" s="5" t="n"/>
      <c r="D1299" s="6" t="n"/>
      <c r="E1299" s="7" t="n"/>
      <c r="F1299" s="6" t="n"/>
      <c r="G1299" s="8">
        <f>IF(B1299="","",IFERROR(VLOOKUP(--B1299,'CATALOGO CECO'!$A$2:$H$550,2,FALSE),"CECO NO EXISTE"))</f>
        <v/>
      </c>
      <c r="H1299" s="8">
        <f>IF(B1299="","",IFERROR(VLOOKUP(--B1299,'CATALOGO CECO'!$A$2:$H$550,3,FALSE),""))</f>
        <v/>
      </c>
      <c r="I1299" s="8">
        <f>IF(B1299="","",IFERROR(VLOOKUP(--B1299,'CATALOGO CECO'!$A$2:$H$550,5,FALSE),""))</f>
        <v/>
      </c>
      <c r="J1299" s="8">
        <f>IF(B1299="","",IFERROR(VLOOKUP(--B1299,'CATALOGO CECO'!$A$2:$H$550,8,FALSE),""))</f>
        <v/>
      </c>
      <c r="K1299" s="8">
        <f>IF(COUNTA(A1299:F1299)=0,"",IF(OR(LEN(A1299)&lt;&gt;7,MID(A1299,5,1)&lt;&gt;"-",ISERROR(--LEFT(A1299,4)),ISERROR(--RIGHT(A1299,2))),"ERROR: PERIODO debe ser AAAA-MM",IF(B1299="","ERROR: falta CODIGO CECO",IF(G1299="CECO NO EXISTE","ERROR: CECO no existe en el catálogo",IF(C1299="","ERROR: falta CUENTA",IF(ISERROR(--C1299),"ERROR: CUENTA debe tener solo dígitos",IF(ISERROR(FIND(LEFT(C1299,1),"567")),"ERROR: CUENTA fuera de las clases de costo",IF(NOT(ISNUMBER(E1299)),"ERROR: VALOR debe ser numérico",IF(E1299=0,"AVISO: valor cero (no se carga)",IF(J1299&lt;&gt;"ACTIVO","NO SE CARGA: CECO en estado "&amp;J1299,"OK"))))))))))</f>
        <v/>
      </c>
    </row>
    <row r="1300">
      <c r="A1300" s="5" t="n"/>
      <c r="B1300" s="6" t="n"/>
      <c r="C1300" s="5" t="n"/>
      <c r="D1300" s="6" t="n"/>
      <c r="E1300" s="7" t="n"/>
      <c r="F1300" s="6" t="n"/>
      <c r="G1300" s="8">
        <f>IF(B1300="","",IFERROR(VLOOKUP(--B1300,'CATALOGO CECO'!$A$2:$H$550,2,FALSE),"CECO NO EXISTE"))</f>
        <v/>
      </c>
      <c r="H1300" s="8">
        <f>IF(B1300="","",IFERROR(VLOOKUP(--B1300,'CATALOGO CECO'!$A$2:$H$550,3,FALSE),""))</f>
        <v/>
      </c>
      <c r="I1300" s="8">
        <f>IF(B1300="","",IFERROR(VLOOKUP(--B1300,'CATALOGO CECO'!$A$2:$H$550,5,FALSE),""))</f>
        <v/>
      </c>
      <c r="J1300" s="8">
        <f>IF(B1300="","",IFERROR(VLOOKUP(--B1300,'CATALOGO CECO'!$A$2:$H$550,8,FALSE),""))</f>
        <v/>
      </c>
      <c r="K1300" s="8">
        <f>IF(COUNTA(A1300:F1300)=0,"",IF(OR(LEN(A1300)&lt;&gt;7,MID(A1300,5,1)&lt;&gt;"-",ISERROR(--LEFT(A1300,4)),ISERROR(--RIGHT(A1300,2))),"ERROR: PERIODO debe ser AAAA-MM",IF(B1300="","ERROR: falta CODIGO CECO",IF(G1300="CECO NO EXISTE","ERROR: CECO no existe en el catálogo",IF(C1300="","ERROR: falta CUENTA",IF(ISERROR(--C1300),"ERROR: CUENTA debe tener solo dígitos",IF(ISERROR(FIND(LEFT(C1300,1),"567")),"ERROR: CUENTA fuera de las clases de costo",IF(NOT(ISNUMBER(E1300)),"ERROR: VALOR debe ser numérico",IF(E1300=0,"AVISO: valor cero (no se carga)",IF(J1300&lt;&gt;"ACTIVO","NO SE CARGA: CECO en estado "&amp;J1300,"OK"))))))))))</f>
        <v/>
      </c>
    </row>
    <row r="1301">
      <c r="A1301" s="5" t="n"/>
      <c r="B1301" s="6" t="n"/>
      <c r="C1301" s="5" t="n"/>
      <c r="D1301" s="6" t="n"/>
      <c r="E1301" s="7" t="n"/>
      <c r="F1301" s="6" t="n"/>
      <c r="G1301" s="8">
        <f>IF(B1301="","",IFERROR(VLOOKUP(--B1301,'CATALOGO CECO'!$A$2:$H$550,2,FALSE),"CECO NO EXISTE"))</f>
        <v/>
      </c>
      <c r="H1301" s="8">
        <f>IF(B1301="","",IFERROR(VLOOKUP(--B1301,'CATALOGO CECO'!$A$2:$H$550,3,FALSE),""))</f>
        <v/>
      </c>
      <c r="I1301" s="8">
        <f>IF(B1301="","",IFERROR(VLOOKUP(--B1301,'CATALOGO CECO'!$A$2:$H$550,5,FALSE),""))</f>
        <v/>
      </c>
      <c r="J1301" s="8">
        <f>IF(B1301="","",IFERROR(VLOOKUP(--B1301,'CATALOGO CECO'!$A$2:$H$550,8,FALSE),""))</f>
        <v/>
      </c>
      <c r="K1301" s="8">
        <f>IF(COUNTA(A1301:F1301)=0,"",IF(OR(LEN(A1301)&lt;&gt;7,MID(A1301,5,1)&lt;&gt;"-",ISERROR(--LEFT(A1301,4)),ISERROR(--RIGHT(A1301,2))),"ERROR: PERIODO debe ser AAAA-MM",IF(B1301="","ERROR: falta CODIGO CECO",IF(G1301="CECO NO EXISTE","ERROR: CECO no existe en el catálogo",IF(C1301="","ERROR: falta CUENTA",IF(ISERROR(--C1301),"ERROR: CUENTA debe tener solo dígitos",IF(ISERROR(FIND(LEFT(C1301,1),"567")),"ERROR: CUENTA fuera de las clases de costo",IF(NOT(ISNUMBER(E1301)),"ERROR: VALOR debe ser numérico",IF(E1301=0,"AVISO: valor cero (no se carga)",IF(J1301&lt;&gt;"ACTIVO","NO SE CARGA: CECO en estado "&amp;J1301,"OK"))))))))))</f>
        <v/>
      </c>
    </row>
    <row r="1302">
      <c r="A1302" s="5" t="n"/>
      <c r="B1302" s="6" t="n"/>
      <c r="C1302" s="5" t="n"/>
      <c r="D1302" s="6" t="n"/>
      <c r="E1302" s="7" t="n"/>
      <c r="F1302" s="6" t="n"/>
      <c r="G1302" s="8">
        <f>IF(B1302="","",IFERROR(VLOOKUP(--B1302,'CATALOGO CECO'!$A$2:$H$550,2,FALSE),"CECO NO EXISTE"))</f>
        <v/>
      </c>
      <c r="H1302" s="8">
        <f>IF(B1302="","",IFERROR(VLOOKUP(--B1302,'CATALOGO CECO'!$A$2:$H$550,3,FALSE),""))</f>
        <v/>
      </c>
      <c r="I1302" s="8">
        <f>IF(B1302="","",IFERROR(VLOOKUP(--B1302,'CATALOGO CECO'!$A$2:$H$550,5,FALSE),""))</f>
        <v/>
      </c>
      <c r="J1302" s="8">
        <f>IF(B1302="","",IFERROR(VLOOKUP(--B1302,'CATALOGO CECO'!$A$2:$H$550,8,FALSE),""))</f>
        <v/>
      </c>
      <c r="K1302" s="8">
        <f>IF(COUNTA(A1302:F1302)=0,"",IF(OR(LEN(A1302)&lt;&gt;7,MID(A1302,5,1)&lt;&gt;"-",ISERROR(--LEFT(A1302,4)),ISERROR(--RIGHT(A1302,2))),"ERROR: PERIODO debe ser AAAA-MM",IF(B1302="","ERROR: falta CODIGO CECO",IF(G1302="CECO NO EXISTE","ERROR: CECO no existe en el catálogo",IF(C1302="","ERROR: falta CUENTA",IF(ISERROR(--C1302),"ERROR: CUENTA debe tener solo dígitos",IF(ISERROR(FIND(LEFT(C1302,1),"567")),"ERROR: CUENTA fuera de las clases de costo",IF(NOT(ISNUMBER(E1302)),"ERROR: VALOR debe ser numérico",IF(E1302=0,"AVISO: valor cero (no se carga)",IF(J1302&lt;&gt;"ACTIVO","NO SE CARGA: CECO en estado "&amp;J1302,"OK"))))))))))</f>
        <v/>
      </c>
    </row>
    <row r="1303">
      <c r="A1303" s="5" t="n"/>
      <c r="B1303" s="6" t="n"/>
      <c r="C1303" s="5" t="n"/>
      <c r="D1303" s="6" t="n"/>
      <c r="E1303" s="7" t="n"/>
      <c r="F1303" s="6" t="n"/>
      <c r="G1303" s="8">
        <f>IF(B1303="","",IFERROR(VLOOKUP(--B1303,'CATALOGO CECO'!$A$2:$H$550,2,FALSE),"CECO NO EXISTE"))</f>
        <v/>
      </c>
      <c r="H1303" s="8">
        <f>IF(B1303="","",IFERROR(VLOOKUP(--B1303,'CATALOGO CECO'!$A$2:$H$550,3,FALSE),""))</f>
        <v/>
      </c>
      <c r="I1303" s="8">
        <f>IF(B1303="","",IFERROR(VLOOKUP(--B1303,'CATALOGO CECO'!$A$2:$H$550,5,FALSE),""))</f>
        <v/>
      </c>
      <c r="J1303" s="8">
        <f>IF(B1303="","",IFERROR(VLOOKUP(--B1303,'CATALOGO CECO'!$A$2:$H$550,8,FALSE),""))</f>
        <v/>
      </c>
      <c r="K1303" s="8">
        <f>IF(COUNTA(A1303:F1303)=0,"",IF(OR(LEN(A1303)&lt;&gt;7,MID(A1303,5,1)&lt;&gt;"-",ISERROR(--LEFT(A1303,4)),ISERROR(--RIGHT(A1303,2))),"ERROR: PERIODO debe ser AAAA-MM",IF(B1303="","ERROR: falta CODIGO CECO",IF(G1303="CECO NO EXISTE","ERROR: CECO no existe en el catálogo",IF(C1303="","ERROR: falta CUENTA",IF(ISERROR(--C1303),"ERROR: CUENTA debe tener solo dígitos",IF(ISERROR(FIND(LEFT(C1303,1),"567")),"ERROR: CUENTA fuera de las clases de costo",IF(NOT(ISNUMBER(E1303)),"ERROR: VALOR debe ser numérico",IF(E1303=0,"AVISO: valor cero (no se carga)",IF(J1303&lt;&gt;"ACTIVO","NO SE CARGA: CECO en estado "&amp;J1303,"OK"))))))))))</f>
        <v/>
      </c>
    </row>
    <row r="1304">
      <c r="A1304" s="5" t="n"/>
      <c r="B1304" s="6" t="n"/>
      <c r="C1304" s="5" t="n"/>
      <c r="D1304" s="6" t="n"/>
      <c r="E1304" s="7" t="n"/>
      <c r="F1304" s="6" t="n"/>
      <c r="G1304" s="8">
        <f>IF(B1304="","",IFERROR(VLOOKUP(--B1304,'CATALOGO CECO'!$A$2:$H$550,2,FALSE),"CECO NO EXISTE"))</f>
        <v/>
      </c>
      <c r="H1304" s="8">
        <f>IF(B1304="","",IFERROR(VLOOKUP(--B1304,'CATALOGO CECO'!$A$2:$H$550,3,FALSE),""))</f>
        <v/>
      </c>
      <c r="I1304" s="8">
        <f>IF(B1304="","",IFERROR(VLOOKUP(--B1304,'CATALOGO CECO'!$A$2:$H$550,5,FALSE),""))</f>
        <v/>
      </c>
      <c r="J1304" s="8">
        <f>IF(B1304="","",IFERROR(VLOOKUP(--B1304,'CATALOGO CECO'!$A$2:$H$550,8,FALSE),""))</f>
        <v/>
      </c>
      <c r="K1304" s="8">
        <f>IF(COUNTA(A1304:F1304)=0,"",IF(OR(LEN(A1304)&lt;&gt;7,MID(A1304,5,1)&lt;&gt;"-",ISERROR(--LEFT(A1304,4)),ISERROR(--RIGHT(A1304,2))),"ERROR: PERIODO debe ser AAAA-MM",IF(B1304="","ERROR: falta CODIGO CECO",IF(G1304="CECO NO EXISTE","ERROR: CECO no existe en el catálogo",IF(C1304="","ERROR: falta CUENTA",IF(ISERROR(--C1304),"ERROR: CUENTA debe tener solo dígitos",IF(ISERROR(FIND(LEFT(C1304,1),"567")),"ERROR: CUENTA fuera de las clases de costo",IF(NOT(ISNUMBER(E1304)),"ERROR: VALOR debe ser numérico",IF(E1304=0,"AVISO: valor cero (no se carga)",IF(J1304&lt;&gt;"ACTIVO","NO SE CARGA: CECO en estado "&amp;J1304,"OK"))))))))))</f>
        <v/>
      </c>
    </row>
    <row r="1305">
      <c r="A1305" s="5" t="n"/>
      <c r="B1305" s="6" t="n"/>
      <c r="C1305" s="5" t="n"/>
      <c r="D1305" s="6" t="n"/>
      <c r="E1305" s="7" t="n"/>
      <c r="F1305" s="6" t="n"/>
      <c r="G1305" s="8">
        <f>IF(B1305="","",IFERROR(VLOOKUP(--B1305,'CATALOGO CECO'!$A$2:$H$550,2,FALSE),"CECO NO EXISTE"))</f>
        <v/>
      </c>
      <c r="H1305" s="8">
        <f>IF(B1305="","",IFERROR(VLOOKUP(--B1305,'CATALOGO CECO'!$A$2:$H$550,3,FALSE),""))</f>
        <v/>
      </c>
      <c r="I1305" s="8">
        <f>IF(B1305="","",IFERROR(VLOOKUP(--B1305,'CATALOGO CECO'!$A$2:$H$550,5,FALSE),""))</f>
        <v/>
      </c>
      <c r="J1305" s="8">
        <f>IF(B1305="","",IFERROR(VLOOKUP(--B1305,'CATALOGO CECO'!$A$2:$H$550,8,FALSE),""))</f>
        <v/>
      </c>
      <c r="K1305" s="8">
        <f>IF(COUNTA(A1305:F1305)=0,"",IF(OR(LEN(A1305)&lt;&gt;7,MID(A1305,5,1)&lt;&gt;"-",ISERROR(--LEFT(A1305,4)),ISERROR(--RIGHT(A1305,2))),"ERROR: PERIODO debe ser AAAA-MM",IF(B1305="","ERROR: falta CODIGO CECO",IF(G1305="CECO NO EXISTE","ERROR: CECO no existe en el catálogo",IF(C1305="","ERROR: falta CUENTA",IF(ISERROR(--C1305),"ERROR: CUENTA debe tener solo dígitos",IF(ISERROR(FIND(LEFT(C1305,1),"567")),"ERROR: CUENTA fuera de las clases de costo",IF(NOT(ISNUMBER(E1305)),"ERROR: VALOR debe ser numérico",IF(E1305=0,"AVISO: valor cero (no se carga)",IF(J1305&lt;&gt;"ACTIVO","NO SE CARGA: CECO en estado "&amp;J1305,"OK"))))))))))</f>
        <v/>
      </c>
    </row>
    <row r="1306">
      <c r="A1306" s="5" t="n"/>
      <c r="B1306" s="6" t="n"/>
      <c r="C1306" s="5" t="n"/>
      <c r="D1306" s="6" t="n"/>
      <c r="E1306" s="7" t="n"/>
      <c r="F1306" s="6" t="n"/>
      <c r="G1306" s="8">
        <f>IF(B1306="","",IFERROR(VLOOKUP(--B1306,'CATALOGO CECO'!$A$2:$H$550,2,FALSE),"CECO NO EXISTE"))</f>
        <v/>
      </c>
      <c r="H1306" s="8">
        <f>IF(B1306="","",IFERROR(VLOOKUP(--B1306,'CATALOGO CECO'!$A$2:$H$550,3,FALSE),""))</f>
        <v/>
      </c>
      <c r="I1306" s="8">
        <f>IF(B1306="","",IFERROR(VLOOKUP(--B1306,'CATALOGO CECO'!$A$2:$H$550,5,FALSE),""))</f>
        <v/>
      </c>
      <c r="J1306" s="8">
        <f>IF(B1306="","",IFERROR(VLOOKUP(--B1306,'CATALOGO CECO'!$A$2:$H$550,8,FALSE),""))</f>
        <v/>
      </c>
      <c r="K1306" s="8">
        <f>IF(COUNTA(A1306:F1306)=0,"",IF(OR(LEN(A1306)&lt;&gt;7,MID(A1306,5,1)&lt;&gt;"-",ISERROR(--LEFT(A1306,4)),ISERROR(--RIGHT(A1306,2))),"ERROR: PERIODO debe ser AAAA-MM",IF(B1306="","ERROR: falta CODIGO CECO",IF(G1306="CECO NO EXISTE","ERROR: CECO no existe en el catálogo",IF(C1306="","ERROR: falta CUENTA",IF(ISERROR(--C1306),"ERROR: CUENTA debe tener solo dígitos",IF(ISERROR(FIND(LEFT(C1306,1),"567")),"ERROR: CUENTA fuera de las clases de costo",IF(NOT(ISNUMBER(E1306)),"ERROR: VALOR debe ser numérico",IF(E1306=0,"AVISO: valor cero (no se carga)",IF(J1306&lt;&gt;"ACTIVO","NO SE CARGA: CECO en estado "&amp;J1306,"OK"))))))))))</f>
        <v/>
      </c>
    </row>
    <row r="1307">
      <c r="A1307" s="5" t="n"/>
      <c r="B1307" s="6" t="n"/>
      <c r="C1307" s="5" t="n"/>
      <c r="D1307" s="6" t="n"/>
      <c r="E1307" s="7" t="n"/>
      <c r="F1307" s="6" t="n"/>
      <c r="G1307" s="8">
        <f>IF(B1307="","",IFERROR(VLOOKUP(--B1307,'CATALOGO CECO'!$A$2:$H$550,2,FALSE),"CECO NO EXISTE"))</f>
        <v/>
      </c>
      <c r="H1307" s="8">
        <f>IF(B1307="","",IFERROR(VLOOKUP(--B1307,'CATALOGO CECO'!$A$2:$H$550,3,FALSE),""))</f>
        <v/>
      </c>
      <c r="I1307" s="8">
        <f>IF(B1307="","",IFERROR(VLOOKUP(--B1307,'CATALOGO CECO'!$A$2:$H$550,5,FALSE),""))</f>
        <v/>
      </c>
      <c r="J1307" s="8">
        <f>IF(B1307="","",IFERROR(VLOOKUP(--B1307,'CATALOGO CECO'!$A$2:$H$550,8,FALSE),""))</f>
        <v/>
      </c>
      <c r="K1307" s="8">
        <f>IF(COUNTA(A1307:F1307)=0,"",IF(OR(LEN(A1307)&lt;&gt;7,MID(A1307,5,1)&lt;&gt;"-",ISERROR(--LEFT(A1307,4)),ISERROR(--RIGHT(A1307,2))),"ERROR: PERIODO debe ser AAAA-MM",IF(B1307="","ERROR: falta CODIGO CECO",IF(G1307="CECO NO EXISTE","ERROR: CECO no existe en el catálogo",IF(C1307="","ERROR: falta CUENTA",IF(ISERROR(--C1307),"ERROR: CUENTA debe tener solo dígitos",IF(ISERROR(FIND(LEFT(C1307,1),"567")),"ERROR: CUENTA fuera de las clases de costo",IF(NOT(ISNUMBER(E1307)),"ERROR: VALOR debe ser numérico",IF(E1307=0,"AVISO: valor cero (no se carga)",IF(J1307&lt;&gt;"ACTIVO","NO SE CARGA: CECO en estado "&amp;J1307,"OK"))))))))))</f>
        <v/>
      </c>
    </row>
    <row r="1308">
      <c r="A1308" s="5" t="n"/>
      <c r="B1308" s="6" t="n"/>
      <c r="C1308" s="5" t="n"/>
      <c r="D1308" s="6" t="n"/>
      <c r="E1308" s="7" t="n"/>
      <c r="F1308" s="6" t="n"/>
      <c r="G1308" s="8">
        <f>IF(B1308="","",IFERROR(VLOOKUP(--B1308,'CATALOGO CECO'!$A$2:$H$550,2,FALSE),"CECO NO EXISTE"))</f>
        <v/>
      </c>
      <c r="H1308" s="8">
        <f>IF(B1308="","",IFERROR(VLOOKUP(--B1308,'CATALOGO CECO'!$A$2:$H$550,3,FALSE),""))</f>
        <v/>
      </c>
      <c r="I1308" s="8">
        <f>IF(B1308="","",IFERROR(VLOOKUP(--B1308,'CATALOGO CECO'!$A$2:$H$550,5,FALSE),""))</f>
        <v/>
      </c>
      <c r="J1308" s="8">
        <f>IF(B1308="","",IFERROR(VLOOKUP(--B1308,'CATALOGO CECO'!$A$2:$H$550,8,FALSE),""))</f>
        <v/>
      </c>
      <c r="K1308" s="8">
        <f>IF(COUNTA(A1308:F1308)=0,"",IF(OR(LEN(A1308)&lt;&gt;7,MID(A1308,5,1)&lt;&gt;"-",ISERROR(--LEFT(A1308,4)),ISERROR(--RIGHT(A1308,2))),"ERROR: PERIODO debe ser AAAA-MM",IF(B1308="","ERROR: falta CODIGO CECO",IF(G1308="CECO NO EXISTE","ERROR: CECO no existe en el catálogo",IF(C1308="","ERROR: falta CUENTA",IF(ISERROR(--C1308),"ERROR: CUENTA debe tener solo dígitos",IF(ISERROR(FIND(LEFT(C1308,1),"567")),"ERROR: CUENTA fuera de las clases de costo",IF(NOT(ISNUMBER(E1308)),"ERROR: VALOR debe ser numérico",IF(E1308=0,"AVISO: valor cero (no se carga)",IF(J1308&lt;&gt;"ACTIVO","NO SE CARGA: CECO en estado "&amp;J1308,"OK"))))))))))</f>
        <v/>
      </c>
    </row>
    <row r="1309">
      <c r="A1309" s="5" t="n"/>
      <c r="B1309" s="6" t="n"/>
      <c r="C1309" s="5" t="n"/>
      <c r="D1309" s="6" t="n"/>
      <c r="E1309" s="7" t="n"/>
      <c r="F1309" s="6" t="n"/>
      <c r="G1309" s="8">
        <f>IF(B1309="","",IFERROR(VLOOKUP(--B1309,'CATALOGO CECO'!$A$2:$H$550,2,FALSE),"CECO NO EXISTE"))</f>
        <v/>
      </c>
      <c r="H1309" s="8">
        <f>IF(B1309="","",IFERROR(VLOOKUP(--B1309,'CATALOGO CECO'!$A$2:$H$550,3,FALSE),""))</f>
        <v/>
      </c>
      <c r="I1309" s="8">
        <f>IF(B1309="","",IFERROR(VLOOKUP(--B1309,'CATALOGO CECO'!$A$2:$H$550,5,FALSE),""))</f>
        <v/>
      </c>
      <c r="J1309" s="8">
        <f>IF(B1309="","",IFERROR(VLOOKUP(--B1309,'CATALOGO CECO'!$A$2:$H$550,8,FALSE),""))</f>
        <v/>
      </c>
      <c r="K1309" s="8">
        <f>IF(COUNTA(A1309:F1309)=0,"",IF(OR(LEN(A1309)&lt;&gt;7,MID(A1309,5,1)&lt;&gt;"-",ISERROR(--LEFT(A1309,4)),ISERROR(--RIGHT(A1309,2))),"ERROR: PERIODO debe ser AAAA-MM",IF(B1309="","ERROR: falta CODIGO CECO",IF(G1309="CECO NO EXISTE","ERROR: CECO no existe en el catálogo",IF(C1309="","ERROR: falta CUENTA",IF(ISERROR(--C1309),"ERROR: CUENTA debe tener solo dígitos",IF(ISERROR(FIND(LEFT(C1309,1),"567")),"ERROR: CUENTA fuera de las clases de costo",IF(NOT(ISNUMBER(E1309)),"ERROR: VALOR debe ser numérico",IF(E1309=0,"AVISO: valor cero (no se carga)",IF(J1309&lt;&gt;"ACTIVO","NO SE CARGA: CECO en estado "&amp;J1309,"OK"))))))))))</f>
        <v/>
      </c>
    </row>
    <row r="1310">
      <c r="A1310" s="5" t="n"/>
      <c r="B1310" s="6" t="n"/>
      <c r="C1310" s="5" t="n"/>
      <c r="D1310" s="6" t="n"/>
      <c r="E1310" s="7" t="n"/>
      <c r="F1310" s="6" t="n"/>
      <c r="G1310" s="8">
        <f>IF(B1310="","",IFERROR(VLOOKUP(--B1310,'CATALOGO CECO'!$A$2:$H$550,2,FALSE),"CECO NO EXISTE"))</f>
        <v/>
      </c>
      <c r="H1310" s="8">
        <f>IF(B1310="","",IFERROR(VLOOKUP(--B1310,'CATALOGO CECO'!$A$2:$H$550,3,FALSE),""))</f>
        <v/>
      </c>
      <c r="I1310" s="8">
        <f>IF(B1310="","",IFERROR(VLOOKUP(--B1310,'CATALOGO CECO'!$A$2:$H$550,5,FALSE),""))</f>
        <v/>
      </c>
      <c r="J1310" s="8">
        <f>IF(B1310="","",IFERROR(VLOOKUP(--B1310,'CATALOGO CECO'!$A$2:$H$550,8,FALSE),""))</f>
        <v/>
      </c>
      <c r="K1310" s="8">
        <f>IF(COUNTA(A1310:F1310)=0,"",IF(OR(LEN(A1310)&lt;&gt;7,MID(A1310,5,1)&lt;&gt;"-",ISERROR(--LEFT(A1310,4)),ISERROR(--RIGHT(A1310,2))),"ERROR: PERIODO debe ser AAAA-MM",IF(B1310="","ERROR: falta CODIGO CECO",IF(G1310="CECO NO EXISTE","ERROR: CECO no existe en el catálogo",IF(C1310="","ERROR: falta CUENTA",IF(ISERROR(--C1310),"ERROR: CUENTA debe tener solo dígitos",IF(ISERROR(FIND(LEFT(C1310,1),"567")),"ERROR: CUENTA fuera de las clases de costo",IF(NOT(ISNUMBER(E1310)),"ERROR: VALOR debe ser numérico",IF(E1310=0,"AVISO: valor cero (no se carga)",IF(J1310&lt;&gt;"ACTIVO","NO SE CARGA: CECO en estado "&amp;J1310,"OK"))))))))))</f>
        <v/>
      </c>
    </row>
    <row r="1311">
      <c r="A1311" s="5" t="n"/>
      <c r="B1311" s="6" t="n"/>
      <c r="C1311" s="5" t="n"/>
      <c r="D1311" s="6" t="n"/>
      <c r="E1311" s="7" t="n"/>
      <c r="F1311" s="6" t="n"/>
      <c r="G1311" s="8">
        <f>IF(B1311="","",IFERROR(VLOOKUP(--B1311,'CATALOGO CECO'!$A$2:$H$550,2,FALSE),"CECO NO EXISTE"))</f>
        <v/>
      </c>
      <c r="H1311" s="8">
        <f>IF(B1311="","",IFERROR(VLOOKUP(--B1311,'CATALOGO CECO'!$A$2:$H$550,3,FALSE),""))</f>
        <v/>
      </c>
      <c r="I1311" s="8">
        <f>IF(B1311="","",IFERROR(VLOOKUP(--B1311,'CATALOGO CECO'!$A$2:$H$550,5,FALSE),""))</f>
        <v/>
      </c>
      <c r="J1311" s="8">
        <f>IF(B1311="","",IFERROR(VLOOKUP(--B1311,'CATALOGO CECO'!$A$2:$H$550,8,FALSE),""))</f>
        <v/>
      </c>
      <c r="K1311" s="8">
        <f>IF(COUNTA(A1311:F1311)=0,"",IF(OR(LEN(A1311)&lt;&gt;7,MID(A1311,5,1)&lt;&gt;"-",ISERROR(--LEFT(A1311,4)),ISERROR(--RIGHT(A1311,2))),"ERROR: PERIODO debe ser AAAA-MM",IF(B1311="","ERROR: falta CODIGO CECO",IF(G1311="CECO NO EXISTE","ERROR: CECO no existe en el catálogo",IF(C1311="","ERROR: falta CUENTA",IF(ISERROR(--C1311),"ERROR: CUENTA debe tener solo dígitos",IF(ISERROR(FIND(LEFT(C1311,1),"567")),"ERROR: CUENTA fuera de las clases de costo",IF(NOT(ISNUMBER(E1311)),"ERROR: VALOR debe ser numérico",IF(E1311=0,"AVISO: valor cero (no se carga)",IF(J1311&lt;&gt;"ACTIVO","NO SE CARGA: CECO en estado "&amp;J1311,"OK"))))))))))</f>
        <v/>
      </c>
    </row>
    <row r="1312">
      <c r="A1312" s="5" t="n"/>
      <c r="B1312" s="6" t="n"/>
      <c r="C1312" s="5" t="n"/>
      <c r="D1312" s="6" t="n"/>
      <c r="E1312" s="7" t="n"/>
      <c r="F1312" s="6" t="n"/>
      <c r="G1312" s="8">
        <f>IF(B1312="","",IFERROR(VLOOKUP(--B1312,'CATALOGO CECO'!$A$2:$H$550,2,FALSE),"CECO NO EXISTE"))</f>
        <v/>
      </c>
      <c r="H1312" s="8">
        <f>IF(B1312="","",IFERROR(VLOOKUP(--B1312,'CATALOGO CECO'!$A$2:$H$550,3,FALSE),""))</f>
        <v/>
      </c>
      <c r="I1312" s="8">
        <f>IF(B1312="","",IFERROR(VLOOKUP(--B1312,'CATALOGO CECO'!$A$2:$H$550,5,FALSE),""))</f>
        <v/>
      </c>
      <c r="J1312" s="8">
        <f>IF(B1312="","",IFERROR(VLOOKUP(--B1312,'CATALOGO CECO'!$A$2:$H$550,8,FALSE),""))</f>
        <v/>
      </c>
      <c r="K1312" s="8">
        <f>IF(COUNTA(A1312:F1312)=0,"",IF(OR(LEN(A1312)&lt;&gt;7,MID(A1312,5,1)&lt;&gt;"-",ISERROR(--LEFT(A1312,4)),ISERROR(--RIGHT(A1312,2))),"ERROR: PERIODO debe ser AAAA-MM",IF(B1312="","ERROR: falta CODIGO CECO",IF(G1312="CECO NO EXISTE","ERROR: CECO no existe en el catálogo",IF(C1312="","ERROR: falta CUENTA",IF(ISERROR(--C1312),"ERROR: CUENTA debe tener solo dígitos",IF(ISERROR(FIND(LEFT(C1312,1),"567")),"ERROR: CUENTA fuera de las clases de costo",IF(NOT(ISNUMBER(E1312)),"ERROR: VALOR debe ser numérico",IF(E1312=0,"AVISO: valor cero (no se carga)",IF(J1312&lt;&gt;"ACTIVO","NO SE CARGA: CECO en estado "&amp;J1312,"OK"))))))))))</f>
        <v/>
      </c>
    </row>
    <row r="1313">
      <c r="A1313" s="5" t="n"/>
      <c r="B1313" s="6" t="n"/>
      <c r="C1313" s="5" t="n"/>
      <c r="D1313" s="6" t="n"/>
      <c r="E1313" s="7" t="n"/>
      <c r="F1313" s="6" t="n"/>
      <c r="G1313" s="8">
        <f>IF(B1313="","",IFERROR(VLOOKUP(--B1313,'CATALOGO CECO'!$A$2:$H$550,2,FALSE),"CECO NO EXISTE"))</f>
        <v/>
      </c>
      <c r="H1313" s="8">
        <f>IF(B1313="","",IFERROR(VLOOKUP(--B1313,'CATALOGO CECO'!$A$2:$H$550,3,FALSE),""))</f>
        <v/>
      </c>
      <c r="I1313" s="8">
        <f>IF(B1313="","",IFERROR(VLOOKUP(--B1313,'CATALOGO CECO'!$A$2:$H$550,5,FALSE),""))</f>
        <v/>
      </c>
      <c r="J1313" s="8">
        <f>IF(B1313="","",IFERROR(VLOOKUP(--B1313,'CATALOGO CECO'!$A$2:$H$550,8,FALSE),""))</f>
        <v/>
      </c>
      <c r="K1313" s="8">
        <f>IF(COUNTA(A1313:F1313)=0,"",IF(OR(LEN(A1313)&lt;&gt;7,MID(A1313,5,1)&lt;&gt;"-",ISERROR(--LEFT(A1313,4)),ISERROR(--RIGHT(A1313,2))),"ERROR: PERIODO debe ser AAAA-MM",IF(B1313="","ERROR: falta CODIGO CECO",IF(G1313="CECO NO EXISTE","ERROR: CECO no existe en el catálogo",IF(C1313="","ERROR: falta CUENTA",IF(ISERROR(--C1313),"ERROR: CUENTA debe tener solo dígitos",IF(ISERROR(FIND(LEFT(C1313,1),"567")),"ERROR: CUENTA fuera de las clases de costo",IF(NOT(ISNUMBER(E1313)),"ERROR: VALOR debe ser numérico",IF(E1313=0,"AVISO: valor cero (no se carga)",IF(J1313&lt;&gt;"ACTIVO","NO SE CARGA: CECO en estado "&amp;J1313,"OK"))))))))))</f>
        <v/>
      </c>
    </row>
    <row r="1314">
      <c r="A1314" s="5" t="n"/>
      <c r="B1314" s="6" t="n"/>
      <c r="C1314" s="5" t="n"/>
      <c r="D1314" s="6" t="n"/>
      <c r="E1314" s="7" t="n"/>
      <c r="F1314" s="6" t="n"/>
      <c r="G1314" s="8">
        <f>IF(B1314="","",IFERROR(VLOOKUP(--B1314,'CATALOGO CECO'!$A$2:$H$550,2,FALSE),"CECO NO EXISTE"))</f>
        <v/>
      </c>
      <c r="H1314" s="8">
        <f>IF(B1314="","",IFERROR(VLOOKUP(--B1314,'CATALOGO CECO'!$A$2:$H$550,3,FALSE),""))</f>
        <v/>
      </c>
      <c r="I1314" s="8">
        <f>IF(B1314="","",IFERROR(VLOOKUP(--B1314,'CATALOGO CECO'!$A$2:$H$550,5,FALSE),""))</f>
        <v/>
      </c>
      <c r="J1314" s="8">
        <f>IF(B1314="","",IFERROR(VLOOKUP(--B1314,'CATALOGO CECO'!$A$2:$H$550,8,FALSE),""))</f>
        <v/>
      </c>
      <c r="K1314" s="8">
        <f>IF(COUNTA(A1314:F1314)=0,"",IF(OR(LEN(A1314)&lt;&gt;7,MID(A1314,5,1)&lt;&gt;"-",ISERROR(--LEFT(A1314,4)),ISERROR(--RIGHT(A1314,2))),"ERROR: PERIODO debe ser AAAA-MM",IF(B1314="","ERROR: falta CODIGO CECO",IF(G1314="CECO NO EXISTE","ERROR: CECO no existe en el catálogo",IF(C1314="","ERROR: falta CUENTA",IF(ISERROR(--C1314),"ERROR: CUENTA debe tener solo dígitos",IF(ISERROR(FIND(LEFT(C1314,1),"567")),"ERROR: CUENTA fuera de las clases de costo",IF(NOT(ISNUMBER(E1314)),"ERROR: VALOR debe ser numérico",IF(E1314=0,"AVISO: valor cero (no se carga)",IF(J1314&lt;&gt;"ACTIVO","NO SE CARGA: CECO en estado "&amp;J1314,"OK"))))))))))</f>
        <v/>
      </c>
    </row>
    <row r="1315">
      <c r="A1315" s="5" t="n"/>
      <c r="B1315" s="6" t="n"/>
      <c r="C1315" s="5" t="n"/>
      <c r="D1315" s="6" t="n"/>
      <c r="E1315" s="7" t="n"/>
      <c r="F1315" s="6" t="n"/>
      <c r="G1315" s="8">
        <f>IF(B1315="","",IFERROR(VLOOKUP(--B1315,'CATALOGO CECO'!$A$2:$H$550,2,FALSE),"CECO NO EXISTE"))</f>
        <v/>
      </c>
      <c r="H1315" s="8">
        <f>IF(B1315="","",IFERROR(VLOOKUP(--B1315,'CATALOGO CECO'!$A$2:$H$550,3,FALSE),""))</f>
        <v/>
      </c>
      <c r="I1315" s="8">
        <f>IF(B1315="","",IFERROR(VLOOKUP(--B1315,'CATALOGO CECO'!$A$2:$H$550,5,FALSE),""))</f>
        <v/>
      </c>
      <c r="J1315" s="8">
        <f>IF(B1315="","",IFERROR(VLOOKUP(--B1315,'CATALOGO CECO'!$A$2:$H$550,8,FALSE),""))</f>
        <v/>
      </c>
      <c r="K1315" s="8">
        <f>IF(COUNTA(A1315:F1315)=0,"",IF(OR(LEN(A1315)&lt;&gt;7,MID(A1315,5,1)&lt;&gt;"-",ISERROR(--LEFT(A1315,4)),ISERROR(--RIGHT(A1315,2))),"ERROR: PERIODO debe ser AAAA-MM",IF(B1315="","ERROR: falta CODIGO CECO",IF(G1315="CECO NO EXISTE","ERROR: CECO no existe en el catálogo",IF(C1315="","ERROR: falta CUENTA",IF(ISERROR(--C1315),"ERROR: CUENTA debe tener solo dígitos",IF(ISERROR(FIND(LEFT(C1315,1),"567")),"ERROR: CUENTA fuera de las clases de costo",IF(NOT(ISNUMBER(E1315)),"ERROR: VALOR debe ser numérico",IF(E1315=0,"AVISO: valor cero (no se carga)",IF(J1315&lt;&gt;"ACTIVO","NO SE CARGA: CECO en estado "&amp;J1315,"OK"))))))))))</f>
        <v/>
      </c>
    </row>
    <row r="1316">
      <c r="A1316" s="5" t="n"/>
      <c r="B1316" s="6" t="n"/>
      <c r="C1316" s="5" t="n"/>
      <c r="D1316" s="6" t="n"/>
      <c r="E1316" s="7" t="n"/>
      <c r="F1316" s="6" t="n"/>
      <c r="G1316" s="8">
        <f>IF(B1316="","",IFERROR(VLOOKUP(--B1316,'CATALOGO CECO'!$A$2:$H$550,2,FALSE),"CECO NO EXISTE"))</f>
        <v/>
      </c>
      <c r="H1316" s="8">
        <f>IF(B1316="","",IFERROR(VLOOKUP(--B1316,'CATALOGO CECO'!$A$2:$H$550,3,FALSE),""))</f>
        <v/>
      </c>
      <c r="I1316" s="8">
        <f>IF(B1316="","",IFERROR(VLOOKUP(--B1316,'CATALOGO CECO'!$A$2:$H$550,5,FALSE),""))</f>
        <v/>
      </c>
      <c r="J1316" s="8">
        <f>IF(B1316="","",IFERROR(VLOOKUP(--B1316,'CATALOGO CECO'!$A$2:$H$550,8,FALSE),""))</f>
        <v/>
      </c>
      <c r="K1316" s="8">
        <f>IF(COUNTA(A1316:F1316)=0,"",IF(OR(LEN(A1316)&lt;&gt;7,MID(A1316,5,1)&lt;&gt;"-",ISERROR(--LEFT(A1316,4)),ISERROR(--RIGHT(A1316,2))),"ERROR: PERIODO debe ser AAAA-MM",IF(B1316="","ERROR: falta CODIGO CECO",IF(G1316="CECO NO EXISTE","ERROR: CECO no existe en el catálogo",IF(C1316="","ERROR: falta CUENTA",IF(ISERROR(--C1316),"ERROR: CUENTA debe tener solo dígitos",IF(ISERROR(FIND(LEFT(C1316,1),"567")),"ERROR: CUENTA fuera de las clases de costo",IF(NOT(ISNUMBER(E1316)),"ERROR: VALOR debe ser numérico",IF(E1316=0,"AVISO: valor cero (no se carga)",IF(J1316&lt;&gt;"ACTIVO","NO SE CARGA: CECO en estado "&amp;J1316,"OK"))))))))))</f>
        <v/>
      </c>
    </row>
    <row r="1317">
      <c r="A1317" s="5" t="n"/>
      <c r="B1317" s="6" t="n"/>
      <c r="C1317" s="5" t="n"/>
      <c r="D1317" s="6" t="n"/>
      <c r="E1317" s="7" t="n"/>
      <c r="F1317" s="6" t="n"/>
      <c r="G1317" s="8">
        <f>IF(B1317="","",IFERROR(VLOOKUP(--B1317,'CATALOGO CECO'!$A$2:$H$550,2,FALSE),"CECO NO EXISTE"))</f>
        <v/>
      </c>
      <c r="H1317" s="8">
        <f>IF(B1317="","",IFERROR(VLOOKUP(--B1317,'CATALOGO CECO'!$A$2:$H$550,3,FALSE),""))</f>
        <v/>
      </c>
      <c r="I1317" s="8">
        <f>IF(B1317="","",IFERROR(VLOOKUP(--B1317,'CATALOGO CECO'!$A$2:$H$550,5,FALSE),""))</f>
        <v/>
      </c>
      <c r="J1317" s="8">
        <f>IF(B1317="","",IFERROR(VLOOKUP(--B1317,'CATALOGO CECO'!$A$2:$H$550,8,FALSE),""))</f>
        <v/>
      </c>
      <c r="K1317" s="8">
        <f>IF(COUNTA(A1317:F1317)=0,"",IF(OR(LEN(A1317)&lt;&gt;7,MID(A1317,5,1)&lt;&gt;"-",ISERROR(--LEFT(A1317,4)),ISERROR(--RIGHT(A1317,2))),"ERROR: PERIODO debe ser AAAA-MM",IF(B1317="","ERROR: falta CODIGO CECO",IF(G1317="CECO NO EXISTE","ERROR: CECO no existe en el catálogo",IF(C1317="","ERROR: falta CUENTA",IF(ISERROR(--C1317),"ERROR: CUENTA debe tener solo dígitos",IF(ISERROR(FIND(LEFT(C1317,1),"567")),"ERROR: CUENTA fuera de las clases de costo",IF(NOT(ISNUMBER(E1317)),"ERROR: VALOR debe ser numérico",IF(E1317=0,"AVISO: valor cero (no se carga)",IF(J1317&lt;&gt;"ACTIVO","NO SE CARGA: CECO en estado "&amp;J1317,"OK"))))))))))</f>
        <v/>
      </c>
    </row>
    <row r="1318">
      <c r="A1318" s="5" t="n"/>
      <c r="B1318" s="6" t="n"/>
      <c r="C1318" s="5" t="n"/>
      <c r="D1318" s="6" t="n"/>
      <c r="E1318" s="7" t="n"/>
      <c r="F1318" s="6" t="n"/>
      <c r="G1318" s="8">
        <f>IF(B1318="","",IFERROR(VLOOKUP(--B1318,'CATALOGO CECO'!$A$2:$H$550,2,FALSE),"CECO NO EXISTE"))</f>
        <v/>
      </c>
      <c r="H1318" s="8">
        <f>IF(B1318="","",IFERROR(VLOOKUP(--B1318,'CATALOGO CECO'!$A$2:$H$550,3,FALSE),""))</f>
        <v/>
      </c>
      <c r="I1318" s="8">
        <f>IF(B1318="","",IFERROR(VLOOKUP(--B1318,'CATALOGO CECO'!$A$2:$H$550,5,FALSE),""))</f>
        <v/>
      </c>
      <c r="J1318" s="8">
        <f>IF(B1318="","",IFERROR(VLOOKUP(--B1318,'CATALOGO CECO'!$A$2:$H$550,8,FALSE),""))</f>
        <v/>
      </c>
      <c r="K1318" s="8">
        <f>IF(COUNTA(A1318:F1318)=0,"",IF(OR(LEN(A1318)&lt;&gt;7,MID(A1318,5,1)&lt;&gt;"-",ISERROR(--LEFT(A1318,4)),ISERROR(--RIGHT(A1318,2))),"ERROR: PERIODO debe ser AAAA-MM",IF(B1318="","ERROR: falta CODIGO CECO",IF(G1318="CECO NO EXISTE","ERROR: CECO no existe en el catálogo",IF(C1318="","ERROR: falta CUENTA",IF(ISERROR(--C1318),"ERROR: CUENTA debe tener solo dígitos",IF(ISERROR(FIND(LEFT(C1318,1),"567")),"ERROR: CUENTA fuera de las clases de costo",IF(NOT(ISNUMBER(E1318)),"ERROR: VALOR debe ser numérico",IF(E1318=0,"AVISO: valor cero (no se carga)",IF(J1318&lt;&gt;"ACTIVO","NO SE CARGA: CECO en estado "&amp;J1318,"OK"))))))))))</f>
        <v/>
      </c>
    </row>
    <row r="1319">
      <c r="A1319" s="5" t="n"/>
      <c r="B1319" s="6" t="n"/>
      <c r="C1319" s="5" t="n"/>
      <c r="D1319" s="6" t="n"/>
      <c r="E1319" s="7" t="n"/>
      <c r="F1319" s="6" t="n"/>
      <c r="G1319" s="8">
        <f>IF(B1319="","",IFERROR(VLOOKUP(--B1319,'CATALOGO CECO'!$A$2:$H$550,2,FALSE),"CECO NO EXISTE"))</f>
        <v/>
      </c>
      <c r="H1319" s="8">
        <f>IF(B1319="","",IFERROR(VLOOKUP(--B1319,'CATALOGO CECO'!$A$2:$H$550,3,FALSE),""))</f>
        <v/>
      </c>
      <c r="I1319" s="8">
        <f>IF(B1319="","",IFERROR(VLOOKUP(--B1319,'CATALOGO CECO'!$A$2:$H$550,5,FALSE),""))</f>
        <v/>
      </c>
      <c r="J1319" s="8">
        <f>IF(B1319="","",IFERROR(VLOOKUP(--B1319,'CATALOGO CECO'!$A$2:$H$550,8,FALSE),""))</f>
        <v/>
      </c>
      <c r="K1319" s="8">
        <f>IF(COUNTA(A1319:F1319)=0,"",IF(OR(LEN(A1319)&lt;&gt;7,MID(A1319,5,1)&lt;&gt;"-",ISERROR(--LEFT(A1319,4)),ISERROR(--RIGHT(A1319,2))),"ERROR: PERIODO debe ser AAAA-MM",IF(B1319="","ERROR: falta CODIGO CECO",IF(G1319="CECO NO EXISTE","ERROR: CECO no existe en el catálogo",IF(C1319="","ERROR: falta CUENTA",IF(ISERROR(--C1319),"ERROR: CUENTA debe tener solo dígitos",IF(ISERROR(FIND(LEFT(C1319,1),"567")),"ERROR: CUENTA fuera de las clases de costo",IF(NOT(ISNUMBER(E1319)),"ERROR: VALOR debe ser numérico",IF(E1319=0,"AVISO: valor cero (no se carga)",IF(J1319&lt;&gt;"ACTIVO","NO SE CARGA: CECO en estado "&amp;J1319,"OK"))))))))))</f>
        <v/>
      </c>
    </row>
    <row r="1320">
      <c r="A1320" s="5" t="n"/>
      <c r="B1320" s="6" t="n"/>
      <c r="C1320" s="5" t="n"/>
      <c r="D1320" s="6" t="n"/>
      <c r="E1320" s="7" t="n"/>
      <c r="F1320" s="6" t="n"/>
      <c r="G1320" s="8">
        <f>IF(B1320="","",IFERROR(VLOOKUP(--B1320,'CATALOGO CECO'!$A$2:$H$550,2,FALSE),"CECO NO EXISTE"))</f>
        <v/>
      </c>
      <c r="H1320" s="8">
        <f>IF(B1320="","",IFERROR(VLOOKUP(--B1320,'CATALOGO CECO'!$A$2:$H$550,3,FALSE),""))</f>
        <v/>
      </c>
      <c r="I1320" s="8">
        <f>IF(B1320="","",IFERROR(VLOOKUP(--B1320,'CATALOGO CECO'!$A$2:$H$550,5,FALSE),""))</f>
        <v/>
      </c>
      <c r="J1320" s="8">
        <f>IF(B1320="","",IFERROR(VLOOKUP(--B1320,'CATALOGO CECO'!$A$2:$H$550,8,FALSE),""))</f>
        <v/>
      </c>
      <c r="K1320" s="8">
        <f>IF(COUNTA(A1320:F1320)=0,"",IF(OR(LEN(A1320)&lt;&gt;7,MID(A1320,5,1)&lt;&gt;"-",ISERROR(--LEFT(A1320,4)),ISERROR(--RIGHT(A1320,2))),"ERROR: PERIODO debe ser AAAA-MM",IF(B1320="","ERROR: falta CODIGO CECO",IF(G1320="CECO NO EXISTE","ERROR: CECO no existe en el catálogo",IF(C1320="","ERROR: falta CUENTA",IF(ISERROR(--C1320),"ERROR: CUENTA debe tener solo dígitos",IF(ISERROR(FIND(LEFT(C1320,1),"567")),"ERROR: CUENTA fuera de las clases de costo",IF(NOT(ISNUMBER(E1320)),"ERROR: VALOR debe ser numérico",IF(E1320=0,"AVISO: valor cero (no se carga)",IF(J1320&lt;&gt;"ACTIVO","NO SE CARGA: CECO en estado "&amp;J1320,"OK"))))))))))</f>
        <v/>
      </c>
    </row>
    <row r="1321">
      <c r="A1321" s="5" t="n"/>
      <c r="B1321" s="6" t="n"/>
      <c r="C1321" s="5" t="n"/>
      <c r="D1321" s="6" t="n"/>
      <c r="E1321" s="7" t="n"/>
      <c r="F1321" s="6" t="n"/>
      <c r="G1321" s="8">
        <f>IF(B1321="","",IFERROR(VLOOKUP(--B1321,'CATALOGO CECO'!$A$2:$H$550,2,FALSE),"CECO NO EXISTE"))</f>
        <v/>
      </c>
      <c r="H1321" s="8">
        <f>IF(B1321="","",IFERROR(VLOOKUP(--B1321,'CATALOGO CECO'!$A$2:$H$550,3,FALSE),""))</f>
        <v/>
      </c>
      <c r="I1321" s="8">
        <f>IF(B1321="","",IFERROR(VLOOKUP(--B1321,'CATALOGO CECO'!$A$2:$H$550,5,FALSE),""))</f>
        <v/>
      </c>
      <c r="J1321" s="8">
        <f>IF(B1321="","",IFERROR(VLOOKUP(--B1321,'CATALOGO CECO'!$A$2:$H$550,8,FALSE),""))</f>
        <v/>
      </c>
      <c r="K1321" s="8">
        <f>IF(COUNTA(A1321:F1321)=0,"",IF(OR(LEN(A1321)&lt;&gt;7,MID(A1321,5,1)&lt;&gt;"-",ISERROR(--LEFT(A1321,4)),ISERROR(--RIGHT(A1321,2))),"ERROR: PERIODO debe ser AAAA-MM",IF(B1321="","ERROR: falta CODIGO CECO",IF(G1321="CECO NO EXISTE","ERROR: CECO no existe en el catálogo",IF(C1321="","ERROR: falta CUENTA",IF(ISERROR(--C1321),"ERROR: CUENTA debe tener solo dígitos",IF(ISERROR(FIND(LEFT(C1321,1),"567")),"ERROR: CUENTA fuera de las clases de costo",IF(NOT(ISNUMBER(E1321)),"ERROR: VALOR debe ser numérico",IF(E1321=0,"AVISO: valor cero (no se carga)",IF(J1321&lt;&gt;"ACTIVO","NO SE CARGA: CECO en estado "&amp;J1321,"OK"))))))))))</f>
        <v/>
      </c>
    </row>
    <row r="1322">
      <c r="A1322" s="5" t="n"/>
      <c r="B1322" s="6" t="n"/>
      <c r="C1322" s="5" t="n"/>
      <c r="D1322" s="6" t="n"/>
      <c r="E1322" s="7" t="n"/>
      <c r="F1322" s="6" t="n"/>
      <c r="G1322" s="8">
        <f>IF(B1322="","",IFERROR(VLOOKUP(--B1322,'CATALOGO CECO'!$A$2:$H$550,2,FALSE),"CECO NO EXISTE"))</f>
        <v/>
      </c>
      <c r="H1322" s="8">
        <f>IF(B1322="","",IFERROR(VLOOKUP(--B1322,'CATALOGO CECO'!$A$2:$H$550,3,FALSE),""))</f>
        <v/>
      </c>
      <c r="I1322" s="8">
        <f>IF(B1322="","",IFERROR(VLOOKUP(--B1322,'CATALOGO CECO'!$A$2:$H$550,5,FALSE),""))</f>
        <v/>
      </c>
      <c r="J1322" s="8">
        <f>IF(B1322="","",IFERROR(VLOOKUP(--B1322,'CATALOGO CECO'!$A$2:$H$550,8,FALSE),""))</f>
        <v/>
      </c>
      <c r="K1322" s="8">
        <f>IF(COUNTA(A1322:F1322)=0,"",IF(OR(LEN(A1322)&lt;&gt;7,MID(A1322,5,1)&lt;&gt;"-",ISERROR(--LEFT(A1322,4)),ISERROR(--RIGHT(A1322,2))),"ERROR: PERIODO debe ser AAAA-MM",IF(B1322="","ERROR: falta CODIGO CECO",IF(G1322="CECO NO EXISTE","ERROR: CECO no existe en el catálogo",IF(C1322="","ERROR: falta CUENTA",IF(ISERROR(--C1322),"ERROR: CUENTA debe tener solo dígitos",IF(ISERROR(FIND(LEFT(C1322,1),"567")),"ERROR: CUENTA fuera de las clases de costo",IF(NOT(ISNUMBER(E1322)),"ERROR: VALOR debe ser numérico",IF(E1322=0,"AVISO: valor cero (no se carga)",IF(J1322&lt;&gt;"ACTIVO","NO SE CARGA: CECO en estado "&amp;J1322,"OK"))))))))))</f>
        <v/>
      </c>
    </row>
    <row r="1323">
      <c r="A1323" s="5" t="n"/>
      <c r="B1323" s="6" t="n"/>
      <c r="C1323" s="5" t="n"/>
      <c r="D1323" s="6" t="n"/>
      <c r="E1323" s="7" t="n"/>
      <c r="F1323" s="6" t="n"/>
      <c r="G1323" s="8">
        <f>IF(B1323="","",IFERROR(VLOOKUP(--B1323,'CATALOGO CECO'!$A$2:$H$550,2,FALSE),"CECO NO EXISTE"))</f>
        <v/>
      </c>
      <c r="H1323" s="8">
        <f>IF(B1323="","",IFERROR(VLOOKUP(--B1323,'CATALOGO CECO'!$A$2:$H$550,3,FALSE),""))</f>
        <v/>
      </c>
      <c r="I1323" s="8">
        <f>IF(B1323="","",IFERROR(VLOOKUP(--B1323,'CATALOGO CECO'!$A$2:$H$550,5,FALSE),""))</f>
        <v/>
      </c>
      <c r="J1323" s="8">
        <f>IF(B1323="","",IFERROR(VLOOKUP(--B1323,'CATALOGO CECO'!$A$2:$H$550,8,FALSE),""))</f>
        <v/>
      </c>
      <c r="K1323" s="8">
        <f>IF(COUNTA(A1323:F1323)=0,"",IF(OR(LEN(A1323)&lt;&gt;7,MID(A1323,5,1)&lt;&gt;"-",ISERROR(--LEFT(A1323,4)),ISERROR(--RIGHT(A1323,2))),"ERROR: PERIODO debe ser AAAA-MM",IF(B1323="","ERROR: falta CODIGO CECO",IF(G1323="CECO NO EXISTE","ERROR: CECO no existe en el catálogo",IF(C1323="","ERROR: falta CUENTA",IF(ISERROR(--C1323),"ERROR: CUENTA debe tener solo dígitos",IF(ISERROR(FIND(LEFT(C1323,1),"567")),"ERROR: CUENTA fuera de las clases de costo",IF(NOT(ISNUMBER(E1323)),"ERROR: VALOR debe ser numérico",IF(E1323=0,"AVISO: valor cero (no se carga)",IF(J1323&lt;&gt;"ACTIVO","NO SE CARGA: CECO en estado "&amp;J1323,"OK"))))))))))</f>
        <v/>
      </c>
    </row>
    <row r="1324">
      <c r="A1324" s="5" t="n"/>
      <c r="B1324" s="6" t="n"/>
      <c r="C1324" s="5" t="n"/>
      <c r="D1324" s="6" t="n"/>
      <c r="E1324" s="7" t="n"/>
      <c r="F1324" s="6" t="n"/>
      <c r="G1324" s="8">
        <f>IF(B1324="","",IFERROR(VLOOKUP(--B1324,'CATALOGO CECO'!$A$2:$H$550,2,FALSE),"CECO NO EXISTE"))</f>
        <v/>
      </c>
      <c r="H1324" s="8">
        <f>IF(B1324="","",IFERROR(VLOOKUP(--B1324,'CATALOGO CECO'!$A$2:$H$550,3,FALSE),""))</f>
        <v/>
      </c>
      <c r="I1324" s="8">
        <f>IF(B1324="","",IFERROR(VLOOKUP(--B1324,'CATALOGO CECO'!$A$2:$H$550,5,FALSE),""))</f>
        <v/>
      </c>
      <c r="J1324" s="8">
        <f>IF(B1324="","",IFERROR(VLOOKUP(--B1324,'CATALOGO CECO'!$A$2:$H$550,8,FALSE),""))</f>
        <v/>
      </c>
      <c r="K1324" s="8">
        <f>IF(COUNTA(A1324:F1324)=0,"",IF(OR(LEN(A1324)&lt;&gt;7,MID(A1324,5,1)&lt;&gt;"-",ISERROR(--LEFT(A1324,4)),ISERROR(--RIGHT(A1324,2))),"ERROR: PERIODO debe ser AAAA-MM",IF(B1324="","ERROR: falta CODIGO CECO",IF(G1324="CECO NO EXISTE","ERROR: CECO no existe en el catálogo",IF(C1324="","ERROR: falta CUENTA",IF(ISERROR(--C1324),"ERROR: CUENTA debe tener solo dígitos",IF(ISERROR(FIND(LEFT(C1324,1),"567")),"ERROR: CUENTA fuera de las clases de costo",IF(NOT(ISNUMBER(E1324)),"ERROR: VALOR debe ser numérico",IF(E1324=0,"AVISO: valor cero (no se carga)",IF(J1324&lt;&gt;"ACTIVO","NO SE CARGA: CECO en estado "&amp;J1324,"OK"))))))))))</f>
        <v/>
      </c>
    </row>
    <row r="1325">
      <c r="A1325" s="5" t="n"/>
      <c r="B1325" s="6" t="n"/>
      <c r="C1325" s="5" t="n"/>
      <c r="D1325" s="6" t="n"/>
      <c r="E1325" s="7" t="n"/>
      <c r="F1325" s="6" t="n"/>
      <c r="G1325" s="8">
        <f>IF(B1325="","",IFERROR(VLOOKUP(--B1325,'CATALOGO CECO'!$A$2:$H$550,2,FALSE),"CECO NO EXISTE"))</f>
        <v/>
      </c>
      <c r="H1325" s="8">
        <f>IF(B1325="","",IFERROR(VLOOKUP(--B1325,'CATALOGO CECO'!$A$2:$H$550,3,FALSE),""))</f>
        <v/>
      </c>
      <c r="I1325" s="8">
        <f>IF(B1325="","",IFERROR(VLOOKUP(--B1325,'CATALOGO CECO'!$A$2:$H$550,5,FALSE),""))</f>
        <v/>
      </c>
      <c r="J1325" s="8">
        <f>IF(B1325="","",IFERROR(VLOOKUP(--B1325,'CATALOGO CECO'!$A$2:$H$550,8,FALSE),""))</f>
        <v/>
      </c>
      <c r="K1325" s="8">
        <f>IF(COUNTA(A1325:F1325)=0,"",IF(OR(LEN(A1325)&lt;&gt;7,MID(A1325,5,1)&lt;&gt;"-",ISERROR(--LEFT(A1325,4)),ISERROR(--RIGHT(A1325,2))),"ERROR: PERIODO debe ser AAAA-MM",IF(B1325="","ERROR: falta CODIGO CECO",IF(G1325="CECO NO EXISTE","ERROR: CECO no existe en el catálogo",IF(C1325="","ERROR: falta CUENTA",IF(ISERROR(--C1325),"ERROR: CUENTA debe tener solo dígitos",IF(ISERROR(FIND(LEFT(C1325,1),"567")),"ERROR: CUENTA fuera de las clases de costo",IF(NOT(ISNUMBER(E1325)),"ERROR: VALOR debe ser numérico",IF(E1325=0,"AVISO: valor cero (no se carga)",IF(J1325&lt;&gt;"ACTIVO","NO SE CARGA: CECO en estado "&amp;J1325,"OK"))))))))))</f>
        <v/>
      </c>
    </row>
    <row r="1326">
      <c r="A1326" s="5" t="n"/>
      <c r="B1326" s="6" t="n"/>
      <c r="C1326" s="5" t="n"/>
      <c r="D1326" s="6" t="n"/>
      <c r="E1326" s="7" t="n"/>
      <c r="F1326" s="6" t="n"/>
      <c r="G1326" s="8">
        <f>IF(B1326="","",IFERROR(VLOOKUP(--B1326,'CATALOGO CECO'!$A$2:$H$550,2,FALSE),"CECO NO EXISTE"))</f>
        <v/>
      </c>
      <c r="H1326" s="8">
        <f>IF(B1326="","",IFERROR(VLOOKUP(--B1326,'CATALOGO CECO'!$A$2:$H$550,3,FALSE),""))</f>
        <v/>
      </c>
      <c r="I1326" s="8">
        <f>IF(B1326="","",IFERROR(VLOOKUP(--B1326,'CATALOGO CECO'!$A$2:$H$550,5,FALSE),""))</f>
        <v/>
      </c>
      <c r="J1326" s="8">
        <f>IF(B1326="","",IFERROR(VLOOKUP(--B1326,'CATALOGO CECO'!$A$2:$H$550,8,FALSE),""))</f>
        <v/>
      </c>
      <c r="K1326" s="8">
        <f>IF(COUNTA(A1326:F1326)=0,"",IF(OR(LEN(A1326)&lt;&gt;7,MID(A1326,5,1)&lt;&gt;"-",ISERROR(--LEFT(A1326,4)),ISERROR(--RIGHT(A1326,2))),"ERROR: PERIODO debe ser AAAA-MM",IF(B1326="","ERROR: falta CODIGO CECO",IF(G1326="CECO NO EXISTE","ERROR: CECO no existe en el catálogo",IF(C1326="","ERROR: falta CUENTA",IF(ISERROR(--C1326),"ERROR: CUENTA debe tener solo dígitos",IF(ISERROR(FIND(LEFT(C1326,1),"567")),"ERROR: CUENTA fuera de las clases de costo",IF(NOT(ISNUMBER(E1326)),"ERROR: VALOR debe ser numérico",IF(E1326=0,"AVISO: valor cero (no se carga)",IF(J1326&lt;&gt;"ACTIVO","NO SE CARGA: CECO en estado "&amp;J1326,"OK"))))))))))</f>
        <v/>
      </c>
    </row>
    <row r="1327">
      <c r="A1327" s="5" t="n"/>
      <c r="B1327" s="6" t="n"/>
      <c r="C1327" s="5" t="n"/>
      <c r="D1327" s="6" t="n"/>
      <c r="E1327" s="7" t="n"/>
      <c r="F1327" s="6" t="n"/>
      <c r="G1327" s="8">
        <f>IF(B1327="","",IFERROR(VLOOKUP(--B1327,'CATALOGO CECO'!$A$2:$H$550,2,FALSE),"CECO NO EXISTE"))</f>
        <v/>
      </c>
      <c r="H1327" s="8">
        <f>IF(B1327="","",IFERROR(VLOOKUP(--B1327,'CATALOGO CECO'!$A$2:$H$550,3,FALSE),""))</f>
        <v/>
      </c>
      <c r="I1327" s="8">
        <f>IF(B1327="","",IFERROR(VLOOKUP(--B1327,'CATALOGO CECO'!$A$2:$H$550,5,FALSE),""))</f>
        <v/>
      </c>
      <c r="J1327" s="8">
        <f>IF(B1327="","",IFERROR(VLOOKUP(--B1327,'CATALOGO CECO'!$A$2:$H$550,8,FALSE),""))</f>
        <v/>
      </c>
      <c r="K1327" s="8">
        <f>IF(COUNTA(A1327:F1327)=0,"",IF(OR(LEN(A1327)&lt;&gt;7,MID(A1327,5,1)&lt;&gt;"-",ISERROR(--LEFT(A1327,4)),ISERROR(--RIGHT(A1327,2))),"ERROR: PERIODO debe ser AAAA-MM",IF(B1327="","ERROR: falta CODIGO CECO",IF(G1327="CECO NO EXISTE","ERROR: CECO no existe en el catálogo",IF(C1327="","ERROR: falta CUENTA",IF(ISERROR(--C1327),"ERROR: CUENTA debe tener solo dígitos",IF(ISERROR(FIND(LEFT(C1327,1),"567")),"ERROR: CUENTA fuera de las clases de costo",IF(NOT(ISNUMBER(E1327)),"ERROR: VALOR debe ser numérico",IF(E1327=0,"AVISO: valor cero (no se carga)",IF(J1327&lt;&gt;"ACTIVO","NO SE CARGA: CECO en estado "&amp;J1327,"OK"))))))))))</f>
        <v/>
      </c>
    </row>
    <row r="1328">
      <c r="A1328" s="5" t="n"/>
      <c r="B1328" s="6" t="n"/>
      <c r="C1328" s="5" t="n"/>
      <c r="D1328" s="6" t="n"/>
      <c r="E1328" s="7" t="n"/>
      <c r="F1328" s="6" t="n"/>
      <c r="G1328" s="8">
        <f>IF(B1328="","",IFERROR(VLOOKUP(--B1328,'CATALOGO CECO'!$A$2:$H$550,2,FALSE),"CECO NO EXISTE"))</f>
        <v/>
      </c>
      <c r="H1328" s="8">
        <f>IF(B1328="","",IFERROR(VLOOKUP(--B1328,'CATALOGO CECO'!$A$2:$H$550,3,FALSE),""))</f>
        <v/>
      </c>
      <c r="I1328" s="8">
        <f>IF(B1328="","",IFERROR(VLOOKUP(--B1328,'CATALOGO CECO'!$A$2:$H$550,5,FALSE),""))</f>
        <v/>
      </c>
      <c r="J1328" s="8">
        <f>IF(B1328="","",IFERROR(VLOOKUP(--B1328,'CATALOGO CECO'!$A$2:$H$550,8,FALSE),""))</f>
        <v/>
      </c>
      <c r="K1328" s="8">
        <f>IF(COUNTA(A1328:F1328)=0,"",IF(OR(LEN(A1328)&lt;&gt;7,MID(A1328,5,1)&lt;&gt;"-",ISERROR(--LEFT(A1328,4)),ISERROR(--RIGHT(A1328,2))),"ERROR: PERIODO debe ser AAAA-MM",IF(B1328="","ERROR: falta CODIGO CECO",IF(G1328="CECO NO EXISTE","ERROR: CECO no existe en el catálogo",IF(C1328="","ERROR: falta CUENTA",IF(ISERROR(--C1328),"ERROR: CUENTA debe tener solo dígitos",IF(ISERROR(FIND(LEFT(C1328,1),"567")),"ERROR: CUENTA fuera de las clases de costo",IF(NOT(ISNUMBER(E1328)),"ERROR: VALOR debe ser numérico",IF(E1328=0,"AVISO: valor cero (no se carga)",IF(J1328&lt;&gt;"ACTIVO","NO SE CARGA: CECO en estado "&amp;J1328,"OK"))))))))))</f>
        <v/>
      </c>
    </row>
    <row r="1329">
      <c r="A1329" s="5" t="n"/>
      <c r="B1329" s="6" t="n"/>
      <c r="C1329" s="5" t="n"/>
      <c r="D1329" s="6" t="n"/>
      <c r="E1329" s="7" t="n"/>
      <c r="F1329" s="6" t="n"/>
      <c r="G1329" s="8">
        <f>IF(B1329="","",IFERROR(VLOOKUP(--B1329,'CATALOGO CECO'!$A$2:$H$550,2,FALSE),"CECO NO EXISTE"))</f>
        <v/>
      </c>
      <c r="H1329" s="8">
        <f>IF(B1329="","",IFERROR(VLOOKUP(--B1329,'CATALOGO CECO'!$A$2:$H$550,3,FALSE),""))</f>
        <v/>
      </c>
      <c r="I1329" s="8">
        <f>IF(B1329="","",IFERROR(VLOOKUP(--B1329,'CATALOGO CECO'!$A$2:$H$550,5,FALSE),""))</f>
        <v/>
      </c>
      <c r="J1329" s="8">
        <f>IF(B1329="","",IFERROR(VLOOKUP(--B1329,'CATALOGO CECO'!$A$2:$H$550,8,FALSE),""))</f>
        <v/>
      </c>
      <c r="K1329" s="8">
        <f>IF(COUNTA(A1329:F1329)=0,"",IF(OR(LEN(A1329)&lt;&gt;7,MID(A1329,5,1)&lt;&gt;"-",ISERROR(--LEFT(A1329,4)),ISERROR(--RIGHT(A1329,2))),"ERROR: PERIODO debe ser AAAA-MM",IF(B1329="","ERROR: falta CODIGO CECO",IF(G1329="CECO NO EXISTE","ERROR: CECO no existe en el catálogo",IF(C1329="","ERROR: falta CUENTA",IF(ISERROR(--C1329),"ERROR: CUENTA debe tener solo dígitos",IF(ISERROR(FIND(LEFT(C1329,1),"567")),"ERROR: CUENTA fuera de las clases de costo",IF(NOT(ISNUMBER(E1329)),"ERROR: VALOR debe ser numérico",IF(E1329=0,"AVISO: valor cero (no se carga)",IF(J1329&lt;&gt;"ACTIVO","NO SE CARGA: CECO en estado "&amp;J1329,"OK"))))))))))</f>
        <v/>
      </c>
    </row>
    <row r="1330">
      <c r="A1330" s="5" t="n"/>
      <c r="B1330" s="6" t="n"/>
      <c r="C1330" s="5" t="n"/>
      <c r="D1330" s="6" t="n"/>
      <c r="E1330" s="7" t="n"/>
      <c r="F1330" s="6" t="n"/>
      <c r="G1330" s="8">
        <f>IF(B1330="","",IFERROR(VLOOKUP(--B1330,'CATALOGO CECO'!$A$2:$H$550,2,FALSE),"CECO NO EXISTE"))</f>
        <v/>
      </c>
      <c r="H1330" s="8">
        <f>IF(B1330="","",IFERROR(VLOOKUP(--B1330,'CATALOGO CECO'!$A$2:$H$550,3,FALSE),""))</f>
        <v/>
      </c>
      <c r="I1330" s="8">
        <f>IF(B1330="","",IFERROR(VLOOKUP(--B1330,'CATALOGO CECO'!$A$2:$H$550,5,FALSE),""))</f>
        <v/>
      </c>
      <c r="J1330" s="8">
        <f>IF(B1330="","",IFERROR(VLOOKUP(--B1330,'CATALOGO CECO'!$A$2:$H$550,8,FALSE),""))</f>
        <v/>
      </c>
      <c r="K1330" s="8">
        <f>IF(COUNTA(A1330:F1330)=0,"",IF(OR(LEN(A1330)&lt;&gt;7,MID(A1330,5,1)&lt;&gt;"-",ISERROR(--LEFT(A1330,4)),ISERROR(--RIGHT(A1330,2))),"ERROR: PERIODO debe ser AAAA-MM",IF(B1330="","ERROR: falta CODIGO CECO",IF(G1330="CECO NO EXISTE","ERROR: CECO no existe en el catálogo",IF(C1330="","ERROR: falta CUENTA",IF(ISERROR(--C1330),"ERROR: CUENTA debe tener solo dígitos",IF(ISERROR(FIND(LEFT(C1330,1),"567")),"ERROR: CUENTA fuera de las clases de costo",IF(NOT(ISNUMBER(E1330)),"ERROR: VALOR debe ser numérico",IF(E1330=0,"AVISO: valor cero (no se carga)",IF(J1330&lt;&gt;"ACTIVO","NO SE CARGA: CECO en estado "&amp;J1330,"OK"))))))))))</f>
        <v/>
      </c>
    </row>
    <row r="1331">
      <c r="A1331" s="5" t="n"/>
      <c r="B1331" s="6" t="n"/>
      <c r="C1331" s="5" t="n"/>
      <c r="D1331" s="6" t="n"/>
      <c r="E1331" s="7" t="n"/>
      <c r="F1331" s="6" t="n"/>
      <c r="G1331" s="8">
        <f>IF(B1331="","",IFERROR(VLOOKUP(--B1331,'CATALOGO CECO'!$A$2:$H$550,2,FALSE),"CECO NO EXISTE"))</f>
        <v/>
      </c>
      <c r="H1331" s="8">
        <f>IF(B1331="","",IFERROR(VLOOKUP(--B1331,'CATALOGO CECO'!$A$2:$H$550,3,FALSE),""))</f>
        <v/>
      </c>
      <c r="I1331" s="8">
        <f>IF(B1331="","",IFERROR(VLOOKUP(--B1331,'CATALOGO CECO'!$A$2:$H$550,5,FALSE),""))</f>
        <v/>
      </c>
      <c r="J1331" s="8">
        <f>IF(B1331="","",IFERROR(VLOOKUP(--B1331,'CATALOGO CECO'!$A$2:$H$550,8,FALSE),""))</f>
        <v/>
      </c>
      <c r="K1331" s="8">
        <f>IF(COUNTA(A1331:F1331)=0,"",IF(OR(LEN(A1331)&lt;&gt;7,MID(A1331,5,1)&lt;&gt;"-",ISERROR(--LEFT(A1331,4)),ISERROR(--RIGHT(A1331,2))),"ERROR: PERIODO debe ser AAAA-MM",IF(B1331="","ERROR: falta CODIGO CECO",IF(G1331="CECO NO EXISTE","ERROR: CECO no existe en el catálogo",IF(C1331="","ERROR: falta CUENTA",IF(ISERROR(--C1331),"ERROR: CUENTA debe tener solo dígitos",IF(ISERROR(FIND(LEFT(C1331,1),"567")),"ERROR: CUENTA fuera de las clases de costo",IF(NOT(ISNUMBER(E1331)),"ERROR: VALOR debe ser numérico",IF(E1331=0,"AVISO: valor cero (no se carga)",IF(J1331&lt;&gt;"ACTIVO","NO SE CARGA: CECO en estado "&amp;J1331,"OK"))))))))))</f>
        <v/>
      </c>
    </row>
    <row r="1332">
      <c r="A1332" s="5" t="n"/>
      <c r="B1332" s="6" t="n"/>
      <c r="C1332" s="5" t="n"/>
      <c r="D1332" s="6" t="n"/>
      <c r="E1332" s="7" t="n"/>
      <c r="F1332" s="6" t="n"/>
      <c r="G1332" s="8">
        <f>IF(B1332="","",IFERROR(VLOOKUP(--B1332,'CATALOGO CECO'!$A$2:$H$550,2,FALSE),"CECO NO EXISTE"))</f>
        <v/>
      </c>
      <c r="H1332" s="8">
        <f>IF(B1332="","",IFERROR(VLOOKUP(--B1332,'CATALOGO CECO'!$A$2:$H$550,3,FALSE),""))</f>
        <v/>
      </c>
      <c r="I1332" s="8">
        <f>IF(B1332="","",IFERROR(VLOOKUP(--B1332,'CATALOGO CECO'!$A$2:$H$550,5,FALSE),""))</f>
        <v/>
      </c>
      <c r="J1332" s="8">
        <f>IF(B1332="","",IFERROR(VLOOKUP(--B1332,'CATALOGO CECO'!$A$2:$H$550,8,FALSE),""))</f>
        <v/>
      </c>
      <c r="K1332" s="8">
        <f>IF(COUNTA(A1332:F1332)=0,"",IF(OR(LEN(A1332)&lt;&gt;7,MID(A1332,5,1)&lt;&gt;"-",ISERROR(--LEFT(A1332,4)),ISERROR(--RIGHT(A1332,2))),"ERROR: PERIODO debe ser AAAA-MM",IF(B1332="","ERROR: falta CODIGO CECO",IF(G1332="CECO NO EXISTE","ERROR: CECO no existe en el catálogo",IF(C1332="","ERROR: falta CUENTA",IF(ISERROR(--C1332),"ERROR: CUENTA debe tener solo dígitos",IF(ISERROR(FIND(LEFT(C1332,1),"567")),"ERROR: CUENTA fuera de las clases de costo",IF(NOT(ISNUMBER(E1332)),"ERROR: VALOR debe ser numérico",IF(E1332=0,"AVISO: valor cero (no se carga)",IF(J1332&lt;&gt;"ACTIVO","NO SE CARGA: CECO en estado "&amp;J1332,"OK"))))))))))</f>
        <v/>
      </c>
    </row>
    <row r="1333">
      <c r="A1333" s="5" t="n"/>
      <c r="B1333" s="6" t="n"/>
      <c r="C1333" s="5" t="n"/>
      <c r="D1333" s="6" t="n"/>
      <c r="E1333" s="7" t="n"/>
      <c r="F1333" s="6" t="n"/>
      <c r="G1333" s="8">
        <f>IF(B1333="","",IFERROR(VLOOKUP(--B1333,'CATALOGO CECO'!$A$2:$H$550,2,FALSE),"CECO NO EXISTE"))</f>
        <v/>
      </c>
      <c r="H1333" s="8">
        <f>IF(B1333="","",IFERROR(VLOOKUP(--B1333,'CATALOGO CECO'!$A$2:$H$550,3,FALSE),""))</f>
        <v/>
      </c>
      <c r="I1333" s="8">
        <f>IF(B1333="","",IFERROR(VLOOKUP(--B1333,'CATALOGO CECO'!$A$2:$H$550,5,FALSE),""))</f>
        <v/>
      </c>
      <c r="J1333" s="8">
        <f>IF(B1333="","",IFERROR(VLOOKUP(--B1333,'CATALOGO CECO'!$A$2:$H$550,8,FALSE),""))</f>
        <v/>
      </c>
      <c r="K1333" s="8">
        <f>IF(COUNTA(A1333:F1333)=0,"",IF(OR(LEN(A1333)&lt;&gt;7,MID(A1333,5,1)&lt;&gt;"-",ISERROR(--LEFT(A1333,4)),ISERROR(--RIGHT(A1333,2))),"ERROR: PERIODO debe ser AAAA-MM",IF(B1333="","ERROR: falta CODIGO CECO",IF(G1333="CECO NO EXISTE","ERROR: CECO no existe en el catálogo",IF(C1333="","ERROR: falta CUENTA",IF(ISERROR(--C1333),"ERROR: CUENTA debe tener solo dígitos",IF(ISERROR(FIND(LEFT(C1333,1),"567")),"ERROR: CUENTA fuera de las clases de costo",IF(NOT(ISNUMBER(E1333)),"ERROR: VALOR debe ser numérico",IF(E1333=0,"AVISO: valor cero (no se carga)",IF(J1333&lt;&gt;"ACTIVO","NO SE CARGA: CECO en estado "&amp;J1333,"OK"))))))))))</f>
        <v/>
      </c>
    </row>
    <row r="1334">
      <c r="A1334" s="5" t="n"/>
      <c r="B1334" s="6" t="n"/>
      <c r="C1334" s="5" t="n"/>
      <c r="D1334" s="6" t="n"/>
      <c r="E1334" s="7" t="n"/>
      <c r="F1334" s="6" t="n"/>
      <c r="G1334" s="8">
        <f>IF(B1334="","",IFERROR(VLOOKUP(--B1334,'CATALOGO CECO'!$A$2:$H$550,2,FALSE),"CECO NO EXISTE"))</f>
        <v/>
      </c>
      <c r="H1334" s="8">
        <f>IF(B1334="","",IFERROR(VLOOKUP(--B1334,'CATALOGO CECO'!$A$2:$H$550,3,FALSE),""))</f>
        <v/>
      </c>
      <c r="I1334" s="8">
        <f>IF(B1334="","",IFERROR(VLOOKUP(--B1334,'CATALOGO CECO'!$A$2:$H$550,5,FALSE),""))</f>
        <v/>
      </c>
      <c r="J1334" s="8">
        <f>IF(B1334="","",IFERROR(VLOOKUP(--B1334,'CATALOGO CECO'!$A$2:$H$550,8,FALSE),""))</f>
        <v/>
      </c>
      <c r="K1334" s="8">
        <f>IF(COUNTA(A1334:F1334)=0,"",IF(OR(LEN(A1334)&lt;&gt;7,MID(A1334,5,1)&lt;&gt;"-",ISERROR(--LEFT(A1334,4)),ISERROR(--RIGHT(A1334,2))),"ERROR: PERIODO debe ser AAAA-MM",IF(B1334="","ERROR: falta CODIGO CECO",IF(G1334="CECO NO EXISTE","ERROR: CECO no existe en el catálogo",IF(C1334="","ERROR: falta CUENTA",IF(ISERROR(--C1334),"ERROR: CUENTA debe tener solo dígitos",IF(ISERROR(FIND(LEFT(C1334,1),"567")),"ERROR: CUENTA fuera de las clases de costo",IF(NOT(ISNUMBER(E1334)),"ERROR: VALOR debe ser numérico",IF(E1334=0,"AVISO: valor cero (no se carga)",IF(J1334&lt;&gt;"ACTIVO","NO SE CARGA: CECO en estado "&amp;J1334,"OK"))))))))))</f>
        <v/>
      </c>
    </row>
    <row r="1335">
      <c r="A1335" s="5" t="n"/>
      <c r="B1335" s="6" t="n"/>
      <c r="C1335" s="5" t="n"/>
      <c r="D1335" s="6" t="n"/>
      <c r="E1335" s="7" t="n"/>
      <c r="F1335" s="6" t="n"/>
      <c r="G1335" s="8">
        <f>IF(B1335="","",IFERROR(VLOOKUP(--B1335,'CATALOGO CECO'!$A$2:$H$550,2,FALSE),"CECO NO EXISTE"))</f>
        <v/>
      </c>
      <c r="H1335" s="8">
        <f>IF(B1335="","",IFERROR(VLOOKUP(--B1335,'CATALOGO CECO'!$A$2:$H$550,3,FALSE),""))</f>
        <v/>
      </c>
      <c r="I1335" s="8">
        <f>IF(B1335="","",IFERROR(VLOOKUP(--B1335,'CATALOGO CECO'!$A$2:$H$550,5,FALSE),""))</f>
        <v/>
      </c>
      <c r="J1335" s="8">
        <f>IF(B1335="","",IFERROR(VLOOKUP(--B1335,'CATALOGO CECO'!$A$2:$H$550,8,FALSE),""))</f>
        <v/>
      </c>
      <c r="K1335" s="8">
        <f>IF(COUNTA(A1335:F1335)=0,"",IF(OR(LEN(A1335)&lt;&gt;7,MID(A1335,5,1)&lt;&gt;"-",ISERROR(--LEFT(A1335,4)),ISERROR(--RIGHT(A1335,2))),"ERROR: PERIODO debe ser AAAA-MM",IF(B1335="","ERROR: falta CODIGO CECO",IF(G1335="CECO NO EXISTE","ERROR: CECO no existe en el catálogo",IF(C1335="","ERROR: falta CUENTA",IF(ISERROR(--C1335),"ERROR: CUENTA debe tener solo dígitos",IF(ISERROR(FIND(LEFT(C1335,1),"567")),"ERROR: CUENTA fuera de las clases de costo",IF(NOT(ISNUMBER(E1335)),"ERROR: VALOR debe ser numérico",IF(E1335=0,"AVISO: valor cero (no se carga)",IF(J1335&lt;&gt;"ACTIVO","NO SE CARGA: CECO en estado "&amp;J1335,"OK"))))))))))</f>
        <v/>
      </c>
    </row>
    <row r="1336">
      <c r="A1336" s="5" t="n"/>
      <c r="B1336" s="6" t="n"/>
      <c r="C1336" s="5" t="n"/>
      <c r="D1336" s="6" t="n"/>
      <c r="E1336" s="7" t="n"/>
      <c r="F1336" s="6" t="n"/>
      <c r="G1336" s="8">
        <f>IF(B1336="","",IFERROR(VLOOKUP(--B1336,'CATALOGO CECO'!$A$2:$H$550,2,FALSE),"CECO NO EXISTE"))</f>
        <v/>
      </c>
      <c r="H1336" s="8">
        <f>IF(B1336="","",IFERROR(VLOOKUP(--B1336,'CATALOGO CECO'!$A$2:$H$550,3,FALSE),""))</f>
        <v/>
      </c>
      <c r="I1336" s="8">
        <f>IF(B1336="","",IFERROR(VLOOKUP(--B1336,'CATALOGO CECO'!$A$2:$H$550,5,FALSE),""))</f>
        <v/>
      </c>
      <c r="J1336" s="8">
        <f>IF(B1336="","",IFERROR(VLOOKUP(--B1336,'CATALOGO CECO'!$A$2:$H$550,8,FALSE),""))</f>
        <v/>
      </c>
      <c r="K1336" s="8">
        <f>IF(COUNTA(A1336:F1336)=0,"",IF(OR(LEN(A1336)&lt;&gt;7,MID(A1336,5,1)&lt;&gt;"-",ISERROR(--LEFT(A1336,4)),ISERROR(--RIGHT(A1336,2))),"ERROR: PERIODO debe ser AAAA-MM",IF(B1336="","ERROR: falta CODIGO CECO",IF(G1336="CECO NO EXISTE","ERROR: CECO no existe en el catálogo",IF(C1336="","ERROR: falta CUENTA",IF(ISERROR(--C1336),"ERROR: CUENTA debe tener solo dígitos",IF(ISERROR(FIND(LEFT(C1336,1),"567")),"ERROR: CUENTA fuera de las clases de costo",IF(NOT(ISNUMBER(E1336)),"ERROR: VALOR debe ser numérico",IF(E1336=0,"AVISO: valor cero (no se carga)",IF(J1336&lt;&gt;"ACTIVO","NO SE CARGA: CECO en estado "&amp;J1336,"OK"))))))))))</f>
        <v/>
      </c>
    </row>
    <row r="1337">
      <c r="A1337" s="5" t="n"/>
      <c r="B1337" s="6" t="n"/>
      <c r="C1337" s="5" t="n"/>
      <c r="D1337" s="6" t="n"/>
      <c r="E1337" s="7" t="n"/>
      <c r="F1337" s="6" t="n"/>
      <c r="G1337" s="8">
        <f>IF(B1337="","",IFERROR(VLOOKUP(--B1337,'CATALOGO CECO'!$A$2:$H$550,2,FALSE),"CECO NO EXISTE"))</f>
        <v/>
      </c>
      <c r="H1337" s="8">
        <f>IF(B1337="","",IFERROR(VLOOKUP(--B1337,'CATALOGO CECO'!$A$2:$H$550,3,FALSE),""))</f>
        <v/>
      </c>
      <c r="I1337" s="8">
        <f>IF(B1337="","",IFERROR(VLOOKUP(--B1337,'CATALOGO CECO'!$A$2:$H$550,5,FALSE),""))</f>
        <v/>
      </c>
      <c r="J1337" s="8">
        <f>IF(B1337="","",IFERROR(VLOOKUP(--B1337,'CATALOGO CECO'!$A$2:$H$550,8,FALSE),""))</f>
        <v/>
      </c>
      <c r="K1337" s="8">
        <f>IF(COUNTA(A1337:F1337)=0,"",IF(OR(LEN(A1337)&lt;&gt;7,MID(A1337,5,1)&lt;&gt;"-",ISERROR(--LEFT(A1337,4)),ISERROR(--RIGHT(A1337,2))),"ERROR: PERIODO debe ser AAAA-MM",IF(B1337="","ERROR: falta CODIGO CECO",IF(G1337="CECO NO EXISTE","ERROR: CECO no existe en el catálogo",IF(C1337="","ERROR: falta CUENTA",IF(ISERROR(--C1337),"ERROR: CUENTA debe tener solo dígitos",IF(ISERROR(FIND(LEFT(C1337,1),"567")),"ERROR: CUENTA fuera de las clases de costo",IF(NOT(ISNUMBER(E1337)),"ERROR: VALOR debe ser numérico",IF(E1337=0,"AVISO: valor cero (no se carga)",IF(J1337&lt;&gt;"ACTIVO","NO SE CARGA: CECO en estado "&amp;J1337,"OK"))))))))))</f>
        <v/>
      </c>
    </row>
    <row r="1338">
      <c r="A1338" s="5" t="n"/>
      <c r="B1338" s="6" t="n"/>
      <c r="C1338" s="5" t="n"/>
      <c r="D1338" s="6" t="n"/>
      <c r="E1338" s="7" t="n"/>
      <c r="F1338" s="6" t="n"/>
      <c r="G1338" s="8">
        <f>IF(B1338="","",IFERROR(VLOOKUP(--B1338,'CATALOGO CECO'!$A$2:$H$550,2,FALSE),"CECO NO EXISTE"))</f>
        <v/>
      </c>
      <c r="H1338" s="8">
        <f>IF(B1338="","",IFERROR(VLOOKUP(--B1338,'CATALOGO CECO'!$A$2:$H$550,3,FALSE),""))</f>
        <v/>
      </c>
      <c r="I1338" s="8">
        <f>IF(B1338="","",IFERROR(VLOOKUP(--B1338,'CATALOGO CECO'!$A$2:$H$550,5,FALSE),""))</f>
        <v/>
      </c>
      <c r="J1338" s="8">
        <f>IF(B1338="","",IFERROR(VLOOKUP(--B1338,'CATALOGO CECO'!$A$2:$H$550,8,FALSE),""))</f>
        <v/>
      </c>
      <c r="K1338" s="8">
        <f>IF(COUNTA(A1338:F1338)=0,"",IF(OR(LEN(A1338)&lt;&gt;7,MID(A1338,5,1)&lt;&gt;"-",ISERROR(--LEFT(A1338,4)),ISERROR(--RIGHT(A1338,2))),"ERROR: PERIODO debe ser AAAA-MM",IF(B1338="","ERROR: falta CODIGO CECO",IF(G1338="CECO NO EXISTE","ERROR: CECO no existe en el catálogo",IF(C1338="","ERROR: falta CUENTA",IF(ISERROR(--C1338),"ERROR: CUENTA debe tener solo dígitos",IF(ISERROR(FIND(LEFT(C1338,1),"567")),"ERROR: CUENTA fuera de las clases de costo",IF(NOT(ISNUMBER(E1338)),"ERROR: VALOR debe ser numérico",IF(E1338=0,"AVISO: valor cero (no se carga)",IF(J1338&lt;&gt;"ACTIVO","NO SE CARGA: CECO en estado "&amp;J1338,"OK"))))))))))</f>
        <v/>
      </c>
    </row>
    <row r="1339">
      <c r="A1339" s="5" t="n"/>
      <c r="B1339" s="6" t="n"/>
      <c r="C1339" s="5" t="n"/>
      <c r="D1339" s="6" t="n"/>
      <c r="E1339" s="7" t="n"/>
      <c r="F1339" s="6" t="n"/>
      <c r="G1339" s="8">
        <f>IF(B1339="","",IFERROR(VLOOKUP(--B1339,'CATALOGO CECO'!$A$2:$H$550,2,FALSE),"CECO NO EXISTE"))</f>
        <v/>
      </c>
      <c r="H1339" s="8">
        <f>IF(B1339="","",IFERROR(VLOOKUP(--B1339,'CATALOGO CECO'!$A$2:$H$550,3,FALSE),""))</f>
        <v/>
      </c>
      <c r="I1339" s="8">
        <f>IF(B1339="","",IFERROR(VLOOKUP(--B1339,'CATALOGO CECO'!$A$2:$H$550,5,FALSE),""))</f>
        <v/>
      </c>
      <c r="J1339" s="8">
        <f>IF(B1339="","",IFERROR(VLOOKUP(--B1339,'CATALOGO CECO'!$A$2:$H$550,8,FALSE),""))</f>
        <v/>
      </c>
      <c r="K1339" s="8">
        <f>IF(COUNTA(A1339:F1339)=0,"",IF(OR(LEN(A1339)&lt;&gt;7,MID(A1339,5,1)&lt;&gt;"-",ISERROR(--LEFT(A1339,4)),ISERROR(--RIGHT(A1339,2))),"ERROR: PERIODO debe ser AAAA-MM",IF(B1339="","ERROR: falta CODIGO CECO",IF(G1339="CECO NO EXISTE","ERROR: CECO no existe en el catálogo",IF(C1339="","ERROR: falta CUENTA",IF(ISERROR(--C1339),"ERROR: CUENTA debe tener solo dígitos",IF(ISERROR(FIND(LEFT(C1339,1),"567")),"ERROR: CUENTA fuera de las clases de costo",IF(NOT(ISNUMBER(E1339)),"ERROR: VALOR debe ser numérico",IF(E1339=0,"AVISO: valor cero (no se carga)",IF(J1339&lt;&gt;"ACTIVO","NO SE CARGA: CECO en estado "&amp;J1339,"OK"))))))))))</f>
        <v/>
      </c>
    </row>
    <row r="1340">
      <c r="A1340" s="5" t="n"/>
      <c r="B1340" s="6" t="n"/>
      <c r="C1340" s="5" t="n"/>
      <c r="D1340" s="6" t="n"/>
      <c r="E1340" s="7" t="n"/>
      <c r="F1340" s="6" t="n"/>
      <c r="G1340" s="8">
        <f>IF(B1340="","",IFERROR(VLOOKUP(--B1340,'CATALOGO CECO'!$A$2:$H$550,2,FALSE),"CECO NO EXISTE"))</f>
        <v/>
      </c>
      <c r="H1340" s="8">
        <f>IF(B1340="","",IFERROR(VLOOKUP(--B1340,'CATALOGO CECO'!$A$2:$H$550,3,FALSE),""))</f>
        <v/>
      </c>
      <c r="I1340" s="8">
        <f>IF(B1340="","",IFERROR(VLOOKUP(--B1340,'CATALOGO CECO'!$A$2:$H$550,5,FALSE),""))</f>
        <v/>
      </c>
      <c r="J1340" s="8">
        <f>IF(B1340="","",IFERROR(VLOOKUP(--B1340,'CATALOGO CECO'!$A$2:$H$550,8,FALSE),""))</f>
        <v/>
      </c>
      <c r="K1340" s="8">
        <f>IF(COUNTA(A1340:F1340)=0,"",IF(OR(LEN(A1340)&lt;&gt;7,MID(A1340,5,1)&lt;&gt;"-",ISERROR(--LEFT(A1340,4)),ISERROR(--RIGHT(A1340,2))),"ERROR: PERIODO debe ser AAAA-MM",IF(B1340="","ERROR: falta CODIGO CECO",IF(G1340="CECO NO EXISTE","ERROR: CECO no existe en el catálogo",IF(C1340="","ERROR: falta CUENTA",IF(ISERROR(--C1340),"ERROR: CUENTA debe tener solo dígitos",IF(ISERROR(FIND(LEFT(C1340,1),"567")),"ERROR: CUENTA fuera de las clases de costo",IF(NOT(ISNUMBER(E1340)),"ERROR: VALOR debe ser numérico",IF(E1340=0,"AVISO: valor cero (no se carga)",IF(J1340&lt;&gt;"ACTIVO","NO SE CARGA: CECO en estado "&amp;J1340,"OK"))))))))))</f>
        <v/>
      </c>
    </row>
    <row r="1341">
      <c r="A1341" s="5" t="n"/>
      <c r="B1341" s="6" t="n"/>
      <c r="C1341" s="5" t="n"/>
      <c r="D1341" s="6" t="n"/>
      <c r="E1341" s="7" t="n"/>
      <c r="F1341" s="6" t="n"/>
      <c r="G1341" s="8">
        <f>IF(B1341="","",IFERROR(VLOOKUP(--B1341,'CATALOGO CECO'!$A$2:$H$550,2,FALSE),"CECO NO EXISTE"))</f>
        <v/>
      </c>
      <c r="H1341" s="8">
        <f>IF(B1341="","",IFERROR(VLOOKUP(--B1341,'CATALOGO CECO'!$A$2:$H$550,3,FALSE),""))</f>
        <v/>
      </c>
      <c r="I1341" s="8">
        <f>IF(B1341="","",IFERROR(VLOOKUP(--B1341,'CATALOGO CECO'!$A$2:$H$550,5,FALSE),""))</f>
        <v/>
      </c>
      <c r="J1341" s="8">
        <f>IF(B1341="","",IFERROR(VLOOKUP(--B1341,'CATALOGO CECO'!$A$2:$H$550,8,FALSE),""))</f>
        <v/>
      </c>
      <c r="K1341" s="8">
        <f>IF(COUNTA(A1341:F1341)=0,"",IF(OR(LEN(A1341)&lt;&gt;7,MID(A1341,5,1)&lt;&gt;"-",ISERROR(--LEFT(A1341,4)),ISERROR(--RIGHT(A1341,2))),"ERROR: PERIODO debe ser AAAA-MM",IF(B1341="","ERROR: falta CODIGO CECO",IF(G1341="CECO NO EXISTE","ERROR: CECO no existe en el catálogo",IF(C1341="","ERROR: falta CUENTA",IF(ISERROR(--C1341),"ERROR: CUENTA debe tener solo dígitos",IF(ISERROR(FIND(LEFT(C1341,1),"567")),"ERROR: CUENTA fuera de las clases de costo",IF(NOT(ISNUMBER(E1341)),"ERROR: VALOR debe ser numérico",IF(E1341=0,"AVISO: valor cero (no se carga)",IF(J1341&lt;&gt;"ACTIVO","NO SE CARGA: CECO en estado "&amp;J1341,"OK"))))))))))</f>
        <v/>
      </c>
    </row>
    <row r="1342">
      <c r="A1342" s="5" t="n"/>
      <c r="B1342" s="6" t="n"/>
      <c r="C1342" s="5" t="n"/>
      <c r="D1342" s="6" t="n"/>
      <c r="E1342" s="7" t="n"/>
      <c r="F1342" s="6" t="n"/>
      <c r="G1342" s="8">
        <f>IF(B1342="","",IFERROR(VLOOKUP(--B1342,'CATALOGO CECO'!$A$2:$H$550,2,FALSE),"CECO NO EXISTE"))</f>
        <v/>
      </c>
      <c r="H1342" s="8">
        <f>IF(B1342="","",IFERROR(VLOOKUP(--B1342,'CATALOGO CECO'!$A$2:$H$550,3,FALSE),""))</f>
        <v/>
      </c>
      <c r="I1342" s="8">
        <f>IF(B1342="","",IFERROR(VLOOKUP(--B1342,'CATALOGO CECO'!$A$2:$H$550,5,FALSE),""))</f>
        <v/>
      </c>
      <c r="J1342" s="8">
        <f>IF(B1342="","",IFERROR(VLOOKUP(--B1342,'CATALOGO CECO'!$A$2:$H$550,8,FALSE),""))</f>
        <v/>
      </c>
      <c r="K1342" s="8">
        <f>IF(COUNTA(A1342:F1342)=0,"",IF(OR(LEN(A1342)&lt;&gt;7,MID(A1342,5,1)&lt;&gt;"-",ISERROR(--LEFT(A1342,4)),ISERROR(--RIGHT(A1342,2))),"ERROR: PERIODO debe ser AAAA-MM",IF(B1342="","ERROR: falta CODIGO CECO",IF(G1342="CECO NO EXISTE","ERROR: CECO no existe en el catálogo",IF(C1342="","ERROR: falta CUENTA",IF(ISERROR(--C1342),"ERROR: CUENTA debe tener solo dígitos",IF(ISERROR(FIND(LEFT(C1342,1),"567")),"ERROR: CUENTA fuera de las clases de costo",IF(NOT(ISNUMBER(E1342)),"ERROR: VALOR debe ser numérico",IF(E1342=0,"AVISO: valor cero (no se carga)",IF(J1342&lt;&gt;"ACTIVO","NO SE CARGA: CECO en estado "&amp;J1342,"OK"))))))))))</f>
        <v/>
      </c>
    </row>
    <row r="1343">
      <c r="A1343" s="5" t="n"/>
      <c r="B1343" s="6" t="n"/>
      <c r="C1343" s="5" t="n"/>
      <c r="D1343" s="6" t="n"/>
      <c r="E1343" s="7" t="n"/>
      <c r="F1343" s="6" t="n"/>
      <c r="G1343" s="8">
        <f>IF(B1343="","",IFERROR(VLOOKUP(--B1343,'CATALOGO CECO'!$A$2:$H$550,2,FALSE),"CECO NO EXISTE"))</f>
        <v/>
      </c>
      <c r="H1343" s="8">
        <f>IF(B1343="","",IFERROR(VLOOKUP(--B1343,'CATALOGO CECO'!$A$2:$H$550,3,FALSE),""))</f>
        <v/>
      </c>
      <c r="I1343" s="8">
        <f>IF(B1343="","",IFERROR(VLOOKUP(--B1343,'CATALOGO CECO'!$A$2:$H$550,5,FALSE),""))</f>
        <v/>
      </c>
      <c r="J1343" s="8">
        <f>IF(B1343="","",IFERROR(VLOOKUP(--B1343,'CATALOGO CECO'!$A$2:$H$550,8,FALSE),""))</f>
        <v/>
      </c>
      <c r="K1343" s="8">
        <f>IF(COUNTA(A1343:F1343)=0,"",IF(OR(LEN(A1343)&lt;&gt;7,MID(A1343,5,1)&lt;&gt;"-",ISERROR(--LEFT(A1343,4)),ISERROR(--RIGHT(A1343,2))),"ERROR: PERIODO debe ser AAAA-MM",IF(B1343="","ERROR: falta CODIGO CECO",IF(G1343="CECO NO EXISTE","ERROR: CECO no existe en el catálogo",IF(C1343="","ERROR: falta CUENTA",IF(ISERROR(--C1343),"ERROR: CUENTA debe tener solo dígitos",IF(ISERROR(FIND(LEFT(C1343,1),"567")),"ERROR: CUENTA fuera de las clases de costo",IF(NOT(ISNUMBER(E1343)),"ERROR: VALOR debe ser numérico",IF(E1343=0,"AVISO: valor cero (no se carga)",IF(J1343&lt;&gt;"ACTIVO","NO SE CARGA: CECO en estado "&amp;J1343,"OK"))))))))))</f>
        <v/>
      </c>
    </row>
    <row r="1344">
      <c r="A1344" s="5" t="n"/>
      <c r="B1344" s="6" t="n"/>
      <c r="C1344" s="5" t="n"/>
      <c r="D1344" s="6" t="n"/>
      <c r="E1344" s="7" t="n"/>
      <c r="F1344" s="6" t="n"/>
      <c r="G1344" s="8">
        <f>IF(B1344="","",IFERROR(VLOOKUP(--B1344,'CATALOGO CECO'!$A$2:$H$550,2,FALSE),"CECO NO EXISTE"))</f>
        <v/>
      </c>
      <c r="H1344" s="8">
        <f>IF(B1344="","",IFERROR(VLOOKUP(--B1344,'CATALOGO CECO'!$A$2:$H$550,3,FALSE),""))</f>
        <v/>
      </c>
      <c r="I1344" s="8">
        <f>IF(B1344="","",IFERROR(VLOOKUP(--B1344,'CATALOGO CECO'!$A$2:$H$550,5,FALSE),""))</f>
        <v/>
      </c>
      <c r="J1344" s="8">
        <f>IF(B1344="","",IFERROR(VLOOKUP(--B1344,'CATALOGO CECO'!$A$2:$H$550,8,FALSE),""))</f>
        <v/>
      </c>
      <c r="K1344" s="8">
        <f>IF(COUNTA(A1344:F1344)=0,"",IF(OR(LEN(A1344)&lt;&gt;7,MID(A1344,5,1)&lt;&gt;"-",ISERROR(--LEFT(A1344,4)),ISERROR(--RIGHT(A1344,2))),"ERROR: PERIODO debe ser AAAA-MM",IF(B1344="","ERROR: falta CODIGO CECO",IF(G1344="CECO NO EXISTE","ERROR: CECO no existe en el catálogo",IF(C1344="","ERROR: falta CUENTA",IF(ISERROR(--C1344),"ERROR: CUENTA debe tener solo dígitos",IF(ISERROR(FIND(LEFT(C1344,1),"567")),"ERROR: CUENTA fuera de las clases de costo",IF(NOT(ISNUMBER(E1344)),"ERROR: VALOR debe ser numérico",IF(E1344=0,"AVISO: valor cero (no se carga)",IF(J1344&lt;&gt;"ACTIVO","NO SE CARGA: CECO en estado "&amp;J1344,"OK"))))))))))</f>
        <v/>
      </c>
    </row>
    <row r="1345">
      <c r="A1345" s="5" t="n"/>
      <c r="B1345" s="6" t="n"/>
      <c r="C1345" s="5" t="n"/>
      <c r="D1345" s="6" t="n"/>
      <c r="E1345" s="7" t="n"/>
      <c r="F1345" s="6" t="n"/>
      <c r="G1345" s="8">
        <f>IF(B1345="","",IFERROR(VLOOKUP(--B1345,'CATALOGO CECO'!$A$2:$H$550,2,FALSE),"CECO NO EXISTE"))</f>
        <v/>
      </c>
      <c r="H1345" s="8">
        <f>IF(B1345="","",IFERROR(VLOOKUP(--B1345,'CATALOGO CECO'!$A$2:$H$550,3,FALSE),""))</f>
        <v/>
      </c>
      <c r="I1345" s="8">
        <f>IF(B1345="","",IFERROR(VLOOKUP(--B1345,'CATALOGO CECO'!$A$2:$H$550,5,FALSE),""))</f>
        <v/>
      </c>
      <c r="J1345" s="8">
        <f>IF(B1345="","",IFERROR(VLOOKUP(--B1345,'CATALOGO CECO'!$A$2:$H$550,8,FALSE),""))</f>
        <v/>
      </c>
      <c r="K1345" s="8">
        <f>IF(COUNTA(A1345:F1345)=0,"",IF(OR(LEN(A1345)&lt;&gt;7,MID(A1345,5,1)&lt;&gt;"-",ISERROR(--LEFT(A1345,4)),ISERROR(--RIGHT(A1345,2))),"ERROR: PERIODO debe ser AAAA-MM",IF(B1345="","ERROR: falta CODIGO CECO",IF(G1345="CECO NO EXISTE","ERROR: CECO no existe en el catálogo",IF(C1345="","ERROR: falta CUENTA",IF(ISERROR(--C1345),"ERROR: CUENTA debe tener solo dígitos",IF(ISERROR(FIND(LEFT(C1345,1),"567")),"ERROR: CUENTA fuera de las clases de costo",IF(NOT(ISNUMBER(E1345)),"ERROR: VALOR debe ser numérico",IF(E1345=0,"AVISO: valor cero (no se carga)",IF(J1345&lt;&gt;"ACTIVO","NO SE CARGA: CECO en estado "&amp;J1345,"OK"))))))))))</f>
        <v/>
      </c>
    </row>
    <row r="1346">
      <c r="A1346" s="5" t="n"/>
      <c r="B1346" s="6" t="n"/>
      <c r="C1346" s="5" t="n"/>
      <c r="D1346" s="6" t="n"/>
      <c r="E1346" s="7" t="n"/>
      <c r="F1346" s="6" t="n"/>
      <c r="G1346" s="8">
        <f>IF(B1346="","",IFERROR(VLOOKUP(--B1346,'CATALOGO CECO'!$A$2:$H$550,2,FALSE),"CECO NO EXISTE"))</f>
        <v/>
      </c>
      <c r="H1346" s="8">
        <f>IF(B1346="","",IFERROR(VLOOKUP(--B1346,'CATALOGO CECO'!$A$2:$H$550,3,FALSE),""))</f>
        <v/>
      </c>
      <c r="I1346" s="8">
        <f>IF(B1346="","",IFERROR(VLOOKUP(--B1346,'CATALOGO CECO'!$A$2:$H$550,5,FALSE),""))</f>
        <v/>
      </c>
      <c r="J1346" s="8">
        <f>IF(B1346="","",IFERROR(VLOOKUP(--B1346,'CATALOGO CECO'!$A$2:$H$550,8,FALSE),""))</f>
        <v/>
      </c>
      <c r="K1346" s="8">
        <f>IF(COUNTA(A1346:F1346)=0,"",IF(OR(LEN(A1346)&lt;&gt;7,MID(A1346,5,1)&lt;&gt;"-",ISERROR(--LEFT(A1346,4)),ISERROR(--RIGHT(A1346,2))),"ERROR: PERIODO debe ser AAAA-MM",IF(B1346="","ERROR: falta CODIGO CECO",IF(G1346="CECO NO EXISTE","ERROR: CECO no existe en el catálogo",IF(C1346="","ERROR: falta CUENTA",IF(ISERROR(--C1346),"ERROR: CUENTA debe tener solo dígitos",IF(ISERROR(FIND(LEFT(C1346,1),"567")),"ERROR: CUENTA fuera de las clases de costo",IF(NOT(ISNUMBER(E1346)),"ERROR: VALOR debe ser numérico",IF(E1346=0,"AVISO: valor cero (no se carga)",IF(J1346&lt;&gt;"ACTIVO","NO SE CARGA: CECO en estado "&amp;J1346,"OK"))))))))))</f>
        <v/>
      </c>
    </row>
    <row r="1347">
      <c r="A1347" s="5" t="n"/>
      <c r="B1347" s="6" t="n"/>
      <c r="C1347" s="5" t="n"/>
      <c r="D1347" s="6" t="n"/>
      <c r="E1347" s="7" t="n"/>
      <c r="F1347" s="6" t="n"/>
      <c r="G1347" s="8">
        <f>IF(B1347="","",IFERROR(VLOOKUP(--B1347,'CATALOGO CECO'!$A$2:$H$550,2,FALSE),"CECO NO EXISTE"))</f>
        <v/>
      </c>
      <c r="H1347" s="8">
        <f>IF(B1347="","",IFERROR(VLOOKUP(--B1347,'CATALOGO CECO'!$A$2:$H$550,3,FALSE),""))</f>
        <v/>
      </c>
      <c r="I1347" s="8">
        <f>IF(B1347="","",IFERROR(VLOOKUP(--B1347,'CATALOGO CECO'!$A$2:$H$550,5,FALSE),""))</f>
        <v/>
      </c>
      <c r="J1347" s="8">
        <f>IF(B1347="","",IFERROR(VLOOKUP(--B1347,'CATALOGO CECO'!$A$2:$H$550,8,FALSE),""))</f>
        <v/>
      </c>
      <c r="K1347" s="8">
        <f>IF(COUNTA(A1347:F1347)=0,"",IF(OR(LEN(A1347)&lt;&gt;7,MID(A1347,5,1)&lt;&gt;"-",ISERROR(--LEFT(A1347,4)),ISERROR(--RIGHT(A1347,2))),"ERROR: PERIODO debe ser AAAA-MM",IF(B1347="","ERROR: falta CODIGO CECO",IF(G1347="CECO NO EXISTE","ERROR: CECO no existe en el catálogo",IF(C1347="","ERROR: falta CUENTA",IF(ISERROR(--C1347),"ERROR: CUENTA debe tener solo dígitos",IF(ISERROR(FIND(LEFT(C1347,1),"567")),"ERROR: CUENTA fuera de las clases de costo",IF(NOT(ISNUMBER(E1347)),"ERROR: VALOR debe ser numérico",IF(E1347=0,"AVISO: valor cero (no se carga)",IF(J1347&lt;&gt;"ACTIVO","NO SE CARGA: CECO en estado "&amp;J1347,"OK"))))))))))</f>
        <v/>
      </c>
    </row>
    <row r="1348">
      <c r="A1348" s="5" t="n"/>
      <c r="B1348" s="6" t="n"/>
      <c r="C1348" s="5" t="n"/>
      <c r="D1348" s="6" t="n"/>
      <c r="E1348" s="7" t="n"/>
      <c r="F1348" s="6" t="n"/>
      <c r="G1348" s="8">
        <f>IF(B1348="","",IFERROR(VLOOKUP(--B1348,'CATALOGO CECO'!$A$2:$H$550,2,FALSE),"CECO NO EXISTE"))</f>
        <v/>
      </c>
      <c r="H1348" s="8">
        <f>IF(B1348="","",IFERROR(VLOOKUP(--B1348,'CATALOGO CECO'!$A$2:$H$550,3,FALSE),""))</f>
        <v/>
      </c>
      <c r="I1348" s="8">
        <f>IF(B1348="","",IFERROR(VLOOKUP(--B1348,'CATALOGO CECO'!$A$2:$H$550,5,FALSE),""))</f>
        <v/>
      </c>
      <c r="J1348" s="8">
        <f>IF(B1348="","",IFERROR(VLOOKUP(--B1348,'CATALOGO CECO'!$A$2:$H$550,8,FALSE),""))</f>
        <v/>
      </c>
      <c r="K1348" s="8">
        <f>IF(COUNTA(A1348:F1348)=0,"",IF(OR(LEN(A1348)&lt;&gt;7,MID(A1348,5,1)&lt;&gt;"-",ISERROR(--LEFT(A1348,4)),ISERROR(--RIGHT(A1348,2))),"ERROR: PERIODO debe ser AAAA-MM",IF(B1348="","ERROR: falta CODIGO CECO",IF(G1348="CECO NO EXISTE","ERROR: CECO no existe en el catálogo",IF(C1348="","ERROR: falta CUENTA",IF(ISERROR(--C1348),"ERROR: CUENTA debe tener solo dígitos",IF(ISERROR(FIND(LEFT(C1348,1),"567")),"ERROR: CUENTA fuera de las clases de costo",IF(NOT(ISNUMBER(E1348)),"ERROR: VALOR debe ser numérico",IF(E1348=0,"AVISO: valor cero (no se carga)",IF(J1348&lt;&gt;"ACTIVO","NO SE CARGA: CECO en estado "&amp;J1348,"OK"))))))))))</f>
        <v/>
      </c>
    </row>
    <row r="1349">
      <c r="A1349" s="5" t="n"/>
      <c r="B1349" s="6" t="n"/>
      <c r="C1349" s="5" t="n"/>
      <c r="D1349" s="6" t="n"/>
      <c r="E1349" s="7" t="n"/>
      <c r="F1349" s="6" t="n"/>
      <c r="G1349" s="8">
        <f>IF(B1349="","",IFERROR(VLOOKUP(--B1349,'CATALOGO CECO'!$A$2:$H$550,2,FALSE),"CECO NO EXISTE"))</f>
        <v/>
      </c>
      <c r="H1349" s="8">
        <f>IF(B1349="","",IFERROR(VLOOKUP(--B1349,'CATALOGO CECO'!$A$2:$H$550,3,FALSE),""))</f>
        <v/>
      </c>
      <c r="I1349" s="8">
        <f>IF(B1349="","",IFERROR(VLOOKUP(--B1349,'CATALOGO CECO'!$A$2:$H$550,5,FALSE),""))</f>
        <v/>
      </c>
      <c r="J1349" s="8">
        <f>IF(B1349="","",IFERROR(VLOOKUP(--B1349,'CATALOGO CECO'!$A$2:$H$550,8,FALSE),""))</f>
        <v/>
      </c>
      <c r="K1349" s="8">
        <f>IF(COUNTA(A1349:F1349)=0,"",IF(OR(LEN(A1349)&lt;&gt;7,MID(A1349,5,1)&lt;&gt;"-",ISERROR(--LEFT(A1349,4)),ISERROR(--RIGHT(A1349,2))),"ERROR: PERIODO debe ser AAAA-MM",IF(B1349="","ERROR: falta CODIGO CECO",IF(G1349="CECO NO EXISTE","ERROR: CECO no existe en el catálogo",IF(C1349="","ERROR: falta CUENTA",IF(ISERROR(--C1349),"ERROR: CUENTA debe tener solo dígitos",IF(ISERROR(FIND(LEFT(C1349,1),"567")),"ERROR: CUENTA fuera de las clases de costo",IF(NOT(ISNUMBER(E1349)),"ERROR: VALOR debe ser numérico",IF(E1349=0,"AVISO: valor cero (no se carga)",IF(J1349&lt;&gt;"ACTIVO","NO SE CARGA: CECO en estado "&amp;J1349,"OK"))))))))))</f>
        <v/>
      </c>
    </row>
    <row r="1350">
      <c r="A1350" s="5" t="n"/>
      <c r="B1350" s="6" t="n"/>
      <c r="C1350" s="5" t="n"/>
      <c r="D1350" s="6" t="n"/>
      <c r="E1350" s="7" t="n"/>
      <c r="F1350" s="6" t="n"/>
      <c r="G1350" s="8">
        <f>IF(B1350="","",IFERROR(VLOOKUP(--B1350,'CATALOGO CECO'!$A$2:$H$550,2,FALSE),"CECO NO EXISTE"))</f>
        <v/>
      </c>
      <c r="H1350" s="8">
        <f>IF(B1350="","",IFERROR(VLOOKUP(--B1350,'CATALOGO CECO'!$A$2:$H$550,3,FALSE),""))</f>
        <v/>
      </c>
      <c r="I1350" s="8">
        <f>IF(B1350="","",IFERROR(VLOOKUP(--B1350,'CATALOGO CECO'!$A$2:$H$550,5,FALSE),""))</f>
        <v/>
      </c>
      <c r="J1350" s="8">
        <f>IF(B1350="","",IFERROR(VLOOKUP(--B1350,'CATALOGO CECO'!$A$2:$H$550,8,FALSE),""))</f>
        <v/>
      </c>
      <c r="K1350" s="8">
        <f>IF(COUNTA(A1350:F1350)=0,"",IF(OR(LEN(A1350)&lt;&gt;7,MID(A1350,5,1)&lt;&gt;"-",ISERROR(--LEFT(A1350,4)),ISERROR(--RIGHT(A1350,2))),"ERROR: PERIODO debe ser AAAA-MM",IF(B1350="","ERROR: falta CODIGO CECO",IF(G1350="CECO NO EXISTE","ERROR: CECO no existe en el catálogo",IF(C1350="","ERROR: falta CUENTA",IF(ISERROR(--C1350),"ERROR: CUENTA debe tener solo dígitos",IF(ISERROR(FIND(LEFT(C1350,1),"567")),"ERROR: CUENTA fuera de las clases de costo",IF(NOT(ISNUMBER(E1350)),"ERROR: VALOR debe ser numérico",IF(E1350=0,"AVISO: valor cero (no se carga)",IF(J1350&lt;&gt;"ACTIVO","NO SE CARGA: CECO en estado "&amp;J1350,"OK"))))))))))</f>
        <v/>
      </c>
    </row>
    <row r="1351">
      <c r="A1351" s="5" t="n"/>
      <c r="B1351" s="6" t="n"/>
      <c r="C1351" s="5" t="n"/>
      <c r="D1351" s="6" t="n"/>
      <c r="E1351" s="7" t="n"/>
      <c r="F1351" s="6" t="n"/>
      <c r="G1351" s="8">
        <f>IF(B1351="","",IFERROR(VLOOKUP(--B1351,'CATALOGO CECO'!$A$2:$H$550,2,FALSE),"CECO NO EXISTE"))</f>
        <v/>
      </c>
      <c r="H1351" s="8">
        <f>IF(B1351="","",IFERROR(VLOOKUP(--B1351,'CATALOGO CECO'!$A$2:$H$550,3,FALSE),""))</f>
        <v/>
      </c>
      <c r="I1351" s="8">
        <f>IF(B1351="","",IFERROR(VLOOKUP(--B1351,'CATALOGO CECO'!$A$2:$H$550,5,FALSE),""))</f>
        <v/>
      </c>
      <c r="J1351" s="8">
        <f>IF(B1351="","",IFERROR(VLOOKUP(--B1351,'CATALOGO CECO'!$A$2:$H$550,8,FALSE),""))</f>
        <v/>
      </c>
      <c r="K1351" s="8">
        <f>IF(COUNTA(A1351:F1351)=0,"",IF(OR(LEN(A1351)&lt;&gt;7,MID(A1351,5,1)&lt;&gt;"-",ISERROR(--LEFT(A1351,4)),ISERROR(--RIGHT(A1351,2))),"ERROR: PERIODO debe ser AAAA-MM",IF(B1351="","ERROR: falta CODIGO CECO",IF(G1351="CECO NO EXISTE","ERROR: CECO no existe en el catálogo",IF(C1351="","ERROR: falta CUENTA",IF(ISERROR(--C1351),"ERROR: CUENTA debe tener solo dígitos",IF(ISERROR(FIND(LEFT(C1351,1),"567")),"ERROR: CUENTA fuera de las clases de costo",IF(NOT(ISNUMBER(E1351)),"ERROR: VALOR debe ser numérico",IF(E1351=0,"AVISO: valor cero (no se carga)",IF(J1351&lt;&gt;"ACTIVO","NO SE CARGA: CECO en estado "&amp;J1351,"OK"))))))))))</f>
        <v/>
      </c>
    </row>
    <row r="1352">
      <c r="A1352" s="5" t="n"/>
      <c r="B1352" s="6" t="n"/>
      <c r="C1352" s="5" t="n"/>
      <c r="D1352" s="6" t="n"/>
      <c r="E1352" s="7" t="n"/>
      <c r="F1352" s="6" t="n"/>
      <c r="G1352" s="8">
        <f>IF(B1352="","",IFERROR(VLOOKUP(--B1352,'CATALOGO CECO'!$A$2:$H$550,2,FALSE),"CECO NO EXISTE"))</f>
        <v/>
      </c>
      <c r="H1352" s="8">
        <f>IF(B1352="","",IFERROR(VLOOKUP(--B1352,'CATALOGO CECO'!$A$2:$H$550,3,FALSE),""))</f>
        <v/>
      </c>
      <c r="I1352" s="8">
        <f>IF(B1352="","",IFERROR(VLOOKUP(--B1352,'CATALOGO CECO'!$A$2:$H$550,5,FALSE),""))</f>
        <v/>
      </c>
      <c r="J1352" s="8">
        <f>IF(B1352="","",IFERROR(VLOOKUP(--B1352,'CATALOGO CECO'!$A$2:$H$550,8,FALSE),""))</f>
        <v/>
      </c>
      <c r="K1352" s="8">
        <f>IF(COUNTA(A1352:F1352)=0,"",IF(OR(LEN(A1352)&lt;&gt;7,MID(A1352,5,1)&lt;&gt;"-",ISERROR(--LEFT(A1352,4)),ISERROR(--RIGHT(A1352,2))),"ERROR: PERIODO debe ser AAAA-MM",IF(B1352="","ERROR: falta CODIGO CECO",IF(G1352="CECO NO EXISTE","ERROR: CECO no existe en el catálogo",IF(C1352="","ERROR: falta CUENTA",IF(ISERROR(--C1352),"ERROR: CUENTA debe tener solo dígitos",IF(ISERROR(FIND(LEFT(C1352,1),"567")),"ERROR: CUENTA fuera de las clases de costo",IF(NOT(ISNUMBER(E1352)),"ERROR: VALOR debe ser numérico",IF(E1352=0,"AVISO: valor cero (no se carga)",IF(J1352&lt;&gt;"ACTIVO","NO SE CARGA: CECO en estado "&amp;J1352,"OK"))))))))))</f>
        <v/>
      </c>
    </row>
    <row r="1353">
      <c r="A1353" s="5" t="n"/>
      <c r="B1353" s="6" t="n"/>
      <c r="C1353" s="5" t="n"/>
      <c r="D1353" s="6" t="n"/>
      <c r="E1353" s="7" t="n"/>
      <c r="F1353" s="6" t="n"/>
      <c r="G1353" s="8">
        <f>IF(B1353="","",IFERROR(VLOOKUP(--B1353,'CATALOGO CECO'!$A$2:$H$550,2,FALSE),"CECO NO EXISTE"))</f>
        <v/>
      </c>
      <c r="H1353" s="8">
        <f>IF(B1353="","",IFERROR(VLOOKUP(--B1353,'CATALOGO CECO'!$A$2:$H$550,3,FALSE),""))</f>
        <v/>
      </c>
      <c r="I1353" s="8">
        <f>IF(B1353="","",IFERROR(VLOOKUP(--B1353,'CATALOGO CECO'!$A$2:$H$550,5,FALSE),""))</f>
        <v/>
      </c>
      <c r="J1353" s="8">
        <f>IF(B1353="","",IFERROR(VLOOKUP(--B1353,'CATALOGO CECO'!$A$2:$H$550,8,FALSE),""))</f>
        <v/>
      </c>
      <c r="K1353" s="8">
        <f>IF(COUNTA(A1353:F1353)=0,"",IF(OR(LEN(A1353)&lt;&gt;7,MID(A1353,5,1)&lt;&gt;"-",ISERROR(--LEFT(A1353,4)),ISERROR(--RIGHT(A1353,2))),"ERROR: PERIODO debe ser AAAA-MM",IF(B1353="","ERROR: falta CODIGO CECO",IF(G1353="CECO NO EXISTE","ERROR: CECO no existe en el catálogo",IF(C1353="","ERROR: falta CUENTA",IF(ISERROR(--C1353),"ERROR: CUENTA debe tener solo dígitos",IF(ISERROR(FIND(LEFT(C1353,1),"567")),"ERROR: CUENTA fuera de las clases de costo",IF(NOT(ISNUMBER(E1353)),"ERROR: VALOR debe ser numérico",IF(E1353=0,"AVISO: valor cero (no se carga)",IF(J1353&lt;&gt;"ACTIVO","NO SE CARGA: CECO en estado "&amp;J1353,"OK"))))))))))</f>
        <v/>
      </c>
    </row>
    <row r="1354">
      <c r="A1354" s="5" t="n"/>
      <c r="B1354" s="6" t="n"/>
      <c r="C1354" s="5" t="n"/>
      <c r="D1354" s="6" t="n"/>
      <c r="E1354" s="7" t="n"/>
      <c r="F1354" s="6" t="n"/>
      <c r="G1354" s="8">
        <f>IF(B1354="","",IFERROR(VLOOKUP(--B1354,'CATALOGO CECO'!$A$2:$H$550,2,FALSE),"CECO NO EXISTE"))</f>
        <v/>
      </c>
      <c r="H1354" s="8">
        <f>IF(B1354="","",IFERROR(VLOOKUP(--B1354,'CATALOGO CECO'!$A$2:$H$550,3,FALSE),""))</f>
        <v/>
      </c>
      <c r="I1354" s="8">
        <f>IF(B1354="","",IFERROR(VLOOKUP(--B1354,'CATALOGO CECO'!$A$2:$H$550,5,FALSE),""))</f>
        <v/>
      </c>
      <c r="J1354" s="8">
        <f>IF(B1354="","",IFERROR(VLOOKUP(--B1354,'CATALOGO CECO'!$A$2:$H$550,8,FALSE),""))</f>
        <v/>
      </c>
      <c r="K1354" s="8">
        <f>IF(COUNTA(A1354:F1354)=0,"",IF(OR(LEN(A1354)&lt;&gt;7,MID(A1354,5,1)&lt;&gt;"-",ISERROR(--LEFT(A1354,4)),ISERROR(--RIGHT(A1354,2))),"ERROR: PERIODO debe ser AAAA-MM",IF(B1354="","ERROR: falta CODIGO CECO",IF(G1354="CECO NO EXISTE","ERROR: CECO no existe en el catálogo",IF(C1354="","ERROR: falta CUENTA",IF(ISERROR(--C1354),"ERROR: CUENTA debe tener solo dígitos",IF(ISERROR(FIND(LEFT(C1354,1),"567")),"ERROR: CUENTA fuera de las clases de costo",IF(NOT(ISNUMBER(E1354)),"ERROR: VALOR debe ser numérico",IF(E1354=0,"AVISO: valor cero (no se carga)",IF(J1354&lt;&gt;"ACTIVO","NO SE CARGA: CECO en estado "&amp;J1354,"OK"))))))))))</f>
        <v/>
      </c>
    </row>
    <row r="1355">
      <c r="A1355" s="5" t="n"/>
      <c r="B1355" s="6" t="n"/>
      <c r="C1355" s="5" t="n"/>
      <c r="D1355" s="6" t="n"/>
      <c r="E1355" s="7" t="n"/>
      <c r="F1355" s="6" t="n"/>
      <c r="G1355" s="8">
        <f>IF(B1355="","",IFERROR(VLOOKUP(--B1355,'CATALOGO CECO'!$A$2:$H$550,2,FALSE),"CECO NO EXISTE"))</f>
        <v/>
      </c>
      <c r="H1355" s="8">
        <f>IF(B1355="","",IFERROR(VLOOKUP(--B1355,'CATALOGO CECO'!$A$2:$H$550,3,FALSE),""))</f>
        <v/>
      </c>
      <c r="I1355" s="8">
        <f>IF(B1355="","",IFERROR(VLOOKUP(--B1355,'CATALOGO CECO'!$A$2:$H$550,5,FALSE),""))</f>
        <v/>
      </c>
      <c r="J1355" s="8">
        <f>IF(B1355="","",IFERROR(VLOOKUP(--B1355,'CATALOGO CECO'!$A$2:$H$550,8,FALSE),""))</f>
        <v/>
      </c>
      <c r="K1355" s="8">
        <f>IF(COUNTA(A1355:F1355)=0,"",IF(OR(LEN(A1355)&lt;&gt;7,MID(A1355,5,1)&lt;&gt;"-",ISERROR(--LEFT(A1355,4)),ISERROR(--RIGHT(A1355,2))),"ERROR: PERIODO debe ser AAAA-MM",IF(B1355="","ERROR: falta CODIGO CECO",IF(G1355="CECO NO EXISTE","ERROR: CECO no existe en el catálogo",IF(C1355="","ERROR: falta CUENTA",IF(ISERROR(--C1355),"ERROR: CUENTA debe tener solo dígitos",IF(ISERROR(FIND(LEFT(C1355,1),"567")),"ERROR: CUENTA fuera de las clases de costo",IF(NOT(ISNUMBER(E1355)),"ERROR: VALOR debe ser numérico",IF(E1355=0,"AVISO: valor cero (no se carga)",IF(J1355&lt;&gt;"ACTIVO","NO SE CARGA: CECO en estado "&amp;J1355,"OK"))))))))))</f>
        <v/>
      </c>
    </row>
    <row r="1356">
      <c r="A1356" s="5" t="n"/>
      <c r="B1356" s="6" t="n"/>
      <c r="C1356" s="5" t="n"/>
      <c r="D1356" s="6" t="n"/>
      <c r="E1356" s="7" t="n"/>
      <c r="F1356" s="6" t="n"/>
      <c r="G1356" s="8">
        <f>IF(B1356="","",IFERROR(VLOOKUP(--B1356,'CATALOGO CECO'!$A$2:$H$550,2,FALSE),"CECO NO EXISTE"))</f>
        <v/>
      </c>
      <c r="H1356" s="8">
        <f>IF(B1356="","",IFERROR(VLOOKUP(--B1356,'CATALOGO CECO'!$A$2:$H$550,3,FALSE),""))</f>
        <v/>
      </c>
      <c r="I1356" s="8">
        <f>IF(B1356="","",IFERROR(VLOOKUP(--B1356,'CATALOGO CECO'!$A$2:$H$550,5,FALSE),""))</f>
        <v/>
      </c>
      <c r="J1356" s="8">
        <f>IF(B1356="","",IFERROR(VLOOKUP(--B1356,'CATALOGO CECO'!$A$2:$H$550,8,FALSE),""))</f>
        <v/>
      </c>
      <c r="K1356" s="8">
        <f>IF(COUNTA(A1356:F1356)=0,"",IF(OR(LEN(A1356)&lt;&gt;7,MID(A1356,5,1)&lt;&gt;"-",ISERROR(--LEFT(A1356,4)),ISERROR(--RIGHT(A1356,2))),"ERROR: PERIODO debe ser AAAA-MM",IF(B1356="","ERROR: falta CODIGO CECO",IF(G1356="CECO NO EXISTE","ERROR: CECO no existe en el catálogo",IF(C1356="","ERROR: falta CUENTA",IF(ISERROR(--C1356),"ERROR: CUENTA debe tener solo dígitos",IF(ISERROR(FIND(LEFT(C1356,1),"567")),"ERROR: CUENTA fuera de las clases de costo",IF(NOT(ISNUMBER(E1356)),"ERROR: VALOR debe ser numérico",IF(E1356=0,"AVISO: valor cero (no se carga)",IF(J1356&lt;&gt;"ACTIVO","NO SE CARGA: CECO en estado "&amp;J1356,"OK"))))))))))</f>
        <v/>
      </c>
    </row>
    <row r="1357">
      <c r="A1357" s="5" t="n"/>
      <c r="B1357" s="6" t="n"/>
      <c r="C1357" s="5" t="n"/>
      <c r="D1357" s="6" t="n"/>
      <c r="E1357" s="7" t="n"/>
      <c r="F1357" s="6" t="n"/>
      <c r="G1357" s="8">
        <f>IF(B1357="","",IFERROR(VLOOKUP(--B1357,'CATALOGO CECO'!$A$2:$H$550,2,FALSE),"CECO NO EXISTE"))</f>
        <v/>
      </c>
      <c r="H1357" s="8">
        <f>IF(B1357="","",IFERROR(VLOOKUP(--B1357,'CATALOGO CECO'!$A$2:$H$550,3,FALSE),""))</f>
        <v/>
      </c>
      <c r="I1357" s="8">
        <f>IF(B1357="","",IFERROR(VLOOKUP(--B1357,'CATALOGO CECO'!$A$2:$H$550,5,FALSE),""))</f>
        <v/>
      </c>
      <c r="J1357" s="8">
        <f>IF(B1357="","",IFERROR(VLOOKUP(--B1357,'CATALOGO CECO'!$A$2:$H$550,8,FALSE),""))</f>
        <v/>
      </c>
      <c r="K1357" s="8">
        <f>IF(COUNTA(A1357:F1357)=0,"",IF(OR(LEN(A1357)&lt;&gt;7,MID(A1357,5,1)&lt;&gt;"-",ISERROR(--LEFT(A1357,4)),ISERROR(--RIGHT(A1357,2))),"ERROR: PERIODO debe ser AAAA-MM",IF(B1357="","ERROR: falta CODIGO CECO",IF(G1357="CECO NO EXISTE","ERROR: CECO no existe en el catálogo",IF(C1357="","ERROR: falta CUENTA",IF(ISERROR(--C1357),"ERROR: CUENTA debe tener solo dígitos",IF(ISERROR(FIND(LEFT(C1357,1),"567")),"ERROR: CUENTA fuera de las clases de costo",IF(NOT(ISNUMBER(E1357)),"ERROR: VALOR debe ser numérico",IF(E1357=0,"AVISO: valor cero (no se carga)",IF(J1357&lt;&gt;"ACTIVO","NO SE CARGA: CECO en estado "&amp;J1357,"OK"))))))))))</f>
        <v/>
      </c>
    </row>
    <row r="1358">
      <c r="A1358" s="5" t="n"/>
      <c r="B1358" s="6" t="n"/>
      <c r="C1358" s="5" t="n"/>
      <c r="D1358" s="6" t="n"/>
      <c r="E1358" s="7" t="n"/>
      <c r="F1358" s="6" t="n"/>
      <c r="G1358" s="8">
        <f>IF(B1358="","",IFERROR(VLOOKUP(--B1358,'CATALOGO CECO'!$A$2:$H$550,2,FALSE),"CECO NO EXISTE"))</f>
        <v/>
      </c>
      <c r="H1358" s="8">
        <f>IF(B1358="","",IFERROR(VLOOKUP(--B1358,'CATALOGO CECO'!$A$2:$H$550,3,FALSE),""))</f>
        <v/>
      </c>
      <c r="I1358" s="8">
        <f>IF(B1358="","",IFERROR(VLOOKUP(--B1358,'CATALOGO CECO'!$A$2:$H$550,5,FALSE),""))</f>
        <v/>
      </c>
      <c r="J1358" s="8">
        <f>IF(B1358="","",IFERROR(VLOOKUP(--B1358,'CATALOGO CECO'!$A$2:$H$550,8,FALSE),""))</f>
        <v/>
      </c>
      <c r="K1358" s="8">
        <f>IF(COUNTA(A1358:F1358)=0,"",IF(OR(LEN(A1358)&lt;&gt;7,MID(A1358,5,1)&lt;&gt;"-",ISERROR(--LEFT(A1358,4)),ISERROR(--RIGHT(A1358,2))),"ERROR: PERIODO debe ser AAAA-MM",IF(B1358="","ERROR: falta CODIGO CECO",IF(G1358="CECO NO EXISTE","ERROR: CECO no existe en el catálogo",IF(C1358="","ERROR: falta CUENTA",IF(ISERROR(--C1358),"ERROR: CUENTA debe tener solo dígitos",IF(ISERROR(FIND(LEFT(C1358,1),"567")),"ERROR: CUENTA fuera de las clases de costo",IF(NOT(ISNUMBER(E1358)),"ERROR: VALOR debe ser numérico",IF(E1358=0,"AVISO: valor cero (no se carga)",IF(J1358&lt;&gt;"ACTIVO","NO SE CARGA: CECO en estado "&amp;J1358,"OK"))))))))))</f>
        <v/>
      </c>
    </row>
    <row r="1359">
      <c r="A1359" s="5" t="n"/>
      <c r="B1359" s="6" t="n"/>
      <c r="C1359" s="5" t="n"/>
      <c r="D1359" s="6" t="n"/>
      <c r="E1359" s="7" t="n"/>
      <c r="F1359" s="6" t="n"/>
      <c r="G1359" s="8">
        <f>IF(B1359="","",IFERROR(VLOOKUP(--B1359,'CATALOGO CECO'!$A$2:$H$550,2,FALSE),"CECO NO EXISTE"))</f>
        <v/>
      </c>
      <c r="H1359" s="8">
        <f>IF(B1359="","",IFERROR(VLOOKUP(--B1359,'CATALOGO CECO'!$A$2:$H$550,3,FALSE),""))</f>
        <v/>
      </c>
      <c r="I1359" s="8">
        <f>IF(B1359="","",IFERROR(VLOOKUP(--B1359,'CATALOGO CECO'!$A$2:$H$550,5,FALSE),""))</f>
        <v/>
      </c>
      <c r="J1359" s="8">
        <f>IF(B1359="","",IFERROR(VLOOKUP(--B1359,'CATALOGO CECO'!$A$2:$H$550,8,FALSE),""))</f>
        <v/>
      </c>
      <c r="K1359" s="8">
        <f>IF(COUNTA(A1359:F1359)=0,"",IF(OR(LEN(A1359)&lt;&gt;7,MID(A1359,5,1)&lt;&gt;"-",ISERROR(--LEFT(A1359,4)),ISERROR(--RIGHT(A1359,2))),"ERROR: PERIODO debe ser AAAA-MM",IF(B1359="","ERROR: falta CODIGO CECO",IF(G1359="CECO NO EXISTE","ERROR: CECO no existe en el catálogo",IF(C1359="","ERROR: falta CUENTA",IF(ISERROR(--C1359),"ERROR: CUENTA debe tener solo dígitos",IF(ISERROR(FIND(LEFT(C1359,1),"567")),"ERROR: CUENTA fuera de las clases de costo",IF(NOT(ISNUMBER(E1359)),"ERROR: VALOR debe ser numérico",IF(E1359=0,"AVISO: valor cero (no se carga)",IF(J1359&lt;&gt;"ACTIVO","NO SE CARGA: CECO en estado "&amp;J1359,"OK"))))))))))</f>
        <v/>
      </c>
    </row>
    <row r="1360">
      <c r="A1360" s="5" t="n"/>
      <c r="B1360" s="6" t="n"/>
      <c r="C1360" s="5" t="n"/>
      <c r="D1360" s="6" t="n"/>
      <c r="E1360" s="7" t="n"/>
      <c r="F1360" s="6" t="n"/>
      <c r="G1360" s="8">
        <f>IF(B1360="","",IFERROR(VLOOKUP(--B1360,'CATALOGO CECO'!$A$2:$H$550,2,FALSE),"CECO NO EXISTE"))</f>
        <v/>
      </c>
      <c r="H1360" s="8">
        <f>IF(B1360="","",IFERROR(VLOOKUP(--B1360,'CATALOGO CECO'!$A$2:$H$550,3,FALSE),""))</f>
        <v/>
      </c>
      <c r="I1360" s="8">
        <f>IF(B1360="","",IFERROR(VLOOKUP(--B1360,'CATALOGO CECO'!$A$2:$H$550,5,FALSE),""))</f>
        <v/>
      </c>
      <c r="J1360" s="8">
        <f>IF(B1360="","",IFERROR(VLOOKUP(--B1360,'CATALOGO CECO'!$A$2:$H$550,8,FALSE),""))</f>
        <v/>
      </c>
      <c r="K1360" s="8">
        <f>IF(COUNTA(A1360:F1360)=0,"",IF(OR(LEN(A1360)&lt;&gt;7,MID(A1360,5,1)&lt;&gt;"-",ISERROR(--LEFT(A1360,4)),ISERROR(--RIGHT(A1360,2))),"ERROR: PERIODO debe ser AAAA-MM",IF(B1360="","ERROR: falta CODIGO CECO",IF(G1360="CECO NO EXISTE","ERROR: CECO no existe en el catálogo",IF(C1360="","ERROR: falta CUENTA",IF(ISERROR(--C1360),"ERROR: CUENTA debe tener solo dígitos",IF(ISERROR(FIND(LEFT(C1360,1),"567")),"ERROR: CUENTA fuera de las clases de costo",IF(NOT(ISNUMBER(E1360)),"ERROR: VALOR debe ser numérico",IF(E1360=0,"AVISO: valor cero (no se carga)",IF(J1360&lt;&gt;"ACTIVO","NO SE CARGA: CECO en estado "&amp;J1360,"OK"))))))))))</f>
        <v/>
      </c>
    </row>
    <row r="1361">
      <c r="A1361" s="5" t="n"/>
      <c r="B1361" s="6" t="n"/>
      <c r="C1361" s="5" t="n"/>
      <c r="D1361" s="6" t="n"/>
      <c r="E1361" s="7" t="n"/>
      <c r="F1361" s="6" t="n"/>
      <c r="G1361" s="8">
        <f>IF(B1361="","",IFERROR(VLOOKUP(--B1361,'CATALOGO CECO'!$A$2:$H$550,2,FALSE),"CECO NO EXISTE"))</f>
        <v/>
      </c>
      <c r="H1361" s="8">
        <f>IF(B1361="","",IFERROR(VLOOKUP(--B1361,'CATALOGO CECO'!$A$2:$H$550,3,FALSE),""))</f>
        <v/>
      </c>
      <c r="I1361" s="8">
        <f>IF(B1361="","",IFERROR(VLOOKUP(--B1361,'CATALOGO CECO'!$A$2:$H$550,5,FALSE),""))</f>
        <v/>
      </c>
      <c r="J1361" s="8">
        <f>IF(B1361="","",IFERROR(VLOOKUP(--B1361,'CATALOGO CECO'!$A$2:$H$550,8,FALSE),""))</f>
        <v/>
      </c>
      <c r="K1361" s="8">
        <f>IF(COUNTA(A1361:F1361)=0,"",IF(OR(LEN(A1361)&lt;&gt;7,MID(A1361,5,1)&lt;&gt;"-",ISERROR(--LEFT(A1361,4)),ISERROR(--RIGHT(A1361,2))),"ERROR: PERIODO debe ser AAAA-MM",IF(B1361="","ERROR: falta CODIGO CECO",IF(G1361="CECO NO EXISTE","ERROR: CECO no existe en el catálogo",IF(C1361="","ERROR: falta CUENTA",IF(ISERROR(--C1361),"ERROR: CUENTA debe tener solo dígitos",IF(ISERROR(FIND(LEFT(C1361,1),"567")),"ERROR: CUENTA fuera de las clases de costo",IF(NOT(ISNUMBER(E1361)),"ERROR: VALOR debe ser numérico",IF(E1361=0,"AVISO: valor cero (no se carga)",IF(J1361&lt;&gt;"ACTIVO","NO SE CARGA: CECO en estado "&amp;J1361,"OK"))))))))))</f>
        <v/>
      </c>
    </row>
    <row r="1362">
      <c r="A1362" s="5" t="n"/>
      <c r="B1362" s="6" t="n"/>
      <c r="C1362" s="5" t="n"/>
      <c r="D1362" s="6" t="n"/>
      <c r="E1362" s="7" t="n"/>
      <c r="F1362" s="6" t="n"/>
      <c r="G1362" s="8">
        <f>IF(B1362="","",IFERROR(VLOOKUP(--B1362,'CATALOGO CECO'!$A$2:$H$550,2,FALSE),"CECO NO EXISTE"))</f>
        <v/>
      </c>
      <c r="H1362" s="8">
        <f>IF(B1362="","",IFERROR(VLOOKUP(--B1362,'CATALOGO CECO'!$A$2:$H$550,3,FALSE),""))</f>
        <v/>
      </c>
      <c r="I1362" s="8">
        <f>IF(B1362="","",IFERROR(VLOOKUP(--B1362,'CATALOGO CECO'!$A$2:$H$550,5,FALSE),""))</f>
        <v/>
      </c>
      <c r="J1362" s="8">
        <f>IF(B1362="","",IFERROR(VLOOKUP(--B1362,'CATALOGO CECO'!$A$2:$H$550,8,FALSE),""))</f>
        <v/>
      </c>
      <c r="K1362" s="8">
        <f>IF(COUNTA(A1362:F1362)=0,"",IF(OR(LEN(A1362)&lt;&gt;7,MID(A1362,5,1)&lt;&gt;"-",ISERROR(--LEFT(A1362,4)),ISERROR(--RIGHT(A1362,2))),"ERROR: PERIODO debe ser AAAA-MM",IF(B1362="","ERROR: falta CODIGO CECO",IF(G1362="CECO NO EXISTE","ERROR: CECO no existe en el catálogo",IF(C1362="","ERROR: falta CUENTA",IF(ISERROR(--C1362),"ERROR: CUENTA debe tener solo dígitos",IF(ISERROR(FIND(LEFT(C1362,1),"567")),"ERROR: CUENTA fuera de las clases de costo",IF(NOT(ISNUMBER(E1362)),"ERROR: VALOR debe ser numérico",IF(E1362=0,"AVISO: valor cero (no se carga)",IF(J1362&lt;&gt;"ACTIVO","NO SE CARGA: CECO en estado "&amp;J1362,"OK"))))))))))</f>
        <v/>
      </c>
    </row>
    <row r="1363">
      <c r="A1363" s="5" t="n"/>
      <c r="B1363" s="6" t="n"/>
      <c r="C1363" s="5" t="n"/>
      <c r="D1363" s="6" t="n"/>
      <c r="E1363" s="7" t="n"/>
      <c r="F1363" s="6" t="n"/>
      <c r="G1363" s="8">
        <f>IF(B1363="","",IFERROR(VLOOKUP(--B1363,'CATALOGO CECO'!$A$2:$H$550,2,FALSE),"CECO NO EXISTE"))</f>
        <v/>
      </c>
      <c r="H1363" s="8">
        <f>IF(B1363="","",IFERROR(VLOOKUP(--B1363,'CATALOGO CECO'!$A$2:$H$550,3,FALSE),""))</f>
        <v/>
      </c>
      <c r="I1363" s="8">
        <f>IF(B1363="","",IFERROR(VLOOKUP(--B1363,'CATALOGO CECO'!$A$2:$H$550,5,FALSE),""))</f>
        <v/>
      </c>
      <c r="J1363" s="8">
        <f>IF(B1363="","",IFERROR(VLOOKUP(--B1363,'CATALOGO CECO'!$A$2:$H$550,8,FALSE),""))</f>
        <v/>
      </c>
      <c r="K1363" s="8">
        <f>IF(COUNTA(A1363:F1363)=0,"",IF(OR(LEN(A1363)&lt;&gt;7,MID(A1363,5,1)&lt;&gt;"-",ISERROR(--LEFT(A1363,4)),ISERROR(--RIGHT(A1363,2))),"ERROR: PERIODO debe ser AAAA-MM",IF(B1363="","ERROR: falta CODIGO CECO",IF(G1363="CECO NO EXISTE","ERROR: CECO no existe en el catálogo",IF(C1363="","ERROR: falta CUENTA",IF(ISERROR(--C1363),"ERROR: CUENTA debe tener solo dígitos",IF(ISERROR(FIND(LEFT(C1363,1),"567")),"ERROR: CUENTA fuera de las clases de costo",IF(NOT(ISNUMBER(E1363)),"ERROR: VALOR debe ser numérico",IF(E1363=0,"AVISO: valor cero (no se carga)",IF(J1363&lt;&gt;"ACTIVO","NO SE CARGA: CECO en estado "&amp;J1363,"OK"))))))))))</f>
        <v/>
      </c>
    </row>
    <row r="1364">
      <c r="A1364" s="5" t="n"/>
      <c r="B1364" s="6" t="n"/>
      <c r="C1364" s="5" t="n"/>
      <c r="D1364" s="6" t="n"/>
      <c r="E1364" s="7" t="n"/>
      <c r="F1364" s="6" t="n"/>
      <c r="G1364" s="8">
        <f>IF(B1364="","",IFERROR(VLOOKUP(--B1364,'CATALOGO CECO'!$A$2:$H$550,2,FALSE),"CECO NO EXISTE"))</f>
        <v/>
      </c>
      <c r="H1364" s="8">
        <f>IF(B1364="","",IFERROR(VLOOKUP(--B1364,'CATALOGO CECO'!$A$2:$H$550,3,FALSE),""))</f>
        <v/>
      </c>
      <c r="I1364" s="8">
        <f>IF(B1364="","",IFERROR(VLOOKUP(--B1364,'CATALOGO CECO'!$A$2:$H$550,5,FALSE),""))</f>
        <v/>
      </c>
      <c r="J1364" s="8">
        <f>IF(B1364="","",IFERROR(VLOOKUP(--B1364,'CATALOGO CECO'!$A$2:$H$550,8,FALSE),""))</f>
        <v/>
      </c>
      <c r="K1364" s="8">
        <f>IF(COUNTA(A1364:F1364)=0,"",IF(OR(LEN(A1364)&lt;&gt;7,MID(A1364,5,1)&lt;&gt;"-",ISERROR(--LEFT(A1364,4)),ISERROR(--RIGHT(A1364,2))),"ERROR: PERIODO debe ser AAAA-MM",IF(B1364="","ERROR: falta CODIGO CECO",IF(G1364="CECO NO EXISTE","ERROR: CECO no existe en el catálogo",IF(C1364="","ERROR: falta CUENTA",IF(ISERROR(--C1364),"ERROR: CUENTA debe tener solo dígitos",IF(ISERROR(FIND(LEFT(C1364,1),"567")),"ERROR: CUENTA fuera de las clases de costo",IF(NOT(ISNUMBER(E1364)),"ERROR: VALOR debe ser numérico",IF(E1364=0,"AVISO: valor cero (no se carga)",IF(J1364&lt;&gt;"ACTIVO","NO SE CARGA: CECO en estado "&amp;J1364,"OK"))))))))))</f>
        <v/>
      </c>
    </row>
    <row r="1365">
      <c r="A1365" s="5" t="n"/>
      <c r="B1365" s="6" t="n"/>
      <c r="C1365" s="5" t="n"/>
      <c r="D1365" s="6" t="n"/>
      <c r="E1365" s="7" t="n"/>
      <c r="F1365" s="6" t="n"/>
      <c r="G1365" s="8">
        <f>IF(B1365="","",IFERROR(VLOOKUP(--B1365,'CATALOGO CECO'!$A$2:$H$550,2,FALSE),"CECO NO EXISTE"))</f>
        <v/>
      </c>
      <c r="H1365" s="8">
        <f>IF(B1365="","",IFERROR(VLOOKUP(--B1365,'CATALOGO CECO'!$A$2:$H$550,3,FALSE),""))</f>
        <v/>
      </c>
      <c r="I1365" s="8">
        <f>IF(B1365="","",IFERROR(VLOOKUP(--B1365,'CATALOGO CECO'!$A$2:$H$550,5,FALSE),""))</f>
        <v/>
      </c>
      <c r="J1365" s="8">
        <f>IF(B1365="","",IFERROR(VLOOKUP(--B1365,'CATALOGO CECO'!$A$2:$H$550,8,FALSE),""))</f>
        <v/>
      </c>
      <c r="K1365" s="8">
        <f>IF(COUNTA(A1365:F1365)=0,"",IF(OR(LEN(A1365)&lt;&gt;7,MID(A1365,5,1)&lt;&gt;"-",ISERROR(--LEFT(A1365,4)),ISERROR(--RIGHT(A1365,2))),"ERROR: PERIODO debe ser AAAA-MM",IF(B1365="","ERROR: falta CODIGO CECO",IF(G1365="CECO NO EXISTE","ERROR: CECO no existe en el catálogo",IF(C1365="","ERROR: falta CUENTA",IF(ISERROR(--C1365),"ERROR: CUENTA debe tener solo dígitos",IF(ISERROR(FIND(LEFT(C1365,1),"567")),"ERROR: CUENTA fuera de las clases de costo",IF(NOT(ISNUMBER(E1365)),"ERROR: VALOR debe ser numérico",IF(E1365=0,"AVISO: valor cero (no se carga)",IF(J1365&lt;&gt;"ACTIVO","NO SE CARGA: CECO en estado "&amp;J1365,"OK"))))))))))</f>
        <v/>
      </c>
    </row>
    <row r="1366">
      <c r="A1366" s="5" t="n"/>
      <c r="B1366" s="6" t="n"/>
      <c r="C1366" s="5" t="n"/>
      <c r="D1366" s="6" t="n"/>
      <c r="E1366" s="7" t="n"/>
      <c r="F1366" s="6" t="n"/>
      <c r="G1366" s="8">
        <f>IF(B1366="","",IFERROR(VLOOKUP(--B1366,'CATALOGO CECO'!$A$2:$H$550,2,FALSE),"CECO NO EXISTE"))</f>
        <v/>
      </c>
      <c r="H1366" s="8">
        <f>IF(B1366="","",IFERROR(VLOOKUP(--B1366,'CATALOGO CECO'!$A$2:$H$550,3,FALSE),""))</f>
        <v/>
      </c>
      <c r="I1366" s="8">
        <f>IF(B1366="","",IFERROR(VLOOKUP(--B1366,'CATALOGO CECO'!$A$2:$H$550,5,FALSE),""))</f>
        <v/>
      </c>
      <c r="J1366" s="8">
        <f>IF(B1366="","",IFERROR(VLOOKUP(--B1366,'CATALOGO CECO'!$A$2:$H$550,8,FALSE),""))</f>
        <v/>
      </c>
      <c r="K1366" s="8">
        <f>IF(COUNTA(A1366:F1366)=0,"",IF(OR(LEN(A1366)&lt;&gt;7,MID(A1366,5,1)&lt;&gt;"-",ISERROR(--LEFT(A1366,4)),ISERROR(--RIGHT(A1366,2))),"ERROR: PERIODO debe ser AAAA-MM",IF(B1366="","ERROR: falta CODIGO CECO",IF(G1366="CECO NO EXISTE","ERROR: CECO no existe en el catálogo",IF(C1366="","ERROR: falta CUENTA",IF(ISERROR(--C1366),"ERROR: CUENTA debe tener solo dígitos",IF(ISERROR(FIND(LEFT(C1366,1),"567")),"ERROR: CUENTA fuera de las clases de costo",IF(NOT(ISNUMBER(E1366)),"ERROR: VALOR debe ser numérico",IF(E1366=0,"AVISO: valor cero (no se carga)",IF(J1366&lt;&gt;"ACTIVO","NO SE CARGA: CECO en estado "&amp;J1366,"OK"))))))))))</f>
        <v/>
      </c>
    </row>
    <row r="1367">
      <c r="A1367" s="5" t="n"/>
      <c r="B1367" s="6" t="n"/>
      <c r="C1367" s="5" t="n"/>
      <c r="D1367" s="6" t="n"/>
      <c r="E1367" s="7" t="n"/>
      <c r="F1367" s="6" t="n"/>
      <c r="G1367" s="8">
        <f>IF(B1367="","",IFERROR(VLOOKUP(--B1367,'CATALOGO CECO'!$A$2:$H$550,2,FALSE),"CECO NO EXISTE"))</f>
        <v/>
      </c>
      <c r="H1367" s="8">
        <f>IF(B1367="","",IFERROR(VLOOKUP(--B1367,'CATALOGO CECO'!$A$2:$H$550,3,FALSE),""))</f>
        <v/>
      </c>
      <c r="I1367" s="8">
        <f>IF(B1367="","",IFERROR(VLOOKUP(--B1367,'CATALOGO CECO'!$A$2:$H$550,5,FALSE),""))</f>
        <v/>
      </c>
      <c r="J1367" s="8">
        <f>IF(B1367="","",IFERROR(VLOOKUP(--B1367,'CATALOGO CECO'!$A$2:$H$550,8,FALSE),""))</f>
        <v/>
      </c>
      <c r="K1367" s="8">
        <f>IF(COUNTA(A1367:F1367)=0,"",IF(OR(LEN(A1367)&lt;&gt;7,MID(A1367,5,1)&lt;&gt;"-",ISERROR(--LEFT(A1367,4)),ISERROR(--RIGHT(A1367,2))),"ERROR: PERIODO debe ser AAAA-MM",IF(B1367="","ERROR: falta CODIGO CECO",IF(G1367="CECO NO EXISTE","ERROR: CECO no existe en el catálogo",IF(C1367="","ERROR: falta CUENTA",IF(ISERROR(--C1367),"ERROR: CUENTA debe tener solo dígitos",IF(ISERROR(FIND(LEFT(C1367,1),"567")),"ERROR: CUENTA fuera de las clases de costo",IF(NOT(ISNUMBER(E1367)),"ERROR: VALOR debe ser numérico",IF(E1367=0,"AVISO: valor cero (no se carga)",IF(J1367&lt;&gt;"ACTIVO","NO SE CARGA: CECO en estado "&amp;J1367,"OK"))))))))))</f>
        <v/>
      </c>
    </row>
    <row r="1368">
      <c r="A1368" s="5" t="n"/>
      <c r="B1368" s="6" t="n"/>
      <c r="C1368" s="5" t="n"/>
      <c r="D1368" s="6" t="n"/>
      <c r="E1368" s="7" t="n"/>
      <c r="F1368" s="6" t="n"/>
      <c r="G1368" s="8">
        <f>IF(B1368="","",IFERROR(VLOOKUP(--B1368,'CATALOGO CECO'!$A$2:$H$550,2,FALSE),"CECO NO EXISTE"))</f>
        <v/>
      </c>
      <c r="H1368" s="8">
        <f>IF(B1368="","",IFERROR(VLOOKUP(--B1368,'CATALOGO CECO'!$A$2:$H$550,3,FALSE),""))</f>
        <v/>
      </c>
      <c r="I1368" s="8">
        <f>IF(B1368="","",IFERROR(VLOOKUP(--B1368,'CATALOGO CECO'!$A$2:$H$550,5,FALSE),""))</f>
        <v/>
      </c>
      <c r="J1368" s="8">
        <f>IF(B1368="","",IFERROR(VLOOKUP(--B1368,'CATALOGO CECO'!$A$2:$H$550,8,FALSE),""))</f>
        <v/>
      </c>
      <c r="K1368" s="8">
        <f>IF(COUNTA(A1368:F1368)=0,"",IF(OR(LEN(A1368)&lt;&gt;7,MID(A1368,5,1)&lt;&gt;"-",ISERROR(--LEFT(A1368,4)),ISERROR(--RIGHT(A1368,2))),"ERROR: PERIODO debe ser AAAA-MM",IF(B1368="","ERROR: falta CODIGO CECO",IF(G1368="CECO NO EXISTE","ERROR: CECO no existe en el catálogo",IF(C1368="","ERROR: falta CUENTA",IF(ISERROR(--C1368),"ERROR: CUENTA debe tener solo dígitos",IF(ISERROR(FIND(LEFT(C1368,1),"567")),"ERROR: CUENTA fuera de las clases de costo",IF(NOT(ISNUMBER(E1368)),"ERROR: VALOR debe ser numérico",IF(E1368=0,"AVISO: valor cero (no se carga)",IF(J1368&lt;&gt;"ACTIVO","NO SE CARGA: CECO en estado "&amp;J1368,"OK"))))))))))</f>
        <v/>
      </c>
    </row>
    <row r="1369">
      <c r="A1369" s="5" t="n"/>
      <c r="B1369" s="6" t="n"/>
      <c r="C1369" s="5" t="n"/>
      <c r="D1369" s="6" t="n"/>
      <c r="E1369" s="7" t="n"/>
      <c r="F1369" s="6" t="n"/>
      <c r="G1369" s="8">
        <f>IF(B1369="","",IFERROR(VLOOKUP(--B1369,'CATALOGO CECO'!$A$2:$H$550,2,FALSE),"CECO NO EXISTE"))</f>
        <v/>
      </c>
      <c r="H1369" s="8">
        <f>IF(B1369="","",IFERROR(VLOOKUP(--B1369,'CATALOGO CECO'!$A$2:$H$550,3,FALSE),""))</f>
        <v/>
      </c>
      <c r="I1369" s="8">
        <f>IF(B1369="","",IFERROR(VLOOKUP(--B1369,'CATALOGO CECO'!$A$2:$H$550,5,FALSE),""))</f>
        <v/>
      </c>
      <c r="J1369" s="8">
        <f>IF(B1369="","",IFERROR(VLOOKUP(--B1369,'CATALOGO CECO'!$A$2:$H$550,8,FALSE),""))</f>
        <v/>
      </c>
      <c r="K1369" s="8">
        <f>IF(COUNTA(A1369:F1369)=0,"",IF(OR(LEN(A1369)&lt;&gt;7,MID(A1369,5,1)&lt;&gt;"-",ISERROR(--LEFT(A1369,4)),ISERROR(--RIGHT(A1369,2))),"ERROR: PERIODO debe ser AAAA-MM",IF(B1369="","ERROR: falta CODIGO CECO",IF(G1369="CECO NO EXISTE","ERROR: CECO no existe en el catálogo",IF(C1369="","ERROR: falta CUENTA",IF(ISERROR(--C1369),"ERROR: CUENTA debe tener solo dígitos",IF(ISERROR(FIND(LEFT(C1369,1),"567")),"ERROR: CUENTA fuera de las clases de costo",IF(NOT(ISNUMBER(E1369)),"ERROR: VALOR debe ser numérico",IF(E1369=0,"AVISO: valor cero (no se carga)",IF(J1369&lt;&gt;"ACTIVO","NO SE CARGA: CECO en estado "&amp;J1369,"OK"))))))))))</f>
        <v/>
      </c>
    </row>
    <row r="1370">
      <c r="A1370" s="5" t="n"/>
      <c r="B1370" s="6" t="n"/>
      <c r="C1370" s="5" t="n"/>
      <c r="D1370" s="6" t="n"/>
      <c r="E1370" s="7" t="n"/>
      <c r="F1370" s="6" t="n"/>
      <c r="G1370" s="8">
        <f>IF(B1370="","",IFERROR(VLOOKUP(--B1370,'CATALOGO CECO'!$A$2:$H$550,2,FALSE),"CECO NO EXISTE"))</f>
        <v/>
      </c>
      <c r="H1370" s="8">
        <f>IF(B1370="","",IFERROR(VLOOKUP(--B1370,'CATALOGO CECO'!$A$2:$H$550,3,FALSE),""))</f>
        <v/>
      </c>
      <c r="I1370" s="8">
        <f>IF(B1370="","",IFERROR(VLOOKUP(--B1370,'CATALOGO CECO'!$A$2:$H$550,5,FALSE),""))</f>
        <v/>
      </c>
      <c r="J1370" s="8">
        <f>IF(B1370="","",IFERROR(VLOOKUP(--B1370,'CATALOGO CECO'!$A$2:$H$550,8,FALSE),""))</f>
        <v/>
      </c>
      <c r="K1370" s="8">
        <f>IF(COUNTA(A1370:F1370)=0,"",IF(OR(LEN(A1370)&lt;&gt;7,MID(A1370,5,1)&lt;&gt;"-",ISERROR(--LEFT(A1370,4)),ISERROR(--RIGHT(A1370,2))),"ERROR: PERIODO debe ser AAAA-MM",IF(B1370="","ERROR: falta CODIGO CECO",IF(G1370="CECO NO EXISTE","ERROR: CECO no existe en el catálogo",IF(C1370="","ERROR: falta CUENTA",IF(ISERROR(--C1370),"ERROR: CUENTA debe tener solo dígitos",IF(ISERROR(FIND(LEFT(C1370,1),"567")),"ERROR: CUENTA fuera de las clases de costo",IF(NOT(ISNUMBER(E1370)),"ERROR: VALOR debe ser numérico",IF(E1370=0,"AVISO: valor cero (no se carga)",IF(J1370&lt;&gt;"ACTIVO","NO SE CARGA: CECO en estado "&amp;J1370,"OK"))))))))))</f>
        <v/>
      </c>
    </row>
    <row r="1371">
      <c r="A1371" s="5" t="n"/>
      <c r="B1371" s="6" t="n"/>
      <c r="C1371" s="5" t="n"/>
      <c r="D1371" s="6" t="n"/>
      <c r="E1371" s="7" t="n"/>
      <c r="F1371" s="6" t="n"/>
      <c r="G1371" s="8">
        <f>IF(B1371="","",IFERROR(VLOOKUP(--B1371,'CATALOGO CECO'!$A$2:$H$550,2,FALSE),"CECO NO EXISTE"))</f>
        <v/>
      </c>
      <c r="H1371" s="8">
        <f>IF(B1371="","",IFERROR(VLOOKUP(--B1371,'CATALOGO CECO'!$A$2:$H$550,3,FALSE),""))</f>
        <v/>
      </c>
      <c r="I1371" s="8">
        <f>IF(B1371="","",IFERROR(VLOOKUP(--B1371,'CATALOGO CECO'!$A$2:$H$550,5,FALSE),""))</f>
        <v/>
      </c>
      <c r="J1371" s="8">
        <f>IF(B1371="","",IFERROR(VLOOKUP(--B1371,'CATALOGO CECO'!$A$2:$H$550,8,FALSE),""))</f>
        <v/>
      </c>
      <c r="K1371" s="8">
        <f>IF(COUNTA(A1371:F1371)=0,"",IF(OR(LEN(A1371)&lt;&gt;7,MID(A1371,5,1)&lt;&gt;"-",ISERROR(--LEFT(A1371,4)),ISERROR(--RIGHT(A1371,2))),"ERROR: PERIODO debe ser AAAA-MM",IF(B1371="","ERROR: falta CODIGO CECO",IF(G1371="CECO NO EXISTE","ERROR: CECO no existe en el catálogo",IF(C1371="","ERROR: falta CUENTA",IF(ISERROR(--C1371),"ERROR: CUENTA debe tener solo dígitos",IF(ISERROR(FIND(LEFT(C1371,1),"567")),"ERROR: CUENTA fuera de las clases de costo",IF(NOT(ISNUMBER(E1371)),"ERROR: VALOR debe ser numérico",IF(E1371=0,"AVISO: valor cero (no se carga)",IF(J1371&lt;&gt;"ACTIVO","NO SE CARGA: CECO en estado "&amp;J1371,"OK"))))))))))</f>
        <v/>
      </c>
    </row>
    <row r="1372">
      <c r="A1372" s="5" t="n"/>
      <c r="B1372" s="6" t="n"/>
      <c r="C1372" s="5" t="n"/>
      <c r="D1372" s="6" t="n"/>
      <c r="E1372" s="7" t="n"/>
      <c r="F1372" s="6" t="n"/>
      <c r="G1372" s="8">
        <f>IF(B1372="","",IFERROR(VLOOKUP(--B1372,'CATALOGO CECO'!$A$2:$H$550,2,FALSE),"CECO NO EXISTE"))</f>
        <v/>
      </c>
      <c r="H1372" s="8">
        <f>IF(B1372="","",IFERROR(VLOOKUP(--B1372,'CATALOGO CECO'!$A$2:$H$550,3,FALSE),""))</f>
        <v/>
      </c>
      <c r="I1372" s="8">
        <f>IF(B1372="","",IFERROR(VLOOKUP(--B1372,'CATALOGO CECO'!$A$2:$H$550,5,FALSE),""))</f>
        <v/>
      </c>
      <c r="J1372" s="8">
        <f>IF(B1372="","",IFERROR(VLOOKUP(--B1372,'CATALOGO CECO'!$A$2:$H$550,8,FALSE),""))</f>
        <v/>
      </c>
      <c r="K1372" s="8">
        <f>IF(COUNTA(A1372:F1372)=0,"",IF(OR(LEN(A1372)&lt;&gt;7,MID(A1372,5,1)&lt;&gt;"-",ISERROR(--LEFT(A1372,4)),ISERROR(--RIGHT(A1372,2))),"ERROR: PERIODO debe ser AAAA-MM",IF(B1372="","ERROR: falta CODIGO CECO",IF(G1372="CECO NO EXISTE","ERROR: CECO no existe en el catálogo",IF(C1372="","ERROR: falta CUENTA",IF(ISERROR(--C1372),"ERROR: CUENTA debe tener solo dígitos",IF(ISERROR(FIND(LEFT(C1372,1),"567")),"ERROR: CUENTA fuera de las clases de costo",IF(NOT(ISNUMBER(E1372)),"ERROR: VALOR debe ser numérico",IF(E1372=0,"AVISO: valor cero (no se carga)",IF(J1372&lt;&gt;"ACTIVO","NO SE CARGA: CECO en estado "&amp;J1372,"OK"))))))))))</f>
        <v/>
      </c>
    </row>
    <row r="1373">
      <c r="A1373" s="5" t="n"/>
      <c r="B1373" s="6" t="n"/>
      <c r="C1373" s="5" t="n"/>
      <c r="D1373" s="6" t="n"/>
      <c r="E1373" s="7" t="n"/>
      <c r="F1373" s="6" t="n"/>
      <c r="G1373" s="8">
        <f>IF(B1373="","",IFERROR(VLOOKUP(--B1373,'CATALOGO CECO'!$A$2:$H$550,2,FALSE),"CECO NO EXISTE"))</f>
        <v/>
      </c>
      <c r="H1373" s="8">
        <f>IF(B1373="","",IFERROR(VLOOKUP(--B1373,'CATALOGO CECO'!$A$2:$H$550,3,FALSE),""))</f>
        <v/>
      </c>
      <c r="I1373" s="8">
        <f>IF(B1373="","",IFERROR(VLOOKUP(--B1373,'CATALOGO CECO'!$A$2:$H$550,5,FALSE),""))</f>
        <v/>
      </c>
      <c r="J1373" s="8">
        <f>IF(B1373="","",IFERROR(VLOOKUP(--B1373,'CATALOGO CECO'!$A$2:$H$550,8,FALSE),""))</f>
        <v/>
      </c>
      <c r="K1373" s="8">
        <f>IF(COUNTA(A1373:F1373)=0,"",IF(OR(LEN(A1373)&lt;&gt;7,MID(A1373,5,1)&lt;&gt;"-",ISERROR(--LEFT(A1373,4)),ISERROR(--RIGHT(A1373,2))),"ERROR: PERIODO debe ser AAAA-MM",IF(B1373="","ERROR: falta CODIGO CECO",IF(G1373="CECO NO EXISTE","ERROR: CECO no existe en el catálogo",IF(C1373="","ERROR: falta CUENTA",IF(ISERROR(--C1373),"ERROR: CUENTA debe tener solo dígitos",IF(ISERROR(FIND(LEFT(C1373,1),"567")),"ERROR: CUENTA fuera de las clases de costo",IF(NOT(ISNUMBER(E1373)),"ERROR: VALOR debe ser numérico",IF(E1373=0,"AVISO: valor cero (no se carga)",IF(J1373&lt;&gt;"ACTIVO","NO SE CARGA: CECO en estado "&amp;J1373,"OK"))))))))))</f>
        <v/>
      </c>
    </row>
    <row r="1374">
      <c r="A1374" s="5" t="n"/>
      <c r="B1374" s="6" t="n"/>
      <c r="C1374" s="5" t="n"/>
      <c r="D1374" s="6" t="n"/>
      <c r="E1374" s="7" t="n"/>
      <c r="F1374" s="6" t="n"/>
      <c r="G1374" s="8">
        <f>IF(B1374="","",IFERROR(VLOOKUP(--B1374,'CATALOGO CECO'!$A$2:$H$550,2,FALSE),"CECO NO EXISTE"))</f>
        <v/>
      </c>
      <c r="H1374" s="8">
        <f>IF(B1374="","",IFERROR(VLOOKUP(--B1374,'CATALOGO CECO'!$A$2:$H$550,3,FALSE),""))</f>
        <v/>
      </c>
      <c r="I1374" s="8">
        <f>IF(B1374="","",IFERROR(VLOOKUP(--B1374,'CATALOGO CECO'!$A$2:$H$550,5,FALSE),""))</f>
        <v/>
      </c>
      <c r="J1374" s="8">
        <f>IF(B1374="","",IFERROR(VLOOKUP(--B1374,'CATALOGO CECO'!$A$2:$H$550,8,FALSE),""))</f>
        <v/>
      </c>
      <c r="K1374" s="8">
        <f>IF(COUNTA(A1374:F1374)=0,"",IF(OR(LEN(A1374)&lt;&gt;7,MID(A1374,5,1)&lt;&gt;"-",ISERROR(--LEFT(A1374,4)),ISERROR(--RIGHT(A1374,2))),"ERROR: PERIODO debe ser AAAA-MM",IF(B1374="","ERROR: falta CODIGO CECO",IF(G1374="CECO NO EXISTE","ERROR: CECO no existe en el catálogo",IF(C1374="","ERROR: falta CUENTA",IF(ISERROR(--C1374),"ERROR: CUENTA debe tener solo dígitos",IF(ISERROR(FIND(LEFT(C1374,1),"567")),"ERROR: CUENTA fuera de las clases de costo",IF(NOT(ISNUMBER(E1374)),"ERROR: VALOR debe ser numérico",IF(E1374=0,"AVISO: valor cero (no se carga)",IF(J1374&lt;&gt;"ACTIVO","NO SE CARGA: CECO en estado "&amp;J1374,"OK"))))))))))</f>
        <v/>
      </c>
    </row>
    <row r="1375">
      <c r="A1375" s="5" t="n"/>
      <c r="B1375" s="6" t="n"/>
      <c r="C1375" s="5" t="n"/>
      <c r="D1375" s="6" t="n"/>
      <c r="E1375" s="7" t="n"/>
      <c r="F1375" s="6" t="n"/>
      <c r="G1375" s="8">
        <f>IF(B1375="","",IFERROR(VLOOKUP(--B1375,'CATALOGO CECO'!$A$2:$H$550,2,FALSE),"CECO NO EXISTE"))</f>
        <v/>
      </c>
      <c r="H1375" s="8">
        <f>IF(B1375="","",IFERROR(VLOOKUP(--B1375,'CATALOGO CECO'!$A$2:$H$550,3,FALSE),""))</f>
        <v/>
      </c>
      <c r="I1375" s="8">
        <f>IF(B1375="","",IFERROR(VLOOKUP(--B1375,'CATALOGO CECO'!$A$2:$H$550,5,FALSE),""))</f>
        <v/>
      </c>
      <c r="J1375" s="8">
        <f>IF(B1375="","",IFERROR(VLOOKUP(--B1375,'CATALOGO CECO'!$A$2:$H$550,8,FALSE),""))</f>
        <v/>
      </c>
      <c r="K1375" s="8">
        <f>IF(COUNTA(A1375:F1375)=0,"",IF(OR(LEN(A1375)&lt;&gt;7,MID(A1375,5,1)&lt;&gt;"-",ISERROR(--LEFT(A1375,4)),ISERROR(--RIGHT(A1375,2))),"ERROR: PERIODO debe ser AAAA-MM",IF(B1375="","ERROR: falta CODIGO CECO",IF(G1375="CECO NO EXISTE","ERROR: CECO no existe en el catálogo",IF(C1375="","ERROR: falta CUENTA",IF(ISERROR(--C1375),"ERROR: CUENTA debe tener solo dígitos",IF(ISERROR(FIND(LEFT(C1375,1),"567")),"ERROR: CUENTA fuera de las clases de costo",IF(NOT(ISNUMBER(E1375)),"ERROR: VALOR debe ser numérico",IF(E1375=0,"AVISO: valor cero (no se carga)",IF(J1375&lt;&gt;"ACTIVO","NO SE CARGA: CECO en estado "&amp;J1375,"OK"))))))))))</f>
        <v/>
      </c>
    </row>
    <row r="1376">
      <c r="A1376" s="5" t="n"/>
      <c r="B1376" s="6" t="n"/>
      <c r="C1376" s="5" t="n"/>
      <c r="D1376" s="6" t="n"/>
      <c r="E1376" s="7" t="n"/>
      <c r="F1376" s="6" t="n"/>
      <c r="G1376" s="8">
        <f>IF(B1376="","",IFERROR(VLOOKUP(--B1376,'CATALOGO CECO'!$A$2:$H$550,2,FALSE),"CECO NO EXISTE"))</f>
        <v/>
      </c>
      <c r="H1376" s="8">
        <f>IF(B1376="","",IFERROR(VLOOKUP(--B1376,'CATALOGO CECO'!$A$2:$H$550,3,FALSE),""))</f>
        <v/>
      </c>
      <c r="I1376" s="8">
        <f>IF(B1376="","",IFERROR(VLOOKUP(--B1376,'CATALOGO CECO'!$A$2:$H$550,5,FALSE),""))</f>
        <v/>
      </c>
      <c r="J1376" s="8">
        <f>IF(B1376="","",IFERROR(VLOOKUP(--B1376,'CATALOGO CECO'!$A$2:$H$550,8,FALSE),""))</f>
        <v/>
      </c>
      <c r="K1376" s="8">
        <f>IF(COUNTA(A1376:F1376)=0,"",IF(OR(LEN(A1376)&lt;&gt;7,MID(A1376,5,1)&lt;&gt;"-",ISERROR(--LEFT(A1376,4)),ISERROR(--RIGHT(A1376,2))),"ERROR: PERIODO debe ser AAAA-MM",IF(B1376="","ERROR: falta CODIGO CECO",IF(G1376="CECO NO EXISTE","ERROR: CECO no existe en el catálogo",IF(C1376="","ERROR: falta CUENTA",IF(ISERROR(--C1376),"ERROR: CUENTA debe tener solo dígitos",IF(ISERROR(FIND(LEFT(C1376,1),"567")),"ERROR: CUENTA fuera de las clases de costo",IF(NOT(ISNUMBER(E1376)),"ERROR: VALOR debe ser numérico",IF(E1376=0,"AVISO: valor cero (no se carga)",IF(J1376&lt;&gt;"ACTIVO","NO SE CARGA: CECO en estado "&amp;J1376,"OK"))))))))))</f>
        <v/>
      </c>
    </row>
    <row r="1377">
      <c r="A1377" s="5" t="n"/>
      <c r="B1377" s="6" t="n"/>
      <c r="C1377" s="5" t="n"/>
      <c r="D1377" s="6" t="n"/>
      <c r="E1377" s="7" t="n"/>
      <c r="F1377" s="6" t="n"/>
      <c r="G1377" s="8">
        <f>IF(B1377="","",IFERROR(VLOOKUP(--B1377,'CATALOGO CECO'!$A$2:$H$550,2,FALSE),"CECO NO EXISTE"))</f>
        <v/>
      </c>
      <c r="H1377" s="8">
        <f>IF(B1377="","",IFERROR(VLOOKUP(--B1377,'CATALOGO CECO'!$A$2:$H$550,3,FALSE),""))</f>
        <v/>
      </c>
      <c r="I1377" s="8">
        <f>IF(B1377="","",IFERROR(VLOOKUP(--B1377,'CATALOGO CECO'!$A$2:$H$550,5,FALSE),""))</f>
        <v/>
      </c>
      <c r="J1377" s="8">
        <f>IF(B1377="","",IFERROR(VLOOKUP(--B1377,'CATALOGO CECO'!$A$2:$H$550,8,FALSE),""))</f>
        <v/>
      </c>
      <c r="K1377" s="8">
        <f>IF(COUNTA(A1377:F1377)=0,"",IF(OR(LEN(A1377)&lt;&gt;7,MID(A1377,5,1)&lt;&gt;"-",ISERROR(--LEFT(A1377,4)),ISERROR(--RIGHT(A1377,2))),"ERROR: PERIODO debe ser AAAA-MM",IF(B1377="","ERROR: falta CODIGO CECO",IF(G1377="CECO NO EXISTE","ERROR: CECO no existe en el catálogo",IF(C1377="","ERROR: falta CUENTA",IF(ISERROR(--C1377),"ERROR: CUENTA debe tener solo dígitos",IF(ISERROR(FIND(LEFT(C1377,1),"567")),"ERROR: CUENTA fuera de las clases de costo",IF(NOT(ISNUMBER(E1377)),"ERROR: VALOR debe ser numérico",IF(E1377=0,"AVISO: valor cero (no se carga)",IF(J1377&lt;&gt;"ACTIVO","NO SE CARGA: CECO en estado "&amp;J1377,"OK"))))))))))</f>
        <v/>
      </c>
    </row>
    <row r="1378">
      <c r="A1378" s="5" t="n"/>
      <c r="B1378" s="6" t="n"/>
      <c r="C1378" s="5" t="n"/>
      <c r="D1378" s="6" t="n"/>
      <c r="E1378" s="7" t="n"/>
      <c r="F1378" s="6" t="n"/>
      <c r="G1378" s="8">
        <f>IF(B1378="","",IFERROR(VLOOKUP(--B1378,'CATALOGO CECO'!$A$2:$H$550,2,FALSE),"CECO NO EXISTE"))</f>
        <v/>
      </c>
      <c r="H1378" s="8">
        <f>IF(B1378="","",IFERROR(VLOOKUP(--B1378,'CATALOGO CECO'!$A$2:$H$550,3,FALSE),""))</f>
        <v/>
      </c>
      <c r="I1378" s="8">
        <f>IF(B1378="","",IFERROR(VLOOKUP(--B1378,'CATALOGO CECO'!$A$2:$H$550,5,FALSE),""))</f>
        <v/>
      </c>
      <c r="J1378" s="8">
        <f>IF(B1378="","",IFERROR(VLOOKUP(--B1378,'CATALOGO CECO'!$A$2:$H$550,8,FALSE),""))</f>
        <v/>
      </c>
      <c r="K1378" s="8">
        <f>IF(COUNTA(A1378:F1378)=0,"",IF(OR(LEN(A1378)&lt;&gt;7,MID(A1378,5,1)&lt;&gt;"-",ISERROR(--LEFT(A1378,4)),ISERROR(--RIGHT(A1378,2))),"ERROR: PERIODO debe ser AAAA-MM",IF(B1378="","ERROR: falta CODIGO CECO",IF(G1378="CECO NO EXISTE","ERROR: CECO no existe en el catálogo",IF(C1378="","ERROR: falta CUENTA",IF(ISERROR(--C1378),"ERROR: CUENTA debe tener solo dígitos",IF(ISERROR(FIND(LEFT(C1378,1),"567")),"ERROR: CUENTA fuera de las clases de costo",IF(NOT(ISNUMBER(E1378)),"ERROR: VALOR debe ser numérico",IF(E1378=0,"AVISO: valor cero (no se carga)",IF(J1378&lt;&gt;"ACTIVO","NO SE CARGA: CECO en estado "&amp;J1378,"OK"))))))))))</f>
        <v/>
      </c>
    </row>
    <row r="1379">
      <c r="A1379" s="5" t="n"/>
      <c r="B1379" s="6" t="n"/>
      <c r="C1379" s="5" t="n"/>
      <c r="D1379" s="6" t="n"/>
      <c r="E1379" s="7" t="n"/>
      <c r="F1379" s="6" t="n"/>
      <c r="G1379" s="8">
        <f>IF(B1379="","",IFERROR(VLOOKUP(--B1379,'CATALOGO CECO'!$A$2:$H$550,2,FALSE),"CECO NO EXISTE"))</f>
        <v/>
      </c>
      <c r="H1379" s="8">
        <f>IF(B1379="","",IFERROR(VLOOKUP(--B1379,'CATALOGO CECO'!$A$2:$H$550,3,FALSE),""))</f>
        <v/>
      </c>
      <c r="I1379" s="8">
        <f>IF(B1379="","",IFERROR(VLOOKUP(--B1379,'CATALOGO CECO'!$A$2:$H$550,5,FALSE),""))</f>
        <v/>
      </c>
      <c r="J1379" s="8">
        <f>IF(B1379="","",IFERROR(VLOOKUP(--B1379,'CATALOGO CECO'!$A$2:$H$550,8,FALSE),""))</f>
        <v/>
      </c>
      <c r="K1379" s="8">
        <f>IF(COUNTA(A1379:F1379)=0,"",IF(OR(LEN(A1379)&lt;&gt;7,MID(A1379,5,1)&lt;&gt;"-",ISERROR(--LEFT(A1379,4)),ISERROR(--RIGHT(A1379,2))),"ERROR: PERIODO debe ser AAAA-MM",IF(B1379="","ERROR: falta CODIGO CECO",IF(G1379="CECO NO EXISTE","ERROR: CECO no existe en el catálogo",IF(C1379="","ERROR: falta CUENTA",IF(ISERROR(--C1379),"ERROR: CUENTA debe tener solo dígitos",IF(ISERROR(FIND(LEFT(C1379,1),"567")),"ERROR: CUENTA fuera de las clases de costo",IF(NOT(ISNUMBER(E1379)),"ERROR: VALOR debe ser numérico",IF(E1379=0,"AVISO: valor cero (no se carga)",IF(J1379&lt;&gt;"ACTIVO","NO SE CARGA: CECO en estado "&amp;J1379,"OK"))))))))))</f>
        <v/>
      </c>
    </row>
    <row r="1380">
      <c r="A1380" s="5" t="n"/>
      <c r="B1380" s="6" t="n"/>
      <c r="C1380" s="5" t="n"/>
      <c r="D1380" s="6" t="n"/>
      <c r="E1380" s="7" t="n"/>
      <c r="F1380" s="6" t="n"/>
      <c r="G1380" s="8">
        <f>IF(B1380="","",IFERROR(VLOOKUP(--B1380,'CATALOGO CECO'!$A$2:$H$550,2,FALSE),"CECO NO EXISTE"))</f>
        <v/>
      </c>
      <c r="H1380" s="8">
        <f>IF(B1380="","",IFERROR(VLOOKUP(--B1380,'CATALOGO CECO'!$A$2:$H$550,3,FALSE),""))</f>
        <v/>
      </c>
      <c r="I1380" s="8">
        <f>IF(B1380="","",IFERROR(VLOOKUP(--B1380,'CATALOGO CECO'!$A$2:$H$550,5,FALSE),""))</f>
        <v/>
      </c>
      <c r="J1380" s="8">
        <f>IF(B1380="","",IFERROR(VLOOKUP(--B1380,'CATALOGO CECO'!$A$2:$H$550,8,FALSE),""))</f>
        <v/>
      </c>
      <c r="K1380" s="8">
        <f>IF(COUNTA(A1380:F1380)=0,"",IF(OR(LEN(A1380)&lt;&gt;7,MID(A1380,5,1)&lt;&gt;"-",ISERROR(--LEFT(A1380,4)),ISERROR(--RIGHT(A1380,2))),"ERROR: PERIODO debe ser AAAA-MM",IF(B1380="","ERROR: falta CODIGO CECO",IF(G1380="CECO NO EXISTE","ERROR: CECO no existe en el catálogo",IF(C1380="","ERROR: falta CUENTA",IF(ISERROR(--C1380),"ERROR: CUENTA debe tener solo dígitos",IF(ISERROR(FIND(LEFT(C1380,1),"567")),"ERROR: CUENTA fuera de las clases de costo",IF(NOT(ISNUMBER(E1380)),"ERROR: VALOR debe ser numérico",IF(E1380=0,"AVISO: valor cero (no se carga)",IF(J1380&lt;&gt;"ACTIVO","NO SE CARGA: CECO en estado "&amp;J1380,"OK"))))))))))</f>
        <v/>
      </c>
    </row>
    <row r="1381">
      <c r="A1381" s="5" t="n"/>
      <c r="B1381" s="6" t="n"/>
      <c r="C1381" s="5" t="n"/>
      <c r="D1381" s="6" t="n"/>
      <c r="E1381" s="7" t="n"/>
      <c r="F1381" s="6" t="n"/>
      <c r="G1381" s="8">
        <f>IF(B1381="","",IFERROR(VLOOKUP(--B1381,'CATALOGO CECO'!$A$2:$H$550,2,FALSE),"CECO NO EXISTE"))</f>
        <v/>
      </c>
      <c r="H1381" s="8">
        <f>IF(B1381="","",IFERROR(VLOOKUP(--B1381,'CATALOGO CECO'!$A$2:$H$550,3,FALSE),""))</f>
        <v/>
      </c>
      <c r="I1381" s="8">
        <f>IF(B1381="","",IFERROR(VLOOKUP(--B1381,'CATALOGO CECO'!$A$2:$H$550,5,FALSE),""))</f>
        <v/>
      </c>
      <c r="J1381" s="8">
        <f>IF(B1381="","",IFERROR(VLOOKUP(--B1381,'CATALOGO CECO'!$A$2:$H$550,8,FALSE),""))</f>
        <v/>
      </c>
      <c r="K1381" s="8">
        <f>IF(COUNTA(A1381:F1381)=0,"",IF(OR(LEN(A1381)&lt;&gt;7,MID(A1381,5,1)&lt;&gt;"-",ISERROR(--LEFT(A1381,4)),ISERROR(--RIGHT(A1381,2))),"ERROR: PERIODO debe ser AAAA-MM",IF(B1381="","ERROR: falta CODIGO CECO",IF(G1381="CECO NO EXISTE","ERROR: CECO no existe en el catálogo",IF(C1381="","ERROR: falta CUENTA",IF(ISERROR(--C1381),"ERROR: CUENTA debe tener solo dígitos",IF(ISERROR(FIND(LEFT(C1381,1),"567")),"ERROR: CUENTA fuera de las clases de costo",IF(NOT(ISNUMBER(E1381)),"ERROR: VALOR debe ser numérico",IF(E1381=0,"AVISO: valor cero (no se carga)",IF(J1381&lt;&gt;"ACTIVO","NO SE CARGA: CECO en estado "&amp;J1381,"OK"))))))))))</f>
        <v/>
      </c>
    </row>
    <row r="1382">
      <c r="A1382" s="5" t="n"/>
      <c r="B1382" s="6" t="n"/>
      <c r="C1382" s="5" t="n"/>
      <c r="D1382" s="6" t="n"/>
      <c r="E1382" s="7" t="n"/>
      <c r="F1382" s="6" t="n"/>
      <c r="G1382" s="8">
        <f>IF(B1382="","",IFERROR(VLOOKUP(--B1382,'CATALOGO CECO'!$A$2:$H$550,2,FALSE),"CECO NO EXISTE"))</f>
        <v/>
      </c>
      <c r="H1382" s="8">
        <f>IF(B1382="","",IFERROR(VLOOKUP(--B1382,'CATALOGO CECO'!$A$2:$H$550,3,FALSE),""))</f>
        <v/>
      </c>
      <c r="I1382" s="8">
        <f>IF(B1382="","",IFERROR(VLOOKUP(--B1382,'CATALOGO CECO'!$A$2:$H$550,5,FALSE),""))</f>
        <v/>
      </c>
      <c r="J1382" s="8">
        <f>IF(B1382="","",IFERROR(VLOOKUP(--B1382,'CATALOGO CECO'!$A$2:$H$550,8,FALSE),""))</f>
        <v/>
      </c>
      <c r="K1382" s="8">
        <f>IF(COUNTA(A1382:F1382)=0,"",IF(OR(LEN(A1382)&lt;&gt;7,MID(A1382,5,1)&lt;&gt;"-",ISERROR(--LEFT(A1382,4)),ISERROR(--RIGHT(A1382,2))),"ERROR: PERIODO debe ser AAAA-MM",IF(B1382="","ERROR: falta CODIGO CECO",IF(G1382="CECO NO EXISTE","ERROR: CECO no existe en el catálogo",IF(C1382="","ERROR: falta CUENTA",IF(ISERROR(--C1382),"ERROR: CUENTA debe tener solo dígitos",IF(ISERROR(FIND(LEFT(C1382,1),"567")),"ERROR: CUENTA fuera de las clases de costo",IF(NOT(ISNUMBER(E1382)),"ERROR: VALOR debe ser numérico",IF(E1382=0,"AVISO: valor cero (no se carga)",IF(J1382&lt;&gt;"ACTIVO","NO SE CARGA: CECO en estado "&amp;J1382,"OK"))))))))))</f>
        <v/>
      </c>
    </row>
    <row r="1383">
      <c r="A1383" s="5" t="n"/>
      <c r="B1383" s="6" t="n"/>
      <c r="C1383" s="5" t="n"/>
      <c r="D1383" s="6" t="n"/>
      <c r="E1383" s="7" t="n"/>
      <c r="F1383" s="6" t="n"/>
      <c r="G1383" s="8">
        <f>IF(B1383="","",IFERROR(VLOOKUP(--B1383,'CATALOGO CECO'!$A$2:$H$550,2,FALSE),"CECO NO EXISTE"))</f>
        <v/>
      </c>
      <c r="H1383" s="8">
        <f>IF(B1383="","",IFERROR(VLOOKUP(--B1383,'CATALOGO CECO'!$A$2:$H$550,3,FALSE),""))</f>
        <v/>
      </c>
      <c r="I1383" s="8">
        <f>IF(B1383="","",IFERROR(VLOOKUP(--B1383,'CATALOGO CECO'!$A$2:$H$550,5,FALSE),""))</f>
        <v/>
      </c>
      <c r="J1383" s="8">
        <f>IF(B1383="","",IFERROR(VLOOKUP(--B1383,'CATALOGO CECO'!$A$2:$H$550,8,FALSE),""))</f>
        <v/>
      </c>
      <c r="K1383" s="8">
        <f>IF(COUNTA(A1383:F1383)=0,"",IF(OR(LEN(A1383)&lt;&gt;7,MID(A1383,5,1)&lt;&gt;"-",ISERROR(--LEFT(A1383,4)),ISERROR(--RIGHT(A1383,2))),"ERROR: PERIODO debe ser AAAA-MM",IF(B1383="","ERROR: falta CODIGO CECO",IF(G1383="CECO NO EXISTE","ERROR: CECO no existe en el catálogo",IF(C1383="","ERROR: falta CUENTA",IF(ISERROR(--C1383),"ERROR: CUENTA debe tener solo dígitos",IF(ISERROR(FIND(LEFT(C1383,1),"567")),"ERROR: CUENTA fuera de las clases de costo",IF(NOT(ISNUMBER(E1383)),"ERROR: VALOR debe ser numérico",IF(E1383=0,"AVISO: valor cero (no se carga)",IF(J1383&lt;&gt;"ACTIVO","NO SE CARGA: CECO en estado "&amp;J1383,"OK"))))))))))</f>
        <v/>
      </c>
    </row>
    <row r="1384">
      <c r="A1384" s="5" t="n"/>
      <c r="B1384" s="6" t="n"/>
      <c r="C1384" s="5" t="n"/>
      <c r="D1384" s="6" t="n"/>
      <c r="E1384" s="7" t="n"/>
      <c r="F1384" s="6" t="n"/>
      <c r="G1384" s="8">
        <f>IF(B1384="","",IFERROR(VLOOKUP(--B1384,'CATALOGO CECO'!$A$2:$H$550,2,FALSE),"CECO NO EXISTE"))</f>
        <v/>
      </c>
      <c r="H1384" s="8">
        <f>IF(B1384="","",IFERROR(VLOOKUP(--B1384,'CATALOGO CECO'!$A$2:$H$550,3,FALSE),""))</f>
        <v/>
      </c>
      <c r="I1384" s="8">
        <f>IF(B1384="","",IFERROR(VLOOKUP(--B1384,'CATALOGO CECO'!$A$2:$H$550,5,FALSE),""))</f>
        <v/>
      </c>
      <c r="J1384" s="8">
        <f>IF(B1384="","",IFERROR(VLOOKUP(--B1384,'CATALOGO CECO'!$A$2:$H$550,8,FALSE),""))</f>
        <v/>
      </c>
      <c r="K1384" s="8">
        <f>IF(COUNTA(A1384:F1384)=0,"",IF(OR(LEN(A1384)&lt;&gt;7,MID(A1384,5,1)&lt;&gt;"-",ISERROR(--LEFT(A1384,4)),ISERROR(--RIGHT(A1384,2))),"ERROR: PERIODO debe ser AAAA-MM",IF(B1384="","ERROR: falta CODIGO CECO",IF(G1384="CECO NO EXISTE","ERROR: CECO no existe en el catálogo",IF(C1384="","ERROR: falta CUENTA",IF(ISERROR(--C1384),"ERROR: CUENTA debe tener solo dígitos",IF(ISERROR(FIND(LEFT(C1384,1),"567")),"ERROR: CUENTA fuera de las clases de costo",IF(NOT(ISNUMBER(E1384)),"ERROR: VALOR debe ser numérico",IF(E1384=0,"AVISO: valor cero (no se carga)",IF(J1384&lt;&gt;"ACTIVO","NO SE CARGA: CECO en estado "&amp;J1384,"OK"))))))))))</f>
        <v/>
      </c>
    </row>
    <row r="1385">
      <c r="A1385" s="5" t="n"/>
      <c r="B1385" s="6" t="n"/>
      <c r="C1385" s="5" t="n"/>
      <c r="D1385" s="6" t="n"/>
      <c r="E1385" s="7" t="n"/>
      <c r="F1385" s="6" t="n"/>
      <c r="G1385" s="8">
        <f>IF(B1385="","",IFERROR(VLOOKUP(--B1385,'CATALOGO CECO'!$A$2:$H$550,2,FALSE),"CECO NO EXISTE"))</f>
        <v/>
      </c>
      <c r="H1385" s="8">
        <f>IF(B1385="","",IFERROR(VLOOKUP(--B1385,'CATALOGO CECO'!$A$2:$H$550,3,FALSE),""))</f>
        <v/>
      </c>
      <c r="I1385" s="8">
        <f>IF(B1385="","",IFERROR(VLOOKUP(--B1385,'CATALOGO CECO'!$A$2:$H$550,5,FALSE),""))</f>
        <v/>
      </c>
      <c r="J1385" s="8">
        <f>IF(B1385="","",IFERROR(VLOOKUP(--B1385,'CATALOGO CECO'!$A$2:$H$550,8,FALSE),""))</f>
        <v/>
      </c>
      <c r="K1385" s="8">
        <f>IF(COUNTA(A1385:F1385)=0,"",IF(OR(LEN(A1385)&lt;&gt;7,MID(A1385,5,1)&lt;&gt;"-",ISERROR(--LEFT(A1385,4)),ISERROR(--RIGHT(A1385,2))),"ERROR: PERIODO debe ser AAAA-MM",IF(B1385="","ERROR: falta CODIGO CECO",IF(G1385="CECO NO EXISTE","ERROR: CECO no existe en el catálogo",IF(C1385="","ERROR: falta CUENTA",IF(ISERROR(--C1385),"ERROR: CUENTA debe tener solo dígitos",IF(ISERROR(FIND(LEFT(C1385,1),"567")),"ERROR: CUENTA fuera de las clases de costo",IF(NOT(ISNUMBER(E1385)),"ERROR: VALOR debe ser numérico",IF(E1385=0,"AVISO: valor cero (no se carga)",IF(J1385&lt;&gt;"ACTIVO","NO SE CARGA: CECO en estado "&amp;J1385,"OK"))))))))))</f>
        <v/>
      </c>
    </row>
    <row r="1386">
      <c r="A1386" s="5" t="n"/>
      <c r="B1386" s="6" t="n"/>
      <c r="C1386" s="5" t="n"/>
      <c r="D1386" s="6" t="n"/>
      <c r="E1386" s="7" t="n"/>
      <c r="F1386" s="6" t="n"/>
      <c r="G1386" s="8">
        <f>IF(B1386="","",IFERROR(VLOOKUP(--B1386,'CATALOGO CECO'!$A$2:$H$550,2,FALSE),"CECO NO EXISTE"))</f>
        <v/>
      </c>
      <c r="H1386" s="8">
        <f>IF(B1386="","",IFERROR(VLOOKUP(--B1386,'CATALOGO CECO'!$A$2:$H$550,3,FALSE),""))</f>
        <v/>
      </c>
      <c r="I1386" s="8">
        <f>IF(B1386="","",IFERROR(VLOOKUP(--B1386,'CATALOGO CECO'!$A$2:$H$550,5,FALSE),""))</f>
        <v/>
      </c>
      <c r="J1386" s="8">
        <f>IF(B1386="","",IFERROR(VLOOKUP(--B1386,'CATALOGO CECO'!$A$2:$H$550,8,FALSE),""))</f>
        <v/>
      </c>
      <c r="K1386" s="8">
        <f>IF(COUNTA(A1386:F1386)=0,"",IF(OR(LEN(A1386)&lt;&gt;7,MID(A1386,5,1)&lt;&gt;"-",ISERROR(--LEFT(A1386,4)),ISERROR(--RIGHT(A1386,2))),"ERROR: PERIODO debe ser AAAA-MM",IF(B1386="","ERROR: falta CODIGO CECO",IF(G1386="CECO NO EXISTE","ERROR: CECO no existe en el catálogo",IF(C1386="","ERROR: falta CUENTA",IF(ISERROR(--C1386),"ERROR: CUENTA debe tener solo dígitos",IF(ISERROR(FIND(LEFT(C1386,1),"567")),"ERROR: CUENTA fuera de las clases de costo",IF(NOT(ISNUMBER(E1386)),"ERROR: VALOR debe ser numérico",IF(E1386=0,"AVISO: valor cero (no se carga)",IF(J1386&lt;&gt;"ACTIVO","NO SE CARGA: CECO en estado "&amp;J1386,"OK"))))))))))</f>
        <v/>
      </c>
    </row>
    <row r="1387">
      <c r="A1387" s="5" t="n"/>
      <c r="B1387" s="6" t="n"/>
      <c r="C1387" s="5" t="n"/>
      <c r="D1387" s="6" t="n"/>
      <c r="E1387" s="7" t="n"/>
      <c r="F1387" s="6" t="n"/>
      <c r="G1387" s="8">
        <f>IF(B1387="","",IFERROR(VLOOKUP(--B1387,'CATALOGO CECO'!$A$2:$H$550,2,FALSE),"CECO NO EXISTE"))</f>
        <v/>
      </c>
      <c r="H1387" s="8">
        <f>IF(B1387="","",IFERROR(VLOOKUP(--B1387,'CATALOGO CECO'!$A$2:$H$550,3,FALSE),""))</f>
        <v/>
      </c>
      <c r="I1387" s="8">
        <f>IF(B1387="","",IFERROR(VLOOKUP(--B1387,'CATALOGO CECO'!$A$2:$H$550,5,FALSE),""))</f>
        <v/>
      </c>
      <c r="J1387" s="8">
        <f>IF(B1387="","",IFERROR(VLOOKUP(--B1387,'CATALOGO CECO'!$A$2:$H$550,8,FALSE),""))</f>
        <v/>
      </c>
      <c r="K1387" s="8">
        <f>IF(COUNTA(A1387:F1387)=0,"",IF(OR(LEN(A1387)&lt;&gt;7,MID(A1387,5,1)&lt;&gt;"-",ISERROR(--LEFT(A1387,4)),ISERROR(--RIGHT(A1387,2))),"ERROR: PERIODO debe ser AAAA-MM",IF(B1387="","ERROR: falta CODIGO CECO",IF(G1387="CECO NO EXISTE","ERROR: CECO no existe en el catálogo",IF(C1387="","ERROR: falta CUENTA",IF(ISERROR(--C1387),"ERROR: CUENTA debe tener solo dígitos",IF(ISERROR(FIND(LEFT(C1387,1),"567")),"ERROR: CUENTA fuera de las clases de costo",IF(NOT(ISNUMBER(E1387)),"ERROR: VALOR debe ser numérico",IF(E1387=0,"AVISO: valor cero (no se carga)",IF(J1387&lt;&gt;"ACTIVO","NO SE CARGA: CECO en estado "&amp;J1387,"OK"))))))))))</f>
        <v/>
      </c>
    </row>
    <row r="1388">
      <c r="A1388" s="5" t="n"/>
      <c r="B1388" s="6" t="n"/>
      <c r="C1388" s="5" t="n"/>
      <c r="D1388" s="6" t="n"/>
      <c r="E1388" s="7" t="n"/>
      <c r="F1388" s="6" t="n"/>
      <c r="G1388" s="8">
        <f>IF(B1388="","",IFERROR(VLOOKUP(--B1388,'CATALOGO CECO'!$A$2:$H$550,2,FALSE),"CECO NO EXISTE"))</f>
        <v/>
      </c>
      <c r="H1388" s="8">
        <f>IF(B1388="","",IFERROR(VLOOKUP(--B1388,'CATALOGO CECO'!$A$2:$H$550,3,FALSE),""))</f>
        <v/>
      </c>
      <c r="I1388" s="8">
        <f>IF(B1388="","",IFERROR(VLOOKUP(--B1388,'CATALOGO CECO'!$A$2:$H$550,5,FALSE),""))</f>
        <v/>
      </c>
      <c r="J1388" s="8">
        <f>IF(B1388="","",IFERROR(VLOOKUP(--B1388,'CATALOGO CECO'!$A$2:$H$550,8,FALSE),""))</f>
        <v/>
      </c>
      <c r="K1388" s="8">
        <f>IF(COUNTA(A1388:F1388)=0,"",IF(OR(LEN(A1388)&lt;&gt;7,MID(A1388,5,1)&lt;&gt;"-",ISERROR(--LEFT(A1388,4)),ISERROR(--RIGHT(A1388,2))),"ERROR: PERIODO debe ser AAAA-MM",IF(B1388="","ERROR: falta CODIGO CECO",IF(G1388="CECO NO EXISTE","ERROR: CECO no existe en el catálogo",IF(C1388="","ERROR: falta CUENTA",IF(ISERROR(--C1388),"ERROR: CUENTA debe tener solo dígitos",IF(ISERROR(FIND(LEFT(C1388,1),"567")),"ERROR: CUENTA fuera de las clases de costo",IF(NOT(ISNUMBER(E1388)),"ERROR: VALOR debe ser numérico",IF(E1388=0,"AVISO: valor cero (no se carga)",IF(J1388&lt;&gt;"ACTIVO","NO SE CARGA: CECO en estado "&amp;J1388,"OK"))))))))))</f>
        <v/>
      </c>
    </row>
    <row r="1389">
      <c r="A1389" s="5" t="n"/>
      <c r="B1389" s="6" t="n"/>
      <c r="C1389" s="5" t="n"/>
      <c r="D1389" s="6" t="n"/>
      <c r="E1389" s="7" t="n"/>
      <c r="F1389" s="6" t="n"/>
      <c r="G1389" s="8">
        <f>IF(B1389="","",IFERROR(VLOOKUP(--B1389,'CATALOGO CECO'!$A$2:$H$550,2,FALSE),"CECO NO EXISTE"))</f>
        <v/>
      </c>
      <c r="H1389" s="8">
        <f>IF(B1389="","",IFERROR(VLOOKUP(--B1389,'CATALOGO CECO'!$A$2:$H$550,3,FALSE),""))</f>
        <v/>
      </c>
      <c r="I1389" s="8">
        <f>IF(B1389="","",IFERROR(VLOOKUP(--B1389,'CATALOGO CECO'!$A$2:$H$550,5,FALSE),""))</f>
        <v/>
      </c>
      <c r="J1389" s="8">
        <f>IF(B1389="","",IFERROR(VLOOKUP(--B1389,'CATALOGO CECO'!$A$2:$H$550,8,FALSE),""))</f>
        <v/>
      </c>
      <c r="K1389" s="8">
        <f>IF(COUNTA(A1389:F1389)=0,"",IF(OR(LEN(A1389)&lt;&gt;7,MID(A1389,5,1)&lt;&gt;"-",ISERROR(--LEFT(A1389,4)),ISERROR(--RIGHT(A1389,2))),"ERROR: PERIODO debe ser AAAA-MM",IF(B1389="","ERROR: falta CODIGO CECO",IF(G1389="CECO NO EXISTE","ERROR: CECO no existe en el catálogo",IF(C1389="","ERROR: falta CUENTA",IF(ISERROR(--C1389),"ERROR: CUENTA debe tener solo dígitos",IF(ISERROR(FIND(LEFT(C1389,1),"567")),"ERROR: CUENTA fuera de las clases de costo",IF(NOT(ISNUMBER(E1389)),"ERROR: VALOR debe ser numérico",IF(E1389=0,"AVISO: valor cero (no se carga)",IF(J1389&lt;&gt;"ACTIVO","NO SE CARGA: CECO en estado "&amp;J1389,"OK"))))))))))</f>
        <v/>
      </c>
    </row>
    <row r="1390">
      <c r="A1390" s="5" t="n"/>
      <c r="B1390" s="6" t="n"/>
      <c r="C1390" s="5" t="n"/>
      <c r="D1390" s="6" t="n"/>
      <c r="E1390" s="7" t="n"/>
      <c r="F1390" s="6" t="n"/>
      <c r="G1390" s="8">
        <f>IF(B1390="","",IFERROR(VLOOKUP(--B1390,'CATALOGO CECO'!$A$2:$H$550,2,FALSE),"CECO NO EXISTE"))</f>
        <v/>
      </c>
      <c r="H1390" s="8">
        <f>IF(B1390="","",IFERROR(VLOOKUP(--B1390,'CATALOGO CECO'!$A$2:$H$550,3,FALSE),""))</f>
        <v/>
      </c>
      <c r="I1390" s="8">
        <f>IF(B1390="","",IFERROR(VLOOKUP(--B1390,'CATALOGO CECO'!$A$2:$H$550,5,FALSE),""))</f>
        <v/>
      </c>
      <c r="J1390" s="8">
        <f>IF(B1390="","",IFERROR(VLOOKUP(--B1390,'CATALOGO CECO'!$A$2:$H$550,8,FALSE),""))</f>
        <v/>
      </c>
      <c r="K1390" s="8">
        <f>IF(COUNTA(A1390:F1390)=0,"",IF(OR(LEN(A1390)&lt;&gt;7,MID(A1390,5,1)&lt;&gt;"-",ISERROR(--LEFT(A1390,4)),ISERROR(--RIGHT(A1390,2))),"ERROR: PERIODO debe ser AAAA-MM",IF(B1390="","ERROR: falta CODIGO CECO",IF(G1390="CECO NO EXISTE","ERROR: CECO no existe en el catálogo",IF(C1390="","ERROR: falta CUENTA",IF(ISERROR(--C1390),"ERROR: CUENTA debe tener solo dígitos",IF(ISERROR(FIND(LEFT(C1390,1),"567")),"ERROR: CUENTA fuera de las clases de costo",IF(NOT(ISNUMBER(E1390)),"ERROR: VALOR debe ser numérico",IF(E1390=0,"AVISO: valor cero (no se carga)",IF(J1390&lt;&gt;"ACTIVO","NO SE CARGA: CECO en estado "&amp;J1390,"OK"))))))))))</f>
        <v/>
      </c>
    </row>
    <row r="1391">
      <c r="A1391" s="5" t="n"/>
      <c r="B1391" s="6" t="n"/>
      <c r="C1391" s="5" t="n"/>
      <c r="D1391" s="6" t="n"/>
      <c r="E1391" s="7" t="n"/>
      <c r="F1391" s="6" t="n"/>
      <c r="G1391" s="8">
        <f>IF(B1391="","",IFERROR(VLOOKUP(--B1391,'CATALOGO CECO'!$A$2:$H$550,2,FALSE),"CECO NO EXISTE"))</f>
        <v/>
      </c>
      <c r="H1391" s="8">
        <f>IF(B1391="","",IFERROR(VLOOKUP(--B1391,'CATALOGO CECO'!$A$2:$H$550,3,FALSE),""))</f>
        <v/>
      </c>
      <c r="I1391" s="8">
        <f>IF(B1391="","",IFERROR(VLOOKUP(--B1391,'CATALOGO CECO'!$A$2:$H$550,5,FALSE),""))</f>
        <v/>
      </c>
      <c r="J1391" s="8">
        <f>IF(B1391="","",IFERROR(VLOOKUP(--B1391,'CATALOGO CECO'!$A$2:$H$550,8,FALSE),""))</f>
        <v/>
      </c>
      <c r="K1391" s="8">
        <f>IF(COUNTA(A1391:F1391)=0,"",IF(OR(LEN(A1391)&lt;&gt;7,MID(A1391,5,1)&lt;&gt;"-",ISERROR(--LEFT(A1391,4)),ISERROR(--RIGHT(A1391,2))),"ERROR: PERIODO debe ser AAAA-MM",IF(B1391="","ERROR: falta CODIGO CECO",IF(G1391="CECO NO EXISTE","ERROR: CECO no existe en el catálogo",IF(C1391="","ERROR: falta CUENTA",IF(ISERROR(--C1391),"ERROR: CUENTA debe tener solo dígitos",IF(ISERROR(FIND(LEFT(C1391,1),"567")),"ERROR: CUENTA fuera de las clases de costo",IF(NOT(ISNUMBER(E1391)),"ERROR: VALOR debe ser numérico",IF(E1391=0,"AVISO: valor cero (no se carga)",IF(J1391&lt;&gt;"ACTIVO","NO SE CARGA: CECO en estado "&amp;J1391,"OK"))))))))))</f>
        <v/>
      </c>
    </row>
    <row r="1392">
      <c r="A1392" s="5" t="n"/>
      <c r="B1392" s="6" t="n"/>
      <c r="C1392" s="5" t="n"/>
      <c r="D1392" s="6" t="n"/>
      <c r="E1392" s="7" t="n"/>
      <c r="F1392" s="6" t="n"/>
      <c r="G1392" s="8">
        <f>IF(B1392="","",IFERROR(VLOOKUP(--B1392,'CATALOGO CECO'!$A$2:$H$550,2,FALSE),"CECO NO EXISTE"))</f>
        <v/>
      </c>
      <c r="H1392" s="8">
        <f>IF(B1392="","",IFERROR(VLOOKUP(--B1392,'CATALOGO CECO'!$A$2:$H$550,3,FALSE),""))</f>
        <v/>
      </c>
      <c r="I1392" s="8">
        <f>IF(B1392="","",IFERROR(VLOOKUP(--B1392,'CATALOGO CECO'!$A$2:$H$550,5,FALSE),""))</f>
        <v/>
      </c>
      <c r="J1392" s="8">
        <f>IF(B1392="","",IFERROR(VLOOKUP(--B1392,'CATALOGO CECO'!$A$2:$H$550,8,FALSE),""))</f>
        <v/>
      </c>
      <c r="K1392" s="8">
        <f>IF(COUNTA(A1392:F1392)=0,"",IF(OR(LEN(A1392)&lt;&gt;7,MID(A1392,5,1)&lt;&gt;"-",ISERROR(--LEFT(A1392,4)),ISERROR(--RIGHT(A1392,2))),"ERROR: PERIODO debe ser AAAA-MM",IF(B1392="","ERROR: falta CODIGO CECO",IF(G1392="CECO NO EXISTE","ERROR: CECO no existe en el catálogo",IF(C1392="","ERROR: falta CUENTA",IF(ISERROR(--C1392),"ERROR: CUENTA debe tener solo dígitos",IF(ISERROR(FIND(LEFT(C1392,1),"567")),"ERROR: CUENTA fuera de las clases de costo",IF(NOT(ISNUMBER(E1392)),"ERROR: VALOR debe ser numérico",IF(E1392=0,"AVISO: valor cero (no se carga)",IF(J1392&lt;&gt;"ACTIVO","NO SE CARGA: CECO en estado "&amp;J1392,"OK"))))))))))</f>
        <v/>
      </c>
    </row>
    <row r="1393">
      <c r="A1393" s="5" t="n"/>
      <c r="B1393" s="6" t="n"/>
      <c r="C1393" s="5" t="n"/>
      <c r="D1393" s="6" t="n"/>
      <c r="E1393" s="7" t="n"/>
      <c r="F1393" s="6" t="n"/>
      <c r="G1393" s="8">
        <f>IF(B1393="","",IFERROR(VLOOKUP(--B1393,'CATALOGO CECO'!$A$2:$H$550,2,FALSE),"CECO NO EXISTE"))</f>
        <v/>
      </c>
      <c r="H1393" s="8">
        <f>IF(B1393="","",IFERROR(VLOOKUP(--B1393,'CATALOGO CECO'!$A$2:$H$550,3,FALSE),""))</f>
        <v/>
      </c>
      <c r="I1393" s="8">
        <f>IF(B1393="","",IFERROR(VLOOKUP(--B1393,'CATALOGO CECO'!$A$2:$H$550,5,FALSE),""))</f>
        <v/>
      </c>
      <c r="J1393" s="8">
        <f>IF(B1393="","",IFERROR(VLOOKUP(--B1393,'CATALOGO CECO'!$A$2:$H$550,8,FALSE),""))</f>
        <v/>
      </c>
      <c r="K1393" s="8">
        <f>IF(COUNTA(A1393:F1393)=0,"",IF(OR(LEN(A1393)&lt;&gt;7,MID(A1393,5,1)&lt;&gt;"-",ISERROR(--LEFT(A1393,4)),ISERROR(--RIGHT(A1393,2))),"ERROR: PERIODO debe ser AAAA-MM",IF(B1393="","ERROR: falta CODIGO CECO",IF(G1393="CECO NO EXISTE","ERROR: CECO no existe en el catálogo",IF(C1393="","ERROR: falta CUENTA",IF(ISERROR(--C1393),"ERROR: CUENTA debe tener solo dígitos",IF(ISERROR(FIND(LEFT(C1393,1),"567")),"ERROR: CUENTA fuera de las clases de costo",IF(NOT(ISNUMBER(E1393)),"ERROR: VALOR debe ser numérico",IF(E1393=0,"AVISO: valor cero (no se carga)",IF(J1393&lt;&gt;"ACTIVO","NO SE CARGA: CECO en estado "&amp;J1393,"OK"))))))))))</f>
        <v/>
      </c>
    </row>
    <row r="1394">
      <c r="A1394" s="5" t="n"/>
      <c r="B1394" s="6" t="n"/>
      <c r="C1394" s="5" t="n"/>
      <c r="D1394" s="6" t="n"/>
      <c r="E1394" s="7" t="n"/>
      <c r="F1394" s="6" t="n"/>
      <c r="G1394" s="8">
        <f>IF(B1394="","",IFERROR(VLOOKUP(--B1394,'CATALOGO CECO'!$A$2:$H$550,2,FALSE),"CECO NO EXISTE"))</f>
        <v/>
      </c>
      <c r="H1394" s="8">
        <f>IF(B1394="","",IFERROR(VLOOKUP(--B1394,'CATALOGO CECO'!$A$2:$H$550,3,FALSE),""))</f>
        <v/>
      </c>
      <c r="I1394" s="8">
        <f>IF(B1394="","",IFERROR(VLOOKUP(--B1394,'CATALOGO CECO'!$A$2:$H$550,5,FALSE),""))</f>
        <v/>
      </c>
      <c r="J1394" s="8">
        <f>IF(B1394="","",IFERROR(VLOOKUP(--B1394,'CATALOGO CECO'!$A$2:$H$550,8,FALSE),""))</f>
        <v/>
      </c>
      <c r="K1394" s="8">
        <f>IF(COUNTA(A1394:F1394)=0,"",IF(OR(LEN(A1394)&lt;&gt;7,MID(A1394,5,1)&lt;&gt;"-",ISERROR(--LEFT(A1394,4)),ISERROR(--RIGHT(A1394,2))),"ERROR: PERIODO debe ser AAAA-MM",IF(B1394="","ERROR: falta CODIGO CECO",IF(G1394="CECO NO EXISTE","ERROR: CECO no existe en el catálogo",IF(C1394="","ERROR: falta CUENTA",IF(ISERROR(--C1394),"ERROR: CUENTA debe tener solo dígitos",IF(ISERROR(FIND(LEFT(C1394,1),"567")),"ERROR: CUENTA fuera de las clases de costo",IF(NOT(ISNUMBER(E1394)),"ERROR: VALOR debe ser numérico",IF(E1394=0,"AVISO: valor cero (no se carga)",IF(J1394&lt;&gt;"ACTIVO","NO SE CARGA: CECO en estado "&amp;J1394,"OK"))))))))))</f>
        <v/>
      </c>
    </row>
    <row r="1395">
      <c r="A1395" s="5" t="n"/>
      <c r="B1395" s="6" t="n"/>
      <c r="C1395" s="5" t="n"/>
      <c r="D1395" s="6" t="n"/>
      <c r="E1395" s="7" t="n"/>
      <c r="F1395" s="6" t="n"/>
      <c r="G1395" s="8">
        <f>IF(B1395="","",IFERROR(VLOOKUP(--B1395,'CATALOGO CECO'!$A$2:$H$550,2,FALSE),"CECO NO EXISTE"))</f>
        <v/>
      </c>
      <c r="H1395" s="8">
        <f>IF(B1395="","",IFERROR(VLOOKUP(--B1395,'CATALOGO CECO'!$A$2:$H$550,3,FALSE),""))</f>
        <v/>
      </c>
      <c r="I1395" s="8">
        <f>IF(B1395="","",IFERROR(VLOOKUP(--B1395,'CATALOGO CECO'!$A$2:$H$550,5,FALSE),""))</f>
        <v/>
      </c>
      <c r="J1395" s="8">
        <f>IF(B1395="","",IFERROR(VLOOKUP(--B1395,'CATALOGO CECO'!$A$2:$H$550,8,FALSE),""))</f>
        <v/>
      </c>
      <c r="K1395" s="8">
        <f>IF(COUNTA(A1395:F1395)=0,"",IF(OR(LEN(A1395)&lt;&gt;7,MID(A1395,5,1)&lt;&gt;"-",ISERROR(--LEFT(A1395,4)),ISERROR(--RIGHT(A1395,2))),"ERROR: PERIODO debe ser AAAA-MM",IF(B1395="","ERROR: falta CODIGO CECO",IF(G1395="CECO NO EXISTE","ERROR: CECO no existe en el catálogo",IF(C1395="","ERROR: falta CUENTA",IF(ISERROR(--C1395),"ERROR: CUENTA debe tener solo dígitos",IF(ISERROR(FIND(LEFT(C1395,1),"567")),"ERROR: CUENTA fuera de las clases de costo",IF(NOT(ISNUMBER(E1395)),"ERROR: VALOR debe ser numérico",IF(E1395=0,"AVISO: valor cero (no se carga)",IF(J1395&lt;&gt;"ACTIVO","NO SE CARGA: CECO en estado "&amp;J1395,"OK"))))))))))</f>
        <v/>
      </c>
    </row>
    <row r="1396">
      <c r="A1396" s="5" t="n"/>
      <c r="B1396" s="6" t="n"/>
      <c r="C1396" s="5" t="n"/>
      <c r="D1396" s="6" t="n"/>
      <c r="E1396" s="7" t="n"/>
      <c r="F1396" s="6" t="n"/>
      <c r="G1396" s="8">
        <f>IF(B1396="","",IFERROR(VLOOKUP(--B1396,'CATALOGO CECO'!$A$2:$H$550,2,FALSE),"CECO NO EXISTE"))</f>
        <v/>
      </c>
      <c r="H1396" s="8">
        <f>IF(B1396="","",IFERROR(VLOOKUP(--B1396,'CATALOGO CECO'!$A$2:$H$550,3,FALSE),""))</f>
        <v/>
      </c>
      <c r="I1396" s="8">
        <f>IF(B1396="","",IFERROR(VLOOKUP(--B1396,'CATALOGO CECO'!$A$2:$H$550,5,FALSE),""))</f>
        <v/>
      </c>
      <c r="J1396" s="8">
        <f>IF(B1396="","",IFERROR(VLOOKUP(--B1396,'CATALOGO CECO'!$A$2:$H$550,8,FALSE),""))</f>
        <v/>
      </c>
      <c r="K1396" s="8">
        <f>IF(COUNTA(A1396:F1396)=0,"",IF(OR(LEN(A1396)&lt;&gt;7,MID(A1396,5,1)&lt;&gt;"-",ISERROR(--LEFT(A1396,4)),ISERROR(--RIGHT(A1396,2))),"ERROR: PERIODO debe ser AAAA-MM",IF(B1396="","ERROR: falta CODIGO CECO",IF(G1396="CECO NO EXISTE","ERROR: CECO no existe en el catálogo",IF(C1396="","ERROR: falta CUENTA",IF(ISERROR(--C1396),"ERROR: CUENTA debe tener solo dígitos",IF(ISERROR(FIND(LEFT(C1396,1),"567")),"ERROR: CUENTA fuera de las clases de costo",IF(NOT(ISNUMBER(E1396)),"ERROR: VALOR debe ser numérico",IF(E1396=0,"AVISO: valor cero (no se carga)",IF(J1396&lt;&gt;"ACTIVO","NO SE CARGA: CECO en estado "&amp;J1396,"OK"))))))))))</f>
        <v/>
      </c>
    </row>
    <row r="1397">
      <c r="A1397" s="5" t="n"/>
      <c r="B1397" s="6" t="n"/>
      <c r="C1397" s="5" t="n"/>
      <c r="D1397" s="6" t="n"/>
      <c r="E1397" s="7" t="n"/>
      <c r="F1397" s="6" t="n"/>
      <c r="G1397" s="8">
        <f>IF(B1397="","",IFERROR(VLOOKUP(--B1397,'CATALOGO CECO'!$A$2:$H$550,2,FALSE),"CECO NO EXISTE"))</f>
        <v/>
      </c>
      <c r="H1397" s="8">
        <f>IF(B1397="","",IFERROR(VLOOKUP(--B1397,'CATALOGO CECO'!$A$2:$H$550,3,FALSE),""))</f>
        <v/>
      </c>
      <c r="I1397" s="8">
        <f>IF(B1397="","",IFERROR(VLOOKUP(--B1397,'CATALOGO CECO'!$A$2:$H$550,5,FALSE),""))</f>
        <v/>
      </c>
      <c r="J1397" s="8">
        <f>IF(B1397="","",IFERROR(VLOOKUP(--B1397,'CATALOGO CECO'!$A$2:$H$550,8,FALSE),""))</f>
        <v/>
      </c>
      <c r="K1397" s="8">
        <f>IF(COUNTA(A1397:F1397)=0,"",IF(OR(LEN(A1397)&lt;&gt;7,MID(A1397,5,1)&lt;&gt;"-",ISERROR(--LEFT(A1397,4)),ISERROR(--RIGHT(A1397,2))),"ERROR: PERIODO debe ser AAAA-MM",IF(B1397="","ERROR: falta CODIGO CECO",IF(G1397="CECO NO EXISTE","ERROR: CECO no existe en el catálogo",IF(C1397="","ERROR: falta CUENTA",IF(ISERROR(--C1397),"ERROR: CUENTA debe tener solo dígitos",IF(ISERROR(FIND(LEFT(C1397,1),"567")),"ERROR: CUENTA fuera de las clases de costo",IF(NOT(ISNUMBER(E1397)),"ERROR: VALOR debe ser numérico",IF(E1397=0,"AVISO: valor cero (no se carga)",IF(J1397&lt;&gt;"ACTIVO","NO SE CARGA: CECO en estado "&amp;J1397,"OK"))))))))))</f>
        <v/>
      </c>
    </row>
    <row r="1398">
      <c r="A1398" s="5" t="n"/>
      <c r="B1398" s="6" t="n"/>
      <c r="C1398" s="5" t="n"/>
      <c r="D1398" s="6" t="n"/>
      <c r="E1398" s="7" t="n"/>
      <c r="F1398" s="6" t="n"/>
      <c r="G1398" s="8">
        <f>IF(B1398="","",IFERROR(VLOOKUP(--B1398,'CATALOGO CECO'!$A$2:$H$550,2,FALSE),"CECO NO EXISTE"))</f>
        <v/>
      </c>
      <c r="H1398" s="8">
        <f>IF(B1398="","",IFERROR(VLOOKUP(--B1398,'CATALOGO CECO'!$A$2:$H$550,3,FALSE),""))</f>
        <v/>
      </c>
      <c r="I1398" s="8">
        <f>IF(B1398="","",IFERROR(VLOOKUP(--B1398,'CATALOGO CECO'!$A$2:$H$550,5,FALSE),""))</f>
        <v/>
      </c>
      <c r="J1398" s="8">
        <f>IF(B1398="","",IFERROR(VLOOKUP(--B1398,'CATALOGO CECO'!$A$2:$H$550,8,FALSE),""))</f>
        <v/>
      </c>
      <c r="K1398" s="8">
        <f>IF(COUNTA(A1398:F1398)=0,"",IF(OR(LEN(A1398)&lt;&gt;7,MID(A1398,5,1)&lt;&gt;"-",ISERROR(--LEFT(A1398,4)),ISERROR(--RIGHT(A1398,2))),"ERROR: PERIODO debe ser AAAA-MM",IF(B1398="","ERROR: falta CODIGO CECO",IF(G1398="CECO NO EXISTE","ERROR: CECO no existe en el catálogo",IF(C1398="","ERROR: falta CUENTA",IF(ISERROR(--C1398),"ERROR: CUENTA debe tener solo dígitos",IF(ISERROR(FIND(LEFT(C1398,1),"567")),"ERROR: CUENTA fuera de las clases de costo",IF(NOT(ISNUMBER(E1398)),"ERROR: VALOR debe ser numérico",IF(E1398=0,"AVISO: valor cero (no se carga)",IF(J1398&lt;&gt;"ACTIVO","NO SE CARGA: CECO en estado "&amp;J1398,"OK"))))))))))</f>
        <v/>
      </c>
    </row>
    <row r="1399">
      <c r="A1399" s="5" t="n"/>
      <c r="B1399" s="6" t="n"/>
      <c r="C1399" s="5" t="n"/>
      <c r="D1399" s="6" t="n"/>
      <c r="E1399" s="7" t="n"/>
      <c r="F1399" s="6" t="n"/>
      <c r="G1399" s="8">
        <f>IF(B1399="","",IFERROR(VLOOKUP(--B1399,'CATALOGO CECO'!$A$2:$H$550,2,FALSE),"CECO NO EXISTE"))</f>
        <v/>
      </c>
      <c r="H1399" s="8">
        <f>IF(B1399="","",IFERROR(VLOOKUP(--B1399,'CATALOGO CECO'!$A$2:$H$550,3,FALSE),""))</f>
        <v/>
      </c>
      <c r="I1399" s="8">
        <f>IF(B1399="","",IFERROR(VLOOKUP(--B1399,'CATALOGO CECO'!$A$2:$H$550,5,FALSE),""))</f>
        <v/>
      </c>
      <c r="J1399" s="8">
        <f>IF(B1399="","",IFERROR(VLOOKUP(--B1399,'CATALOGO CECO'!$A$2:$H$550,8,FALSE),""))</f>
        <v/>
      </c>
      <c r="K1399" s="8">
        <f>IF(COUNTA(A1399:F1399)=0,"",IF(OR(LEN(A1399)&lt;&gt;7,MID(A1399,5,1)&lt;&gt;"-",ISERROR(--LEFT(A1399,4)),ISERROR(--RIGHT(A1399,2))),"ERROR: PERIODO debe ser AAAA-MM",IF(B1399="","ERROR: falta CODIGO CECO",IF(G1399="CECO NO EXISTE","ERROR: CECO no existe en el catálogo",IF(C1399="","ERROR: falta CUENTA",IF(ISERROR(--C1399),"ERROR: CUENTA debe tener solo dígitos",IF(ISERROR(FIND(LEFT(C1399,1),"567")),"ERROR: CUENTA fuera de las clases de costo",IF(NOT(ISNUMBER(E1399)),"ERROR: VALOR debe ser numérico",IF(E1399=0,"AVISO: valor cero (no se carga)",IF(J1399&lt;&gt;"ACTIVO","NO SE CARGA: CECO en estado "&amp;J1399,"OK"))))))))))</f>
        <v/>
      </c>
    </row>
    <row r="1400">
      <c r="A1400" s="5" t="n"/>
      <c r="B1400" s="6" t="n"/>
      <c r="C1400" s="5" t="n"/>
      <c r="D1400" s="6" t="n"/>
      <c r="E1400" s="7" t="n"/>
      <c r="F1400" s="6" t="n"/>
      <c r="G1400" s="8">
        <f>IF(B1400="","",IFERROR(VLOOKUP(--B1400,'CATALOGO CECO'!$A$2:$H$550,2,FALSE),"CECO NO EXISTE"))</f>
        <v/>
      </c>
      <c r="H1400" s="8">
        <f>IF(B1400="","",IFERROR(VLOOKUP(--B1400,'CATALOGO CECO'!$A$2:$H$550,3,FALSE),""))</f>
        <v/>
      </c>
      <c r="I1400" s="8">
        <f>IF(B1400="","",IFERROR(VLOOKUP(--B1400,'CATALOGO CECO'!$A$2:$H$550,5,FALSE),""))</f>
        <v/>
      </c>
      <c r="J1400" s="8">
        <f>IF(B1400="","",IFERROR(VLOOKUP(--B1400,'CATALOGO CECO'!$A$2:$H$550,8,FALSE),""))</f>
        <v/>
      </c>
      <c r="K1400" s="8">
        <f>IF(COUNTA(A1400:F1400)=0,"",IF(OR(LEN(A1400)&lt;&gt;7,MID(A1400,5,1)&lt;&gt;"-",ISERROR(--LEFT(A1400,4)),ISERROR(--RIGHT(A1400,2))),"ERROR: PERIODO debe ser AAAA-MM",IF(B1400="","ERROR: falta CODIGO CECO",IF(G1400="CECO NO EXISTE","ERROR: CECO no existe en el catálogo",IF(C1400="","ERROR: falta CUENTA",IF(ISERROR(--C1400),"ERROR: CUENTA debe tener solo dígitos",IF(ISERROR(FIND(LEFT(C1400,1),"567")),"ERROR: CUENTA fuera de las clases de costo",IF(NOT(ISNUMBER(E1400)),"ERROR: VALOR debe ser numérico",IF(E1400=0,"AVISO: valor cero (no se carga)",IF(J1400&lt;&gt;"ACTIVO","NO SE CARGA: CECO en estado "&amp;J1400,"OK"))))))))))</f>
        <v/>
      </c>
    </row>
    <row r="1401">
      <c r="A1401" s="5" t="n"/>
      <c r="B1401" s="6" t="n"/>
      <c r="C1401" s="5" t="n"/>
      <c r="D1401" s="6" t="n"/>
      <c r="E1401" s="7" t="n"/>
      <c r="F1401" s="6" t="n"/>
      <c r="G1401" s="8">
        <f>IF(B1401="","",IFERROR(VLOOKUP(--B1401,'CATALOGO CECO'!$A$2:$H$550,2,FALSE),"CECO NO EXISTE"))</f>
        <v/>
      </c>
      <c r="H1401" s="8">
        <f>IF(B1401="","",IFERROR(VLOOKUP(--B1401,'CATALOGO CECO'!$A$2:$H$550,3,FALSE),""))</f>
        <v/>
      </c>
      <c r="I1401" s="8">
        <f>IF(B1401="","",IFERROR(VLOOKUP(--B1401,'CATALOGO CECO'!$A$2:$H$550,5,FALSE),""))</f>
        <v/>
      </c>
      <c r="J1401" s="8">
        <f>IF(B1401="","",IFERROR(VLOOKUP(--B1401,'CATALOGO CECO'!$A$2:$H$550,8,FALSE),""))</f>
        <v/>
      </c>
      <c r="K1401" s="8">
        <f>IF(COUNTA(A1401:F1401)=0,"",IF(OR(LEN(A1401)&lt;&gt;7,MID(A1401,5,1)&lt;&gt;"-",ISERROR(--LEFT(A1401,4)),ISERROR(--RIGHT(A1401,2))),"ERROR: PERIODO debe ser AAAA-MM",IF(B1401="","ERROR: falta CODIGO CECO",IF(G1401="CECO NO EXISTE","ERROR: CECO no existe en el catálogo",IF(C1401="","ERROR: falta CUENTA",IF(ISERROR(--C1401),"ERROR: CUENTA debe tener solo dígitos",IF(ISERROR(FIND(LEFT(C1401,1),"567")),"ERROR: CUENTA fuera de las clases de costo",IF(NOT(ISNUMBER(E1401)),"ERROR: VALOR debe ser numérico",IF(E1401=0,"AVISO: valor cero (no se carga)",IF(J1401&lt;&gt;"ACTIVO","NO SE CARGA: CECO en estado "&amp;J1401,"OK"))))))))))</f>
        <v/>
      </c>
    </row>
    <row r="1402">
      <c r="A1402" s="5" t="n"/>
      <c r="B1402" s="6" t="n"/>
      <c r="C1402" s="5" t="n"/>
      <c r="D1402" s="6" t="n"/>
      <c r="E1402" s="7" t="n"/>
      <c r="F1402" s="6" t="n"/>
      <c r="G1402" s="8">
        <f>IF(B1402="","",IFERROR(VLOOKUP(--B1402,'CATALOGO CECO'!$A$2:$H$550,2,FALSE),"CECO NO EXISTE"))</f>
        <v/>
      </c>
      <c r="H1402" s="8">
        <f>IF(B1402="","",IFERROR(VLOOKUP(--B1402,'CATALOGO CECO'!$A$2:$H$550,3,FALSE),""))</f>
        <v/>
      </c>
      <c r="I1402" s="8">
        <f>IF(B1402="","",IFERROR(VLOOKUP(--B1402,'CATALOGO CECO'!$A$2:$H$550,5,FALSE),""))</f>
        <v/>
      </c>
      <c r="J1402" s="8">
        <f>IF(B1402="","",IFERROR(VLOOKUP(--B1402,'CATALOGO CECO'!$A$2:$H$550,8,FALSE),""))</f>
        <v/>
      </c>
      <c r="K1402" s="8">
        <f>IF(COUNTA(A1402:F1402)=0,"",IF(OR(LEN(A1402)&lt;&gt;7,MID(A1402,5,1)&lt;&gt;"-",ISERROR(--LEFT(A1402,4)),ISERROR(--RIGHT(A1402,2))),"ERROR: PERIODO debe ser AAAA-MM",IF(B1402="","ERROR: falta CODIGO CECO",IF(G1402="CECO NO EXISTE","ERROR: CECO no existe en el catálogo",IF(C1402="","ERROR: falta CUENTA",IF(ISERROR(--C1402),"ERROR: CUENTA debe tener solo dígitos",IF(ISERROR(FIND(LEFT(C1402,1),"567")),"ERROR: CUENTA fuera de las clases de costo",IF(NOT(ISNUMBER(E1402)),"ERROR: VALOR debe ser numérico",IF(E1402=0,"AVISO: valor cero (no se carga)",IF(J1402&lt;&gt;"ACTIVO","NO SE CARGA: CECO en estado "&amp;J1402,"OK"))))))))))</f>
        <v/>
      </c>
    </row>
    <row r="1403">
      <c r="A1403" s="5" t="n"/>
      <c r="B1403" s="6" t="n"/>
      <c r="C1403" s="5" t="n"/>
      <c r="D1403" s="6" t="n"/>
      <c r="E1403" s="7" t="n"/>
      <c r="F1403" s="6" t="n"/>
      <c r="G1403" s="8">
        <f>IF(B1403="","",IFERROR(VLOOKUP(--B1403,'CATALOGO CECO'!$A$2:$H$550,2,FALSE),"CECO NO EXISTE"))</f>
        <v/>
      </c>
      <c r="H1403" s="8">
        <f>IF(B1403="","",IFERROR(VLOOKUP(--B1403,'CATALOGO CECO'!$A$2:$H$550,3,FALSE),""))</f>
        <v/>
      </c>
      <c r="I1403" s="8">
        <f>IF(B1403="","",IFERROR(VLOOKUP(--B1403,'CATALOGO CECO'!$A$2:$H$550,5,FALSE),""))</f>
        <v/>
      </c>
      <c r="J1403" s="8">
        <f>IF(B1403="","",IFERROR(VLOOKUP(--B1403,'CATALOGO CECO'!$A$2:$H$550,8,FALSE),""))</f>
        <v/>
      </c>
      <c r="K1403" s="8">
        <f>IF(COUNTA(A1403:F1403)=0,"",IF(OR(LEN(A1403)&lt;&gt;7,MID(A1403,5,1)&lt;&gt;"-",ISERROR(--LEFT(A1403,4)),ISERROR(--RIGHT(A1403,2))),"ERROR: PERIODO debe ser AAAA-MM",IF(B1403="","ERROR: falta CODIGO CECO",IF(G1403="CECO NO EXISTE","ERROR: CECO no existe en el catálogo",IF(C1403="","ERROR: falta CUENTA",IF(ISERROR(--C1403),"ERROR: CUENTA debe tener solo dígitos",IF(ISERROR(FIND(LEFT(C1403,1),"567")),"ERROR: CUENTA fuera de las clases de costo",IF(NOT(ISNUMBER(E1403)),"ERROR: VALOR debe ser numérico",IF(E1403=0,"AVISO: valor cero (no se carga)",IF(J1403&lt;&gt;"ACTIVO","NO SE CARGA: CECO en estado "&amp;J1403,"OK"))))))))))</f>
        <v/>
      </c>
    </row>
    <row r="1404">
      <c r="A1404" s="5" t="n"/>
      <c r="B1404" s="6" t="n"/>
      <c r="C1404" s="5" t="n"/>
      <c r="D1404" s="6" t="n"/>
      <c r="E1404" s="7" t="n"/>
      <c r="F1404" s="6" t="n"/>
      <c r="G1404" s="8">
        <f>IF(B1404="","",IFERROR(VLOOKUP(--B1404,'CATALOGO CECO'!$A$2:$H$550,2,FALSE),"CECO NO EXISTE"))</f>
        <v/>
      </c>
      <c r="H1404" s="8">
        <f>IF(B1404="","",IFERROR(VLOOKUP(--B1404,'CATALOGO CECO'!$A$2:$H$550,3,FALSE),""))</f>
        <v/>
      </c>
      <c r="I1404" s="8">
        <f>IF(B1404="","",IFERROR(VLOOKUP(--B1404,'CATALOGO CECO'!$A$2:$H$550,5,FALSE),""))</f>
        <v/>
      </c>
      <c r="J1404" s="8">
        <f>IF(B1404="","",IFERROR(VLOOKUP(--B1404,'CATALOGO CECO'!$A$2:$H$550,8,FALSE),""))</f>
        <v/>
      </c>
      <c r="K1404" s="8">
        <f>IF(COUNTA(A1404:F1404)=0,"",IF(OR(LEN(A1404)&lt;&gt;7,MID(A1404,5,1)&lt;&gt;"-",ISERROR(--LEFT(A1404,4)),ISERROR(--RIGHT(A1404,2))),"ERROR: PERIODO debe ser AAAA-MM",IF(B1404="","ERROR: falta CODIGO CECO",IF(G1404="CECO NO EXISTE","ERROR: CECO no existe en el catálogo",IF(C1404="","ERROR: falta CUENTA",IF(ISERROR(--C1404),"ERROR: CUENTA debe tener solo dígitos",IF(ISERROR(FIND(LEFT(C1404,1),"567")),"ERROR: CUENTA fuera de las clases de costo",IF(NOT(ISNUMBER(E1404)),"ERROR: VALOR debe ser numérico",IF(E1404=0,"AVISO: valor cero (no se carga)",IF(J1404&lt;&gt;"ACTIVO","NO SE CARGA: CECO en estado "&amp;J1404,"OK"))))))))))</f>
        <v/>
      </c>
    </row>
    <row r="1405">
      <c r="A1405" s="5" t="n"/>
      <c r="B1405" s="6" t="n"/>
      <c r="C1405" s="5" t="n"/>
      <c r="D1405" s="6" t="n"/>
      <c r="E1405" s="7" t="n"/>
      <c r="F1405" s="6" t="n"/>
      <c r="G1405" s="8">
        <f>IF(B1405="","",IFERROR(VLOOKUP(--B1405,'CATALOGO CECO'!$A$2:$H$550,2,FALSE),"CECO NO EXISTE"))</f>
        <v/>
      </c>
      <c r="H1405" s="8">
        <f>IF(B1405="","",IFERROR(VLOOKUP(--B1405,'CATALOGO CECO'!$A$2:$H$550,3,FALSE),""))</f>
        <v/>
      </c>
      <c r="I1405" s="8">
        <f>IF(B1405="","",IFERROR(VLOOKUP(--B1405,'CATALOGO CECO'!$A$2:$H$550,5,FALSE),""))</f>
        <v/>
      </c>
      <c r="J1405" s="8">
        <f>IF(B1405="","",IFERROR(VLOOKUP(--B1405,'CATALOGO CECO'!$A$2:$H$550,8,FALSE),""))</f>
        <v/>
      </c>
      <c r="K1405" s="8">
        <f>IF(COUNTA(A1405:F1405)=0,"",IF(OR(LEN(A1405)&lt;&gt;7,MID(A1405,5,1)&lt;&gt;"-",ISERROR(--LEFT(A1405,4)),ISERROR(--RIGHT(A1405,2))),"ERROR: PERIODO debe ser AAAA-MM",IF(B1405="","ERROR: falta CODIGO CECO",IF(G1405="CECO NO EXISTE","ERROR: CECO no existe en el catálogo",IF(C1405="","ERROR: falta CUENTA",IF(ISERROR(--C1405),"ERROR: CUENTA debe tener solo dígitos",IF(ISERROR(FIND(LEFT(C1405,1),"567")),"ERROR: CUENTA fuera de las clases de costo",IF(NOT(ISNUMBER(E1405)),"ERROR: VALOR debe ser numérico",IF(E1405=0,"AVISO: valor cero (no se carga)",IF(J1405&lt;&gt;"ACTIVO","NO SE CARGA: CECO en estado "&amp;J1405,"OK"))))))))))</f>
        <v/>
      </c>
    </row>
    <row r="1406">
      <c r="A1406" s="5" t="n"/>
      <c r="B1406" s="6" t="n"/>
      <c r="C1406" s="5" t="n"/>
      <c r="D1406" s="6" t="n"/>
      <c r="E1406" s="7" t="n"/>
      <c r="F1406" s="6" t="n"/>
      <c r="G1406" s="8">
        <f>IF(B1406="","",IFERROR(VLOOKUP(--B1406,'CATALOGO CECO'!$A$2:$H$550,2,FALSE),"CECO NO EXISTE"))</f>
        <v/>
      </c>
      <c r="H1406" s="8">
        <f>IF(B1406="","",IFERROR(VLOOKUP(--B1406,'CATALOGO CECO'!$A$2:$H$550,3,FALSE),""))</f>
        <v/>
      </c>
      <c r="I1406" s="8">
        <f>IF(B1406="","",IFERROR(VLOOKUP(--B1406,'CATALOGO CECO'!$A$2:$H$550,5,FALSE),""))</f>
        <v/>
      </c>
      <c r="J1406" s="8">
        <f>IF(B1406="","",IFERROR(VLOOKUP(--B1406,'CATALOGO CECO'!$A$2:$H$550,8,FALSE),""))</f>
        <v/>
      </c>
      <c r="K1406" s="8">
        <f>IF(COUNTA(A1406:F1406)=0,"",IF(OR(LEN(A1406)&lt;&gt;7,MID(A1406,5,1)&lt;&gt;"-",ISERROR(--LEFT(A1406,4)),ISERROR(--RIGHT(A1406,2))),"ERROR: PERIODO debe ser AAAA-MM",IF(B1406="","ERROR: falta CODIGO CECO",IF(G1406="CECO NO EXISTE","ERROR: CECO no existe en el catálogo",IF(C1406="","ERROR: falta CUENTA",IF(ISERROR(--C1406),"ERROR: CUENTA debe tener solo dígitos",IF(ISERROR(FIND(LEFT(C1406,1),"567")),"ERROR: CUENTA fuera de las clases de costo",IF(NOT(ISNUMBER(E1406)),"ERROR: VALOR debe ser numérico",IF(E1406=0,"AVISO: valor cero (no se carga)",IF(J1406&lt;&gt;"ACTIVO","NO SE CARGA: CECO en estado "&amp;J1406,"OK"))))))))))</f>
        <v/>
      </c>
    </row>
    <row r="1407">
      <c r="A1407" s="5" t="n"/>
      <c r="B1407" s="6" t="n"/>
      <c r="C1407" s="5" t="n"/>
      <c r="D1407" s="6" t="n"/>
      <c r="E1407" s="7" t="n"/>
      <c r="F1407" s="6" t="n"/>
      <c r="G1407" s="8">
        <f>IF(B1407="","",IFERROR(VLOOKUP(--B1407,'CATALOGO CECO'!$A$2:$H$550,2,FALSE),"CECO NO EXISTE"))</f>
        <v/>
      </c>
      <c r="H1407" s="8">
        <f>IF(B1407="","",IFERROR(VLOOKUP(--B1407,'CATALOGO CECO'!$A$2:$H$550,3,FALSE),""))</f>
        <v/>
      </c>
      <c r="I1407" s="8">
        <f>IF(B1407="","",IFERROR(VLOOKUP(--B1407,'CATALOGO CECO'!$A$2:$H$550,5,FALSE),""))</f>
        <v/>
      </c>
      <c r="J1407" s="8">
        <f>IF(B1407="","",IFERROR(VLOOKUP(--B1407,'CATALOGO CECO'!$A$2:$H$550,8,FALSE),""))</f>
        <v/>
      </c>
      <c r="K1407" s="8">
        <f>IF(COUNTA(A1407:F1407)=0,"",IF(OR(LEN(A1407)&lt;&gt;7,MID(A1407,5,1)&lt;&gt;"-",ISERROR(--LEFT(A1407,4)),ISERROR(--RIGHT(A1407,2))),"ERROR: PERIODO debe ser AAAA-MM",IF(B1407="","ERROR: falta CODIGO CECO",IF(G1407="CECO NO EXISTE","ERROR: CECO no existe en el catálogo",IF(C1407="","ERROR: falta CUENTA",IF(ISERROR(--C1407),"ERROR: CUENTA debe tener solo dígitos",IF(ISERROR(FIND(LEFT(C1407,1),"567")),"ERROR: CUENTA fuera de las clases de costo",IF(NOT(ISNUMBER(E1407)),"ERROR: VALOR debe ser numérico",IF(E1407=0,"AVISO: valor cero (no se carga)",IF(J1407&lt;&gt;"ACTIVO","NO SE CARGA: CECO en estado "&amp;J1407,"OK"))))))))))</f>
        <v/>
      </c>
    </row>
    <row r="1408">
      <c r="A1408" s="5" t="n"/>
      <c r="B1408" s="6" t="n"/>
      <c r="C1408" s="5" t="n"/>
      <c r="D1408" s="6" t="n"/>
      <c r="E1408" s="7" t="n"/>
      <c r="F1408" s="6" t="n"/>
      <c r="G1408" s="8">
        <f>IF(B1408="","",IFERROR(VLOOKUP(--B1408,'CATALOGO CECO'!$A$2:$H$550,2,FALSE),"CECO NO EXISTE"))</f>
        <v/>
      </c>
      <c r="H1408" s="8">
        <f>IF(B1408="","",IFERROR(VLOOKUP(--B1408,'CATALOGO CECO'!$A$2:$H$550,3,FALSE),""))</f>
        <v/>
      </c>
      <c r="I1408" s="8">
        <f>IF(B1408="","",IFERROR(VLOOKUP(--B1408,'CATALOGO CECO'!$A$2:$H$550,5,FALSE),""))</f>
        <v/>
      </c>
      <c r="J1408" s="8">
        <f>IF(B1408="","",IFERROR(VLOOKUP(--B1408,'CATALOGO CECO'!$A$2:$H$550,8,FALSE),""))</f>
        <v/>
      </c>
      <c r="K1408" s="8">
        <f>IF(COUNTA(A1408:F1408)=0,"",IF(OR(LEN(A1408)&lt;&gt;7,MID(A1408,5,1)&lt;&gt;"-",ISERROR(--LEFT(A1408,4)),ISERROR(--RIGHT(A1408,2))),"ERROR: PERIODO debe ser AAAA-MM",IF(B1408="","ERROR: falta CODIGO CECO",IF(G1408="CECO NO EXISTE","ERROR: CECO no existe en el catálogo",IF(C1408="","ERROR: falta CUENTA",IF(ISERROR(--C1408),"ERROR: CUENTA debe tener solo dígitos",IF(ISERROR(FIND(LEFT(C1408,1),"567")),"ERROR: CUENTA fuera de las clases de costo",IF(NOT(ISNUMBER(E1408)),"ERROR: VALOR debe ser numérico",IF(E1408=0,"AVISO: valor cero (no se carga)",IF(J1408&lt;&gt;"ACTIVO","NO SE CARGA: CECO en estado "&amp;J1408,"OK"))))))))))</f>
        <v/>
      </c>
    </row>
    <row r="1409">
      <c r="A1409" s="5" t="n"/>
      <c r="B1409" s="6" t="n"/>
      <c r="C1409" s="5" t="n"/>
      <c r="D1409" s="6" t="n"/>
      <c r="E1409" s="7" t="n"/>
      <c r="F1409" s="6" t="n"/>
      <c r="G1409" s="8">
        <f>IF(B1409="","",IFERROR(VLOOKUP(--B1409,'CATALOGO CECO'!$A$2:$H$550,2,FALSE),"CECO NO EXISTE"))</f>
        <v/>
      </c>
      <c r="H1409" s="8">
        <f>IF(B1409="","",IFERROR(VLOOKUP(--B1409,'CATALOGO CECO'!$A$2:$H$550,3,FALSE),""))</f>
        <v/>
      </c>
      <c r="I1409" s="8">
        <f>IF(B1409="","",IFERROR(VLOOKUP(--B1409,'CATALOGO CECO'!$A$2:$H$550,5,FALSE),""))</f>
        <v/>
      </c>
      <c r="J1409" s="8">
        <f>IF(B1409="","",IFERROR(VLOOKUP(--B1409,'CATALOGO CECO'!$A$2:$H$550,8,FALSE),""))</f>
        <v/>
      </c>
      <c r="K1409" s="8">
        <f>IF(COUNTA(A1409:F1409)=0,"",IF(OR(LEN(A1409)&lt;&gt;7,MID(A1409,5,1)&lt;&gt;"-",ISERROR(--LEFT(A1409,4)),ISERROR(--RIGHT(A1409,2))),"ERROR: PERIODO debe ser AAAA-MM",IF(B1409="","ERROR: falta CODIGO CECO",IF(G1409="CECO NO EXISTE","ERROR: CECO no existe en el catálogo",IF(C1409="","ERROR: falta CUENTA",IF(ISERROR(--C1409),"ERROR: CUENTA debe tener solo dígitos",IF(ISERROR(FIND(LEFT(C1409,1),"567")),"ERROR: CUENTA fuera de las clases de costo",IF(NOT(ISNUMBER(E1409)),"ERROR: VALOR debe ser numérico",IF(E1409=0,"AVISO: valor cero (no se carga)",IF(J1409&lt;&gt;"ACTIVO","NO SE CARGA: CECO en estado "&amp;J1409,"OK"))))))))))</f>
        <v/>
      </c>
    </row>
    <row r="1410">
      <c r="A1410" s="5" t="n"/>
      <c r="B1410" s="6" t="n"/>
      <c r="C1410" s="5" t="n"/>
      <c r="D1410" s="6" t="n"/>
      <c r="E1410" s="7" t="n"/>
      <c r="F1410" s="6" t="n"/>
      <c r="G1410" s="8">
        <f>IF(B1410="","",IFERROR(VLOOKUP(--B1410,'CATALOGO CECO'!$A$2:$H$550,2,FALSE),"CECO NO EXISTE"))</f>
        <v/>
      </c>
      <c r="H1410" s="8">
        <f>IF(B1410="","",IFERROR(VLOOKUP(--B1410,'CATALOGO CECO'!$A$2:$H$550,3,FALSE),""))</f>
        <v/>
      </c>
      <c r="I1410" s="8">
        <f>IF(B1410="","",IFERROR(VLOOKUP(--B1410,'CATALOGO CECO'!$A$2:$H$550,5,FALSE),""))</f>
        <v/>
      </c>
      <c r="J1410" s="8">
        <f>IF(B1410="","",IFERROR(VLOOKUP(--B1410,'CATALOGO CECO'!$A$2:$H$550,8,FALSE),""))</f>
        <v/>
      </c>
      <c r="K1410" s="8">
        <f>IF(COUNTA(A1410:F1410)=0,"",IF(OR(LEN(A1410)&lt;&gt;7,MID(A1410,5,1)&lt;&gt;"-",ISERROR(--LEFT(A1410,4)),ISERROR(--RIGHT(A1410,2))),"ERROR: PERIODO debe ser AAAA-MM",IF(B1410="","ERROR: falta CODIGO CECO",IF(G1410="CECO NO EXISTE","ERROR: CECO no existe en el catálogo",IF(C1410="","ERROR: falta CUENTA",IF(ISERROR(--C1410),"ERROR: CUENTA debe tener solo dígitos",IF(ISERROR(FIND(LEFT(C1410,1),"567")),"ERROR: CUENTA fuera de las clases de costo",IF(NOT(ISNUMBER(E1410)),"ERROR: VALOR debe ser numérico",IF(E1410=0,"AVISO: valor cero (no se carga)",IF(J1410&lt;&gt;"ACTIVO","NO SE CARGA: CECO en estado "&amp;J1410,"OK"))))))))))</f>
        <v/>
      </c>
    </row>
    <row r="1411">
      <c r="A1411" s="5" t="n"/>
      <c r="B1411" s="6" t="n"/>
      <c r="C1411" s="5" t="n"/>
      <c r="D1411" s="6" t="n"/>
      <c r="E1411" s="7" t="n"/>
      <c r="F1411" s="6" t="n"/>
      <c r="G1411" s="8">
        <f>IF(B1411="","",IFERROR(VLOOKUP(--B1411,'CATALOGO CECO'!$A$2:$H$550,2,FALSE),"CECO NO EXISTE"))</f>
        <v/>
      </c>
      <c r="H1411" s="8">
        <f>IF(B1411="","",IFERROR(VLOOKUP(--B1411,'CATALOGO CECO'!$A$2:$H$550,3,FALSE),""))</f>
        <v/>
      </c>
      <c r="I1411" s="8">
        <f>IF(B1411="","",IFERROR(VLOOKUP(--B1411,'CATALOGO CECO'!$A$2:$H$550,5,FALSE),""))</f>
        <v/>
      </c>
      <c r="J1411" s="8">
        <f>IF(B1411="","",IFERROR(VLOOKUP(--B1411,'CATALOGO CECO'!$A$2:$H$550,8,FALSE),""))</f>
        <v/>
      </c>
      <c r="K1411" s="8">
        <f>IF(COUNTA(A1411:F1411)=0,"",IF(OR(LEN(A1411)&lt;&gt;7,MID(A1411,5,1)&lt;&gt;"-",ISERROR(--LEFT(A1411,4)),ISERROR(--RIGHT(A1411,2))),"ERROR: PERIODO debe ser AAAA-MM",IF(B1411="","ERROR: falta CODIGO CECO",IF(G1411="CECO NO EXISTE","ERROR: CECO no existe en el catálogo",IF(C1411="","ERROR: falta CUENTA",IF(ISERROR(--C1411),"ERROR: CUENTA debe tener solo dígitos",IF(ISERROR(FIND(LEFT(C1411,1),"567")),"ERROR: CUENTA fuera de las clases de costo",IF(NOT(ISNUMBER(E1411)),"ERROR: VALOR debe ser numérico",IF(E1411=0,"AVISO: valor cero (no se carga)",IF(J1411&lt;&gt;"ACTIVO","NO SE CARGA: CECO en estado "&amp;J1411,"OK"))))))))))</f>
        <v/>
      </c>
    </row>
    <row r="1412">
      <c r="A1412" s="5" t="n"/>
      <c r="B1412" s="6" t="n"/>
      <c r="C1412" s="5" t="n"/>
      <c r="D1412" s="6" t="n"/>
      <c r="E1412" s="7" t="n"/>
      <c r="F1412" s="6" t="n"/>
      <c r="G1412" s="8">
        <f>IF(B1412="","",IFERROR(VLOOKUP(--B1412,'CATALOGO CECO'!$A$2:$H$550,2,FALSE),"CECO NO EXISTE"))</f>
        <v/>
      </c>
      <c r="H1412" s="8">
        <f>IF(B1412="","",IFERROR(VLOOKUP(--B1412,'CATALOGO CECO'!$A$2:$H$550,3,FALSE),""))</f>
        <v/>
      </c>
      <c r="I1412" s="8">
        <f>IF(B1412="","",IFERROR(VLOOKUP(--B1412,'CATALOGO CECO'!$A$2:$H$550,5,FALSE),""))</f>
        <v/>
      </c>
      <c r="J1412" s="8">
        <f>IF(B1412="","",IFERROR(VLOOKUP(--B1412,'CATALOGO CECO'!$A$2:$H$550,8,FALSE),""))</f>
        <v/>
      </c>
      <c r="K1412" s="8">
        <f>IF(COUNTA(A1412:F1412)=0,"",IF(OR(LEN(A1412)&lt;&gt;7,MID(A1412,5,1)&lt;&gt;"-",ISERROR(--LEFT(A1412,4)),ISERROR(--RIGHT(A1412,2))),"ERROR: PERIODO debe ser AAAA-MM",IF(B1412="","ERROR: falta CODIGO CECO",IF(G1412="CECO NO EXISTE","ERROR: CECO no existe en el catálogo",IF(C1412="","ERROR: falta CUENTA",IF(ISERROR(--C1412),"ERROR: CUENTA debe tener solo dígitos",IF(ISERROR(FIND(LEFT(C1412,1),"567")),"ERROR: CUENTA fuera de las clases de costo",IF(NOT(ISNUMBER(E1412)),"ERROR: VALOR debe ser numérico",IF(E1412=0,"AVISO: valor cero (no se carga)",IF(J1412&lt;&gt;"ACTIVO","NO SE CARGA: CECO en estado "&amp;J1412,"OK"))))))))))</f>
        <v/>
      </c>
    </row>
    <row r="1413">
      <c r="A1413" s="5" t="n"/>
      <c r="B1413" s="6" t="n"/>
      <c r="C1413" s="5" t="n"/>
      <c r="D1413" s="6" t="n"/>
      <c r="E1413" s="7" t="n"/>
      <c r="F1413" s="6" t="n"/>
      <c r="G1413" s="8">
        <f>IF(B1413="","",IFERROR(VLOOKUP(--B1413,'CATALOGO CECO'!$A$2:$H$550,2,FALSE),"CECO NO EXISTE"))</f>
        <v/>
      </c>
      <c r="H1413" s="8">
        <f>IF(B1413="","",IFERROR(VLOOKUP(--B1413,'CATALOGO CECO'!$A$2:$H$550,3,FALSE),""))</f>
        <v/>
      </c>
      <c r="I1413" s="8">
        <f>IF(B1413="","",IFERROR(VLOOKUP(--B1413,'CATALOGO CECO'!$A$2:$H$550,5,FALSE),""))</f>
        <v/>
      </c>
      <c r="J1413" s="8">
        <f>IF(B1413="","",IFERROR(VLOOKUP(--B1413,'CATALOGO CECO'!$A$2:$H$550,8,FALSE),""))</f>
        <v/>
      </c>
      <c r="K1413" s="8">
        <f>IF(COUNTA(A1413:F1413)=0,"",IF(OR(LEN(A1413)&lt;&gt;7,MID(A1413,5,1)&lt;&gt;"-",ISERROR(--LEFT(A1413,4)),ISERROR(--RIGHT(A1413,2))),"ERROR: PERIODO debe ser AAAA-MM",IF(B1413="","ERROR: falta CODIGO CECO",IF(G1413="CECO NO EXISTE","ERROR: CECO no existe en el catálogo",IF(C1413="","ERROR: falta CUENTA",IF(ISERROR(--C1413),"ERROR: CUENTA debe tener solo dígitos",IF(ISERROR(FIND(LEFT(C1413,1),"567")),"ERROR: CUENTA fuera de las clases de costo",IF(NOT(ISNUMBER(E1413)),"ERROR: VALOR debe ser numérico",IF(E1413=0,"AVISO: valor cero (no se carga)",IF(J1413&lt;&gt;"ACTIVO","NO SE CARGA: CECO en estado "&amp;J1413,"OK"))))))))))</f>
        <v/>
      </c>
    </row>
    <row r="1414">
      <c r="A1414" s="5" t="n"/>
      <c r="B1414" s="6" t="n"/>
      <c r="C1414" s="5" t="n"/>
      <c r="D1414" s="6" t="n"/>
      <c r="E1414" s="7" t="n"/>
      <c r="F1414" s="6" t="n"/>
      <c r="G1414" s="8">
        <f>IF(B1414="","",IFERROR(VLOOKUP(--B1414,'CATALOGO CECO'!$A$2:$H$550,2,FALSE),"CECO NO EXISTE"))</f>
        <v/>
      </c>
      <c r="H1414" s="8">
        <f>IF(B1414="","",IFERROR(VLOOKUP(--B1414,'CATALOGO CECO'!$A$2:$H$550,3,FALSE),""))</f>
        <v/>
      </c>
      <c r="I1414" s="8">
        <f>IF(B1414="","",IFERROR(VLOOKUP(--B1414,'CATALOGO CECO'!$A$2:$H$550,5,FALSE),""))</f>
        <v/>
      </c>
      <c r="J1414" s="8">
        <f>IF(B1414="","",IFERROR(VLOOKUP(--B1414,'CATALOGO CECO'!$A$2:$H$550,8,FALSE),""))</f>
        <v/>
      </c>
      <c r="K1414" s="8">
        <f>IF(COUNTA(A1414:F1414)=0,"",IF(OR(LEN(A1414)&lt;&gt;7,MID(A1414,5,1)&lt;&gt;"-",ISERROR(--LEFT(A1414,4)),ISERROR(--RIGHT(A1414,2))),"ERROR: PERIODO debe ser AAAA-MM",IF(B1414="","ERROR: falta CODIGO CECO",IF(G1414="CECO NO EXISTE","ERROR: CECO no existe en el catálogo",IF(C1414="","ERROR: falta CUENTA",IF(ISERROR(--C1414),"ERROR: CUENTA debe tener solo dígitos",IF(ISERROR(FIND(LEFT(C1414,1),"567")),"ERROR: CUENTA fuera de las clases de costo",IF(NOT(ISNUMBER(E1414)),"ERROR: VALOR debe ser numérico",IF(E1414=0,"AVISO: valor cero (no se carga)",IF(J1414&lt;&gt;"ACTIVO","NO SE CARGA: CECO en estado "&amp;J1414,"OK"))))))))))</f>
        <v/>
      </c>
    </row>
    <row r="1415">
      <c r="A1415" s="5" t="n"/>
      <c r="B1415" s="6" t="n"/>
      <c r="C1415" s="5" t="n"/>
      <c r="D1415" s="6" t="n"/>
      <c r="E1415" s="7" t="n"/>
      <c r="F1415" s="6" t="n"/>
      <c r="G1415" s="8">
        <f>IF(B1415="","",IFERROR(VLOOKUP(--B1415,'CATALOGO CECO'!$A$2:$H$550,2,FALSE),"CECO NO EXISTE"))</f>
        <v/>
      </c>
      <c r="H1415" s="8">
        <f>IF(B1415="","",IFERROR(VLOOKUP(--B1415,'CATALOGO CECO'!$A$2:$H$550,3,FALSE),""))</f>
        <v/>
      </c>
      <c r="I1415" s="8">
        <f>IF(B1415="","",IFERROR(VLOOKUP(--B1415,'CATALOGO CECO'!$A$2:$H$550,5,FALSE),""))</f>
        <v/>
      </c>
      <c r="J1415" s="8">
        <f>IF(B1415="","",IFERROR(VLOOKUP(--B1415,'CATALOGO CECO'!$A$2:$H$550,8,FALSE),""))</f>
        <v/>
      </c>
      <c r="K1415" s="8">
        <f>IF(COUNTA(A1415:F1415)=0,"",IF(OR(LEN(A1415)&lt;&gt;7,MID(A1415,5,1)&lt;&gt;"-",ISERROR(--LEFT(A1415,4)),ISERROR(--RIGHT(A1415,2))),"ERROR: PERIODO debe ser AAAA-MM",IF(B1415="","ERROR: falta CODIGO CECO",IF(G1415="CECO NO EXISTE","ERROR: CECO no existe en el catálogo",IF(C1415="","ERROR: falta CUENTA",IF(ISERROR(--C1415),"ERROR: CUENTA debe tener solo dígitos",IF(ISERROR(FIND(LEFT(C1415,1),"567")),"ERROR: CUENTA fuera de las clases de costo",IF(NOT(ISNUMBER(E1415)),"ERROR: VALOR debe ser numérico",IF(E1415=0,"AVISO: valor cero (no se carga)",IF(J1415&lt;&gt;"ACTIVO","NO SE CARGA: CECO en estado "&amp;J1415,"OK"))))))))))</f>
        <v/>
      </c>
    </row>
    <row r="1416">
      <c r="A1416" s="5" t="n"/>
      <c r="B1416" s="6" t="n"/>
      <c r="C1416" s="5" t="n"/>
      <c r="D1416" s="6" t="n"/>
      <c r="E1416" s="7" t="n"/>
      <c r="F1416" s="6" t="n"/>
      <c r="G1416" s="8">
        <f>IF(B1416="","",IFERROR(VLOOKUP(--B1416,'CATALOGO CECO'!$A$2:$H$550,2,FALSE),"CECO NO EXISTE"))</f>
        <v/>
      </c>
      <c r="H1416" s="8">
        <f>IF(B1416="","",IFERROR(VLOOKUP(--B1416,'CATALOGO CECO'!$A$2:$H$550,3,FALSE),""))</f>
        <v/>
      </c>
      <c r="I1416" s="8">
        <f>IF(B1416="","",IFERROR(VLOOKUP(--B1416,'CATALOGO CECO'!$A$2:$H$550,5,FALSE),""))</f>
        <v/>
      </c>
      <c r="J1416" s="8">
        <f>IF(B1416="","",IFERROR(VLOOKUP(--B1416,'CATALOGO CECO'!$A$2:$H$550,8,FALSE),""))</f>
        <v/>
      </c>
      <c r="K1416" s="8">
        <f>IF(COUNTA(A1416:F1416)=0,"",IF(OR(LEN(A1416)&lt;&gt;7,MID(A1416,5,1)&lt;&gt;"-",ISERROR(--LEFT(A1416,4)),ISERROR(--RIGHT(A1416,2))),"ERROR: PERIODO debe ser AAAA-MM",IF(B1416="","ERROR: falta CODIGO CECO",IF(G1416="CECO NO EXISTE","ERROR: CECO no existe en el catálogo",IF(C1416="","ERROR: falta CUENTA",IF(ISERROR(--C1416),"ERROR: CUENTA debe tener solo dígitos",IF(ISERROR(FIND(LEFT(C1416,1),"567")),"ERROR: CUENTA fuera de las clases de costo",IF(NOT(ISNUMBER(E1416)),"ERROR: VALOR debe ser numérico",IF(E1416=0,"AVISO: valor cero (no se carga)",IF(J1416&lt;&gt;"ACTIVO","NO SE CARGA: CECO en estado "&amp;J1416,"OK"))))))))))</f>
        <v/>
      </c>
    </row>
    <row r="1417">
      <c r="A1417" s="5" t="n"/>
      <c r="B1417" s="6" t="n"/>
      <c r="C1417" s="5" t="n"/>
      <c r="D1417" s="6" t="n"/>
      <c r="E1417" s="7" t="n"/>
      <c r="F1417" s="6" t="n"/>
      <c r="G1417" s="8">
        <f>IF(B1417="","",IFERROR(VLOOKUP(--B1417,'CATALOGO CECO'!$A$2:$H$550,2,FALSE),"CECO NO EXISTE"))</f>
        <v/>
      </c>
      <c r="H1417" s="8">
        <f>IF(B1417="","",IFERROR(VLOOKUP(--B1417,'CATALOGO CECO'!$A$2:$H$550,3,FALSE),""))</f>
        <v/>
      </c>
      <c r="I1417" s="8">
        <f>IF(B1417="","",IFERROR(VLOOKUP(--B1417,'CATALOGO CECO'!$A$2:$H$550,5,FALSE),""))</f>
        <v/>
      </c>
      <c r="J1417" s="8">
        <f>IF(B1417="","",IFERROR(VLOOKUP(--B1417,'CATALOGO CECO'!$A$2:$H$550,8,FALSE),""))</f>
        <v/>
      </c>
      <c r="K1417" s="8">
        <f>IF(COUNTA(A1417:F1417)=0,"",IF(OR(LEN(A1417)&lt;&gt;7,MID(A1417,5,1)&lt;&gt;"-",ISERROR(--LEFT(A1417,4)),ISERROR(--RIGHT(A1417,2))),"ERROR: PERIODO debe ser AAAA-MM",IF(B1417="","ERROR: falta CODIGO CECO",IF(G1417="CECO NO EXISTE","ERROR: CECO no existe en el catálogo",IF(C1417="","ERROR: falta CUENTA",IF(ISERROR(--C1417),"ERROR: CUENTA debe tener solo dígitos",IF(ISERROR(FIND(LEFT(C1417,1),"567")),"ERROR: CUENTA fuera de las clases de costo",IF(NOT(ISNUMBER(E1417)),"ERROR: VALOR debe ser numérico",IF(E1417=0,"AVISO: valor cero (no se carga)",IF(J1417&lt;&gt;"ACTIVO","NO SE CARGA: CECO en estado "&amp;J1417,"OK"))))))))))</f>
        <v/>
      </c>
    </row>
    <row r="1418">
      <c r="A1418" s="5" t="n"/>
      <c r="B1418" s="6" t="n"/>
      <c r="C1418" s="5" t="n"/>
      <c r="D1418" s="6" t="n"/>
      <c r="E1418" s="7" t="n"/>
      <c r="F1418" s="6" t="n"/>
      <c r="G1418" s="8">
        <f>IF(B1418="","",IFERROR(VLOOKUP(--B1418,'CATALOGO CECO'!$A$2:$H$550,2,FALSE),"CECO NO EXISTE"))</f>
        <v/>
      </c>
      <c r="H1418" s="8">
        <f>IF(B1418="","",IFERROR(VLOOKUP(--B1418,'CATALOGO CECO'!$A$2:$H$550,3,FALSE),""))</f>
        <v/>
      </c>
      <c r="I1418" s="8">
        <f>IF(B1418="","",IFERROR(VLOOKUP(--B1418,'CATALOGO CECO'!$A$2:$H$550,5,FALSE),""))</f>
        <v/>
      </c>
      <c r="J1418" s="8">
        <f>IF(B1418="","",IFERROR(VLOOKUP(--B1418,'CATALOGO CECO'!$A$2:$H$550,8,FALSE),""))</f>
        <v/>
      </c>
      <c r="K1418" s="8">
        <f>IF(COUNTA(A1418:F1418)=0,"",IF(OR(LEN(A1418)&lt;&gt;7,MID(A1418,5,1)&lt;&gt;"-",ISERROR(--LEFT(A1418,4)),ISERROR(--RIGHT(A1418,2))),"ERROR: PERIODO debe ser AAAA-MM",IF(B1418="","ERROR: falta CODIGO CECO",IF(G1418="CECO NO EXISTE","ERROR: CECO no existe en el catálogo",IF(C1418="","ERROR: falta CUENTA",IF(ISERROR(--C1418),"ERROR: CUENTA debe tener solo dígitos",IF(ISERROR(FIND(LEFT(C1418,1),"567")),"ERROR: CUENTA fuera de las clases de costo",IF(NOT(ISNUMBER(E1418)),"ERROR: VALOR debe ser numérico",IF(E1418=0,"AVISO: valor cero (no se carga)",IF(J1418&lt;&gt;"ACTIVO","NO SE CARGA: CECO en estado "&amp;J1418,"OK"))))))))))</f>
        <v/>
      </c>
    </row>
    <row r="1419">
      <c r="A1419" s="5" t="n"/>
      <c r="B1419" s="6" t="n"/>
      <c r="C1419" s="5" t="n"/>
      <c r="D1419" s="6" t="n"/>
      <c r="E1419" s="7" t="n"/>
      <c r="F1419" s="6" t="n"/>
      <c r="G1419" s="8">
        <f>IF(B1419="","",IFERROR(VLOOKUP(--B1419,'CATALOGO CECO'!$A$2:$H$550,2,FALSE),"CECO NO EXISTE"))</f>
        <v/>
      </c>
      <c r="H1419" s="8">
        <f>IF(B1419="","",IFERROR(VLOOKUP(--B1419,'CATALOGO CECO'!$A$2:$H$550,3,FALSE),""))</f>
        <v/>
      </c>
      <c r="I1419" s="8">
        <f>IF(B1419="","",IFERROR(VLOOKUP(--B1419,'CATALOGO CECO'!$A$2:$H$550,5,FALSE),""))</f>
        <v/>
      </c>
      <c r="J1419" s="8">
        <f>IF(B1419="","",IFERROR(VLOOKUP(--B1419,'CATALOGO CECO'!$A$2:$H$550,8,FALSE),""))</f>
        <v/>
      </c>
      <c r="K1419" s="8">
        <f>IF(COUNTA(A1419:F1419)=0,"",IF(OR(LEN(A1419)&lt;&gt;7,MID(A1419,5,1)&lt;&gt;"-",ISERROR(--LEFT(A1419,4)),ISERROR(--RIGHT(A1419,2))),"ERROR: PERIODO debe ser AAAA-MM",IF(B1419="","ERROR: falta CODIGO CECO",IF(G1419="CECO NO EXISTE","ERROR: CECO no existe en el catálogo",IF(C1419="","ERROR: falta CUENTA",IF(ISERROR(--C1419),"ERROR: CUENTA debe tener solo dígitos",IF(ISERROR(FIND(LEFT(C1419,1),"567")),"ERROR: CUENTA fuera de las clases de costo",IF(NOT(ISNUMBER(E1419)),"ERROR: VALOR debe ser numérico",IF(E1419=0,"AVISO: valor cero (no se carga)",IF(J1419&lt;&gt;"ACTIVO","NO SE CARGA: CECO en estado "&amp;J1419,"OK"))))))))))</f>
        <v/>
      </c>
    </row>
    <row r="1420">
      <c r="A1420" s="5" t="n"/>
      <c r="B1420" s="6" t="n"/>
      <c r="C1420" s="5" t="n"/>
      <c r="D1420" s="6" t="n"/>
      <c r="E1420" s="7" t="n"/>
      <c r="F1420" s="6" t="n"/>
      <c r="G1420" s="8">
        <f>IF(B1420="","",IFERROR(VLOOKUP(--B1420,'CATALOGO CECO'!$A$2:$H$550,2,FALSE),"CECO NO EXISTE"))</f>
        <v/>
      </c>
      <c r="H1420" s="8">
        <f>IF(B1420="","",IFERROR(VLOOKUP(--B1420,'CATALOGO CECO'!$A$2:$H$550,3,FALSE),""))</f>
        <v/>
      </c>
      <c r="I1420" s="8">
        <f>IF(B1420="","",IFERROR(VLOOKUP(--B1420,'CATALOGO CECO'!$A$2:$H$550,5,FALSE),""))</f>
        <v/>
      </c>
      <c r="J1420" s="8">
        <f>IF(B1420="","",IFERROR(VLOOKUP(--B1420,'CATALOGO CECO'!$A$2:$H$550,8,FALSE),""))</f>
        <v/>
      </c>
      <c r="K1420" s="8">
        <f>IF(COUNTA(A1420:F1420)=0,"",IF(OR(LEN(A1420)&lt;&gt;7,MID(A1420,5,1)&lt;&gt;"-",ISERROR(--LEFT(A1420,4)),ISERROR(--RIGHT(A1420,2))),"ERROR: PERIODO debe ser AAAA-MM",IF(B1420="","ERROR: falta CODIGO CECO",IF(G1420="CECO NO EXISTE","ERROR: CECO no existe en el catálogo",IF(C1420="","ERROR: falta CUENTA",IF(ISERROR(--C1420),"ERROR: CUENTA debe tener solo dígitos",IF(ISERROR(FIND(LEFT(C1420,1),"567")),"ERROR: CUENTA fuera de las clases de costo",IF(NOT(ISNUMBER(E1420)),"ERROR: VALOR debe ser numérico",IF(E1420=0,"AVISO: valor cero (no se carga)",IF(J1420&lt;&gt;"ACTIVO","NO SE CARGA: CECO en estado "&amp;J1420,"OK"))))))))))</f>
        <v/>
      </c>
    </row>
    <row r="1421">
      <c r="A1421" s="5" t="n"/>
      <c r="B1421" s="6" t="n"/>
      <c r="C1421" s="5" t="n"/>
      <c r="D1421" s="6" t="n"/>
      <c r="E1421" s="7" t="n"/>
      <c r="F1421" s="6" t="n"/>
      <c r="G1421" s="8">
        <f>IF(B1421="","",IFERROR(VLOOKUP(--B1421,'CATALOGO CECO'!$A$2:$H$550,2,FALSE),"CECO NO EXISTE"))</f>
        <v/>
      </c>
      <c r="H1421" s="8">
        <f>IF(B1421="","",IFERROR(VLOOKUP(--B1421,'CATALOGO CECO'!$A$2:$H$550,3,FALSE),""))</f>
        <v/>
      </c>
      <c r="I1421" s="8">
        <f>IF(B1421="","",IFERROR(VLOOKUP(--B1421,'CATALOGO CECO'!$A$2:$H$550,5,FALSE),""))</f>
        <v/>
      </c>
      <c r="J1421" s="8">
        <f>IF(B1421="","",IFERROR(VLOOKUP(--B1421,'CATALOGO CECO'!$A$2:$H$550,8,FALSE),""))</f>
        <v/>
      </c>
      <c r="K1421" s="8">
        <f>IF(COUNTA(A1421:F1421)=0,"",IF(OR(LEN(A1421)&lt;&gt;7,MID(A1421,5,1)&lt;&gt;"-",ISERROR(--LEFT(A1421,4)),ISERROR(--RIGHT(A1421,2))),"ERROR: PERIODO debe ser AAAA-MM",IF(B1421="","ERROR: falta CODIGO CECO",IF(G1421="CECO NO EXISTE","ERROR: CECO no existe en el catálogo",IF(C1421="","ERROR: falta CUENTA",IF(ISERROR(--C1421),"ERROR: CUENTA debe tener solo dígitos",IF(ISERROR(FIND(LEFT(C1421,1),"567")),"ERROR: CUENTA fuera de las clases de costo",IF(NOT(ISNUMBER(E1421)),"ERROR: VALOR debe ser numérico",IF(E1421=0,"AVISO: valor cero (no se carga)",IF(J1421&lt;&gt;"ACTIVO","NO SE CARGA: CECO en estado "&amp;J1421,"OK"))))))))))</f>
        <v/>
      </c>
    </row>
    <row r="1422">
      <c r="A1422" s="5" t="n"/>
      <c r="B1422" s="6" t="n"/>
      <c r="C1422" s="5" t="n"/>
      <c r="D1422" s="6" t="n"/>
      <c r="E1422" s="7" t="n"/>
      <c r="F1422" s="6" t="n"/>
      <c r="G1422" s="8">
        <f>IF(B1422="","",IFERROR(VLOOKUP(--B1422,'CATALOGO CECO'!$A$2:$H$550,2,FALSE),"CECO NO EXISTE"))</f>
        <v/>
      </c>
      <c r="H1422" s="8">
        <f>IF(B1422="","",IFERROR(VLOOKUP(--B1422,'CATALOGO CECO'!$A$2:$H$550,3,FALSE),""))</f>
        <v/>
      </c>
      <c r="I1422" s="8">
        <f>IF(B1422="","",IFERROR(VLOOKUP(--B1422,'CATALOGO CECO'!$A$2:$H$550,5,FALSE),""))</f>
        <v/>
      </c>
      <c r="J1422" s="8">
        <f>IF(B1422="","",IFERROR(VLOOKUP(--B1422,'CATALOGO CECO'!$A$2:$H$550,8,FALSE),""))</f>
        <v/>
      </c>
      <c r="K1422" s="8">
        <f>IF(COUNTA(A1422:F1422)=0,"",IF(OR(LEN(A1422)&lt;&gt;7,MID(A1422,5,1)&lt;&gt;"-",ISERROR(--LEFT(A1422,4)),ISERROR(--RIGHT(A1422,2))),"ERROR: PERIODO debe ser AAAA-MM",IF(B1422="","ERROR: falta CODIGO CECO",IF(G1422="CECO NO EXISTE","ERROR: CECO no existe en el catálogo",IF(C1422="","ERROR: falta CUENTA",IF(ISERROR(--C1422),"ERROR: CUENTA debe tener solo dígitos",IF(ISERROR(FIND(LEFT(C1422,1),"567")),"ERROR: CUENTA fuera de las clases de costo",IF(NOT(ISNUMBER(E1422)),"ERROR: VALOR debe ser numérico",IF(E1422=0,"AVISO: valor cero (no se carga)",IF(J1422&lt;&gt;"ACTIVO","NO SE CARGA: CECO en estado "&amp;J1422,"OK"))))))))))</f>
        <v/>
      </c>
    </row>
    <row r="1423">
      <c r="A1423" s="5" t="n"/>
      <c r="B1423" s="6" t="n"/>
      <c r="C1423" s="5" t="n"/>
      <c r="D1423" s="6" t="n"/>
      <c r="E1423" s="7" t="n"/>
      <c r="F1423" s="6" t="n"/>
      <c r="G1423" s="8">
        <f>IF(B1423="","",IFERROR(VLOOKUP(--B1423,'CATALOGO CECO'!$A$2:$H$550,2,FALSE),"CECO NO EXISTE"))</f>
        <v/>
      </c>
      <c r="H1423" s="8">
        <f>IF(B1423="","",IFERROR(VLOOKUP(--B1423,'CATALOGO CECO'!$A$2:$H$550,3,FALSE),""))</f>
        <v/>
      </c>
      <c r="I1423" s="8">
        <f>IF(B1423="","",IFERROR(VLOOKUP(--B1423,'CATALOGO CECO'!$A$2:$H$550,5,FALSE),""))</f>
        <v/>
      </c>
      <c r="J1423" s="8">
        <f>IF(B1423="","",IFERROR(VLOOKUP(--B1423,'CATALOGO CECO'!$A$2:$H$550,8,FALSE),""))</f>
        <v/>
      </c>
      <c r="K1423" s="8">
        <f>IF(COUNTA(A1423:F1423)=0,"",IF(OR(LEN(A1423)&lt;&gt;7,MID(A1423,5,1)&lt;&gt;"-",ISERROR(--LEFT(A1423,4)),ISERROR(--RIGHT(A1423,2))),"ERROR: PERIODO debe ser AAAA-MM",IF(B1423="","ERROR: falta CODIGO CECO",IF(G1423="CECO NO EXISTE","ERROR: CECO no existe en el catálogo",IF(C1423="","ERROR: falta CUENTA",IF(ISERROR(--C1423),"ERROR: CUENTA debe tener solo dígitos",IF(ISERROR(FIND(LEFT(C1423,1),"567")),"ERROR: CUENTA fuera de las clases de costo",IF(NOT(ISNUMBER(E1423)),"ERROR: VALOR debe ser numérico",IF(E1423=0,"AVISO: valor cero (no se carga)",IF(J1423&lt;&gt;"ACTIVO","NO SE CARGA: CECO en estado "&amp;J1423,"OK"))))))))))</f>
        <v/>
      </c>
    </row>
    <row r="1424">
      <c r="A1424" s="5" t="n"/>
      <c r="B1424" s="6" t="n"/>
      <c r="C1424" s="5" t="n"/>
      <c r="D1424" s="6" t="n"/>
      <c r="E1424" s="7" t="n"/>
      <c r="F1424" s="6" t="n"/>
      <c r="G1424" s="8">
        <f>IF(B1424="","",IFERROR(VLOOKUP(--B1424,'CATALOGO CECO'!$A$2:$H$550,2,FALSE),"CECO NO EXISTE"))</f>
        <v/>
      </c>
      <c r="H1424" s="8">
        <f>IF(B1424="","",IFERROR(VLOOKUP(--B1424,'CATALOGO CECO'!$A$2:$H$550,3,FALSE),""))</f>
        <v/>
      </c>
      <c r="I1424" s="8">
        <f>IF(B1424="","",IFERROR(VLOOKUP(--B1424,'CATALOGO CECO'!$A$2:$H$550,5,FALSE),""))</f>
        <v/>
      </c>
      <c r="J1424" s="8">
        <f>IF(B1424="","",IFERROR(VLOOKUP(--B1424,'CATALOGO CECO'!$A$2:$H$550,8,FALSE),""))</f>
        <v/>
      </c>
      <c r="K1424" s="8">
        <f>IF(COUNTA(A1424:F1424)=0,"",IF(OR(LEN(A1424)&lt;&gt;7,MID(A1424,5,1)&lt;&gt;"-",ISERROR(--LEFT(A1424,4)),ISERROR(--RIGHT(A1424,2))),"ERROR: PERIODO debe ser AAAA-MM",IF(B1424="","ERROR: falta CODIGO CECO",IF(G1424="CECO NO EXISTE","ERROR: CECO no existe en el catálogo",IF(C1424="","ERROR: falta CUENTA",IF(ISERROR(--C1424),"ERROR: CUENTA debe tener solo dígitos",IF(ISERROR(FIND(LEFT(C1424,1),"567")),"ERROR: CUENTA fuera de las clases de costo",IF(NOT(ISNUMBER(E1424)),"ERROR: VALOR debe ser numérico",IF(E1424=0,"AVISO: valor cero (no se carga)",IF(J1424&lt;&gt;"ACTIVO","NO SE CARGA: CECO en estado "&amp;J1424,"OK"))))))))))</f>
        <v/>
      </c>
    </row>
    <row r="1425">
      <c r="A1425" s="5" t="n"/>
      <c r="B1425" s="6" t="n"/>
      <c r="C1425" s="5" t="n"/>
      <c r="D1425" s="6" t="n"/>
      <c r="E1425" s="7" t="n"/>
      <c r="F1425" s="6" t="n"/>
      <c r="G1425" s="8">
        <f>IF(B1425="","",IFERROR(VLOOKUP(--B1425,'CATALOGO CECO'!$A$2:$H$550,2,FALSE),"CECO NO EXISTE"))</f>
        <v/>
      </c>
      <c r="H1425" s="8">
        <f>IF(B1425="","",IFERROR(VLOOKUP(--B1425,'CATALOGO CECO'!$A$2:$H$550,3,FALSE),""))</f>
        <v/>
      </c>
      <c r="I1425" s="8">
        <f>IF(B1425="","",IFERROR(VLOOKUP(--B1425,'CATALOGO CECO'!$A$2:$H$550,5,FALSE),""))</f>
        <v/>
      </c>
      <c r="J1425" s="8">
        <f>IF(B1425="","",IFERROR(VLOOKUP(--B1425,'CATALOGO CECO'!$A$2:$H$550,8,FALSE),""))</f>
        <v/>
      </c>
      <c r="K1425" s="8">
        <f>IF(COUNTA(A1425:F1425)=0,"",IF(OR(LEN(A1425)&lt;&gt;7,MID(A1425,5,1)&lt;&gt;"-",ISERROR(--LEFT(A1425,4)),ISERROR(--RIGHT(A1425,2))),"ERROR: PERIODO debe ser AAAA-MM",IF(B1425="","ERROR: falta CODIGO CECO",IF(G1425="CECO NO EXISTE","ERROR: CECO no existe en el catálogo",IF(C1425="","ERROR: falta CUENTA",IF(ISERROR(--C1425),"ERROR: CUENTA debe tener solo dígitos",IF(ISERROR(FIND(LEFT(C1425,1),"567")),"ERROR: CUENTA fuera de las clases de costo",IF(NOT(ISNUMBER(E1425)),"ERROR: VALOR debe ser numérico",IF(E1425=0,"AVISO: valor cero (no se carga)",IF(J1425&lt;&gt;"ACTIVO","NO SE CARGA: CECO en estado "&amp;J1425,"OK"))))))))))</f>
        <v/>
      </c>
    </row>
    <row r="1426">
      <c r="A1426" s="5" t="n"/>
      <c r="B1426" s="6" t="n"/>
      <c r="C1426" s="5" t="n"/>
      <c r="D1426" s="6" t="n"/>
      <c r="E1426" s="7" t="n"/>
      <c r="F1426" s="6" t="n"/>
      <c r="G1426" s="8">
        <f>IF(B1426="","",IFERROR(VLOOKUP(--B1426,'CATALOGO CECO'!$A$2:$H$550,2,FALSE),"CECO NO EXISTE"))</f>
        <v/>
      </c>
      <c r="H1426" s="8">
        <f>IF(B1426="","",IFERROR(VLOOKUP(--B1426,'CATALOGO CECO'!$A$2:$H$550,3,FALSE),""))</f>
        <v/>
      </c>
      <c r="I1426" s="8">
        <f>IF(B1426="","",IFERROR(VLOOKUP(--B1426,'CATALOGO CECO'!$A$2:$H$550,5,FALSE),""))</f>
        <v/>
      </c>
      <c r="J1426" s="8">
        <f>IF(B1426="","",IFERROR(VLOOKUP(--B1426,'CATALOGO CECO'!$A$2:$H$550,8,FALSE),""))</f>
        <v/>
      </c>
      <c r="K1426" s="8">
        <f>IF(COUNTA(A1426:F1426)=0,"",IF(OR(LEN(A1426)&lt;&gt;7,MID(A1426,5,1)&lt;&gt;"-",ISERROR(--LEFT(A1426,4)),ISERROR(--RIGHT(A1426,2))),"ERROR: PERIODO debe ser AAAA-MM",IF(B1426="","ERROR: falta CODIGO CECO",IF(G1426="CECO NO EXISTE","ERROR: CECO no existe en el catálogo",IF(C1426="","ERROR: falta CUENTA",IF(ISERROR(--C1426),"ERROR: CUENTA debe tener solo dígitos",IF(ISERROR(FIND(LEFT(C1426,1),"567")),"ERROR: CUENTA fuera de las clases de costo",IF(NOT(ISNUMBER(E1426)),"ERROR: VALOR debe ser numérico",IF(E1426=0,"AVISO: valor cero (no se carga)",IF(J1426&lt;&gt;"ACTIVO","NO SE CARGA: CECO en estado "&amp;J1426,"OK"))))))))))</f>
        <v/>
      </c>
    </row>
    <row r="1427">
      <c r="A1427" s="5" t="n"/>
      <c r="B1427" s="6" t="n"/>
      <c r="C1427" s="5" t="n"/>
      <c r="D1427" s="6" t="n"/>
      <c r="E1427" s="7" t="n"/>
      <c r="F1427" s="6" t="n"/>
      <c r="G1427" s="8">
        <f>IF(B1427="","",IFERROR(VLOOKUP(--B1427,'CATALOGO CECO'!$A$2:$H$550,2,FALSE),"CECO NO EXISTE"))</f>
        <v/>
      </c>
      <c r="H1427" s="8">
        <f>IF(B1427="","",IFERROR(VLOOKUP(--B1427,'CATALOGO CECO'!$A$2:$H$550,3,FALSE),""))</f>
        <v/>
      </c>
      <c r="I1427" s="8">
        <f>IF(B1427="","",IFERROR(VLOOKUP(--B1427,'CATALOGO CECO'!$A$2:$H$550,5,FALSE),""))</f>
        <v/>
      </c>
      <c r="J1427" s="8">
        <f>IF(B1427="","",IFERROR(VLOOKUP(--B1427,'CATALOGO CECO'!$A$2:$H$550,8,FALSE),""))</f>
        <v/>
      </c>
      <c r="K1427" s="8">
        <f>IF(COUNTA(A1427:F1427)=0,"",IF(OR(LEN(A1427)&lt;&gt;7,MID(A1427,5,1)&lt;&gt;"-",ISERROR(--LEFT(A1427,4)),ISERROR(--RIGHT(A1427,2))),"ERROR: PERIODO debe ser AAAA-MM",IF(B1427="","ERROR: falta CODIGO CECO",IF(G1427="CECO NO EXISTE","ERROR: CECO no existe en el catálogo",IF(C1427="","ERROR: falta CUENTA",IF(ISERROR(--C1427),"ERROR: CUENTA debe tener solo dígitos",IF(ISERROR(FIND(LEFT(C1427,1),"567")),"ERROR: CUENTA fuera de las clases de costo",IF(NOT(ISNUMBER(E1427)),"ERROR: VALOR debe ser numérico",IF(E1427=0,"AVISO: valor cero (no se carga)",IF(J1427&lt;&gt;"ACTIVO","NO SE CARGA: CECO en estado "&amp;J1427,"OK"))))))))))</f>
        <v/>
      </c>
    </row>
    <row r="1428">
      <c r="A1428" s="5" t="n"/>
      <c r="B1428" s="6" t="n"/>
      <c r="C1428" s="5" t="n"/>
      <c r="D1428" s="6" t="n"/>
      <c r="E1428" s="7" t="n"/>
      <c r="F1428" s="6" t="n"/>
      <c r="G1428" s="8">
        <f>IF(B1428="","",IFERROR(VLOOKUP(--B1428,'CATALOGO CECO'!$A$2:$H$550,2,FALSE),"CECO NO EXISTE"))</f>
        <v/>
      </c>
      <c r="H1428" s="8">
        <f>IF(B1428="","",IFERROR(VLOOKUP(--B1428,'CATALOGO CECO'!$A$2:$H$550,3,FALSE),""))</f>
        <v/>
      </c>
      <c r="I1428" s="8">
        <f>IF(B1428="","",IFERROR(VLOOKUP(--B1428,'CATALOGO CECO'!$A$2:$H$550,5,FALSE),""))</f>
        <v/>
      </c>
      <c r="J1428" s="8">
        <f>IF(B1428="","",IFERROR(VLOOKUP(--B1428,'CATALOGO CECO'!$A$2:$H$550,8,FALSE),""))</f>
        <v/>
      </c>
      <c r="K1428" s="8">
        <f>IF(COUNTA(A1428:F1428)=0,"",IF(OR(LEN(A1428)&lt;&gt;7,MID(A1428,5,1)&lt;&gt;"-",ISERROR(--LEFT(A1428,4)),ISERROR(--RIGHT(A1428,2))),"ERROR: PERIODO debe ser AAAA-MM",IF(B1428="","ERROR: falta CODIGO CECO",IF(G1428="CECO NO EXISTE","ERROR: CECO no existe en el catálogo",IF(C1428="","ERROR: falta CUENTA",IF(ISERROR(--C1428),"ERROR: CUENTA debe tener solo dígitos",IF(ISERROR(FIND(LEFT(C1428,1),"567")),"ERROR: CUENTA fuera de las clases de costo",IF(NOT(ISNUMBER(E1428)),"ERROR: VALOR debe ser numérico",IF(E1428=0,"AVISO: valor cero (no se carga)",IF(J1428&lt;&gt;"ACTIVO","NO SE CARGA: CECO en estado "&amp;J1428,"OK"))))))))))</f>
        <v/>
      </c>
    </row>
    <row r="1429">
      <c r="A1429" s="5" t="n"/>
      <c r="B1429" s="6" t="n"/>
      <c r="C1429" s="5" t="n"/>
      <c r="D1429" s="6" t="n"/>
      <c r="E1429" s="7" t="n"/>
      <c r="F1429" s="6" t="n"/>
      <c r="G1429" s="8">
        <f>IF(B1429="","",IFERROR(VLOOKUP(--B1429,'CATALOGO CECO'!$A$2:$H$550,2,FALSE),"CECO NO EXISTE"))</f>
        <v/>
      </c>
      <c r="H1429" s="8">
        <f>IF(B1429="","",IFERROR(VLOOKUP(--B1429,'CATALOGO CECO'!$A$2:$H$550,3,FALSE),""))</f>
        <v/>
      </c>
      <c r="I1429" s="8">
        <f>IF(B1429="","",IFERROR(VLOOKUP(--B1429,'CATALOGO CECO'!$A$2:$H$550,5,FALSE),""))</f>
        <v/>
      </c>
      <c r="J1429" s="8">
        <f>IF(B1429="","",IFERROR(VLOOKUP(--B1429,'CATALOGO CECO'!$A$2:$H$550,8,FALSE),""))</f>
        <v/>
      </c>
      <c r="K1429" s="8">
        <f>IF(COUNTA(A1429:F1429)=0,"",IF(OR(LEN(A1429)&lt;&gt;7,MID(A1429,5,1)&lt;&gt;"-",ISERROR(--LEFT(A1429,4)),ISERROR(--RIGHT(A1429,2))),"ERROR: PERIODO debe ser AAAA-MM",IF(B1429="","ERROR: falta CODIGO CECO",IF(G1429="CECO NO EXISTE","ERROR: CECO no existe en el catálogo",IF(C1429="","ERROR: falta CUENTA",IF(ISERROR(--C1429),"ERROR: CUENTA debe tener solo dígitos",IF(ISERROR(FIND(LEFT(C1429,1),"567")),"ERROR: CUENTA fuera de las clases de costo",IF(NOT(ISNUMBER(E1429)),"ERROR: VALOR debe ser numérico",IF(E1429=0,"AVISO: valor cero (no se carga)",IF(J1429&lt;&gt;"ACTIVO","NO SE CARGA: CECO en estado "&amp;J1429,"OK"))))))))))</f>
        <v/>
      </c>
    </row>
    <row r="1430">
      <c r="A1430" s="5" t="n"/>
      <c r="B1430" s="6" t="n"/>
      <c r="C1430" s="5" t="n"/>
      <c r="D1430" s="6" t="n"/>
      <c r="E1430" s="7" t="n"/>
      <c r="F1430" s="6" t="n"/>
      <c r="G1430" s="8">
        <f>IF(B1430="","",IFERROR(VLOOKUP(--B1430,'CATALOGO CECO'!$A$2:$H$550,2,FALSE),"CECO NO EXISTE"))</f>
        <v/>
      </c>
      <c r="H1430" s="8">
        <f>IF(B1430="","",IFERROR(VLOOKUP(--B1430,'CATALOGO CECO'!$A$2:$H$550,3,FALSE),""))</f>
        <v/>
      </c>
      <c r="I1430" s="8">
        <f>IF(B1430="","",IFERROR(VLOOKUP(--B1430,'CATALOGO CECO'!$A$2:$H$550,5,FALSE),""))</f>
        <v/>
      </c>
      <c r="J1430" s="8">
        <f>IF(B1430="","",IFERROR(VLOOKUP(--B1430,'CATALOGO CECO'!$A$2:$H$550,8,FALSE),""))</f>
        <v/>
      </c>
      <c r="K1430" s="8">
        <f>IF(COUNTA(A1430:F1430)=0,"",IF(OR(LEN(A1430)&lt;&gt;7,MID(A1430,5,1)&lt;&gt;"-",ISERROR(--LEFT(A1430,4)),ISERROR(--RIGHT(A1430,2))),"ERROR: PERIODO debe ser AAAA-MM",IF(B1430="","ERROR: falta CODIGO CECO",IF(G1430="CECO NO EXISTE","ERROR: CECO no existe en el catálogo",IF(C1430="","ERROR: falta CUENTA",IF(ISERROR(--C1430),"ERROR: CUENTA debe tener solo dígitos",IF(ISERROR(FIND(LEFT(C1430,1),"567")),"ERROR: CUENTA fuera de las clases de costo",IF(NOT(ISNUMBER(E1430)),"ERROR: VALOR debe ser numérico",IF(E1430=0,"AVISO: valor cero (no se carga)",IF(J1430&lt;&gt;"ACTIVO","NO SE CARGA: CECO en estado "&amp;J1430,"OK"))))))))))</f>
        <v/>
      </c>
    </row>
    <row r="1431">
      <c r="A1431" s="5" t="n"/>
      <c r="B1431" s="6" t="n"/>
      <c r="C1431" s="5" t="n"/>
      <c r="D1431" s="6" t="n"/>
      <c r="E1431" s="7" t="n"/>
      <c r="F1431" s="6" t="n"/>
      <c r="G1431" s="8">
        <f>IF(B1431="","",IFERROR(VLOOKUP(--B1431,'CATALOGO CECO'!$A$2:$H$550,2,FALSE),"CECO NO EXISTE"))</f>
        <v/>
      </c>
      <c r="H1431" s="8">
        <f>IF(B1431="","",IFERROR(VLOOKUP(--B1431,'CATALOGO CECO'!$A$2:$H$550,3,FALSE),""))</f>
        <v/>
      </c>
      <c r="I1431" s="8">
        <f>IF(B1431="","",IFERROR(VLOOKUP(--B1431,'CATALOGO CECO'!$A$2:$H$550,5,FALSE),""))</f>
        <v/>
      </c>
      <c r="J1431" s="8">
        <f>IF(B1431="","",IFERROR(VLOOKUP(--B1431,'CATALOGO CECO'!$A$2:$H$550,8,FALSE),""))</f>
        <v/>
      </c>
      <c r="K1431" s="8">
        <f>IF(COUNTA(A1431:F1431)=0,"",IF(OR(LEN(A1431)&lt;&gt;7,MID(A1431,5,1)&lt;&gt;"-",ISERROR(--LEFT(A1431,4)),ISERROR(--RIGHT(A1431,2))),"ERROR: PERIODO debe ser AAAA-MM",IF(B1431="","ERROR: falta CODIGO CECO",IF(G1431="CECO NO EXISTE","ERROR: CECO no existe en el catálogo",IF(C1431="","ERROR: falta CUENTA",IF(ISERROR(--C1431),"ERROR: CUENTA debe tener solo dígitos",IF(ISERROR(FIND(LEFT(C1431,1),"567")),"ERROR: CUENTA fuera de las clases de costo",IF(NOT(ISNUMBER(E1431)),"ERROR: VALOR debe ser numérico",IF(E1431=0,"AVISO: valor cero (no se carga)",IF(J1431&lt;&gt;"ACTIVO","NO SE CARGA: CECO en estado "&amp;J1431,"OK"))))))))))</f>
        <v/>
      </c>
    </row>
    <row r="1432">
      <c r="A1432" s="5" t="n"/>
      <c r="B1432" s="6" t="n"/>
      <c r="C1432" s="5" t="n"/>
      <c r="D1432" s="6" t="n"/>
      <c r="E1432" s="7" t="n"/>
      <c r="F1432" s="6" t="n"/>
      <c r="G1432" s="8">
        <f>IF(B1432="","",IFERROR(VLOOKUP(--B1432,'CATALOGO CECO'!$A$2:$H$550,2,FALSE),"CECO NO EXISTE"))</f>
        <v/>
      </c>
      <c r="H1432" s="8">
        <f>IF(B1432="","",IFERROR(VLOOKUP(--B1432,'CATALOGO CECO'!$A$2:$H$550,3,FALSE),""))</f>
        <v/>
      </c>
      <c r="I1432" s="8">
        <f>IF(B1432="","",IFERROR(VLOOKUP(--B1432,'CATALOGO CECO'!$A$2:$H$550,5,FALSE),""))</f>
        <v/>
      </c>
      <c r="J1432" s="8">
        <f>IF(B1432="","",IFERROR(VLOOKUP(--B1432,'CATALOGO CECO'!$A$2:$H$550,8,FALSE),""))</f>
        <v/>
      </c>
      <c r="K1432" s="8">
        <f>IF(COUNTA(A1432:F1432)=0,"",IF(OR(LEN(A1432)&lt;&gt;7,MID(A1432,5,1)&lt;&gt;"-",ISERROR(--LEFT(A1432,4)),ISERROR(--RIGHT(A1432,2))),"ERROR: PERIODO debe ser AAAA-MM",IF(B1432="","ERROR: falta CODIGO CECO",IF(G1432="CECO NO EXISTE","ERROR: CECO no existe en el catálogo",IF(C1432="","ERROR: falta CUENTA",IF(ISERROR(--C1432),"ERROR: CUENTA debe tener solo dígitos",IF(ISERROR(FIND(LEFT(C1432,1),"567")),"ERROR: CUENTA fuera de las clases de costo",IF(NOT(ISNUMBER(E1432)),"ERROR: VALOR debe ser numérico",IF(E1432=0,"AVISO: valor cero (no se carga)",IF(J1432&lt;&gt;"ACTIVO","NO SE CARGA: CECO en estado "&amp;J1432,"OK"))))))))))</f>
        <v/>
      </c>
    </row>
    <row r="1433">
      <c r="A1433" s="5" t="n"/>
      <c r="B1433" s="6" t="n"/>
      <c r="C1433" s="5" t="n"/>
      <c r="D1433" s="6" t="n"/>
      <c r="E1433" s="7" t="n"/>
      <c r="F1433" s="6" t="n"/>
      <c r="G1433" s="8">
        <f>IF(B1433="","",IFERROR(VLOOKUP(--B1433,'CATALOGO CECO'!$A$2:$H$550,2,FALSE),"CECO NO EXISTE"))</f>
        <v/>
      </c>
      <c r="H1433" s="8">
        <f>IF(B1433="","",IFERROR(VLOOKUP(--B1433,'CATALOGO CECO'!$A$2:$H$550,3,FALSE),""))</f>
        <v/>
      </c>
      <c r="I1433" s="8">
        <f>IF(B1433="","",IFERROR(VLOOKUP(--B1433,'CATALOGO CECO'!$A$2:$H$550,5,FALSE),""))</f>
        <v/>
      </c>
      <c r="J1433" s="8">
        <f>IF(B1433="","",IFERROR(VLOOKUP(--B1433,'CATALOGO CECO'!$A$2:$H$550,8,FALSE),""))</f>
        <v/>
      </c>
      <c r="K1433" s="8">
        <f>IF(COUNTA(A1433:F1433)=0,"",IF(OR(LEN(A1433)&lt;&gt;7,MID(A1433,5,1)&lt;&gt;"-",ISERROR(--LEFT(A1433,4)),ISERROR(--RIGHT(A1433,2))),"ERROR: PERIODO debe ser AAAA-MM",IF(B1433="","ERROR: falta CODIGO CECO",IF(G1433="CECO NO EXISTE","ERROR: CECO no existe en el catálogo",IF(C1433="","ERROR: falta CUENTA",IF(ISERROR(--C1433),"ERROR: CUENTA debe tener solo dígitos",IF(ISERROR(FIND(LEFT(C1433,1),"567")),"ERROR: CUENTA fuera de las clases de costo",IF(NOT(ISNUMBER(E1433)),"ERROR: VALOR debe ser numérico",IF(E1433=0,"AVISO: valor cero (no se carga)",IF(J1433&lt;&gt;"ACTIVO","NO SE CARGA: CECO en estado "&amp;J1433,"OK"))))))))))</f>
        <v/>
      </c>
    </row>
    <row r="1434">
      <c r="A1434" s="5" t="n"/>
      <c r="B1434" s="6" t="n"/>
      <c r="C1434" s="5" t="n"/>
      <c r="D1434" s="6" t="n"/>
      <c r="E1434" s="7" t="n"/>
      <c r="F1434" s="6" t="n"/>
      <c r="G1434" s="8">
        <f>IF(B1434="","",IFERROR(VLOOKUP(--B1434,'CATALOGO CECO'!$A$2:$H$550,2,FALSE),"CECO NO EXISTE"))</f>
        <v/>
      </c>
      <c r="H1434" s="8">
        <f>IF(B1434="","",IFERROR(VLOOKUP(--B1434,'CATALOGO CECO'!$A$2:$H$550,3,FALSE),""))</f>
        <v/>
      </c>
      <c r="I1434" s="8">
        <f>IF(B1434="","",IFERROR(VLOOKUP(--B1434,'CATALOGO CECO'!$A$2:$H$550,5,FALSE),""))</f>
        <v/>
      </c>
      <c r="J1434" s="8">
        <f>IF(B1434="","",IFERROR(VLOOKUP(--B1434,'CATALOGO CECO'!$A$2:$H$550,8,FALSE),""))</f>
        <v/>
      </c>
      <c r="K1434" s="8">
        <f>IF(COUNTA(A1434:F1434)=0,"",IF(OR(LEN(A1434)&lt;&gt;7,MID(A1434,5,1)&lt;&gt;"-",ISERROR(--LEFT(A1434,4)),ISERROR(--RIGHT(A1434,2))),"ERROR: PERIODO debe ser AAAA-MM",IF(B1434="","ERROR: falta CODIGO CECO",IF(G1434="CECO NO EXISTE","ERROR: CECO no existe en el catálogo",IF(C1434="","ERROR: falta CUENTA",IF(ISERROR(--C1434),"ERROR: CUENTA debe tener solo dígitos",IF(ISERROR(FIND(LEFT(C1434,1),"567")),"ERROR: CUENTA fuera de las clases de costo",IF(NOT(ISNUMBER(E1434)),"ERROR: VALOR debe ser numérico",IF(E1434=0,"AVISO: valor cero (no se carga)",IF(J1434&lt;&gt;"ACTIVO","NO SE CARGA: CECO en estado "&amp;J1434,"OK"))))))))))</f>
        <v/>
      </c>
    </row>
    <row r="1435">
      <c r="A1435" s="5" t="n"/>
      <c r="B1435" s="6" t="n"/>
      <c r="C1435" s="5" t="n"/>
      <c r="D1435" s="6" t="n"/>
      <c r="E1435" s="7" t="n"/>
      <c r="F1435" s="6" t="n"/>
      <c r="G1435" s="8">
        <f>IF(B1435="","",IFERROR(VLOOKUP(--B1435,'CATALOGO CECO'!$A$2:$H$550,2,FALSE),"CECO NO EXISTE"))</f>
        <v/>
      </c>
      <c r="H1435" s="8">
        <f>IF(B1435="","",IFERROR(VLOOKUP(--B1435,'CATALOGO CECO'!$A$2:$H$550,3,FALSE),""))</f>
        <v/>
      </c>
      <c r="I1435" s="8">
        <f>IF(B1435="","",IFERROR(VLOOKUP(--B1435,'CATALOGO CECO'!$A$2:$H$550,5,FALSE),""))</f>
        <v/>
      </c>
      <c r="J1435" s="8">
        <f>IF(B1435="","",IFERROR(VLOOKUP(--B1435,'CATALOGO CECO'!$A$2:$H$550,8,FALSE),""))</f>
        <v/>
      </c>
      <c r="K1435" s="8">
        <f>IF(COUNTA(A1435:F1435)=0,"",IF(OR(LEN(A1435)&lt;&gt;7,MID(A1435,5,1)&lt;&gt;"-",ISERROR(--LEFT(A1435,4)),ISERROR(--RIGHT(A1435,2))),"ERROR: PERIODO debe ser AAAA-MM",IF(B1435="","ERROR: falta CODIGO CECO",IF(G1435="CECO NO EXISTE","ERROR: CECO no existe en el catálogo",IF(C1435="","ERROR: falta CUENTA",IF(ISERROR(--C1435),"ERROR: CUENTA debe tener solo dígitos",IF(ISERROR(FIND(LEFT(C1435,1),"567")),"ERROR: CUENTA fuera de las clases de costo",IF(NOT(ISNUMBER(E1435)),"ERROR: VALOR debe ser numérico",IF(E1435=0,"AVISO: valor cero (no se carga)",IF(J1435&lt;&gt;"ACTIVO","NO SE CARGA: CECO en estado "&amp;J1435,"OK"))))))))))</f>
        <v/>
      </c>
    </row>
    <row r="1436">
      <c r="A1436" s="5" t="n"/>
      <c r="B1436" s="6" t="n"/>
      <c r="C1436" s="5" t="n"/>
      <c r="D1436" s="6" t="n"/>
      <c r="E1436" s="7" t="n"/>
      <c r="F1436" s="6" t="n"/>
      <c r="G1436" s="8">
        <f>IF(B1436="","",IFERROR(VLOOKUP(--B1436,'CATALOGO CECO'!$A$2:$H$550,2,FALSE),"CECO NO EXISTE"))</f>
        <v/>
      </c>
      <c r="H1436" s="8">
        <f>IF(B1436="","",IFERROR(VLOOKUP(--B1436,'CATALOGO CECO'!$A$2:$H$550,3,FALSE),""))</f>
        <v/>
      </c>
      <c r="I1436" s="8">
        <f>IF(B1436="","",IFERROR(VLOOKUP(--B1436,'CATALOGO CECO'!$A$2:$H$550,5,FALSE),""))</f>
        <v/>
      </c>
      <c r="J1436" s="8">
        <f>IF(B1436="","",IFERROR(VLOOKUP(--B1436,'CATALOGO CECO'!$A$2:$H$550,8,FALSE),""))</f>
        <v/>
      </c>
      <c r="K1436" s="8">
        <f>IF(COUNTA(A1436:F1436)=0,"",IF(OR(LEN(A1436)&lt;&gt;7,MID(A1436,5,1)&lt;&gt;"-",ISERROR(--LEFT(A1436,4)),ISERROR(--RIGHT(A1436,2))),"ERROR: PERIODO debe ser AAAA-MM",IF(B1436="","ERROR: falta CODIGO CECO",IF(G1436="CECO NO EXISTE","ERROR: CECO no existe en el catálogo",IF(C1436="","ERROR: falta CUENTA",IF(ISERROR(--C1436),"ERROR: CUENTA debe tener solo dígitos",IF(ISERROR(FIND(LEFT(C1436,1),"567")),"ERROR: CUENTA fuera de las clases de costo",IF(NOT(ISNUMBER(E1436)),"ERROR: VALOR debe ser numérico",IF(E1436=0,"AVISO: valor cero (no se carga)",IF(J1436&lt;&gt;"ACTIVO","NO SE CARGA: CECO en estado "&amp;J1436,"OK"))))))))))</f>
        <v/>
      </c>
    </row>
    <row r="1437">
      <c r="A1437" s="5" t="n"/>
      <c r="B1437" s="6" t="n"/>
      <c r="C1437" s="5" t="n"/>
      <c r="D1437" s="6" t="n"/>
      <c r="E1437" s="7" t="n"/>
      <c r="F1437" s="6" t="n"/>
      <c r="G1437" s="8">
        <f>IF(B1437="","",IFERROR(VLOOKUP(--B1437,'CATALOGO CECO'!$A$2:$H$550,2,FALSE),"CECO NO EXISTE"))</f>
        <v/>
      </c>
      <c r="H1437" s="8">
        <f>IF(B1437="","",IFERROR(VLOOKUP(--B1437,'CATALOGO CECO'!$A$2:$H$550,3,FALSE),""))</f>
        <v/>
      </c>
      <c r="I1437" s="8">
        <f>IF(B1437="","",IFERROR(VLOOKUP(--B1437,'CATALOGO CECO'!$A$2:$H$550,5,FALSE),""))</f>
        <v/>
      </c>
      <c r="J1437" s="8">
        <f>IF(B1437="","",IFERROR(VLOOKUP(--B1437,'CATALOGO CECO'!$A$2:$H$550,8,FALSE),""))</f>
        <v/>
      </c>
      <c r="K1437" s="8">
        <f>IF(COUNTA(A1437:F1437)=0,"",IF(OR(LEN(A1437)&lt;&gt;7,MID(A1437,5,1)&lt;&gt;"-",ISERROR(--LEFT(A1437,4)),ISERROR(--RIGHT(A1437,2))),"ERROR: PERIODO debe ser AAAA-MM",IF(B1437="","ERROR: falta CODIGO CECO",IF(G1437="CECO NO EXISTE","ERROR: CECO no existe en el catálogo",IF(C1437="","ERROR: falta CUENTA",IF(ISERROR(--C1437),"ERROR: CUENTA debe tener solo dígitos",IF(ISERROR(FIND(LEFT(C1437,1),"567")),"ERROR: CUENTA fuera de las clases de costo",IF(NOT(ISNUMBER(E1437)),"ERROR: VALOR debe ser numérico",IF(E1437=0,"AVISO: valor cero (no se carga)",IF(J1437&lt;&gt;"ACTIVO","NO SE CARGA: CECO en estado "&amp;J1437,"OK"))))))))))</f>
        <v/>
      </c>
    </row>
    <row r="1438">
      <c r="A1438" s="5" t="n"/>
      <c r="B1438" s="6" t="n"/>
      <c r="C1438" s="5" t="n"/>
      <c r="D1438" s="6" t="n"/>
      <c r="E1438" s="7" t="n"/>
      <c r="F1438" s="6" t="n"/>
      <c r="G1438" s="8">
        <f>IF(B1438="","",IFERROR(VLOOKUP(--B1438,'CATALOGO CECO'!$A$2:$H$550,2,FALSE),"CECO NO EXISTE"))</f>
        <v/>
      </c>
      <c r="H1438" s="8">
        <f>IF(B1438="","",IFERROR(VLOOKUP(--B1438,'CATALOGO CECO'!$A$2:$H$550,3,FALSE),""))</f>
        <v/>
      </c>
      <c r="I1438" s="8">
        <f>IF(B1438="","",IFERROR(VLOOKUP(--B1438,'CATALOGO CECO'!$A$2:$H$550,5,FALSE),""))</f>
        <v/>
      </c>
      <c r="J1438" s="8">
        <f>IF(B1438="","",IFERROR(VLOOKUP(--B1438,'CATALOGO CECO'!$A$2:$H$550,8,FALSE),""))</f>
        <v/>
      </c>
      <c r="K1438" s="8">
        <f>IF(COUNTA(A1438:F1438)=0,"",IF(OR(LEN(A1438)&lt;&gt;7,MID(A1438,5,1)&lt;&gt;"-",ISERROR(--LEFT(A1438,4)),ISERROR(--RIGHT(A1438,2))),"ERROR: PERIODO debe ser AAAA-MM",IF(B1438="","ERROR: falta CODIGO CECO",IF(G1438="CECO NO EXISTE","ERROR: CECO no existe en el catálogo",IF(C1438="","ERROR: falta CUENTA",IF(ISERROR(--C1438),"ERROR: CUENTA debe tener solo dígitos",IF(ISERROR(FIND(LEFT(C1438,1),"567")),"ERROR: CUENTA fuera de las clases de costo",IF(NOT(ISNUMBER(E1438)),"ERROR: VALOR debe ser numérico",IF(E1438=0,"AVISO: valor cero (no se carga)",IF(J1438&lt;&gt;"ACTIVO","NO SE CARGA: CECO en estado "&amp;J1438,"OK"))))))))))</f>
        <v/>
      </c>
    </row>
    <row r="1439">
      <c r="A1439" s="5" t="n"/>
      <c r="B1439" s="6" t="n"/>
      <c r="C1439" s="5" t="n"/>
      <c r="D1439" s="6" t="n"/>
      <c r="E1439" s="7" t="n"/>
      <c r="F1439" s="6" t="n"/>
      <c r="G1439" s="8">
        <f>IF(B1439="","",IFERROR(VLOOKUP(--B1439,'CATALOGO CECO'!$A$2:$H$550,2,FALSE),"CECO NO EXISTE"))</f>
        <v/>
      </c>
      <c r="H1439" s="8">
        <f>IF(B1439="","",IFERROR(VLOOKUP(--B1439,'CATALOGO CECO'!$A$2:$H$550,3,FALSE),""))</f>
        <v/>
      </c>
      <c r="I1439" s="8">
        <f>IF(B1439="","",IFERROR(VLOOKUP(--B1439,'CATALOGO CECO'!$A$2:$H$550,5,FALSE),""))</f>
        <v/>
      </c>
      <c r="J1439" s="8">
        <f>IF(B1439="","",IFERROR(VLOOKUP(--B1439,'CATALOGO CECO'!$A$2:$H$550,8,FALSE),""))</f>
        <v/>
      </c>
      <c r="K1439" s="8">
        <f>IF(COUNTA(A1439:F1439)=0,"",IF(OR(LEN(A1439)&lt;&gt;7,MID(A1439,5,1)&lt;&gt;"-",ISERROR(--LEFT(A1439,4)),ISERROR(--RIGHT(A1439,2))),"ERROR: PERIODO debe ser AAAA-MM",IF(B1439="","ERROR: falta CODIGO CECO",IF(G1439="CECO NO EXISTE","ERROR: CECO no existe en el catálogo",IF(C1439="","ERROR: falta CUENTA",IF(ISERROR(--C1439),"ERROR: CUENTA debe tener solo dígitos",IF(ISERROR(FIND(LEFT(C1439,1),"567")),"ERROR: CUENTA fuera de las clases de costo",IF(NOT(ISNUMBER(E1439)),"ERROR: VALOR debe ser numérico",IF(E1439=0,"AVISO: valor cero (no se carga)",IF(J1439&lt;&gt;"ACTIVO","NO SE CARGA: CECO en estado "&amp;J1439,"OK"))))))))))</f>
        <v/>
      </c>
    </row>
    <row r="1440">
      <c r="A1440" s="5" t="n"/>
      <c r="B1440" s="6" t="n"/>
      <c r="C1440" s="5" t="n"/>
      <c r="D1440" s="6" t="n"/>
      <c r="E1440" s="7" t="n"/>
      <c r="F1440" s="6" t="n"/>
      <c r="G1440" s="8">
        <f>IF(B1440="","",IFERROR(VLOOKUP(--B1440,'CATALOGO CECO'!$A$2:$H$550,2,FALSE),"CECO NO EXISTE"))</f>
        <v/>
      </c>
      <c r="H1440" s="8">
        <f>IF(B1440="","",IFERROR(VLOOKUP(--B1440,'CATALOGO CECO'!$A$2:$H$550,3,FALSE),""))</f>
        <v/>
      </c>
      <c r="I1440" s="8">
        <f>IF(B1440="","",IFERROR(VLOOKUP(--B1440,'CATALOGO CECO'!$A$2:$H$550,5,FALSE),""))</f>
        <v/>
      </c>
      <c r="J1440" s="8">
        <f>IF(B1440="","",IFERROR(VLOOKUP(--B1440,'CATALOGO CECO'!$A$2:$H$550,8,FALSE),""))</f>
        <v/>
      </c>
      <c r="K1440" s="8">
        <f>IF(COUNTA(A1440:F1440)=0,"",IF(OR(LEN(A1440)&lt;&gt;7,MID(A1440,5,1)&lt;&gt;"-",ISERROR(--LEFT(A1440,4)),ISERROR(--RIGHT(A1440,2))),"ERROR: PERIODO debe ser AAAA-MM",IF(B1440="","ERROR: falta CODIGO CECO",IF(G1440="CECO NO EXISTE","ERROR: CECO no existe en el catálogo",IF(C1440="","ERROR: falta CUENTA",IF(ISERROR(--C1440),"ERROR: CUENTA debe tener solo dígitos",IF(ISERROR(FIND(LEFT(C1440,1),"567")),"ERROR: CUENTA fuera de las clases de costo",IF(NOT(ISNUMBER(E1440)),"ERROR: VALOR debe ser numérico",IF(E1440=0,"AVISO: valor cero (no se carga)",IF(J1440&lt;&gt;"ACTIVO","NO SE CARGA: CECO en estado "&amp;J1440,"OK"))))))))))</f>
        <v/>
      </c>
    </row>
    <row r="1441">
      <c r="A1441" s="5" t="n"/>
      <c r="B1441" s="6" t="n"/>
      <c r="C1441" s="5" t="n"/>
      <c r="D1441" s="6" t="n"/>
      <c r="E1441" s="7" t="n"/>
      <c r="F1441" s="6" t="n"/>
      <c r="G1441" s="8">
        <f>IF(B1441="","",IFERROR(VLOOKUP(--B1441,'CATALOGO CECO'!$A$2:$H$550,2,FALSE),"CECO NO EXISTE"))</f>
        <v/>
      </c>
      <c r="H1441" s="8">
        <f>IF(B1441="","",IFERROR(VLOOKUP(--B1441,'CATALOGO CECO'!$A$2:$H$550,3,FALSE),""))</f>
        <v/>
      </c>
      <c r="I1441" s="8">
        <f>IF(B1441="","",IFERROR(VLOOKUP(--B1441,'CATALOGO CECO'!$A$2:$H$550,5,FALSE),""))</f>
        <v/>
      </c>
      <c r="J1441" s="8">
        <f>IF(B1441="","",IFERROR(VLOOKUP(--B1441,'CATALOGO CECO'!$A$2:$H$550,8,FALSE),""))</f>
        <v/>
      </c>
      <c r="K1441" s="8">
        <f>IF(COUNTA(A1441:F1441)=0,"",IF(OR(LEN(A1441)&lt;&gt;7,MID(A1441,5,1)&lt;&gt;"-",ISERROR(--LEFT(A1441,4)),ISERROR(--RIGHT(A1441,2))),"ERROR: PERIODO debe ser AAAA-MM",IF(B1441="","ERROR: falta CODIGO CECO",IF(G1441="CECO NO EXISTE","ERROR: CECO no existe en el catálogo",IF(C1441="","ERROR: falta CUENTA",IF(ISERROR(--C1441),"ERROR: CUENTA debe tener solo dígitos",IF(ISERROR(FIND(LEFT(C1441,1),"567")),"ERROR: CUENTA fuera de las clases de costo",IF(NOT(ISNUMBER(E1441)),"ERROR: VALOR debe ser numérico",IF(E1441=0,"AVISO: valor cero (no se carga)",IF(J1441&lt;&gt;"ACTIVO","NO SE CARGA: CECO en estado "&amp;J1441,"OK"))))))))))</f>
        <v/>
      </c>
    </row>
    <row r="1442">
      <c r="A1442" s="5" t="n"/>
      <c r="B1442" s="6" t="n"/>
      <c r="C1442" s="5" t="n"/>
      <c r="D1442" s="6" t="n"/>
      <c r="E1442" s="7" t="n"/>
      <c r="F1442" s="6" t="n"/>
      <c r="G1442" s="8">
        <f>IF(B1442="","",IFERROR(VLOOKUP(--B1442,'CATALOGO CECO'!$A$2:$H$550,2,FALSE),"CECO NO EXISTE"))</f>
        <v/>
      </c>
      <c r="H1442" s="8">
        <f>IF(B1442="","",IFERROR(VLOOKUP(--B1442,'CATALOGO CECO'!$A$2:$H$550,3,FALSE),""))</f>
        <v/>
      </c>
      <c r="I1442" s="8">
        <f>IF(B1442="","",IFERROR(VLOOKUP(--B1442,'CATALOGO CECO'!$A$2:$H$550,5,FALSE),""))</f>
        <v/>
      </c>
      <c r="J1442" s="8">
        <f>IF(B1442="","",IFERROR(VLOOKUP(--B1442,'CATALOGO CECO'!$A$2:$H$550,8,FALSE),""))</f>
        <v/>
      </c>
      <c r="K1442" s="8">
        <f>IF(COUNTA(A1442:F1442)=0,"",IF(OR(LEN(A1442)&lt;&gt;7,MID(A1442,5,1)&lt;&gt;"-",ISERROR(--LEFT(A1442,4)),ISERROR(--RIGHT(A1442,2))),"ERROR: PERIODO debe ser AAAA-MM",IF(B1442="","ERROR: falta CODIGO CECO",IF(G1442="CECO NO EXISTE","ERROR: CECO no existe en el catálogo",IF(C1442="","ERROR: falta CUENTA",IF(ISERROR(--C1442),"ERROR: CUENTA debe tener solo dígitos",IF(ISERROR(FIND(LEFT(C1442,1),"567")),"ERROR: CUENTA fuera de las clases de costo",IF(NOT(ISNUMBER(E1442)),"ERROR: VALOR debe ser numérico",IF(E1442=0,"AVISO: valor cero (no se carga)",IF(J1442&lt;&gt;"ACTIVO","NO SE CARGA: CECO en estado "&amp;J1442,"OK"))))))))))</f>
        <v/>
      </c>
    </row>
    <row r="1443">
      <c r="A1443" s="5" t="n"/>
      <c r="B1443" s="6" t="n"/>
      <c r="C1443" s="5" t="n"/>
      <c r="D1443" s="6" t="n"/>
      <c r="E1443" s="7" t="n"/>
      <c r="F1443" s="6" t="n"/>
      <c r="G1443" s="8">
        <f>IF(B1443="","",IFERROR(VLOOKUP(--B1443,'CATALOGO CECO'!$A$2:$H$550,2,FALSE),"CECO NO EXISTE"))</f>
        <v/>
      </c>
      <c r="H1443" s="8">
        <f>IF(B1443="","",IFERROR(VLOOKUP(--B1443,'CATALOGO CECO'!$A$2:$H$550,3,FALSE),""))</f>
        <v/>
      </c>
      <c r="I1443" s="8">
        <f>IF(B1443="","",IFERROR(VLOOKUP(--B1443,'CATALOGO CECO'!$A$2:$H$550,5,FALSE),""))</f>
        <v/>
      </c>
      <c r="J1443" s="8">
        <f>IF(B1443="","",IFERROR(VLOOKUP(--B1443,'CATALOGO CECO'!$A$2:$H$550,8,FALSE),""))</f>
        <v/>
      </c>
      <c r="K1443" s="8">
        <f>IF(COUNTA(A1443:F1443)=0,"",IF(OR(LEN(A1443)&lt;&gt;7,MID(A1443,5,1)&lt;&gt;"-",ISERROR(--LEFT(A1443,4)),ISERROR(--RIGHT(A1443,2))),"ERROR: PERIODO debe ser AAAA-MM",IF(B1443="","ERROR: falta CODIGO CECO",IF(G1443="CECO NO EXISTE","ERROR: CECO no existe en el catálogo",IF(C1443="","ERROR: falta CUENTA",IF(ISERROR(--C1443),"ERROR: CUENTA debe tener solo dígitos",IF(ISERROR(FIND(LEFT(C1443,1),"567")),"ERROR: CUENTA fuera de las clases de costo",IF(NOT(ISNUMBER(E1443)),"ERROR: VALOR debe ser numérico",IF(E1443=0,"AVISO: valor cero (no se carga)",IF(J1443&lt;&gt;"ACTIVO","NO SE CARGA: CECO en estado "&amp;J1443,"OK"))))))))))</f>
        <v/>
      </c>
    </row>
    <row r="1444">
      <c r="A1444" s="5" t="n"/>
      <c r="B1444" s="6" t="n"/>
      <c r="C1444" s="5" t="n"/>
      <c r="D1444" s="6" t="n"/>
      <c r="E1444" s="7" t="n"/>
      <c r="F1444" s="6" t="n"/>
      <c r="G1444" s="8">
        <f>IF(B1444="","",IFERROR(VLOOKUP(--B1444,'CATALOGO CECO'!$A$2:$H$550,2,FALSE),"CECO NO EXISTE"))</f>
        <v/>
      </c>
      <c r="H1444" s="8">
        <f>IF(B1444="","",IFERROR(VLOOKUP(--B1444,'CATALOGO CECO'!$A$2:$H$550,3,FALSE),""))</f>
        <v/>
      </c>
      <c r="I1444" s="8">
        <f>IF(B1444="","",IFERROR(VLOOKUP(--B1444,'CATALOGO CECO'!$A$2:$H$550,5,FALSE),""))</f>
        <v/>
      </c>
      <c r="J1444" s="8">
        <f>IF(B1444="","",IFERROR(VLOOKUP(--B1444,'CATALOGO CECO'!$A$2:$H$550,8,FALSE),""))</f>
        <v/>
      </c>
      <c r="K1444" s="8">
        <f>IF(COUNTA(A1444:F1444)=0,"",IF(OR(LEN(A1444)&lt;&gt;7,MID(A1444,5,1)&lt;&gt;"-",ISERROR(--LEFT(A1444,4)),ISERROR(--RIGHT(A1444,2))),"ERROR: PERIODO debe ser AAAA-MM",IF(B1444="","ERROR: falta CODIGO CECO",IF(G1444="CECO NO EXISTE","ERROR: CECO no existe en el catálogo",IF(C1444="","ERROR: falta CUENTA",IF(ISERROR(--C1444),"ERROR: CUENTA debe tener solo dígitos",IF(ISERROR(FIND(LEFT(C1444,1),"567")),"ERROR: CUENTA fuera de las clases de costo",IF(NOT(ISNUMBER(E1444)),"ERROR: VALOR debe ser numérico",IF(E1444=0,"AVISO: valor cero (no se carga)",IF(J1444&lt;&gt;"ACTIVO","NO SE CARGA: CECO en estado "&amp;J1444,"OK"))))))))))</f>
        <v/>
      </c>
    </row>
    <row r="1445">
      <c r="A1445" s="5" t="n"/>
      <c r="B1445" s="6" t="n"/>
      <c r="C1445" s="5" t="n"/>
      <c r="D1445" s="6" t="n"/>
      <c r="E1445" s="7" t="n"/>
      <c r="F1445" s="6" t="n"/>
      <c r="G1445" s="8">
        <f>IF(B1445="","",IFERROR(VLOOKUP(--B1445,'CATALOGO CECO'!$A$2:$H$550,2,FALSE),"CECO NO EXISTE"))</f>
        <v/>
      </c>
      <c r="H1445" s="8">
        <f>IF(B1445="","",IFERROR(VLOOKUP(--B1445,'CATALOGO CECO'!$A$2:$H$550,3,FALSE),""))</f>
        <v/>
      </c>
      <c r="I1445" s="8">
        <f>IF(B1445="","",IFERROR(VLOOKUP(--B1445,'CATALOGO CECO'!$A$2:$H$550,5,FALSE),""))</f>
        <v/>
      </c>
      <c r="J1445" s="8">
        <f>IF(B1445="","",IFERROR(VLOOKUP(--B1445,'CATALOGO CECO'!$A$2:$H$550,8,FALSE),""))</f>
        <v/>
      </c>
      <c r="K1445" s="8">
        <f>IF(COUNTA(A1445:F1445)=0,"",IF(OR(LEN(A1445)&lt;&gt;7,MID(A1445,5,1)&lt;&gt;"-",ISERROR(--LEFT(A1445,4)),ISERROR(--RIGHT(A1445,2))),"ERROR: PERIODO debe ser AAAA-MM",IF(B1445="","ERROR: falta CODIGO CECO",IF(G1445="CECO NO EXISTE","ERROR: CECO no existe en el catálogo",IF(C1445="","ERROR: falta CUENTA",IF(ISERROR(--C1445),"ERROR: CUENTA debe tener solo dígitos",IF(ISERROR(FIND(LEFT(C1445,1),"567")),"ERROR: CUENTA fuera de las clases de costo",IF(NOT(ISNUMBER(E1445)),"ERROR: VALOR debe ser numérico",IF(E1445=0,"AVISO: valor cero (no se carga)",IF(J1445&lt;&gt;"ACTIVO","NO SE CARGA: CECO en estado "&amp;J1445,"OK"))))))))))</f>
        <v/>
      </c>
    </row>
    <row r="1446">
      <c r="A1446" s="5" t="n"/>
      <c r="B1446" s="6" t="n"/>
      <c r="C1446" s="5" t="n"/>
      <c r="D1446" s="6" t="n"/>
      <c r="E1446" s="7" t="n"/>
      <c r="F1446" s="6" t="n"/>
      <c r="G1446" s="8">
        <f>IF(B1446="","",IFERROR(VLOOKUP(--B1446,'CATALOGO CECO'!$A$2:$H$550,2,FALSE),"CECO NO EXISTE"))</f>
        <v/>
      </c>
      <c r="H1446" s="8">
        <f>IF(B1446="","",IFERROR(VLOOKUP(--B1446,'CATALOGO CECO'!$A$2:$H$550,3,FALSE),""))</f>
        <v/>
      </c>
      <c r="I1446" s="8">
        <f>IF(B1446="","",IFERROR(VLOOKUP(--B1446,'CATALOGO CECO'!$A$2:$H$550,5,FALSE),""))</f>
        <v/>
      </c>
      <c r="J1446" s="8">
        <f>IF(B1446="","",IFERROR(VLOOKUP(--B1446,'CATALOGO CECO'!$A$2:$H$550,8,FALSE),""))</f>
        <v/>
      </c>
      <c r="K1446" s="8">
        <f>IF(COUNTA(A1446:F1446)=0,"",IF(OR(LEN(A1446)&lt;&gt;7,MID(A1446,5,1)&lt;&gt;"-",ISERROR(--LEFT(A1446,4)),ISERROR(--RIGHT(A1446,2))),"ERROR: PERIODO debe ser AAAA-MM",IF(B1446="","ERROR: falta CODIGO CECO",IF(G1446="CECO NO EXISTE","ERROR: CECO no existe en el catálogo",IF(C1446="","ERROR: falta CUENTA",IF(ISERROR(--C1446),"ERROR: CUENTA debe tener solo dígitos",IF(ISERROR(FIND(LEFT(C1446,1),"567")),"ERROR: CUENTA fuera de las clases de costo",IF(NOT(ISNUMBER(E1446)),"ERROR: VALOR debe ser numérico",IF(E1446=0,"AVISO: valor cero (no se carga)",IF(J1446&lt;&gt;"ACTIVO","NO SE CARGA: CECO en estado "&amp;J1446,"OK"))))))))))</f>
        <v/>
      </c>
    </row>
    <row r="1447">
      <c r="A1447" s="5" t="n"/>
      <c r="B1447" s="6" t="n"/>
      <c r="C1447" s="5" t="n"/>
      <c r="D1447" s="6" t="n"/>
      <c r="E1447" s="7" t="n"/>
      <c r="F1447" s="6" t="n"/>
      <c r="G1447" s="8">
        <f>IF(B1447="","",IFERROR(VLOOKUP(--B1447,'CATALOGO CECO'!$A$2:$H$550,2,FALSE),"CECO NO EXISTE"))</f>
        <v/>
      </c>
      <c r="H1447" s="8">
        <f>IF(B1447="","",IFERROR(VLOOKUP(--B1447,'CATALOGO CECO'!$A$2:$H$550,3,FALSE),""))</f>
        <v/>
      </c>
      <c r="I1447" s="8">
        <f>IF(B1447="","",IFERROR(VLOOKUP(--B1447,'CATALOGO CECO'!$A$2:$H$550,5,FALSE),""))</f>
        <v/>
      </c>
      <c r="J1447" s="8">
        <f>IF(B1447="","",IFERROR(VLOOKUP(--B1447,'CATALOGO CECO'!$A$2:$H$550,8,FALSE),""))</f>
        <v/>
      </c>
      <c r="K1447" s="8">
        <f>IF(COUNTA(A1447:F1447)=0,"",IF(OR(LEN(A1447)&lt;&gt;7,MID(A1447,5,1)&lt;&gt;"-",ISERROR(--LEFT(A1447,4)),ISERROR(--RIGHT(A1447,2))),"ERROR: PERIODO debe ser AAAA-MM",IF(B1447="","ERROR: falta CODIGO CECO",IF(G1447="CECO NO EXISTE","ERROR: CECO no existe en el catálogo",IF(C1447="","ERROR: falta CUENTA",IF(ISERROR(--C1447),"ERROR: CUENTA debe tener solo dígitos",IF(ISERROR(FIND(LEFT(C1447,1),"567")),"ERROR: CUENTA fuera de las clases de costo",IF(NOT(ISNUMBER(E1447)),"ERROR: VALOR debe ser numérico",IF(E1447=0,"AVISO: valor cero (no se carga)",IF(J1447&lt;&gt;"ACTIVO","NO SE CARGA: CECO en estado "&amp;J1447,"OK"))))))))))</f>
        <v/>
      </c>
    </row>
    <row r="1448">
      <c r="A1448" s="5" t="n"/>
      <c r="B1448" s="6" t="n"/>
      <c r="C1448" s="5" t="n"/>
      <c r="D1448" s="6" t="n"/>
      <c r="E1448" s="7" t="n"/>
      <c r="F1448" s="6" t="n"/>
      <c r="G1448" s="8">
        <f>IF(B1448="","",IFERROR(VLOOKUP(--B1448,'CATALOGO CECO'!$A$2:$H$550,2,FALSE),"CECO NO EXISTE"))</f>
        <v/>
      </c>
      <c r="H1448" s="8">
        <f>IF(B1448="","",IFERROR(VLOOKUP(--B1448,'CATALOGO CECO'!$A$2:$H$550,3,FALSE),""))</f>
        <v/>
      </c>
      <c r="I1448" s="8">
        <f>IF(B1448="","",IFERROR(VLOOKUP(--B1448,'CATALOGO CECO'!$A$2:$H$550,5,FALSE),""))</f>
        <v/>
      </c>
      <c r="J1448" s="8">
        <f>IF(B1448="","",IFERROR(VLOOKUP(--B1448,'CATALOGO CECO'!$A$2:$H$550,8,FALSE),""))</f>
        <v/>
      </c>
      <c r="K1448" s="8">
        <f>IF(COUNTA(A1448:F1448)=0,"",IF(OR(LEN(A1448)&lt;&gt;7,MID(A1448,5,1)&lt;&gt;"-",ISERROR(--LEFT(A1448,4)),ISERROR(--RIGHT(A1448,2))),"ERROR: PERIODO debe ser AAAA-MM",IF(B1448="","ERROR: falta CODIGO CECO",IF(G1448="CECO NO EXISTE","ERROR: CECO no existe en el catálogo",IF(C1448="","ERROR: falta CUENTA",IF(ISERROR(--C1448),"ERROR: CUENTA debe tener solo dígitos",IF(ISERROR(FIND(LEFT(C1448,1),"567")),"ERROR: CUENTA fuera de las clases de costo",IF(NOT(ISNUMBER(E1448)),"ERROR: VALOR debe ser numérico",IF(E1448=0,"AVISO: valor cero (no se carga)",IF(J1448&lt;&gt;"ACTIVO","NO SE CARGA: CECO en estado "&amp;J1448,"OK"))))))))))</f>
        <v/>
      </c>
    </row>
    <row r="1449">
      <c r="A1449" s="5" t="n"/>
      <c r="B1449" s="6" t="n"/>
      <c r="C1449" s="5" t="n"/>
      <c r="D1449" s="6" t="n"/>
      <c r="E1449" s="7" t="n"/>
      <c r="F1449" s="6" t="n"/>
      <c r="G1449" s="8">
        <f>IF(B1449="","",IFERROR(VLOOKUP(--B1449,'CATALOGO CECO'!$A$2:$H$550,2,FALSE),"CECO NO EXISTE"))</f>
        <v/>
      </c>
      <c r="H1449" s="8">
        <f>IF(B1449="","",IFERROR(VLOOKUP(--B1449,'CATALOGO CECO'!$A$2:$H$550,3,FALSE),""))</f>
        <v/>
      </c>
      <c r="I1449" s="8">
        <f>IF(B1449="","",IFERROR(VLOOKUP(--B1449,'CATALOGO CECO'!$A$2:$H$550,5,FALSE),""))</f>
        <v/>
      </c>
      <c r="J1449" s="8">
        <f>IF(B1449="","",IFERROR(VLOOKUP(--B1449,'CATALOGO CECO'!$A$2:$H$550,8,FALSE),""))</f>
        <v/>
      </c>
      <c r="K1449" s="8">
        <f>IF(COUNTA(A1449:F1449)=0,"",IF(OR(LEN(A1449)&lt;&gt;7,MID(A1449,5,1)&lt;&gt;"-",ISERROR(--LEFT(A1449,4)),ISERROR(--RIGHT(A1449,2))),"ERROR: PERIODO debe ser AAAA-MM",IF(B1449="","ERROR: falta CODIGO CECO",IF(G1449="CECO NO EXISTE","ERROR: CECO no existe en el catálogo",IF(C1449="","ERROR: falta CUENTA",IF(ISERROR(--C1449),"ERROR: CUENTA debe tener solo dígitos",IF(ISERROR(FIND(LEFT(C1449,1),"567")),"ERROR: CUENTA fuera de las clases de costo",IF(NOT(ISNUMBER(E1449)),"ERROR: VALOR debe ser numérico",IF(E1449=0,"AVISO: valor cero (no se carga)",IF(J1449&lt;&gt;"ACTIVO","NO SE CARGA: CECO en estado "&amp;J1449,"OK"))))))))))</f>
        <v/>
      </c>
    </row>
    <row r="1450">
      <c r="A1450" s="5" t="n"/>
      <c r="B1450" s="6" t="n"/>
      <c r="C1450" s="5" t="n"/>
      <c r="D1450" s="6" t="n"/>
      <c r="E1450" s="7" t="n"/>
      <c r="F1450" s="6" t="n"/>
      <c r="G1450" s="8">
        <f>IF(B1450="","",IFERROR(VLOOKUP(--B1450,'CATALOGO CECO'!$A$2:$H$550,2,FALSE),"CECO NO EXISTE"))</f>
        <v/>
      </c>
      <c r="H1450" s="8">
        <f>IF(B1450="","",IFERROR(VLOOKUP(--B1450,'CATALOGO CECO'!$A$2:$H$550,3,FALSE),""))</f>
        <v/>
      </c>
      <c r="I1450" s="8">
        <f>IF(B1450="","",IFERROR(VLOOKUP(--B1450,'CATALOGO CECO'!$A$2:$H$550,5,FALSE),""))</f>
        <v/>
      </c>
      <c r="J1450" s="8">
        <f>IF(B1450="","",IFERROR(VLOOKUP(--B1450,'CATALOGO CECO'!$A$2:$H$550,8,FALSE),""))</f>
        <v/>
      </c>
      <c r="K1450" s="8">
        <f>IF(COUNTA(A1450:F1450)=0,"",IF(OR(LEN(A1450)&lt;&gt;7,MID(A1450,5,1)&lt;&gt;"-",ISERROR(--LEFT(A1450,4)),ISERROR(--RIGHT(A1450,2))),"ERROR: PERIODO debe ser AAAA-MM",IF(B1450="","ERROR: falta CODIGO CECO",IF(G1450="CECO NO EXISTE","ERROR: CECO no existe en el catálogo",IF(C1450="","ERROR: falta CUENTA",IF(ISERROR(--C1450),"ERROR: CUENTA debe tener solo dígitos",IF(ISERROR(FIND(LEFT(C1450,1),"567")),"ERROR: CUENTA fuera de las clases de costo",IF(NOT(ISNUMBER(E1450)),"ERROR: VALOR debe ser numérico",IF(E1450=0,"AVISO: valor cero (no se carga)",IF(J1450&lt;&gt;"ACTIVO","NO SE CARGA: CECO en estado "&amp;J1450,"OK"))))))))))</f>
        <v/>
      </c>
    </row>
    <row r="1451">
      <c r="A1451" s="5" t="n"/>
      <c r="B1451" s="6" t="n"/>
      <c r="C1451" s="5" t="n"/>
      <c r="D1451" s="6" t="n"/>
      <c r="E1451" s="7" t="n"/>
      <c r="F1451" s="6" t="n"/>
      <c r="G1451" s="8">
        <f>IF(B1451="","",IFERROR(VLOOKUP(--B1451,'CATALOGO CECO'!$A$2:$H$550,2,FALSE),"CECO NO EXISTE"))</f>
        <v/>
      </c>
      <c r="H1451" s="8">
        <f>IF(B1451="","",IFERROR(VLOOKUP(--B1451,'CATALOGO CECO'!$A$2:$H$550,3,FALSE),""))</f>
        <v/>
      </c>
      <c r="I1451" s="8">
        <f>IF(B1451="","",IFERROR(VLOOKUP(--B1451,'CATALOGO CECO'!$A$2:$H$550,5,FALSE),""))</f>
        <v/>
      </c>
      <c r="J1451" s="8">
        <f>IF(B1451="","",IFERROR(VLOOKUP(--B1451,'CATALOGO CECO'!$A$2:$H$550,8,FALSE),""))</f>
        <v/>
      </c>
      <c r="K1451" s="8">
        <f>IF(COUNTA(A1451:F1451)=0,"",IF(OR(LEN(A1451)&lt;&gt;7,MID(A1451,5,1)&lt;&gt;"-",ISERROR(--LEFT(A1451,4)),ISERROR(--RIGHT(A1451,2))),"ERROR: PERIODO debe ser AAAA-MM",IF(B1451="","ERROR: falta CODIGO CECO",IF(G1451="CECO NO EXISTE","ERROR: CECO no existe en el catálogo",IF(C1451="","ERROR: falta CUENTA",IF(ISERROR(--C1451),"ERROR: CUENTA debe tener solo dígitos",IF(ISERROR(FIND(LEFT(C1451,1),"567")),"ERROR: CUENTA fuera de las clases de costo",IF(NOT(ISNUMBER(E1451)),"ERROR: VALOR debe ser numérico",IF(E1451=0,"AVISO: valor cero (no se carga)",IF(J1451&lt;&gt;"ACTIVO","NO SE CARGA: CECO en estado "&amp;J1451,"OK"))))))))))</f>
        <v/>
      </c>
    </row>
    <row r="1452">
      <c r="A1452" s="5" t="n"/>
      <c r="B1452" s="6" t="n"/>
      <c r="C1452" s="5" t="n"/>
      <c r="D1452" s="6" t="n"/>
      <c r="E1452" s="7" t="n"/>
      <c r="F1452" s="6" t="n"/>
      <c r="G1452" s="8">
        <f>IF(B1452="","",IFERROR(VLOOKUP(--B1452,'CATALOGO CECO'!$A$2:$H$550,2,FALSE),"CECO NO EXISTE"))</f>
        <v/>
      </c>
      <c r="H1452" s="8">
        <f>IF(B1452="","",IFERROR(VLOOKUP(--B1452,'CATALOGO CECO'!$A$2:$H$550,3,FALSE),""))</f>
        <v/>
      </c>
      <c r="I1452" s="8">
        <f>IF(B1452="","",IFERROR(VLOOKUP(--B1452,'CATALOGO CECO'!$A$2:$H$550,5,FALSE),""))</f>
        <v/>
      </c>
      <c r="J1452" s="8">
        <f>IF(B1452="","",IFERROR(VLOOKUP(--B1452,'CATALOGO CECO'!$A$2:$H$550,8,FALSE),""))</f>
        <v/>
      </c>
      <c r="K1452" s="8">
        <f>IF(COUNTA(A1452:F1452)=0,"",IF(OR(LEN(A1452)&lt;&gt;7,MID(A1452,5,1)&lt;&gt;"-",ISERROR(--LEFT(A1452,4)),ISERROR(--RIGHT(A1452,2))),"ERROR: PERIODO debe ser AAAA-MM",IF(B1452="","ERROR: falta CODIGO CECO",IF(G1452="CECO NO EXISTE","ERROR: CECO no existe en el catálogo",IF(C1452="","ERROR: falta CUENTA",IF(ISERROR(--C1452),"ERROR: CUENTA debe tener solo dígitos",IF(ISERROR(FIND(LEFT(C1452,1),"567")),"ERROR: CUENTA fuera de las clases de costo",IF(NOT(ISNUMBER(E1452)),"ERROR: VALOR debe ser numérico",IF(E1452=0,"AVISO: valor cero (no se carga)",IF(J1452&lt;&gt;"ACTIVO","NO SE CARGA: CECO en estado "&amp;J1452,"OK"))))))))))</f>
        <v/>
      </c>
    </row>
    <row r="1453">
      <c r="A1453" s="5" t="n"/>
      <c r="B1453" s="6" t="n"/>
      <c r="C1453" s="5" t="n"/>
      <c r="D1453" s="6" t="n"/>
      <c r="E1453" s="7" t="n"/>
      <c r="F1453" s="6" t="n"/>
      <c r="G1453" s="8">
        <f>IF(B1453="","",IFERROR(VLOOKUP(--B1453,'CATALOGO CECO'!$A$2:$H$550,2,FALSE),"CECO NO EXISTE"))</f>
        <v/>
      </c>
      <c r="H1453" s="8">
        <f>IF(B1453="","",IFERROR(VLOOKUP(--B1453,'CATALOGO CECO'!$A$2:$H$550,3,FALSE),""))</f>
        <v/>
      </c>
      <c r="I1453" s="8">
        <f>IF(B1453="","",IFERROR(VLOOKUP(--B1453,'CATALOGO CECO'!$A$2:$H$550,5,FALSE),""))</f>
        <v/>
      </c>
      <c r="J1453" s="8">
        <f>IF(B1453="","",IFERROR(VLOOKUP(--B1453,'CATALOGO CECO'!$A$2:$H$550,8,FALSE),""))</f>
        <v/>
      </c>
      <c r="K1453" s="8">
        <f>IF(COUNTA(A1453:F1453)=0,"",IF(OR(LEN(A1453)&lt;&gt;7,MID(A1453,5,1)&lt;&gt;"-",ISERROR(--LEFT(A1453,4)),ISERROR(--RIGHT(A1453,2))),"ERROR: PERIODO debe ser AAAA-MM",IF(B1453="","ERROR: falta CODIGO CECO",IF(G1453="CECO NO EXISTE","ERROR: CECO no existe en el catálogo",IF(C1453="","ERROR: falta CUENTA",IF(ISERROR(--C1453),"ERROR: CUENTA debe tener solo dígitos",IF(ISERROR(FIND(LEFT(C1453,1),"567")),"ERROR: CUENTA fuera de las clases de costo",IF(NOT(ISNUMBER(E1453)),"ERROR: VALOR debe ser numérico",IF(E1453=0,"AVISO: valor cero (no se carga)",IF(J1453&lt;&gt;"ACTIVO","NO SE CARGA: CECO en estado "&amp;J1453,"OK"))))))))))</f>
        <v/>
      </c>
    </row>
    <row r="1454">
      <c r="A1454" s="5" t="n"/>
      <c r="B1454" s="6" t="n"/>
      <c r="C1454" s="5" t="n"/>
      <c r="D1454" s="6" t="n"/>
      <c r="E1454" s="7" t="n"/>
      <c r="F1454" s="6" t="n"/>
      <c r="G1454" s="8">
        <f>IF(B1454="","",IFERROR(VLOOKUP(--B1454,'CATALOGO CECO'!$A$2:$H$550,2,FALSE),"CECO NO EXISTE"))</f>
        <v/>
      </c>
      <c r="H1454" s="8">
        <f>IF(B1454="","",IFERROR(VLOOKUP(--B1454,'CATALOGO CECO'!$A$2:$H$550,3,FALSE),""))</f>
        <v/>
      </c>
      <c r="I1454" s="8">
        <f>IF(B1454="","",IFERROR(VLOOKUP(--B1454,'CATALOGO CECO'!$A$2:$H$550,5,FALSE),""))</f>
        <v/>
      </c>
      <c r="J1454" s="8">
        <f>IF(B1454="","",IFERROR(VLOOKUP(--B1454,'CATALOGO CECO'!$A$2:$H$550,8,FALSE),""))</f>
        <v/>
      </c>
      <c r="K1454" s="8">
        <f>IF(COUNTA(A1454:F1454)=0,"",IF(OR(LEN(A1454)&lt;&gt;7,MID(A1454,5,1)&lt;&gt;"-",ISERROR(--LEFT(A1454,4)),ISERROR(--RIGHT(A1454,2))),"ERROR: PERIODO debe ser AAAA-MM",IF(B1454="","ERROR: falta CODIGO CECO",IF(G1454="CECO NO EXISTE","ERROR: CECO no existe en el catálogo",IF(C1454="","ERROR: falta CUENTA",IF(ISERROR(--C1454),"ERROR: CUENTA debe tener solo dígitos",IF(ISERROR(FIND(LEFT(C1454,1),"567")),"ERROR: CUENTA fuera de las clases de costo",IF(NOT(ISNUMBER(E1454)),"ERROR: VALOR debe ser numérico",IF(E1454=0,"AVISO: valor cero (no se carga)",IF(J1454&lt;&gt;"ACTIVO","NO SE CARGA: CECO en estado "&amp;J1454,"OK"))))))))))</f>
        <v/>
      </c>
    </row>
    <row r="1455">
      <c r="A1455" s="5" t="n"/>
      <c r="B1455" s="6" t="n"/>
      <c r="C1455" s="5" t="n"/>
      <c r="D1455" s="6" t="n"/>
      <c r="E1455" s="7" t="n"/>
      <c r="F1455" s="6" t="n"/>
      <c r="G1455" s="8">
        <f>IF(B1455="","",IFERROR(VLOOKUP(--B1455,'CATALOGO CECO'!$A$2:$H$550,2,FALSE),"CECO NO EXISTE"))</f>
        <v/>
      </c>
      <c r="H1455" s="8">
        <f>IF(B1455="","",IFERROR(VLOOKUP(--B1455,'CATALOGO CECO'!$A$2:$H$550,3,FALSE),""))</f>
        <v/>
      </c>
      <c r="I1455" s="8">
        <f>IF(B1455="","",IFERROR(VLOOKUP(--B1455,'CATALOGO CECO'!$A$2:$H$550,5,FALSE),""))</f>
        <v/>
      </c>
      <c r="J1455" s="8">
        <f>IF(B1455="","",IFERROR(VLOOKUP(--B1455,'CATALOGO CECO'!$A$2:$H$550,8,FALSE),""))</f>
        <v/>
      </c>
      <c r="K1455" s="8">
        <f>IF(COUNTA(A1455:F1455)=0,"",IF(OR(LEN(A1455)&lt;&gt;7,MID(A1455,5,1)&lt;&gt;"-",ISERROR(--LEFT(A1455,4)),ISERROR(--RIGHT(A1455,2))),"ERROR: PERIODO debe ser AAAA-MM",IF(B1455="","ERROR: falta CODIGO CECO",IF(G1455="CECO NO EXISTE","ERROR: CECO no existe en el catálogo",IF(C1455="","ERROR: falta CUENTA",IF(ISERROR(--C1455),"ERROR: CUENTA debe tener solo dígitos",IF(ISERROR(FIND(LEFT(C1455,1),"567")),"ERROR: CUENTA fuera de las clases de costo",IF(NOT(ISNUMBER(E1455)),"ERROR: VALOR debe ser numérico",IF(E1455=0,"AVISO: valor cero (no se carga)",IF(J1455&lt;&gt;"ACTIVO","NO SE CARGA: CECO en estado "&amp;J1455,"OK"))))))))))</f>
        <v/>
      </c>
    </row>
    <row r="1456">
      <c r="A1456" s="5" t="n"/>
      <c r="B1456" s="6" t="n"/>
      <c r="C1456" s="5" t="n"/>
      <c r="D1456" s="6" t="n"/>
      <c r="E1456" s="7" t="n"/>
      <c r="F1456" s="6" t="n"/>
      <c r="G1456" s="8">
        <f>IF(B1456="","",IFERROR(VLOOKUP(--B1456,'CATALOGO CECO'!$A$2:$H$550,2,FALSE),"CECO NO EXISTE"))</f>
        <v/>
      </c>
      <c r="H1456" s="8">
        <f>IF(B1456="","",IFERROR(VLOOKUP(--B1456,'CATALOGO CECO'!$A$2:$H$550,3,FALSE),""))</f>
        <v/>
      </c>
      <c r="I1456" s="8">
        <f>IF(B1456="","",IFERROR(VLOOKUP(--B1456,'CATALOGO CECO'!$A$2:$H$550,5,FALSE),""))</f>
        <v/>
      </c>
      <c r="J1456" s="8">
        <f>IF(B1456="","",IFERROR(VLOOKUP(--B1456,'CATALOGO CECO'!$A$2:$H$550,8,FALSE),""))</f>
        <v/>
      </c>
      <c r="K1456" s="8">
        <f>IF(COUNTA(A1456:F1456)=0,"",IF(OR(LEN(A1456)&lt;&gt;7,MID(A1456,5,1)&lt;&gt;"-",ISERROR(--LEFT(A1456,4)),ISERROR(--RIGHT(A1456,2))),"ERROR: PERIODO debe ser AAAA-MM",IF(B1456="","ERROR: falta CODIGO CECO",IF(G1456="CECO NO EXISTE","ERROR: CECO no existe en el catálogo",IF(C1456="","ERROR: falta CUENTA",IF(ISERROR(--C1456),"ERROR: CUENTA debe tener solo dígitos",IF(ISERROR(FIND(LEFT(C1456,1),"567")),"ERROR: CUENTA fuera de las clases de costo",IF(NOT(ISNUMBER(E1456)),"ERROR: VALOR debe ser numérico",IF(E1456=0,"AVISO: valor cero (no se carga)",IF(J1456&lt;&gt;"ACTIVO","NO SE CARGA: CECO en estado "&amp;J1456,"OK"))))))))))</f>
        <v/>
      </c>
    </row>
    <row r="1457">
      <c r="A1457" s="5" t="n"/>
      <c r="B1457" s="6" t="n"/>
      <c r="C1457" s="5" t="n"/>
      <c r="D1457" s="6" t="n"/>
      <c r="E1457" s="7" t="n"/>
      <c r="F1457" s="6" t="n"/>
      <c r="G1457" s="8">
        <f>IF(B1457="","",IFERROR(VLOOKUP(--B1457,'CATALOGO CECO'!$A$2:$H$550,2,FALSE),"CECO NO EXISTE"))</f>
        <v/>
      </c>
      <c r="H1457" s="8">
        <f>IF(B1457="","",IFERROR(VLOOKUP(--B1457,'CATALOGO CECO'!$A$2:$H$550,3,FALSE),""))</f>
        <v/>
      </c>
      <c r="I1457" s="8">
        <f>IF(B1457="","",IFERROR(VLOOKUP(--B1457,'CATALOGO CECO'!$A$2:$H$550,5,FALSE),""))</f>
        <v/>
      </c>
      <c r="J1457" s="8">
        <f>IF(B1457="","",IFERROR(VLOOKUP(--B1457,'CATALOGO CECO'!$A$2:$H$550,8,FALSE),""))</f>
        <v/>
      </c>
      <c r="K1457" s="8">
        <f>IF(COUNTA(A1457:F1457)=0,"",IF(OR(LEN(A1457)&lt;&gt;7,MID(A1457,5,1)&lt;&gt;"-",ISERROR(--LEFT(A1457,4)),ISERROR(--RIGHT(A1457,2))),"ERROR: PERIODO debe ser AAAA-MM",IF(B1457="","ERROR: falta CODIGO CECO",IF(G1457="CECO NO EXISTE","ERROR: CECO no existe en el catálogo",IF(C1457="","ERROR: falta CUENTA",IF(ISERROR(--C1457),"ERROR: CUENTA debe tener solo dígitos",IF(ISERROR(FIND(LEFT(C1457,1),"567")),"ERROR: CUENTA fuera de las clases de costo",IF(NOT(ISNUMBER(E1457)),"ERROR: VALOR debe ser numérico",IF(E1457=0,"AVISO: valor cero (no se carga)",IF(J1457&lt;&gt;"ACTIVO","NO SE CARGA: CECO en estado "&amp;J1457,"OK"))))))))))</f>
        <v/>
      </c>
    </row>
    <row r="1458">
      <c r="A1458" s="5" t="n"/>
      <c r="B1458" s="6" t="n"/>
      <c r="C1458" s="5" t="n"/>
      <c r="D1458" s="6" t="n"/>
      <c r="E1458" s="7" t="n"/>
      <c r="F1458" s="6" t="n"/>
      <c r="G1458" s="8">
        <f>IF(B1458="","",IFERROR(VLOOKUP(--B1458,'CATALOGO CECO'!$A$2:$H$550,2,FALSE),"CECO NO EXISTE"))</f>
        <v/>
      </c>
      <c r="H1458" s="8">
        <f>IF(B1458="","",IFERROR(VLOOKUP(--B1458,'CATALOGO CECO'!$A$2:$H$550,3,FALSE),""))</f>
        <v/>
      </c>
      <c r="I1458" s="8">
        <f>IF(B1458="","",IFERROR(VLOOKUP(--B1458,'CATALOGO CECO'!$A$2:$H$550,5,FALSE),""))</f>
        <v/>
      </c>
      <c r="J1458" s="8">
        <f>IF(B1458="","",IFERROR(VLOOKUP(--B1458,'CATALOGO CECO'!$A$2:$H$550,8,FALSE),""))</f>
        <v/>
      </c>
      <c r="K1458" s="8">
        <f>IF(COUNTA(A1458:F1458)=0,"",IF(OR(LEN(A1458)&lt;&gt;7,MID(A1458,5,1)&lt;&gt;"-",ISERROR(--LEFT(A1458,4)),ISERROR(--RIGHT(A1458,2))),"ERROR: PERIODO debe ser AAAA-MM",IF(B1458="","ERROR: falta CODIGO CECO",IF(G1458="CECO NO EXISTE","ERROR: CECO no existe en el catálogo",IF(C1458="","ERROR: falta CUENTA",IF(ISERROR(--C1458),"ERROR: CUENTA debe tener solo dígitos",IF(ISERROR(FIND(LEFT(C1458,1),"567")),"ERROR: CUENTA fuera de las clases de costo",IF(NOT(ISNUMBER(E1458)),"ERROR: VALOR debe ser numérico",IF(E1458=0,"AVISO: valor cero (no se carga)",IF(J1458&lt;&gt;"ACTIVO","NO SE CARGA: CECO en estado "&amp;J1458,"OK"))))))))))</f>
        <v/>
      </c>
    </row>
    <row r="1459">
      <c r="A1459" s="5" t="n"/>
      <c r="B1459" s="6" t="n"/>
      <c r="C1459" s="5" t="n"/>
      <c r="D1459" s="6" t="n"/>
      <c r="E1459" s="7" t="n"/>
      <c r="F1459" s="6" t="n"/>
      <c r="G1459" s="8">
        <f>IF(B1459="","",IFERROR(VLOOKUP(--B1459,'CATALOGO CECO'!$A$2:$H$550,2,FALSE),"CECO NO EXISTE"))</f>
        <v/>
      </c>
      <c r="H1459" s="8">
        <f>IF(B1459="","",IFERROR(VLOOKUP(--B1459,'CATALOGO CECO'!$A$2:$H$550,3,FALSE),""))</f>
        <v/>
      </c>
      <c r="I1459" s="8">
        <f>IF(B1459="","",IFERROR(VLOOKUP(--B1459,'CATALOGO CECO'!$A$2:$H$550,5,FALSE),""))</f>
        <v/>
      </c>
      <c r="J1459" s="8">
        <f>IF(B1459="","",IFERROR(VLOOKUP(--B1459,'CATALOGO CECO'!$A$2:$H$550,8,FALSE),""))</f>
        <v/>
      </c>
      <c r="K1459" s="8">
        <f>IF(COUNTA(A1459:F1459)=0,"",IF(OR(LEN(A1459)&lt;&gt;7,MID(A1459,5,1)&lt;&gt;"-",ISERROR(--LEFT(A1459,4)),ISERROR(--RIGHT(A1459,2))),"ERROR: PERIODO debe ser AAAA-MM",IF(B1459="","ERROR: falta CODIGO CECO",IF(G1459="CECO NO EXISTE","ERROR: CECO no existe en el catálogo",IF(C1459="","ERROR: falta CUENTA",IF(ISERROR(--C1459),"ERROR: CUENTA debe tener solo dígitos",IF(ISERROR(FIND(LEFT(C1459,1),"567")),"ERROR: CUENTA fuera de las clases de costo",IF(NOT(ISNUMBER(E1459)),"ERROR: VALOR debe ser numérico",IF(E1459=0,"AVISO: valor cero (no se carga)",IF(J1459&lt;&gt;"ACTIVO","NO SE CARGA: CECO en estado "&amp;J1459,"OK"))))))))))</f>
        <v/>
      </c>
    </row>
    <row r="1460">
      <c r="A1460" s="5" t="n"/>
      <c r="B1460" s="6" t="n"/>
      <c r="C1460" s="5" t="n"/>
      <c r="D1460" s="6" t="n"/>
      <c r="E1460" s="7" t="n"/>
      <c r="F1460" s="6" t="n"/>
      <c r="G1460" s="8">
        <f>IF(B1460="","",IFERROR(VLOOKUP(--B1460,'CATALOGO CECO'!$A$2:$H$550,2,FALSE),"CECO NO EXISTE"))</f>
        <v/>
      </c>
      <c r="H1460" s="8">
        <f>IF(B1460="","",IFERROR(VLOOKUP(--B1460,'CATALOGO CECO'!$A$2:$H$550,3,FALSE),""))</f>
        <v/>
      </c>
      <c r="I1460" s="8">
        <f>IF(B1460="","",IFERROR(VLOOKUP(--B1460,'CATALOGO CECO'!$A$2:$H$550,5,FALSE),""))</f>
        <v/>
      </c>
      <c r="J1460" s="8">
        <f>IF(B1460="","",IFERROR(VLOOKUP(--B1460,'CATALOGO CECO'!$A$2:$H$550,8,FALSE),""))</f>
        <v/>
      </c>
      <c r="K1460" s="8">
        <f>IF(COUNTA(A1460:F1460)=0,"",IF(OR(LEN(A1460)&lt;&gt;7,MID(A1460,5,1)&lt;&gt;"-",ISERROR(--LEFT(A1460,4)),ISERROR(--RIGHT(A1460,2))),"ERROR: PERIODO debe ser AAAA-MM",IF(B1460="","ERROR: falta CODIGO CECO",IF(G1460="CECO NO EXISTE","ERROR: CECO no existe en el catálogo",IF(C1460="","ERROR: falta CUENTA",IF(ISERROR(--C1460),"ERROR: CUENTA debe tener solo dígitos",IF(ISERROR(FIND(LEFT(C1460,1),"567")),"ERROR: CUENTA fuera de las clases de costo",IF(NOT(ISNUMBER(E1460)),"ERROR: VALOR debe ser numérico",IF(E1460=0,"AVISO: valor cero (no se carga)",IF(J1460&lt;&gt;"ACTIVO","NO SE CARGA: CECO en estado "&amp;J1460,"OK"))))))))))</f>
        <v/>
      </c>
    </row>
    <row r="1461">
      <c r="A1461" s="5" t="n"/>
      <c r="B1461" s="6" t="n"/>
      <c r="C1461" s="5" t="n"/>
      <c r="D1461" s="6" t="n"/>
      <c r="E1461" s="7" t="n"/>
      <c r="F1461" s="6" t="n"/>
      <c r="G1461" s="8">
        <f>IF(B1461="","",IFERROR(VLOOKUP(--B1461,'CATALOGO CECO'!$A$2:$H$550,2,FALSE),"CECO NO EXISTE"))</f>
        <v/>
      </c>
      <c r="H1461" s="8">
        <f>IF(B1461="","",IFERROR(VLOOKUP(--B1461,'CATALOGO CECO'!$A$2:$H$550,3,FALSE),""))</f>
        <v/>
      </c>
      <c r="I1461" s="8">
        <f>IF(B1461="","",IFERROR(VLOOKUP(--B1461,'CATALOGO CECO'!$A$2:$H$550,5,FALSE),""))</f>
        <v/>
      </c>
      <c r="J1461" s="8">
        <f>IF(B1461="","",IFERROR(VLOOKUP(--B1461,'CATALOGO CECO'!$A$2:$H$550,8,FALSE),""))</f>
        <v/>
      </c>
      <c r="K1461" s="8">
        <f>IF(COUNTA(A1461:F1461)=0,"",IF(OR(LEN(A1461)&lt;&gt;7,MID(A1461,5,1)&lt;&gt;"-",ISERROR(--LEFT(A1461,4)),ISERROR(--RIGHT(A1461,2))),"ERROR: PERIODO debe ser AAAA-MM",IF(B1461="","ERROR: falta CODIGO CECO",IF(G1461="CECO NO EXISTE","ERROR: CECO no existe en el catálogo",IF(C1461="","ERROR: falta CUENTA",IF(ISERROR(--C1461),"ERROR: CUENTA debe tener solo dígitos",IF(ISERROR(FIND(LEFT(C1461,1),"567")),"ERROR: CUENTA fuera de las clases de costo",IF(NOT(ISNUMBER(E1461)),"ERROR: VALOR debe ser numérico",IF(E1461=0,"AVISO: valor cero (no se carga)",IF(J1461&lt;&gt;"ACTIVO","NO SE CARGA: CECO en estado "&amp;J1461,"OK"))))))))))</f>
        <v/>
      </c>
    </row>
    <row r="1462">
      <c r="A1462" s="5" t="n"/>
      <c r="B1462" s="6" t="n"/>
      <c r="C1462" s="5" t="n"/>
      <c r="D1462" s="6" t="n"/>
      <c r="E1462" s="7" t="n"/>
      <c r="F1462" s="6" t="n"/>
      <c r="G1462" s="8">
        <f>IF(B1462="","",IFERROR(VLOOKUP(--B1462,'CATALOGO CECO'!$A$2:$H$550,2,FALSE),"CECO NO EXISTE"))</f>
        <v/>
      </c>
      <c r="H1462" s="8">
        <f>IF(B1462="","",IFERROR(VLOOKUP(--B1462,'CATALOGO CECO'!$A$2:$H$550,3,FALSE),""))</f>
        <v/>
      </c>
      <c r="I1462" s="8">
        <f>IF(B1462="","",IFERROR(VLOOKUP(--B1462,'CATALOGO CECO'!$A$2:$H$550,5,FALSE),""))</f>
        <v/>
      </c>
      <c r="J1462" s="8">
        <f>IF(B1462="","",IFERROR(VLOOKUP(--B1462,'CATALOGO CECO'!$A$2:$H$550,8,FALSE),""))</f>
        <v/>
      </c>
      <c r="K1462" s="8">
        <f>IF(COUNTA(A1462:F1462)=0,"",IF(OR(LEN(A1462)&lt;&gt;7,MID(A1462,5,1)&lt;&gt;"-",ISERROR(--LEFT(A1462,4)),ISERROR(--RIGHT(A1462,2))),"ERROR: PERIODO debe ser AAAA-MM",IF(B1462="","ERROR: falta CODIGO CECO",IF(G1462="CECO NO EXISTE","ERROR: CECO no existe en el catálogo",IF(C1462="","ERROR: falta CUENTA",IF(ISERROR(--C1462),"ERROR: CUENTA debe tener solo dígitos",IF(ISERROR(FIND(LEFT(C1462,1),"567")),"ERROR: CUENTA fuera de las clases de costo",IF(NOT(ISNUMBER(E1462)),"ERROR: VALOR debe ser numérico",IF(E1462=0,"AVISO: valor cero (no se carga)",IF(J1462&lt;&gt;"ACTIVO","NO SE CARGA: CECO en estado "&amp;J1462,"OK"))))))))))</f>
        <v/>
      </c>
    </row>
    <row r="1463">
      <c r="A1463" s="5" t="n"/>
      <c r="B1463" s="6" t="n"/>
      <c r="C1463" s="5" t="n"/>
      <c r="D1463" s="6" t="n"/>
      <c r="E1463" s="7" t="n"/>
      <c r="F1463" s="6" t="n"/>
      <c r="G1463" s="8">
        <f>IF(B1463="","",IFERROR(VLOOKUP(--B1463,'CATALOGO CECO'!$A$2:$H$550,2,FALSE),"CECO NO EXISTE"))</f>
        <v/>
      </c>
      <c r="H1463" s="8">
        <f>IF(B1463="","",IFERROR(VLOOKUP(--B1463,'CATALOGO CECO'!$A$2:$H$550,3,FALSE),""))</f>
        <v/>
      </c>
      <c r="I1463" s="8">
        <f>IF(B1463="","",IFERROR(VLOOKUP(--B1463,'CATALOGO CECO'!$A$2:$H$550,5,FALSE),""))</f>
        <v/>
      </c>
      <c r="J1463" s="8">
        <f>IF(B1463="","",IFERROR(VLOOKUP(--B1463,'CATALOGO CECO'!$A$2:$H$550,8,FALSE),""))</f>
        <v/>
      </c>
      <c r="K1463" s="8">
        <f>IF(COUNTA(A1463:F1463)=0,"",IF(OR(LEN(A1463)&lt;&gt;7,MID(A1463,5,1)&lt;&gt;"-",ISERROR(--LEFT(A1463,4)),ISERROR(--RIGHT(A1463,2))),"ERROR: PERIODO debe ser AAAA-MM",IF(B1463="","ERROR: falta CODIGO CECO",IF(G1463="CECO NO EXISTE","ERROR: CECO no existe en el catálogo",IF(C1463="","ERROR: falta CUENTA",IF(ISERROR(--C1463),"ERROR: CUENTA debe tener solo dígitos",IF(ISERROR(FIND(LEFT(C1463,1),"567")),"ERROR: CUENTA fuera de las clases de costo",IF(NOT(ISNUMBER(E1463)),"ERROR: VALOR debe ser numérico",IF(E1463=0,"AVISO: valor cero (no se carga)",IF(J1463&lt;&gt;"ACTIVO","NO SE CARGA: CECO en estado "&amp;J1463,"OK"))))))))))</f>
        <v/>
      </c>
    </row>
    <row r="1464">
      <c r="A1464" s="5" t="n"/>
      <c r="B1464" s="6" t="n"/>
      <c r="C1464" s="5" t="n"/>
      <c r="D1464" s="6" t="n"/>
      <c r="E1464" s="7" t="n"/>
      <c r="F1464" s="6" t="n"/>
      <c r="G1464" s="8">
        <f>IF(B1464="","",IFERROR(VLOOKUP(--B1464,'CATALOGO CECO'!$A$2:$H$550,2,FALSE),"CECO NO EXISTE"))</f>
        <v/>
      </c>
      <c r="H1464" s="8">
        <f>IF(B1464="","",IFERROR(VLOOKUP(--B1464,'CATALOGO CECO'!$A$2:$H$550,3,FALSE),""))</f>
        <v/>
      </c>
      <c r="I1464" s="8">
        <f>IF(B1464="","",IFERROR(VLOOKUP(--B1464,'CATALOGO CECO'!$A$2:$H$550,5,FALSE),""))</f>
        <v/>
      </c>
      <c r="J1464" s="8">
        <f>IF(B1464="","",IFERROR(VLOOKUP(--B1464,'CATALOGO CECO'!$A$2:$H$550,8,FALSE),""))</f>
        <v/>
      </c>
      <c r="K1464" s="8">
        <f>IF(COUNTA(A1464:F1464)=0,"",IF(OR(LEN(A1464)&lt;&gt;7,MID(A1464,5,1)&lt;&gt;"-",ISERROR(--LEFT(A1464,4)),ISERROR(--RIGHT(A1464,2))),"ERROR: PERIODO debe ser AAAA-MM",IF(B1464="","ERROR: falta CODIGO CECO",IF(G1464="CECO NO EXISTE","ERROR: CECO no existe en el catálogo",IF(C1464="","ERROR: falta CUENTA",IF(ISERROR(--C1464),"ERROR: CUENTA debe tener solo dígitos",IF(ISERROR(FIND(LEFT(C1464,1),"567")),"ERROR: CUENTA fuera de las clases de costo",IF(NOT(ISNUMBER(E1464)),"ERROR: VALOR debe ser numérico",IF(E1464=0,"AVISO: valor cero (no se carga)",IF(J1464&lt;&gt;"ACTIVO","NO SE CARGA: CECO en estado "&amp;J1464,"OK"))))))))))</f>
        <v/>
      </c>
    </row>
    <row r="1465">
      <c r="A1465" s="5" t="n"/>
      <c r="B1465" s="6" t="n"/>
      <c r="C1465" s="5" t="n"/>
      <c r="D1465" s="6" t="n"/>
      <c r="E1465" s="7" t="n"/>
      <c r="F1465" s="6" t="n"/>
      <c r="G1465" s="8">
        <f>IF(B1465="","",IFERROR(VLOOKUP(--B1465,'CATALOGO CECO'!$A$2:$H$550,2,FALSE),"CECO NO EXISTE"))</f>
        <v/>
      </c>
      <c r="H1465" s="8">
        <f>IF(B1465="","",IFERROR(VLOOKUP(--B1465,'CATALOGO CECO'!$A$2:$H$550,3,FALSE),""))</f>
        <v/>
      </c>
      <c r="I1465" s="8">
        <f>IF(B1465="","",IFERROR(VLOOKUP(--B1465,'CATALOGO CECO'!$A$2:$H$550,5,FALSE),""))</f>
        <v/>
      </c>
      <c r="J1465" s="8">
        <f>IF(B1465="","",IFERROR(VLOOKUP(--B1465,'CATALOGO CECO'!$A$2:$H$550,8,FALSE),""))</f>
        <v/>
      </c>
      <c r="K1465" s="8">
        <f>IF(COUNTA(A1465:F1465)=0,"",IF(OR(LEN(A1465)&lt;&gt;7,MID(A1465,5,1)&lt;&gt;"-",ISERROR(--LEFT(A1465,4)),ISERROR(--RIGHT(A1465,2))),"ERROR: PERIODO debe ser AAAA-MM",IF(B1465="","ERROR: falta CODIGO CECO",IF(G1465="CECO NO EXISTE","ERROR: CECO no existe en el catálogo",IF(C1465="","ERROR: falta CUENTA",IF(ISERROR(--C1465),"ERROR: CUENTA debe tener solo dígitos",IF(ISERROR(FIND(LEFT(C1465,1),"567")),"ERROR: CUENTA fuera de las clases de costo",IF(NOT(ISNUMBER(E1465)),"ERROR: VALOR debe ser numérico",IF(E1465=0,"AVISO: valor cero (no se carga)",IF(J1465&lt;&gt;"ACTIVO","NO SE CARGA: CECO en estado "&amp;J1465,"OK"))))))))))</f>
        <v/>
      </c>
    </row>
    <row r="1466">
      <c r="A1466" s="5" t="n"/>
      <c r="B1466" s="6" t="n"/>
      <c r="C1466" s="5" t="n"/>
      <c r="D1466" s="6" t="n"/>
      <c r="E1466" s="7" t="n"/>
      <c r="F1466" s="6" t="n"/>
      <c r="G1466" s="8">
        <f>IF(B1466="","",IFERROR(VLOOKUP(--B1466,'CATALOGO CECO'!$A$2:$H$550,2,FALSE),"CECO NO EXISTE"))</f>
        <v/>
      </c>
      <c r="H1466" s="8">
        <f>IF(B1466="","",IFERROR(VLOOKUP(--B1466,'CATALOGO CECO'!$A$2:$H$550,3,FALSE),""))</f>
        <v/>
      </c>
      <c r="I1466" s="8">
        <f>IF(B1466="","",IFERROR(VLOOKUP(--B1466,'CATALOGO CECO'!$A$2:$H$550,5,FALSE),""))</f>
        <v/>
      </c>
      <c r="J1466" s="8">
        <f>IF(B1466="","",IFERROR(VLOOKUP(--B1466,'CATALOGO CECO'!$A$2:$H$550,8,FALSE),""))</f>
        <v/>
      </c>
      <c r="K1466" s="8">
        <f>IF(COUNTA(A1466:F1466)=0,"",IF(OR(LEN(A1466)&lt;&gt;7,MID(A1466,5,1)&lt;&gt;"-",ISERROR(--LEFT(A1466,4)),ISERROR(--RIGHT(A1466,2))),"ERROR: PERIODO debe ser AAAA-MM",IF(B1466="","ERROR: falta CODIGO CECO",IF(G1466="CECO NO EXISTE","ERROR: CECO no existe en el catálogo",IF(C1466="","ERROR: falta CUENTA",IF(ISERROR(--C1466),"ERROR: CUENTA debe tener solo dígitos",IF(ISERROR(FIND(LEFT(C1466,1),"567")),"ERROR: CUENTA fuera de las clases de costo",IF(NOT(ISNUMBER(E1466)),"ERROR: VALOR debe ser numérico",IF(E1466=0,"AVISO: valor cero (no se carga)",IF(J1466&lt;&gt;"ACTIVO","NO SE CARGA: CECO en estado "&amp;J1466,"OK"))))))))))</f>
        <v/>
      </c>
    </row>
    <row r="1467">
      <c r="A1467" s="5" t="n"/>
      <c r="B1467" s="6" t="n"/>
      <c r="C1467" s="5" t="n"/>
      <c r="D1467" s="6" t="n"/>
      <c r="E1467" s="7" t="n"/>
      <c r="F1467" s="6" t="n"/>
      <c r="G1467" s="8">
        <f>IF(B1467="","",IFERROR(VLOOKUP(--B1467,'CATALOGO CECO'!$A$2:$H$550,2,FALSE),"CECO NO EXISTE"))</f>
        <v/>
      </c>
      <c r="H1467" s="8">
        <f>IF(B1467="","",IFERROR(VLOOKUP(--B1467,'CATALOGO CECO'!$A$2:$H$550,3,FALSE),""))</f>
        <v/>
      </c>
      <c r="I1467" s="8">
        <f>IF(B1467="","",IFERROR(VLOOKUP(--B1467,'CATALOGO CECO'!$A$2:$H$550,5,FALSE),""))</f>
        <v/>
      </c>
      <c r="J1467" s="8">
        <f>IF(B1467="","",IFERROR(VLOOKUP(--B1467,'CATALOGO CECO'!$A$2:$H$550,8,FALSE),""))</f>
        <v/>
      </c>
      <c r="K1467" s="8">
        <f>IF(COUNTA(A1467:F1467)=0,"",IF(OR(LEN(A1467)&lt;&gt;7,MID(A1467,5,1)&lt;&gt;"-",ISERROR(--LEFT(A1467,4)),ISERROR(--RIGHT(A1467,2))),"ERROR: PERIODO debe ser AAAA-MM",IF(B1467="","ERROR: falta CODIGO CECO",IF(G1467="CECO NO EXISTE","ERROR: CECO no existe en el catálogo",IF(C1467="","ERROR: falta CUENTA",IF(ISERROR(--C1467),"ERROR: CUENTA debe tener solo dígitos",IF(ISERROR(FIND(LEFT(C1467,1),"567")),"ERROR: CUENTA fuera de las clases de costo",IF(NOT(ISNUMBER(E1467)),"ERROR: VALOR debe ser numérico",IF(E1467=0,"AVISO: valor cero (no se carga)",IF(J1467&lt;&gt;"ACTIVO","NO SE CARGA: CECO en estado "&amp;J1467,"OK"))))))))))</f>
        <v/>
      </c>
    </row>
    <row r="1468">
      <c r="A1468" s="5" t="n"/>
      <c r="B1468" s="6" t="n"/>
      <c r="C1468" s="5" t="n"/>
      <c r="D1468" s="6" t="n"/>
      <c r="E1468" s="7" t="n"/>
      <c r="F1468" s="6" t="n"/>
      <c r="G1468" s="8">
        <f>IF(B1468="","",IFERROR(VLOOKUP(--B1468,'CATALOGO CECO'!$A$2:$H$550,2,FALSE),"CECO NO EXISTE"))</f>
        <v/>
      </c>
      <c r="H1468" s="8">
        <f>IF(B1468="","",IFERROR(VLOOKUP(--B1468,'CATALOGO CECO'!$A$2:$H$550,3,FALSE),""))</f>
        <v/>
      </c>
      <c r="I1468" s="8">
        <f>IF(B1468="","",IFERROR(VLOOKUP(--B1468,'CATALOGO CECO'!$A$2:$H$550,5,FALSE),""))</f>
        <v/>
      </c>
      <c r="J1468" s="8">
        <f>IF(B1468="","",IFERROR(VLOOKUP(--B1468,'CATALOGO CECO'!$A$2:$H$550,8,FALSE),""))</f>
        <v/>
      </c>
      <c r="K1468" s="8">
        <f>IF(COUNTA(A1468:F1468)=0,"",IF(OR(LEN(A1468)&lt;&gt;7,MID(A1468,5,1)&lt;&gt;"-",ISERROR(--LEFT(A1468,4)),ISERROR(--RIGHT(A1468,2))),"ERROR: PERIODO debe ser AAAA-MM",IF(B1468="","ERROR: falta CODIGO CECO",IF(G1468="CECO NO EXISTE","ERROR: CECO no existe en el catálogo",IF(C1468="","ERROR: falta CUENTA",IF(ISERROR(--C1468),"ERROR: CUENTA debe tener solo dígitos",IF(ISERROR(FIND(LEFT(C1468,1),"567")),"ERROR: CUENTA fuera de las clases de costo",IF(NOT(ISNUMBER(E1468)),"ERROR: VALOR debe ser numérico",IF(E1468=0,"AVISO: valor cero (no se carga)",IF(J1468&lt;&gt;"ACTIVO","NO SE CARGA: CECO en estado "&amp;J1468,"OK"))))))))))</f>
        <v/>
      </c>
    </row>
    <row r="1469">
      <c r="A1469" s="5" t="n"/>
      <c r="B1469" s="6" t="n"/>
      <c r="C1469" s="5" t="n"/>
      <c r="D1469" s="6" t="n"/>
      <c r="E1469" s="7" t="n"/>
      <c r="F1469" s="6" t="n"/>
      <c r="G1469" s="8">
        <f>IF(B1469="","",IFERROR(VLOOKUP(--B1469,'CATALOGO CECO'!$A$2:$H$550,2,FALSE),"CECO NO EXISTE"))</f>
        <v/>
      </c>
      <c r="H1469" s="8">
        <f>IF(B1469="","",IFERROR(VLOOKUP(--B1469,'CATALOGO CECO'!$A$2:$H$550,3,FALSE),""))</f>
        <v/>
      </c>
      <c r="I1469" s="8">
        <f>IF(B1469="","",IFERROR(VLOOKUP(--B1469,'CATALOGO CECO'!$A$2:$H$550,5,FALSE),""))</f>
        <v/>
      </c>
      <c r="J1469" s="8">
        <f>IF(B1469="","",IFERROR(VLOOKUP(--B1469,'CATALOGO CECO'!$A$2:$H$550,8,FALSE),""))</f>
        <v/>
      </c>
      <c r="K1469" s="8">
        <f>IF(COUNTA(A1469:F1469)=0,"",IF(OR(LEN(A1469)&lt;&gt;7,MID(A1469,5,1)&lt;&gt;"-",ISERROR(--LEFT(A1469,4)),ISERROR(--RIGHT(A1469,2))),"ERROR: PERIODO debe ser AAAA-MM",IF(B1469="","ERROR: falta CODIGO CECO",IF(G1469="CECO NO EXISTE","ERROR: CECO no existe en el catálogo",IF(C1469="","ERROR: falta CUENTA",IF(ISERROR(--C1469),"ERROR: CUENTA debe tener solo dígitos",IF(ISERROR(FIND(LEFT(C1469,1),"567")),"ERROR: CUENTA fuera de las clases de costo",IF(NOT(ISNUMBER(E1469)),"ERROR: VALOR debe ser numérico",IF(E1469=0,"AVISO: valor cero (no se carga)",IF(J1469&lt;&gt;"ACTIVO","NO SE CARGA: CECO en estado "&amp;J1469,"OK"))))))))))</f>
        <v/>
      </c>
    </row>
    <row r="1470">
      <c r="A1470" s="5" t="n"/>
      <c r="B1470" s="6" t="n"/>
      <c r="C1470" s="5" t="n"/>
      <c r="D1470" s="6" t="n"/>
      <c r="E1470" s="7" t="n"/>
      <c r="F1470" s="6" t="n"/>
      <c r="G1470" s="8">
        <f>IF(B1470="","",IFERROR(VLOOKUP(--B1470,'CATALOGO CECO'!$A$2:$H$550,2,FALSE),"CECO NO EXISTE"))</f>
        <v/>
      </c>
      <c r="H1470" s="8">
        <f>IF(B1470="","",IFERROR(VLOOKUP(--B1470,'CATALOGO CECO'!$A$2:$H$550,3,FALSE),""))</f>
        <v/>
      </c>
      <c r="I1470" s="8">
        <f>IF(B1470="","",IFERROR(VLOOKUP(--B1470,'CATALOGO CECO'!$A$2:$H$550,5,FALSE),""))</f>
        <v/>
      </c>
      <c r="J1470" s="8">
        <f>IF(B1470="","",IFERROR(VLOOKUP(--B1470,'CATALOGO CECO'!$A$2:$H$550,8,FALSE),""))</f>
        <v/>
      </c>
      <c r="K1470" s="8">
        <f>IF(COUNTA(A1470:F1470)=0,"",IF(OR(LEN(A1470)&lt;&gt;7,MID(A1470,5,1)&lt;&gt;"-",ISERROR(--LEFT(A1470,4)),ISERROR(--RIGHT(A1470,2))),"ERROR: PERIODO debe ser AAAA-MM",IF(B1470="","ERROR: falta CODIGO CECO",IF(G1470="CECO NO EXISTE","ERROR: CECO no existe en el catálogo",IF(C1470="","ERROR: falta CUENTA",IF(ISERROR(--C1470),"ERROR: CUENTA debe tener solo dígitos",IF(ISERROR(FIND(LEFT(C1470,1),"567")),"ERROR: CUENTA fuera de las clases de costo",IF(NOT(ISNUMBER(E1470)),"ERROR: VALOR debe ser numérico",IF(E1470=0,"AVISO: valor cero (no se carga)",IF(J1470&lt;&gt;"ACTIVO","NO SE CARGA: CECO en estado "&amp;J1470,"OK"))))))))))</f>
        <v/>
      </c>
    </row>
    <row r="1471">
      <c r="A1471" s="5" t="n"/>
      <c r="B1471" s="6" t="n"/>
      <c r="C1471" s="5" t="n"/>
      <c r="D1471" s="6" t="n"/>
      <c r="E1471" s="7" t="n"/>
      <c r="F1471" s="6" t="n"/>
      <c r="G1471" s="8">
        <f>IF(B1471="","",IFERROR(VLOOKUP(--B1471,'CATALOGO CECO'!$A$2:$H$550,2,FALSE),"CECO NO EXISTE"))</f>
        <v/>
      </c>
      <c r="H1471" s="8">
        <f>IF(B1471="","",IFERROR(VLOOKUP(--B1471,'CATALOGO CECO'!$A$2:$H$550,3,FALSE),""))</f>
        <v/>
      </c>
      <c r="I1471" s="8">
        <f>IF(B1471="","",IFERROR(VLOOKUP(--B1471,'CATALOGO CECO'!$A$2:$H$550,5,FALSE),""))</f>
        <v/>
      </c>
      <c r="J1471" s="8">
        <f>IF(B1471="","",IFERROR(VLOOKUP(--B1471,'CATALOGO CECO'!$A$2:$H$550,8,FALSE),""))</f>
        <v/>
      </c>
      <c r="K1471" s="8">
        <f>IF(COUNTA(A1471:F1471)=0,"",IF(OR(LEN(A1471)&lt;&gt;7,MID(A1471,5,1)&lt;&gt;"-",ISERROR(--LEFT(A1471,4)),ISERROR(--RIGHT(A1471,2))),"ERROR: PERIODO debe ser AAAA-MM",IF(B1471="","ERROR: falta CODIGO CECO",IF(G1471="CECO NO EXISTE","ERROR: CECO no existe en el catálogo",IF(C1471="","ERROR: falta CUENTA",IF(ISERROR(--C1471),"ERROR: CUENTA debe tener solo dígitos",IF(ISERROR(FIND(LEFT(C1471,1),"567")),"ERROR: CUENTA fuera de las clases de costo",IF(NOT(ISNUMBER(E1471)),"ERROR: VALOR debe ser numérico",IF(E1471=0,"AVISO: valor cero (no se carga)",IF(J1471&lt;&gt;"ACTIVO","NO SE CARGA: CECO en estado "&amp;J1471,"OK"))))))))))</f>
        <v/>
      </c>
    </row>
    <row r="1472">
      <c r="A1472" s="5" t="n"/>
      <c r="B1472" s="6" t="n"/>
      <c r="C1472" s="5" t="n"/>
      <c r="D1472" s="6" t="n"/>
      <c r="E1472" s="7" t="n"/>
      <c r="F1472" s="6" t="n"/>
      <c r="G1472" s="8">
        <f>IF(B1472="","",IFERROR(VLOOKUP(--B1472,'CATALOGO CECO'!$A$2:$H$550,2,FALSE),"CECO NO EXISTE"))</f>
        <v/>
      </c>
      <c r="H1472" s="8">
        <f>IF(B1472="","",IFERROR(VLOOKUP(--B1472,'CATALOGO CECO'!$A$2:$H$550,3,FALSE),""))</f>
        <v/>
      </c>
      <c r="I1472" s="8">
        <f>IF(B1472="","",IFERROR(VLOOKUP(--B1472,'CATALOGO CECO'!$A$2:$H$550,5,FALSE),""))</f>
        <v/>
      </c>
      <c r="J1472" s="8">
        <f>IF(B1472="","",IFERROR(VLOOKUP(--B1472,'CATALOGO CECO'!$A$2:$H$550,8,FALSE),""))</f>
        <v/>
      </c>
      <c r="K1472" s="8">
        <f>IF(COUNTA(A1472:F1472)=0,"",IF(OR(LEN(A1472)&lt;&gt;7,MID(A1472,5,1)&lt;&gt;"-",ISERROR(--LEFT(A1472,4)),ISERROR(--RIGHT(A1472,2))),"ERROR: PERIODO debe ser AAAA-MM",IF(B1472="","ERROR: falta CODIGO CECO",IF(G1472="CECO NO EXISTE","ERROR: CECO no existe en el catálogo",IF(C1472="","ERROR: falta CUENTA",IF(ISERROR(--C1472),"ERROR: CUENTA debe tener solo dígitos",IF(ISERROR(FIND(LEFT(C1472,1),"567")),"ERROR: CUENTA fuera de las clases de costo",IF(NOT(ISNUMBER(E1472)),"ERROR: VALOR debe ser numérico",IF(E1472=0,"AVISO: valor cero (no se carga)",IF(J1472&lt;&gt;"ACTIVO","NO SE CARGA: CECO en estado "&amp;J1472,"OK"))))))))))</f>
        <v/>
      </c>
    </row>
    <row r="1473">
      <c r="A1473" s="5" t="n"/>
      <c r="B1473" s="6" t="n"/>
      <c r="C1473" s="5" t="n"/>
      <c r="D1473" s="6" t="n"/>
      <c r="E1473" s="7" t="n"/>
      <c r="F1473" s="6" t="n"/>
      <c r="G1473" s="8">
        <f>IF(B1473="","",IFERROR(VLOOKUP(--B1473,'CATALOGO CECO'!$A$2:$H$550,2,FALSE),"CECO NO EXISTE"))</f>
        <v/>
      </c>
      <c r="H1473" s="8">
        <f>IF(B1473="","",IFERROR(VLOOKUP(--B1473,'CATALOGO CECO'!$A$2:$H$550,3,FALSE),""))</f>
        <v/>
      </c>
      <c r="I1473" s="8">
        <f>IF(B1473="","",IFERROR(VLOOKUP(--B1473,'CATALOGO CECO'!$A$2:$H$550,5,FALSE),""))</f>
        <v/>
      </c>
      <c r="J1473" s="8">
        <f>IF(B1473="","",IFERROR(VLOOKUP(--B1473,'CATALOGO CECO'!$A$2:$H$550,8,FALSE),""))</f>
        <v/>
      </c>
      <c r="K1473" s="8">
        <f>IF(COUNTA(A1473:F1473)=0,"",IF(OR(LEN(A1473)&lt;&gt;7,MID(A1473,5,1)&lt;&gt;"-",ISERROR(--LEFT(A1473,4)),ISERROR(--RIGHT(A1473,2))),"ERROR: PERIODO debe ser AAAA-MM",IF(B1473="","ERROR: falta CODIGO CECO",IF(G1473="CECO NO EXISTE","ERROR: CECO no existe en el catálogo",IF(C1473="","ERROR: falta CUENTA",IF(ISERROR(--C1473),"ERROR: CUENTA debe tener solo dígitos",IF(ISERROR(FIND(LEFT(C1473,1),"567")),"ERROR: CUENTA fuera de las clases de costo",IF(NOT(ISNUMBER(E1473)),"ERROR: VALOR debe ser numérico",IF(E1473=0,"AVISO: valor cero (no se carga)",IF(J1473&lt;&gt;"ACTIVO","NO SE CARGA: CECO en estado "&amp;J1473,"OK"))))))))))</f>
        <v/>
      </c>
    </row>
    <row r="1474">
      <c r="A1474" s="5" t="n"/>
      <c r="B1474" s="6" t="n"/>
      <c r="C1474" s="5" t="n"/>
      <c r="D1474" s="6" t="n"/>
      <c r="E1474" s="7" t="n"/>
      <c r="F1474" s="6" t="n"/>
      <c r="G1474" s="8">
        <f>IF(B1474="","",IFERROR(VLOOKUP(--B1474,'CATALOGO CECO'!$A$2:$H$550,2,FALSE),"CECO NO EXISTE"))</f>
        <v/>
      </c>
      <c r="H1474" s="8">
        <f>IF(B1474="","",IFERROR(VLOOKUP(--B1474,'CATALOGO CECO'!$A$2:$H$550,3,FALSE),""))</f>
        <v/>
      </c>
      <c r="I1474" s="8">
        <f>IF(B1474="","",IFERROR(VLOOKUP(--B1474,'CATALOGO CECO'!$A$2:$H$550,5,FALSE),""))</f>
        <v/>
      </c>
      <c r="J1474" s="8">
        <f>IF(B1474="","",IFERROR(VLOOKUP(--B1474,'CATALOGO CECO'!$A$2:$H$550,8,FALSE),""))</f>
        <v/>
      </c>
      <c r="K1474" s="8">
        <f>IF(COUNTA(A1474:F1474)=0,"",IF(OR(LEN(A1474)&lt;&gt;7,MID(A1474,5,1)&lt;&gt;"-",ISERROR(--LEFT(A1474,4)),ISERROR(--RIGHT(A1474,2))),"ERROR: PERIODO debe ser AAAA-MM",IF(B1474="","ERROR: falta CODIGO CECO",IF(G1474="CECO NO EXISTE","ERROR: CECO no existe en el catálogo",IF(C1474="","ERROR: falta CUENTA",IF(ISERROR(--C1474),"ERROR: CUENTA debe tener solo dígitos",IF(ISERROR(FIND(LEFT(C1474,1),"567")),"ERROR: CUENTA fuera de las clases de costo",IF(NOT(ISNUMBER(E1474)),"ERROR: VALOR debe ser numérico",IF(E1474=0,"AVISO: valor cero (no se carga)",IF(J1474&lt;&gt;"ACTIVO","NO SE CARGA: CECO en estado "&amp;J1474,"OK"))))))))))</f>
        <v/>
      </c>
    </row>
    <row r="1475">
      <c r="A1475" s="5" t="n"/>
      <c r="B1475" s="6" t="n"/>
      <c r="C1475" s="5" t="n"/>
      <c r="D1475" s="6" t="n"/>
      <c r="E1475" s="7" t="n"/>
      <c r="F1475" s="6" t="n"/>
      <c r="G1475" s="8">
        <f>IF(B1475="","",IFERROR(VLOOKUP(--B1475,'CATALOGO CECO'!$A$2:$H$550,2,FALSE),"CECO NO EXISTE"))</f>
        <v/>
      </c>
      <c r="H1475" s="8">
        <f>IF(B1475="","",IFERROR(VLOOKUP(--B1475,'CATALOGO CECO'!$A$2:$H$550,3,FALSE),""))</f>
        <v/>
      </c>
      <c r="I1475" s="8">
        <f>IF(B1475="","",IFERROR(VLOOKUP(--B1475,'CATALOGO CECO'!$A$2:$H$550,5,FALSE),""))</f>
        <v/>
      </c>
      <c r="J1475" s="8">
        <f>IF(B1475="","",IFERROR(VLOOKUP(--B1475,'CATALOGO CECO'!$A$2:$H$550,8,FALSE),""))</f>
        <v/>
      </c>
      <c r="K1475" s="8">
        <f>IF(COUNTA(A1475:F1475)=0,"",IF(OR(LEN(A1475)&lt;&gt;7,MID(A1475,5,1)&lt;&gt;"-",ISERROR(--LEFT(A1475,4)),ISERROR(--RIGHT(A1475,2))),"ERROR: PERIODO debe ser AAAA-MM",IF(B1475="","ERROR: falta CODIGO CECO",IF(G1475="CECO NO EXISTE","ERROR: CECO no existe en el catálogo",IF(C1475="","ERROR: falta CUENTA",IF(ISERROR(--C1475),"ERROR: CUENTA debe tener solo dígitos",IF(ISERROR(FIND(LEFT(C1475,1),"567")),"ERROR: CUENTA fuera de las clases de costo",IF(NOT(ISNUMBER(E1475)),"ERROR: VALOR debe ser numérico",IF(E1475=0,"AVISO: valor cero (no se carga)",IF(J1475&lt;&gt;"ACTIVO","NO SE CARGA: CECO en estado "&amp;J1475,"OK"))))))))))</f>
        <v/>
      </c>
    </row>
    <row r="1476">
      <c r="A1476" s="5" t="n"/>
      <c r="B1476" s="6" t="n"/>
      <c r="C1476" s="5" t="n"/>
      <c r="D1476" s="6" t="n"/>
      <c r="E1476" s="7" t="n"/>
      <c r="F1476" s="6" t="n"/>
      <c r="G1476" s="8">
        <f>IF(B1476="","",IFERROR(VLOOKUP(--B1476,'CATALOGO CECO'!$A$2:$H$550,2,FALSE),"CECO NO EXISTE"))</f>
        <v/>
      </c>
      <c r="H1476" s="8">
        <f>IF(B1476="","",IFERROR(VLOOKUP(--B1476,'CATALOGO CECO'!$A$2:$H$550,3,FALSE),""))</f>
        <v/>
      </c>
      <c r="I1476" s="8">
        <f>IF(B1476="","",IFERROR(VLOOKUP(--B1476,'CATALOGO CECO'!$A$2:$H$550,5,FALSE),""))</f>
        <v/>
      </c>
      <c r="J1476" s="8">
        <f>IF(B1476="","",IFERROR(VLOOKUP(--B1476,'CATALOGO CECO'!$A$2:$H$550,8,FALSE),""))</f>
        <v/>
      </c>
      <c r="K1476" s="8">
        <f>IF(COUNTA(A1476:F1476)=0,"",IF(OR(LEN(A1476)&lt;&gt;7,MID(A1476,5,1)&lt;&gt;"-",ISERROR(--LEFT(A1476,4)),ISERROR(--RIGHT(A1476,2))),"ERROR: PERIODO debe ser AAAA-MM",IF(B1476="","ERROR: falta CODIGO CECO",IF(G1476="CECO NO EXISTE","ERROR: CECO no existe en el catálogo",IF(C1476="","ERROR: falta CUENTA",IF(ISERROR(--C1476),"ERROR: CUENTA debe tener solo dígitos",IF(ISERROR(FIND(LEFT(C1476,1),"567")),"ERROR: CUENTA fuera de las clases de costo",IF(NOT(ISNUMBER(E1476)),"ERROR: VALOR debe ser numérico",IF(E1476=0,"AVISO: valor cero (no se carga)",IF(J1476&lt;&gt;"ACTIVO","NO SE CARGA: CECO en estado "&amp;J1476,"OK"))))))))))</f>
        <v/>
      </c>
    </row>
    <row r="1477">
      <c r="A1477" s="5" t="n"/>
      <c r="B1477" s="6" t="n"/>
      <c r="C1477" s="5" t="n"/>
      <c r="D1477" s="6" t="n"/>
      <c r="E1477" s="7" t="n"/>
      <c r="F1477" s="6" t="n"/>
      <c r="G1477" s="8">
        <f>IF(B1477="","",IFERROR(VLOOKUP(--B1477,'CATALOGO CECO'!$A$2:$H$550,2,FALSE),"CECO NO EXISTE"))</f>
        <v/>
      </c>
      <c r="H1477" s="8">
        <f>IF(B1477="","",IFERROR(VLOOKUP(--B1477,'CATALOGO CECO'!$A$2:$H$550,3,FALSE),""))</f>
        <v/>
      </c>
      <c r="I1477" s="8">
        <f>IF(B1477="","",IFERROR(VLOOKUP(--B1477,'CATALOGO CECO'!$A$2:$H$550,5,FALSE),""))</f>
        <v/>
      </c>
      <c r="J1477" s="8">
        <f>IF(B1477="","",IFERROR(VLOOKUP(--B1477,'CATALOGO CECO'!$A$2:$H$550,8,FALSE),""))</f>
        <v/>
      </c>
      <c r="K1477" s="8">
        <f>IF(COUNTA(A1477:F1477)=0,"",IF(OR(LEN(A1477)&lt;&gt;7,MID(A1477,5,1)&lt;&gt;"-",ISERROR(--LEFT(A1477,4)),ISERROR(--RIGHT(A1477,2))),"ERROR: PERIODO debe ser AAAA-MM",IF(B1477="","ERROR: falta CODIGO CECO",IF(G1477="CECO NO EXISTE","ERROR: CECO no existe en el catálogo",IF(C1477="","ERROR: falta CUENTA",IF(ISERROR(--C1477),"ERROR: CUENTA debe tener solo dígitos",IF(ISERROR(FIND(LEFT(C1477,1),"567")),"ERROR: CUENTA fuera de las clases de costo",IF(NOT(ISNUMBER(E1477)),"ERROR: VALOR debe ser numérico",IF(E1477=0,"AVISO: valor cero (no se carga)",IF(J1477&lt;&gt;"ACTIVO","NO SE CARGA: CECO en estado "&amp;J1477,"OK"))))))))))</f>
        <v/>
      </c>
    </row>
    <row r="1478">
      <c r="A1478" s="5" t="n"/>
      <c r="B1478" s="6" t="n"/>
      <c r="C1478" s="5" t="n"/>
      <c r="D1478" s="6" t="n"/>
      <c r="E1478" s="7" t="n"/>
      <c r="F1478" s="6" t="n"/>
      <c r="G1478" s="8">
        <f>IF(B1478="","",IFERROR(VLOOKUP(--B1478,'CATALOGO CECO'!$A$2:$H$550,2,FALSE),"CECO NO EXISTE"))</f>
        <v/>
      </c>
      <c r="H1478" s="8">
        <f>IF(B1478="","",IFERROR(VLOOKUP(--B1478,'CATALOGO CECO'!$A$2:$H$550,3,FALSE),""))</f>
        <v/>
      </c>
      <c r="I1478" s="8">
        <f>IF(B1478="","",IFERROR(VLOOKUP(--B1478,'CATALOGO CECO'!$A$2:$H$550,5,FALSE),""))</f>
        <v/>
      </c>
      <c r="J1478" s="8">
        <f>IF(B1478="","",IFERROR(VLOOKUP(--B1478,'CATALOGO CECO'!$A$2:$H$550,8,FALSE),""))</f>
        <v/>
      </c>
      <c r="K1478" s="8">
        <f>IF(COUNTA(A1478:F1478)=0,"",IF(OR(LEN(A1478)&lt;&gt;7,MID(A1478,5,1)&lt;&gt;"-",ISERROR(--LEFT(A1478,4)),ISERROR(--RIGHT(A1478,2))),"ERROR: PERIODO debe ser AAAA-MM",IF(B1478="","ERROR: falta CODIGO CECO",IF(G1478="CECO NO EXISTE","ERROR: CECO no existe en el catálogo",IF(C1478="","ERROR: falta CUENTA",IF(ISERROR(--C1478),"ERROR: CUENTA debe tener solo dígitos",IF(ISERROR(FIND(LEFT(C1478,1),"567")),"ERROR: CUENTA fuera de las clases de costo",IF(NOT(ISNUMBER(E1478)),"ERROR: VALOR debe ser numérico",IF(E1478=0,"AVISO: valor cero (no se carga)",IF(J1478&lt;&gt;"ACTIVO","NO SE CARGA: CECO en estado "&amp;J1478,"OK"))))))))))</f>
        <v/>
      </c>
    </row>
    <row r="1479">
      <c r="A1479" s="5" t="n"/>
      <c r="B1479" s="6" t="n"/>
      <c r="C1479" s="5" t="n"/>
      <c r="D1479" s="6" t="n"/>
      <c r="E1479" s="7" t="n"/>
      <c r="F1479" s="6" t="n"/>
      <c r="G1479" s="8">
        <f>IF(B1479="","",IFERROR(VLOOKUP(--B1479,'CATALOGO CECO'!$A$2:$H$550,2,FALSE),"CECO NO EXISTE"))</f>
        <v/>
      </c>
      <c r="H1479" s="8">
        <f>IF(B1479="","",IFERROR(VLOOKUP(--B1479,'CATALOGO CECO'!$A$2:$H$550,3,FALSE),""))</f>
        <v/>
      </c>
      <c r="I1479" s="8">
        <f>IF(B1479="","",IFERROR(VLOOKUP(--B1479,'CATALOGO CECO'!$A$2:$H$550,5,FALSE),""))</f>
        <v/>
      </c>
      <c r="J1479" s="8">
        <f>IF(B1479="","",IFERROR(VLOOKUP(--B1479,'CATALOGO CECO'!$A$2:$H$550,8,FALSE),""))</f>
        <v/>
      </c>
      <c r="K1479" s="8">
        <f>IF(COUNTA(A1479:F1479)=0,"",IF(OR(LEN(A1479)&lt;&gt;7,MID(A1479,5,1)&lt;&gt;"-",ISERROR(--LEFT(A1479,4)),ISERROR(--RIGHT(A1479,2))),"ERROR: PERIODO debe ser AAAA-MM",IF(B1479="","ERROR: falta CODIGO CECO",IF(G1479="CECO NO EXISTE","ERROR: CECO no existe en el catálogo",IF(C1479="","ERROR: falta CUENTA",IF(ISERROR(--C1479),"ERROR: CUENTA debe tener solo dígitos",IF(ISERROR(FIND(LEFT(C1479,1),"567")),"ERROR: CUENTA fuera de las clases de costo",IF(NOT(ISNUMBER(E1479)),"ERROR: VALOR debe ser numérico",IF(E1479=0,"AVISO: valor cero (no se carga)",IF(J1479&lt;&gt;"ACTIVO","NO SE CARGA: CECO en estado "&amp;J1479,"OK"))))))))))</f>
        <v/>
      </c>
    </row>
    <row r="1480">
      <c r="A1480" s="5" t="n"/>
      <c r="B1480" s="6" t="n"/>
      <c r="C1480" s="5" t="n"/>
      <c r="D1480" s="6" t="n"/>
      <c r="E1480" s="7" t="n"/>
      <c r="F1480" s="6" t="n"/>
      <c r="G1480" s="8">
        <f>IF(B1480="","",IFERROR(VLOOKUP(--B1480,'CATALOGO CECO'!$A$2:$H$550,2,FALSE),"CECO NO EXISTE"))</f>
        <v/>
      </c>
      <c r="H1480" s="8">
        <f>IF(B1480="","",IFERROR(VLOOKUP(--B1480,'CATALOGO CECO'!$A$2:$H$550,3,FALSE),""))</f>
        <v/>
      </c>
      <c r="I1480" s="8">
        <f>IF(B1480="","",IFERROR(VLOOKUP(--B1480,'CATALOGO CECO'!$A$2:$H$550,5,FALSE),""))</f>
        <v/>
      </c>
      <c r="J1480" s="8">
        <f>IF(B1480="","",IFERROR(VLOOKUP(--B1480,'CATALOGO CECO'!$A$2:$H$550,8,FALSE),""))</f>
        <v/>
      </c>
      <c r="K1480" s="8">
        <f>IF(COUNTA(A1480:F1480)=0,"",IF(OR(LEN(A1480)&lt;&gt;7,MID(A1480,5,1)&lt;&gt;"-",ISERROR(--LEFT(A1480,4)),ISERROR(--RIGHT(A1480,2))),"ERROR: PERIODO debe ser AAAA-MM",IF(B1480="","ERROR: falta CODIGO CECO",IF(G1480="CECO NO EXISTE","ERROR: CECO no existe en el catálogo",IF(C1480="","ERROR: falta CUENTA",IF(ISERROR(--C1480),"ERROR: CUENTA debe tener solo dígitos",IF(ISERROR(FIND(LEFT(C1480,1),"567")),"ERROR: CUENTA fuera de las clases de costo",IF(NOT(ISNUMBER(E1480)),"ERROR: VALOR debe ser numérico",IF(E1480=0,"AVISO: valor cero (no se carga)",IF(J1480&lt;&gt;"ACTIVO","NO SE CARGA: CECO en estado "&amp;J1480,"OK"))))))))))</f>
        <v/>
      </c>
    </row>
    <row r="1481">
      <c r="A1481" s="5" t="n"/>
      <c r="B1481" s="6" t="n"/>
      <c r="C1481" s="5" t="n"/>
      <c r="D1481" s="6" t="n"/>
      <c r="E1481" s="7" t="n"/>
      <c r="F1481" s="6" t="n"/>
      <c r="G1481" s="8">
        <f>IF(B1481="","",IFERROR(VLOOKUP(--B1481,'CATALOGO CECO'!$A$2:$H$550,2,FALSE),"CECO NO EXISTE"))</f>
        <v/>
      </c>
      <c r="H1481" s="8">
        <f>IF(B1481="","",IFERROR(VLOOKUP(--B1481,'CATALOGO CECO'!$A$2:$H$550,3,FALSE),""))</f>
        <v/>
      </c>
      <c r="I1481" s="8">
        <f>IF(B1481="","",IFERROR(VLOOKUP(--B1481,'CATALOGO CECO'!$A$2:$H$550,5,FALSE),""))</f>
        <v/>
      </c>
      <c r="J1481" s="8">
        <f>IF(B1481="","",IFERROR(VLOOKUP(--B1481,'CATALOGO CECO'!$A$2:$H$550,8,FALSE),""))</f>
        <v/>
      </c>
      <c r="K1481" s="8">
        <f>IF(COUNTA(A1481:F1481)=0,"",IF(OR(LEN(A1481)&lt;&gt;7,MID(A1481,5,1)&lt;&gt;"-",ISERROR(--LEFT(A1481,4)),ISERROR(--RIGHT(A1481,2))),"ERROR: PERIODO debe ser AAAA-MM",IF(B1481="","ERROR: falta CODIGO CECO",IF(G1481="CECO NO EXISTE","ERROR: CECO no existe en el catálogo",IF(C1481="","ERROR: falta CUENTA",IF(ISERROR(--C1481),"ERROR: CUENTA debe tener solo dígitos",IF(ISERROR(FIND(LEFT(C1481,1),"567")),"ERROR: CUENTA fuera de las clases de costo",IF(NOT(ISNUMBER(E1481)),"ERROR: VALOR debe ser numérico",IF(E1481=0,"AVISO: valor cero (no se carga)",IF(J1481&lt;&gt;"ACTIVO","NO SE CARGA: CECO en estado "&amp;J1481,"OK"))))))))))</f>
        <v/>
      </c>
    </row>
    <row r="1482">
      <c r="A1482" s="5" t="n"/>
      <c r="B1482" s="6" t="n"/>
      <c r="C1482" s="5" t="n"/>
      <c r="D1482" s="6" t="n"/>
      <c r="E1482" s="7" t="n"/>
      <c r="F1482" s="6" t="n"/>
      <c r="G1482" s="8">
        <f>IF(B1482="","",IFERROR(VLOOKUP(--B1482,'CATALOGO CECO'!$A$2:$H$550,2,FALSE),"CECO NO EXISTE"))</f>
        <v/>
      </c>
      <c r="H1482" s="8">
        <f>IF(B1482="","",IFERROR(VLOOKUP(--B1482,'CATALOGO CECO'!$A$2:$H$550,3,FALSE),""))</f>
        <v/>
      </c>
      <c r="I1482" s="8">
        <f>IF(B1482="","",IFERROR(VLOOKUP(--B1482,'CATALOGO CECO'!$A$2:$H$550,5,FALSE),""))</f>
        <v/>
      </c>
      <c r="J1482" s="8">
        <f>IF(B1482="","",IFERROR(VLOOKUP(--B1482,'CATALOGO CECO'!$A$2:$H$550,8,FALSE),""))</f>
        <v/>
      </c>
      <c r="K1482" s="8">
        <f>IF(COUNTA(A1482:F1482)=0,"",IF(OR(LEN(A1482)&lt;&gt;7,MID(A1482,5,1)&lt;&gt;"-",ISERROR(--LEFT(A1482,4)),ISERROR(--RIGHT(A1482,2))),"ERROR: PERIODO debe ser AAAA-MM",IF(B1482="","ERROR: falta CODIGO CECO",IF(G1482="CECO NO EXISTE","ERROR: CECO no existe en el catálogo",IF(C1482="","ERROR: falta CUENTA",IF(ISERROR(--C1482),"ERROR: CUENTA debe tener solo dígitos",IF(ISERROR(FIND(LEFT(C1482,1),"567")),"ERROR: CUENTA fuera de las clases de costo",IF(NOT(ISNUMBER(E1482)),"ERROR: VALOR debe ser numérico",IF(E1482=0,"AVISO: valor cero (no se carga)",IF(J1482&lt;&gt;"ACTIVO","NO SE CARGA: CECO en estado "&amp;J1482,"OK"))))))))))</f>
        <v/>
      </c>
    </row>
    <row r="1483">
      <c r="A1483" s="5" t="n"/>
      <c r="B1483" s="6" t="n"/>
      <c r="C1483" s="5" t="n"/>
      <c r="D1483" s="6" t="n"/>
      <c r="E1483" s="7" t="n"/>
      <c r="F1483" s="6" t="n"/>
      <c r="G1483" s="8">
        <f>IF(B1483="","",IFERROR(VLOOKUP(--B1483,'CATALOGO CECO'!$A$2:$H$550,2,FALSE),"CECO NO EXISTE"))</f>
        <v/>
      </c>
      <c r="H1483" s="8">
        <f>IF(B1483="","",IFERROR(VLOOKUP(--B1483,'CATALOGO CECO'!$A$2:$H$550,3,FALSE),""))</f>
        <v/>
      </c>
      <c r="I1483" s="8">
        <f>IF(B1483="","",IFERROR(VLOOKUP(--B1483,'CATALOGO CECO'!$A$2:$H$550,5,FALSE),""))</f>
        <v/>
      </c>
      <c r="J1483" s="8">
        <f>IF(B1483="","",IFERROR(VLOOKUP(--B1483,'CATALOGO CECO'!$A$2:$H$550,8,FALSE),""))</f>
        <v/>
      </c>
      <c r="K1483" s="8">
        <f>IF(COUNTA(A1483:F1483)=0,"",IF(OR(LEN(A1483)&lt;&gt;7,MID(A1483,5,1)&lt;&gt;"-",ISERROR(--LEFT(A1483,4)),ISERROR(--RIGHT(A1483,2))),"ERROR: PERIODO debe ser AAAA-MM",IF(B1483="","ERROR: falta CODIGO CECO",IF(G1483="CECO NO EXISTE","ERROR: CECO no existe en el catálogo",IF(C1483="","ERROR: falta CUENTA",IF(ISERROR(--C1483),"ERROR: CUENTA debe tener solo dígitos",IF(ISERROR(FIND(LEFT(C1483,1),"567")),"ERROR: CUENTA fuera de las clases de costo",IF(NOT(ISNUMBER(E1483)),"ERROR: VALOR debe ser numérico",IF(E1483=0,"AVISO: valor cero (no se carga)",IF(J1483&lt;&gt;"ACTIVO","NO SE CARGA: CECO en estado "&amp;J1483,"OK"))))))))))</f>
        <v/>
      </c>
    </row>
    <row r="1484">
      <c r="A1484" s="5" t="n"/>
      <c r="B1484" s="6" t="n"/>
      <c r="C1484" s="5" t="n"/>
      <c r="D1484" s="6" t="n"/>
      <c r="E1484" s="7" t="n"/>
      <c r="F1484" s="6" t="n"/>
      <c r="G1484" s="8">
        <f>IF(B1484="","",IFERROR(VLOOKUP(--B1484,'CATALOGO CECO'!$A$2:$H$550,2,FALSE),"CECO NO EXISTE"))</f>
        <v/>
      </c>
      <c r="H1484" s="8">
        <f>IF(B1484="","",IFERROR(VLOOKUP(--B1484,'CATALOGO CECO'!$A$2:$H$550,3,FALSE),""))</f>
        <v/>
      </c>
      <c r="I1484" s="8">
        <f>IF(B1484="","",IFERROR(VLOOKUP(--B1484,'CATALOGO CECO'!$A$2:$H$550,5,FALSE),""))</f>
        <v/>
      </c>
      <c r="J1484" s="8">
        <f>IF(B1484="","",IFERROR(VLOOKUP(--B1484,'CATALOGO CECO'!$A$2:$H$550,8,FALSE),""))</f>
        <v/>
      </c>
      <c r="K1484" s="8">
        <f>IF(COUNTA(A1484:F1484)=0,"",IF(OR(LEN(A1484)&lt;&gt;7,MID(A1484,5,1)&lt;&gt;"-",ISERROR(--LEFT(A1484,4)),ISERROR(--RIGHT(A1484,2))),"ERROR: PERIODO debe ser AAAA-MM",IF(B1484="","ERROR: falta CODIGO CECO",IF(G1484="CECO NO EXISTE","ERROR: CECO no existe en el catálogo",IF(C1484="","ERROR: falta CUENTA",IF(ISERROR(--C1484),"ERROR: CUENTA debe tener solo dígitos",IF(ISERROR(FIND(LEFT(C1484,1),"567")),"ERROR: CUENTA fuera de las clases de costo",IF(NOT(ISNUMBER(E1484)),"ERROR: VALOR debe ser numérico",IF(E1484=0,"AVISO: valor cero (no se carga)",IF(J1484&lt;&gt;"ACTIVO","NO SE CARGA: CECO en estado "&amp;J1484,"OK"))))))))))</f>
        <v/>
      </c>
    </row>
    <row r="1485">
      <c r="A1485" s="5" t="n"/>
      <c r="B1485" s="6" t="n"/>
      <c r="C1485" s="5" t="n"/>
      <c r="D1485" s="6" t="n"/>
      <c r="E1485" s="7" t="n"/>
      <c r="F1485" s="6" t="n"/>
      <c r="G1485" s="8">
        <f>IF(B1485="","",IFERROR(VLOOKUP(--B1485,'CATALOGO CECO'!$A$2:$H$550,2,FALSE),"CECO NO EXISTE"))</f>
        <v/>
      </c>
      <c r="H1485" s="8">
        <f>IF(B1485="","",IFERROR(VLOOKUP(--B1485,'CATALOGO CECO'!$A$2:$H$550,3,FALSE),""))</f>
        <v/>
      </c>
      <c r="I1485" s="8">
        <f>IF(B1485="","",IFERROR(VLOOKUP(--B1485,'CATALOGO CECO'!$A$2:$H$550,5,FALSE),""))</f>
        <v/>
      </c>
      <c r="J1485" s="8">
        <f>IF(B1485="","",IFERROR(VLOOKUP(--B1485,'CATALOGO CECO'!$A$2:$H$550,8,FALSE),""))</f>
        <v/>
      </c>
      <c r="K1485" s="8">
        <f>IF(COUNTA(A1485:F1485)=0,"",IF(OR(LEN(A1485)&lt;&gt;7,MID(A1485,5,1)&lt;&gt;"-",ISERROR(--LEFT(A1485,4)),ISERROR(--RIGHT(A1485,2))),"ERROR: PERIODO debe ser AAAA-MM",IF(B1485="","ERROR: falta CODIGO CECO",IF(G1485="CECO NO EXISTE","ERROR: CECO no existe en el catálogo",IF(C1485="","ERROR: falta CUENTA",IF(ISERROR(--C1485),"ERROR: CUENTA debe tener solo dígitos",IF(ISERROR(FIND(LEFT(C1485,1),"567")),"ERROR: CUENTA fuera de las clases de costo",IF(NOT(ISNUMBER(E1485)),"ERROR: VALOR debe ser numérico",IF(E1485=0,"AVISO: valor cero (no se carga)",IF(J1485&lt;&gt;"ACTIVO","NO SE CARGA: CECO en estado "&amp;J1485,"OK"))))))))))</f>
        <v/>
      </c>
    </row>
    <row r="1486">
      <c r="A1486" s="5" t="n"/>
      <c r="B1486" s="6" t="n"/>
      <c r="C1486" s="5" t="n"/>
      <c r="D1486" s="6" t="n"/>
      <c r="E1486" s="7" t="n"/>
      <c r="F1486" s="6" t="n"/>
      <c r="G1486" s="8">
        <f>IF(B1486="","",IFERROR(VLOOKUP(--B1486,'CATALOGO CECO'!$A$2:$H$550,2,FALSE),"CECO NO EXISTE"))</f>
        <v/>
      </c>
      <c r="H1486" s="8">
        <f>IF(B1486="","",IFERROR(VLOOKUP(--B1486,'CATALOGO CECO'!$A$2:$H$550,3,FALSE),""))</f>
        <v/>
      </c>
      <c r="I1486" s="8">
        <f>IF(B1486="","",IFERROR(VLOOKUP(--B1486,'CATALOGO CECO'!$A$2:$H$550,5,FALSE),""))</f>
        <v/>
      </c>
      <c r="J1486" s="8">
        <f>IF(B1486="","",IFERROR(VLOOKUP(--B1486,'CATALOGO CECO'!$A$2:$H$550,8,FALSE),""))</f>
        <v/>
      </c>
      <c r="K1486" s="8">
        <f>IF(COUNTA(A1486:F1486)=0,"",IF(OR(LEN(A1486)&lt;&gt;7,MID(A1486,5,1)&lt;&gt;"-",ISERROR(--LEFT(A1486,4)),ISERROR(--RIGHT(A1486,2))),"ERROR: PERIODO debe ser AAAA-MM",IF(B1486="","ERROR: falta CODIGO CECO",IF(G1486="CECO NO EXISTE","ERROR: CECO no existe en el catálogo",IF(C1486="","ERROR: falta CUENTA",IF(ISERROR(--C1486),"ERROR: CUENTA debe tener solo dígitos",IF(ISERROR(FIND(LEFT(C1486,1),"567")),"ERROR: CUENTA fuera de las clases de costo",IF(NOT(ISNUMBER(E1486)),"ERROR: VALOR debe ser numérico",IF(E1486=0,"AVISO: valor cero (no se carga)",IF(J1486&lt;&gt;"ACTIVO","NO SE CARGA: CECO en estado "&amp;J1486,"OK"))))))))))</f>
        <v/>
      </c>
    </row>
    <row r="1487">
      <c r="A1487" s="5" t="n"/>
      <c r="B1487" s="6" t="n"/>
      <c r="C1487" s="5" t="n"/>
      <c r="D1487" s="6" t="n"/>
      <c r="E1487" s="7" t="n"/>
      <c r="F1487" s="6" t="n"/>
      <c r="G1487" s="8">
        <f>IF(B1487="","",IFERROR(VLOOKUP(--B1487,'CATALOGO CECO'!$A$2:$H$550,2,FALSE),"CECO NO EXISTE"))</f>
        <v/>
      </c>
      <c r="H1487" s="8">
        <f>IF(B1487="","",IFERROR(VLOOKUP(--B1487,'CATALOGO CECO'!$A$2:$H$550,3,FALSE),""))</f>
        <v/>
      </c>
      <c r="I1487" s="8">
        <f>IF(B1487="","",IFERROR(VLOOKUP(--B1487,'CATALOGO CECO'!$A$2:$H$550,5,FALSE),""))</f>
        <v/>
      </c>
      <c r="J1487" s="8">
        <f>IF(B1487="","",IFERROR(VLOOKUP(--B1487,'CATALOGO CECO'!$A$2:$H$550,8,FALSE),""))</f>
        <v/>
      </c>
      <c r="K1487" s="8">
        <f>IF(COUNTA(A1487:F1487)=0,"",IF(OR(LEN(A1487)&lt;&gt;7,MID(A1487,5,1)&lt;&gt;"-",ISERROR(--LEFT(A1487,4)),ISERROR(--RIGHT(A1487,2))),"ERROR: PERIODO debe ser AAAA-MM",IF(B1487="","ERROR: falta CODIGO CECO",IF(G1487="CECO NO EXISTE","ERROR: CECO no existe en el catálogo",IF(C1487="","ERROR: falta CUENTA",IF(ISERROR(--C1487),"ERROR: CUENTA debe tener solo dígitos",IF(ISERROR(FIND(LEFT(C1487,1),"567")),"ERROR: CUENTA fuera de las clases de costo",IF(NOT(ISNUMBER(E1487)),"ERROR: VALOR debe ser numérico",IF(E1487=0,"AVISO: valor cero (no se carga)",IF(J1487&lt;&gt;"ACTIVO","NO SE CARGA: CECO en estado "&amp;J1487,"OK"))))))))))</f>
        <v/>
      </c>
    </row>
    <row r="1488">
      <c r="A1488" s="5" t="n"/>
      <c r="B1488" s="6" t="n"/>
      <c r="C1488" s="5" t="n"/>
      <c r="D1488" s="6" t="n"/>
      <c r="E1488" s="7" t="n"/>
      <c r="F1488" s="6" t="n"/>
      <c r="G1488" s="8">
        <f>IF(B1488="","",IFERROR(VLOOKUP(--B1488,'CATALOGO CECO'!$A$2:$H$550,2,FALSE),"CECO NO EXISTE"))</f>
        <v/>
      </c>
      <c r="H1488" s="8">
        <f>IF(B1488="","",IFERROR(VLOOKUP(--B1488,'CATALOGO CECO'!$A$2:$H$550,3,FALSE),""))</f>
        <v/>
      </c>
      <c r="I1488" s="8">
        <f>IF(B1488="","",IFERROR(VLOOKUP(--B1488,'CATALOGO CECO'!$A$2:$H$550,5,FALSE),""))</f>
        <v/>
      </c>
      <c r="J1488" s="8">
        <f>IF(B1488="","",IFERROR(VLOOKUP(--B1488,'CATALOGO CECO'!$A$2:$H$550,8,FALSE),""))</f>
        <v/>
      </c>
      <c r="K1488" s="8">
        <f>IF(COUNTA(A1488:F1488)=0,"",IF(OR(LEN(A1488)&lt;&gt;7,MID(A1488,5,1)&lt;&gt;"-",ISERROR(--LEFT(A1488,4)),ISERROR(--RIGHT(A1488,2))),"ERROR: PERIODO debe ser AAAA-MM",IF(B1488="","ERROR: falta CODIGO CECO",IF(G1488="CECO NO EXISTE","ERROR: CECO no existe en el catálogo",IF(C1488="","ERROR: falta CUENTA",IF(ISERROR(--C1488),"ERROR: CUENTA debe tener solo dígitos",IF(ISERROR(FIND(LEFT(C1488,1),"567")),"ERROR: CUENTA fuera de las clases de costo",IF(NOT(ISNUMBER(E1488)),"ERROR: VALOR debe ser numérico",IF(E1488=0,"AVISO: valor cero (no se carga)",IF(J1488&lt;&gt;"ACTIVO","NO SE CARGA: CECO en estado "&amp;J1488,"OK"))))))))))</f>
        <v/>
      </c>
    </row>
    <row r="1489">
      <c r="A1489" s="5" t="n"/>
      <c r="B1489" s="6" t="n"/>
      <c r="C1489" s="5" t="n"/>
      <c r="D1489" s="6" t="n"/>
      <c r="E1489" s="7" t="n"/>
      <c r="F1489" s="6" t="n"/>
      <c r="G1489" s="8">
        <f>IF(B1489="","",IFERROR(VLOOKUP(--B1489,'CATALOGO CECO'!$A$2:$H$550,2,FALSE),"CECO NO EXISTE"))</f>
        <v/>
      </c>
      <c r="H1489" s="8">
        <f>IF(B1489="","",IFERROR(VLOOKUP(--B1489,'CATALOGO CECO'!$A$2:$H$550,3,FALSE),""))</f>
        <v/>
      </c>
      <c r="I1489" s="8">
        <f>IF(B1489="","",IFERROR(VLOOKUP(--B1489,'CATALOGO CECO'!$A$2:$H$550,5,FALSE),""))</f>
        <v/>
      </c>
      <c r="J1489" s="8">
        <f>IF(B1489="","",IFERROR(VLOOKUP(--B1489,'CATALOGO CECO'!$A$2:$H$550,8,FALSE),""))</f>
        <v/>
      </c>
      <c r="K1489" s="8">
        <f>IF(COUNTA(A1489:F1489)=0,"",IF(OR(LEN(A1489)&lt;&gt;7,MID(A1489,5,1)&lt;&gt;"-",ISERROR(--LEFT(A1489,4)),ISERROR(--RIGHT(A1489,2))),"ERROR: PERIODO debe ser AAAA-MM",IF(B1489="","ERROR: falta CODIGO CECO",IF(G1489="CECO NO EXISTE","ERROR: CECO no existe en el catálogo",IF(C1489="","ERROR: falta CUENTA",IF(ISERROR(--C1489),"ERROR: CUENTA debe tener solo dígitos",IF(ISERROR(FIND(LEFT(C1489,1),"567")),"ERROR: CUENTA fuera de las clases de costo",IF(NOT(ISNUMBER(E1489)),"ERROR: VALOR debe ser numérico",IF(E1489=0,"AVISO: valor cero (no se carga)",IF(J1489&lt;&gt;"ACTIVO","NO SE CARGA: CECO en estado "&amp;J1489,"OK"))))))))))</f>
        <v/>
      </c>
    </row>
    <row r="1490">
      <c r="A1490" s="5" t="n"/>
      <c r="B1490" s="6" t="n"/>
      <c r="C1490" s="5" t="n"/>
      <c r="D1490" s="6" t="n"/>
      <c r="E1490" s="7" t="n"/>
      <c r="F1490" s="6" t="n"/>
      <c r="G1490" s="8">
        <f>IF(B1490="","",IFERROR(VLOOKUP(--B1490,'CATALOGO CECO'!$A$2:$H$550,2,FALSE),"CECO NO EXISTE"))</f>
        <v/>
      </c>
      <c r="H1490" s="8">
        <f>IF(B1490="","",IFERROR(VLOOKUP(--B1490,'CATALOGO CECO'!$A$2:$H$550,3,FALSE),""))</f>
        <v/>
      </c>
      <c r="I1490" s="8">
        <f>IF(B1490="","",IFERROR(VLOOKUP(--B1490,'CATALOGO CECO'!$A$2:$H$550,5,FALSE),""))</f>
        <v/>
      </c>
      <c r="J1490" s="8">
        <f>IF(B1490="","",IFERROR(VLOOKUP(--B1490,'CATALOGO CECO'!$A$2:$H$550,8,FALSE),""))</f>
        <v/>
      </c>
      <c r="K1490" s="8">
        <f>IF(COUNTA(A1490:F1490)=0,"",IF(OR(LEN(A1490)&lt;&gt;7,MID(A1490,5,1)&lt;&gt;"-",ISERROR(--LEFT(A1490,4)),ISERROR(--RIGHT(A1490,2))),"ERROR: PERIODO debe ser AAAA-MM",IF(B1490="","ERROR: falta CODIGO CECO",IF(G1490="CECO NO EXISTE","ERROR: CECO no existe en el catálogo",IF(C1490="","ERROR: falta CUENTA",IF(ISERROR(--C1490),"ERROR: CUENTA debe tener solo dígitos",IF(ISERROR(FIND(LEFT(C1490,1),"567")),"ERROR: CUENTA fuera de las clases de costo",IF(NOT(ISNUMBER(E1490)),"ERROR: VALOR debe ser numérico",IF(E1490=0,"AVISO: valor cero (no se carga)",IF(J1490&lt;&gt;"ACTIVO","NO SE CARGA: CECO en estado "&amp;J1490,"OK"))))))))))</f>
        <v/>
      </c>
    </row>
    <row r="1491">
      <c r="A1491" s="5" t="n"/>
      <c r="B1491" s="6" t="n"/>
      <c r="C1491" s="5" t="n"/>
      <c r="D1491" s="6" t="n"/>
      <c r="E1491" s="7" t="n"/>
      <c r="F1491" s="6" t="n"/>
      <c r="G1491" s="8">
        <f>IF(B1491="","",IFERROR(VLOOKUP(--B1491,'CATALOGO CECO'!$A$2:$H$550,2,FALSE),"CECO NO EXISTE"))</f>
        <v/>
      </c>
      <c r="H1491" s="8">
        <f>IF(B1491="","",IFERROR(VLOOKUP(--B1491,'CATALOGO CECO'!$A$2:$H$550,3,FALSE),""))</f>
        <v/>
      </c>
      <c r="I1491" s="8">
        <f>IF(B1491="","",IFERROR(VLOOKUP(--B1491,'CATALOGO CECO'!$A$2:$H$550,5,FALSE),""))</f>
        <v/>
      </c>
      <c r="J1491" s="8">
        <f>IF(B1491="","",IFERROR(VLOOKUP(--B1491,'CATALOGO CECO'!$A$2:$H$550,8,FALSE),""))</f>
        <v/>
      </c>
      <c r="K1491" s="8">
        <f>IF(COUNTA(A1491:F1491)=0,"",IF(OR(LEN(A1491)&lt;&gt;7,MID(A1491,5,1)&lt;&gt;"-",ISERROR(--LEFT(A1491,4)),ISERROR(--RIGHT(A1491,2))),"ERROR: PERIODO debe ser AAAA-MM",IF(B1491="","ERROR: falta CODIGO CECO",IF(G1491="CECO NO EXISTE","ERROR: CECO no existe en el catálogo",IF(C1491="","ERROR: falta CUENTA",IF(ISERROR(--C1491),"ERROR: CUENTA debe tener solo dígitos",IF(ISERROR(FIND(LEFT(C1491,1),"567")),"ERROR: CUENTA fuera de las clases de costo",IF(NOT(ISNUMBER(E1491)),"ERROR: VALOR debe ser numérico",IF(E1491=0,"AVISO: valor cero (no se carga)",IF(J1491&lt;&gt;"ACTIVO","NO SE CARGA: CECO en estado "&amp;J1491,"OK"))))))))))</f>
        <v/>
      </c>
    </row>
    <row r="1492">
      <c r="A1492" s="5" t="n"/>
      <c r="B1492" s="6" t="n"/>
      <c r="C1492" s="5" t="n"/>
      <c r="D1492" s="6" t="n"/>
      <c r="E1492" s="7" t="n"/>
      <c r="F1492" s="6" t="n"/>
      <c r="G1492" s="8">
        <f>IF(B1492="","",IFERROR(VLOOKUP(--B1492,'CATALOGO CECO'!$A$2:$H$550,2,FALSE),"CECO NO EXISTE"))</f>
        <v/>
      </c>
      <c r="H1492" s="8">
        <f>IF(B1492="","",IFERROR(VLOOKUP(--B1492,'CATALOGO CECO'!$A$2:$H$550,3,FALSE),""))</f>
        <v/>
      </c>
      <c r="I1492" s="8">
        <f>IF(B1492="","",IFERROR(VLOOKUP(--B1492,'CATALOGO CECO'!$A$2:$H$550,5,FALSE),""))</f>
        <v/>
      </c>
      <c r="J1492" s="8">
        <f>IF(B1492="","",IFERROR(VLOOKUP(--B1492,'CATALOGO CECO'!$A$2:$H$550,8,FALSE),""))</f>
        <v/>
      </c>
      <c r="K1492" s="8">
        <f>IF(COUNTA(A1492:F1492)=0,"",IF(OR(LEN(A1492)&lt;&gt;7,MID(A1492,5,1)&lt;&gt;"-",ISERROR(--LEFT(A1492,4)),ISERROR(--RIGHT(A1492,2))),"ERROR: PERIODO debe ser AAAA-MM",IF(B1492="","ERROR: falta CODIGO CECO",IF(G1492="CECO NO EXISTE","ERROR: CECO no existe en el catálogo",IF(C1492="","ERROR: falta CUENTA",IF(ISERROR(--C1492),"ERROR: CUENTA debe tener solo dígitos",IF(ISERROR(FIND(LEFT(C1492,1),"567")),"ERROR: CUENTA fuera de las clases de costo",IF(NOT(ISNUMBER(E1492)),"ERROR: VALOR debe ser numérico",IF(E1492=0,"AVISO: valor cero (no se carga)",IF(J1492&lt;&gt;"ACTIVO","NO SE CARGA: CECO en estado "&amp;J1492,"OK"))))))))))</f>
        <v/>
      </c>
    </row>
    <row r="1493">
      <c r="A1493" s="5" t="n"/>
      <c r="B1493" s="6" t="n"/>
      <c r="C1493" s="5" t="n"/>
      <c r="D1493" s="6" t="n"/>
      <c r="E1493" s="7" t="n"/>
      <c r="F1493" s="6" t="n"/>
      <c r="G1493" s="8">
        <f>IF(B1493="","",IFERROR(VLOOKUP(--B1493,'CATALOGO CECO'!$A$2:$H$550,2,FALSE),"CECO NO EXISTE"))</f>
        <v/>
      </c>
      <c r="H1493" s="8">
        <f>IF(B1493="","",IFERROR(VLOOKUP(--B1493,'CATALOGO CECO'!$A$2:$H$550,3,FALSE),""))</f>
        <v/>
      </c>
      <c r="I1493" s="8">
        <f>IF(B1493="","",IFERROR(VLOOKUP(--B1493,'CATALOGO CECO'!$A$2:$H$550,5,FALSE),""))</f>
        <v/>
      </c>
      <c r="J1493" s="8">
        <f>IF(B1493="","",IFERROR(VLOOKUP(--B1493,'CATALOGO CECO'!$A$2:$H$550,8,FALSE),""))</f>
        <v/>
      </c>
      <c r="K1493" s="8">
        <f>IF(COUNTA(A1493:F1493)=0,"",IF(OR(LEN(A1493)&lt;&gt;7,MID(A1493,5,1)&lt;&gt;"-",ISERROR(--LEFT(A1493,4)),ISERROR(--RIGHT(A1493,2))),"ERROR: PERIODO debe ser AAAA-MM",IF(B1493="","ERROR: falta CODIGO CECO",IF(G1493="CECO NO EXISTE","ERROR: CECO no existe en el catálogo",IF(C1493="","ERROR: falta CUENTA",IF(ISERROR(--C1493),"ERROR: CUENTA debe tener solo dígitos",IF(ISERROR(FIND(LEFT(C1493,1),"567")),"ERROR: CUENTA fuera de las clases de costo",IF(NOT(ISNUMBER(E1493)),"ERROR: VALOR debe ser numérico",IF(E1493=0,"AVISO: valor cero (no se carga)",IF(J1493&lt;&gt;"ACTIVO","NO SE CARGA: CECO en estado "&amp;J1493,"OK"))))))))))</f>
        <v/>
      </c>
    </row>
    <row r="1494">
      <c r="A1494" s="5" t="n"/>
      <c r="B1494" s="6" t="n"/>
      <c r="C1494" s="5" t="n"/>
      <c r="D1494" s="6" t="n"/>
      <c r="E1494" s="7" t="n"/>
      <c r="F1494" s="6" t="n"/>
      <c r="G1494" s="8">
        <f>IF(B1494="","",IFERROR(VLOOKUP(--B1494,'CATALOGO CECO'!$A$2:$H$550,2,FALSE),"CECO NO EXISTE"))</f>
        <v/>
      </c>
      <c r="H1494" s="8">
        <f>IF(B1494="","",IFERROR(VLOOKUP(--B1494,'CATALOGO CECO'!$A$2:$H$550,3,FALSE),""))</f>
        <v/>
      </c>
      <c r="I1494" s="8">
        <f>IF(B1494="","",IFERROR(VLOOKUP(--B1494,'CATALOGO CECO'!$A$2:$H$550,5,FALSE),""))</f>
        <v/>
      </c>
      <c r="J1494" s="8">
        <f>IF(B1494="","",IFERROR(VLOOKUP(--B1494,'CATALOGO CECO'!$A$2:$H$550,8,FALSE),""))</f>
        <v/>
      </c>
      <c r="K1494" s="8">
        <f>IF(COUNTA(A1494:F1494)=0,"",IF(OR(LEN(A1494)&lt;&gt;7,MID(A1494,5,1)&lt;&gt;"-",ISERROR(--LEFT(A1494,4)),ISERROR(--RIGHT(A1494,2))),"ERROR: PERIODO debe ser AAAA-MM",IF(B1494="","ERROR: falta CODIGO CECO",IF(G1494="CECO NO EXISTE","ERROR: CECO no existe en el catálogo",IF(C1494="","ERROR: falta CUENTA",IF(ISERROR(--C1494),"ERROR: CUENTA debe tener solo dígitos",IF(ISERROR(FIND(LEFT(C1494,1),"567")),"ERROR: CUENTA fuera de las clases de costo",IF(NOT(ISNUMBER(E1494)),"ERROR: VALOR debe ser numérico",IF(E1494=0,"AVISO: valor cero (no se carga)",IF(J1494&lt;&gt;"ACTIVO","NO SE CARGA: CECO en estado "&amp;J1494,"OK"))))))))))</f>
        <v/>
      </c>
    </row>
    <row r="1495">
      <c r="A1495" s="5" t="n"/>
      <c r="B1495" s="6" t="n"/>
      <c r="C1495" s="5" t="n"/>
      <c r="D1495" s="6" t="n"/>
      <c r="E1495" s="7" t="n"/>
      <c r="F1495" s="6" t="n"/>
      <c r="G1495" s="8">
        <f>IF(B1495="","",IFERROR(VLOOKUP(--B1495,'CATALOGO CECO'!$A$2:$H$550,2,FALSE),"CECO NO EXISTE"))</f>
        <v/>
      </c>
      <c r="H1495" s="8">
        <f>IF(B1495="","",IFERROR(VLOOKUP(--B1495,'CATALOGO CECO'!$A$2:$H$550,3,FALSE),""))</f>
        <v/>
      </c>
      <c r="I1495" s="8">
        <f>IF(B1495="","",IFERROR(VLOOKUP(--B1495,'CATALOGO CECO'!$A$2:$H$550,5,FALSE),""))</f>
        <v/>
      </c>
      <c r="J1495" s="8">
        <f>IF(B1495="","",IFERROR(VLOOKUP(--B1495,'CATALOGO CECO'!$A$2:$H$550,8,FALSE),""))</f>
        <v/>
      </c>
      <c r="K1495" s="8">
        <f>IF(COUNTA(A1495:F1495)=0,"",IF(OR(LEN(A1495)&lt;&gt;7,MID(A1495,5,1)&lt;&gt;"-",ISERROR(--LEFT(A1495,4)),ISERROR(--RIGHT(A1495,2))),"ERROR: PERIODO debe ser AAAA-MM",IF(B1495="","ERROR: falta CODIGO CECO",IF(G1495="CECO NO EXISTE","ERROR: CECO no existe en el catálogo",IF(C1495="","ERROR: falta CUENTA",IF(ISERROR(--C1495),"ERROR: CUENTA debe tener solo dígitos",IF(ISERROR(FIND(LEFT(C1495,1),"567")),"ERROR: CUENTA fuera de las clases de costo",IF(NOT(ISNUMBER(E1495)),"ERROR: VALOR debe ser numérico",IF(E1495=0,"AVISO: valor cero (no se carga)",IF(J1495&lt;&gt;"ACTIVO","NO SE CARGA: CECO en estado "&amp;J1495,"OK"))))))))))</f>
        <v/>
      </c>
    </row>
    <row r="1496">
      <c r="A1496" s="5" t="n"/>
      <c r="B1496" s="6" t="n"/>
      <c r="C1496" s="5" t="n"/>
      <c r="D1496" s="6" t="n"/>
      <c r="E1496" s="7" t="n"/>
      <c r="F1496" s="6" t="n"/>
      <c r="G1496" s="8">
        <f>IF(B1496="","",IFERROR(VLOOKUP(--B1496,'CATALOGO CECO'!$A$2:$H$550,2,FALSE),"CECO NO EXISTE"))</f>
        <v/>
      </c>
      <c r="H1496" s="8">
        <f>IF(B1496="","",IFERROR(VLOOKUP(--B1496,'CATALOGO CECO'!$A$2:$H$550,3,FALSE),""))</f>
        <v/>
      </c>
      <c r="I1496" s="8">
        <f>IF(B1496="","",IFERROR(VLOOKUP(--B1496,'CATALOGO CECO'!$A$2:$H$550,5,FALSE),""))</f>
        <v/>
      </c>
      <c r="J1496" s="8">
        <f>IF(B1496="","",IFERROR(VLOOKUP(--B1496,'CATALOGO CECO'!$A$2:$H$550,8,FALSE),""))</f>
        <v/>
      </c>
      <c r="K1496" s="8">
        <f>IF(COUNTA(A1496:F1496)=0,"",IF(OR(LEN(A1496)&lt;&gt;7,MID(A1496,5,1)&lt;&gt;"-",ISERROR(--LEFT(A1496,4)),ISERROR(--RIGHT(A1496,2))),"ERROR: PERIODO debe ser AAAA-MM",IF(B1496="","ERROR: falta CODIGO CECO",IF(G1496="CECO NO EXISTE","ERROR: CECO no existe en el catálogo",IF(C1496="","ERROR: falta CUENTA",IF(ISERROR(--C1496),"ERROR: CUENTA debe tener solo dígitos",IF(ISERROR(FIND(LEFT(C1496,1),"567")),"ERROR: CUENTA fuera de las clases de costo",IF(NOT(ISNUMBER(E1496)),"ERROR: VALOR debe ser numérico",IF(E1496=0,"AVISO: valor cero (no se carga)",IF(J1496&lt;&gt;"ACTIVO","NO SE CARGA: CECO en estado "&amp;J1496,"OK"))))))))))</f>
        <v/>
      </c>
    </row>
    <row r="1497">
      <c r="A1497" s="5" t="n"/>
      <c r="B1497" s="6" t="n"/>
      <c r="C1497" s="5" t="n"/>
      <c r="D1497" s="6" t="n"/>
      <c r="E1497" s="7" t="n"/>
      <c r="F1497" s="6" t="n"/>
      <c r="G1497" s="8">
        <f>IF(B1497="","",IFERROR(VLOOKUP(--B1497,'CATALOGO CECO'!$A$2:$H$550,2,FALSE),"CECO NO EXISTE"))</f>
        <v/>
      </c>
      <c r="H1497" s="8">
        <f>IF(B1497="","",IFERROR(VLOOKUP(--B1497,'CATALOGO CECO'!$A$2:$H$550,3,FALSE),""))</f>
        <v/>
      </c>
      <c r="I1497" s="8">
        <f>IF(B1497="","",IFERROR(VLOOKUP(--B1497,'CATALOGO CECO'!$A$2:$H$550,5,FALSE),""))</f>
        <v/>
      </c>
      <c r="J1497" s="8">
        <f>IF(B1497="","",IFERROR(VLOOKUP(--B1497,'CATALOGO CECO'!$A$2:$H$550,8,FALSE),""))</f>
        <v/>
      </c>
      <c r="K1497" s="8">
        <f>IF(COUNTA(A1497:F1497)=0,"",IF(OR(LEN(A1497)&lt;&gt;7,MID(A1497,5,1)&lt;&gt;"-",ISERROR(--LEFT(A1497,4)),ISERROR(--RIGHT(A1497,2))),"ERROR: PERIODO debe ser AAAA-MM",IF(B1497="","ERROR: falta CODIGO CECO",IF(G1497="CECO NO EXISTE","ERROR: CECO no existe en el catálogo",IF(C1497="","ERROR: falta CUENTA",IF(ISERROR(--C1497),"ERROR: CUENTA debe tener solo dígitos",IF(ISERROR(FIND(LEFT(C1497,1),"567")),"ERROR: CUENTA fuera de las clases de costo",IF(NOT(ISNUMBER(E1497)),"ERROR: VALOR debe ser numérico",IF(E1497=0,"AVISO: valor cero (no se carga)",IF(J1497&lt;&gt;"ACTIVO","NO SE CARGA: CECO en estado "&amp;J1497,"OK"))))))))))</f>
        <v/>
      </c>
    </row>
    <row r="1498">
      <c r="A1498" s="5" t="n"/>
      <c r="B1498" s="6" t="n"/>
      <c r="C1498" s="5" t="n"/>
      <c r="D1498" s="6" t="n"/>
      <c r="E1498" s="7" t="n"/>
      <c r="F1498" s="6" t="n"/>
      <c r="G1498" s="8">
        <f>IF(B1498="","",IFERROR(VLOOKUP(--B1498,'CATALOGO CECO'!$A$2:$H$550,2,FALSE),"CECO NO EXISTE"))</f>
        <v/>
      </c>
      <c r="H1498" s="8">
        <f>IF(B1498="","",IFERROR(VLOOKUP(--B1498,'CATALOGO CECO'!$A$2:$H$550,3,FALSE),""))</f>
        <v/>
      </c>
      <c r="I1498" s="8">
        <f>IF(B1498="","",IFERROR(VLOOKUP(--B1498,'CATALOGO CECO'!$A$2:$H$550,5,FALSE),""))</f>
        <v/>
      </c>
      <c r="J1498" s="8">
        <f>IF(B1498="","",IFERROR(VLOOKUP(--B1498,'CATALOGO CECO'!$A$2:$H$550,8,FALSE),""))</f>
        <v/>
      </c>
      <c r="K1498" s="8">
        <f>IF(COUNTA(A1498:F1498)=0,"",IF(OR(LEN(A1498)&lt;&gt;7,MID(A1498,5,1)&lt;&gt;"-",ISERROR(--LEFT(A1498,4)),ISERROR(--RIGHT(A1498,2))),"ERROR: PERIODO debe ser AAAA-MM",IF(B1498="","ERROR: falta CODIGO CECO",IF(G1498="CECO NO EXISTE","ERROR: CECO no existe en el catálogo",IF(C1498="","ERROR: falta CUENTA",IF(ISERROR(--C1498),"ERROR: CUENTA debe tener solo dígitos",IF(ISERROR(FIND(LEFT(C1498,1),"567")),"ERROR: CUENTA fuera de las clases de costo",IF(NOT(ISNUMBER(E1498)),"ERROR: VALOR debe ser numérico",IF(E1498=0,"AVISO: valor cero (no se carga)",IF(J1498&lt;&gt;"ACTIVO","NO SE CARGA: CECO en estado "&amp;J1498,"OK"))))))))))</f>
        <v/>
      </c>
    </row>
    <row r="1499">
      <c r="A1499" s="5" t="n"/>
      <c r="B1499" s="6" t="n"/>
      <c r="C1499" s="5" t="n"/>
      <c r="D1499" s="6" t="n"/>
      <c r="E1499" s="7" t="n"/>
      <c r="F1499" s="6" t="n"/>
      <c r="G1499" s="8">
        <f>IF(B1499="","",IFERROR(VLOOKUP(--B1499,'CATALOGO CECO'!$A$2:$H$550,2,FALSE),"CECO NO EXISTE"))</f>
        <v/>
      </c>
      <c r="H1499" s="8">
        <f>IF(B1499="","",IFERROR(VLOOKUP(--B1499,'CATALOGO CECO'!$A$2:$H$550,3,FALSE),""))</f>
        <v/>
      </c>
      <c r="I1499" s="8">
        <f>IF(B1499="","",IFERROR(VLOOKUP(--B1499,'CATALOGO CECO'!$A$2:$H$550,5,FALSE),""))</f>
        <v/>
      </c>
      <c r="J1499" s="8">
        <f>IF(B1499="","",IFERROR(VLOOKUP(--B1499,'CATALOGO CECO'!$A$2:$H$550,8,FALSE),""))</f>
        <v/>
      </c>
      <c r="K1499" s="8">
        <f>IF(COUNTA(A1499:F1499)=0,"",IF(OR(LEN(A1499)&lt;&gt;7,MID(A1499,5,1)&lt;&gt;"-",ISERROR(--LEFT(A1499,4)),ISERROR(--RIGHT(A1499,2))),"ERROR: PERIODO debe ser AAAA-MM",IF(B1499="","ERROR: falta CODIGO CECO",IF(G1499="CECO NO EXISTE","ERROR: CECO no existe en el catálogo",IF(C1499="","ERROR: falta CUENTA",IF(ISERROR(--C1499),"ERROR: CUENTA debe tener solo dígitos",IF(ISERROR(FIND(LEFT(C1499,1),"567")),"ERROR: CUENTA fuera de las clases de costo",IF(NOT(ISNUMBER(E1499)),"ERROR: VALOR debe ser numérico",IF(E1499=0,"AVISO: valor cero (no se carga)",IF(J1499&lt;&gt;"ACTIVO","NO SE CARGA: CECO en estado "&amp;J1499,"OK"))))))))))</f>
        <v/>
      </c>
    </row>
    <row r="1500">
      <c r="A1500" s="5" t="n"/>
      <c r="B1500" s="6" t="n"/>
      <c r="C1500" s="5" t="n"/>
      <c r="D1500" s="6" t="n"/>
      <c r="E1500" s="7" t="n"/>
      <c r="F1500" s="6" t="n"/>
      <c r="G1500" s="8">
        <f>IF(B1500="","",IFERROR(VLOOKUP(--B1500,'CATALOGO CECO'!$A$2:$H$550,2,FALSE),"CECO NO EXISTE"))</f>
        <v/>
      </c>
      <c r="H1500" s="8">
        <f>IF(B1500="","",IFERROR(VLOOKUP(--B1500,'CATALOGO CECO'!$A$2:$H$550,3,FALSE),""))</f>
        <v/>
      </c>
      <c r="I1500" s="8">
        <f>IF(B1500="","",IFERROR(VLOOKUP(--B1500,'CATALOGO CECO'!$A$2:$H$550,5,FALSE),""))</f>
        <v/>
      </c>
      <c r="J1500" s="8">
        <f>IF(B1500="","",IFERROR(VLOOKUP(--B1500,'CATALOGO CECO'!$A$2:$H$550,8,FALSE),""))</f>
        <v/>
      </c>
      <c r="K1500" s="8">
        <f>IF(COUNTA(A1500:F1500)=0,"",IF(OR(LEN(A1500)&lt;&gt;7,MID(A1500,5,1)&lt;&gt;"-",ISERROR(--LEFT(A1500,4)),ISERROR(--RIGHT(A1500,2))),"ERROR: PERIODO debe ser AAAA-MM",IF(B1500="","ERROR: falta CODIGO CECO",IF(G1500="CECO NO EXISTE","ERROR: CECO no existe en el catálogo",IF(C1500="","ERROR: falta CUENTA",IF(ISERROR(--C1500),"ERROR: CUENTA debe tener solo dígitos",IF(ISERROR(FIND(LEFT(C1500,1),"567")),"ERROR: CUENTA fuera de las clases de costo",IF(NOT(ISNUMBER(E1500)),"ERROR: VALOR debe ser numérico",IF(E1500=0,"AVISO: valor cero (no se carga)",IF(J1500&lt;&gt;"ACTIVO","NO SE CARGA: CECO en estado "&amp;J1500,"OK"))))))))))</f>
        <v/>
      </c>
    </row>
    <row r="1501">
      <c r="A1501" s="5" t="n"/>
      <c r="B1501" s="6" t="n"/>
      <c r="C1501" s="5" t="n"/>
      <c r="D1501" s="6" t="n"/>
      <c r="E1501" s="7" t="n"/>
      <c r="F1501" s="6" t="n"/>
      <c r="G1501" s="8">
        <f>IF(B1501="","",IFERROR(VLOOKUP(--B1501,'CATALOGO CECO'!$A$2:$H$550,2,FALSE),"CECO NO EXISTE"))</f>
        <v/>
      </c>
      <c r="H1501" s="8">
        <f>IF(B1501="","",IFERROR(VLOOKUP(--B1501,'CATALOGO CECO'!$A$2:$H$550,3,FALSE),""))</f>
        <v/>
      </c>
      <c r="I1501" s="8">
        <f>IF(B1501="","",IFERROR(VLOOKUP(--B1501,'CATALOGO CECO'!$A$2:$H$550,5,FALSE),""))</f>
        <v/>
      </c>
      <c r="J1501" s="8">
        <f>IF(B1501="","",IFERROR(VLOOKUP(--B1501,'CATALOGO CECO'!$A$2:$H$550,8,FALSE),""))</f>
        <v/>
      </c>
      <c r="K1501" s="8">
        <f>IF(COUNTA(A1501:F1501)=0,"",IF(OR(LEN(A1501)&lt;&gt;7,MID(A1501,5,1)&lt;&gt;"-",ISERROR(--LEFT(A1501,4)),ISERROR(--RIGHT(A1501,2))),"ERROR: PERIODO debe ser AAAA-MM",IF(B1501="","ERROR: falta CODIGO CECO",IF(G1501="CECO NO EXISTE","ERROR: CECO no existe en el catálogo",IF(C1501="","ERROR: falta CUENTA",IF(ISERROR(--C1501),"ERROR: CUENTA debe tener solo dígitos",IF(ISERROR(FIND(LEFT(C1501,1),"567")),"ERROR: CUENTA fuera de las clases de costo",IF(NOT(ISNUMBER(E1501)),"ERROR: VALOR debe ser numérico",IF(E1501=0,"AVISO: valor cero (no se carga)",IF(J1501&lt;&gt;"ACTIVO","NO SE CARGA: CECO en estado "&amp;J1501,"OK"))))))))))</f>
        <v/>
      </c>
    </row>
    <row r="1502">
      <c r="A1502" s="5" t="n"/>
      <c r="B1502" s="6" t="n"/>
      <c r="C1502" s="5" t="n"/>
      <c r="D1502" s="6" t="n"/>
      <c r="E1502" s="7" t="n"/>
      <c r="F1502" s="6" t="n"/>
      <c r="G1502" s="8">
        <f>IF(B1502="","",IFERROR(VLOOKUP(--B1502,'CATALOGO CECO'!$A$2:$H$550,2,FALSE),"CECO NO EXISTE"))</f>
        <v/>
      </c>
      <c r="H1502" s="8">
        <f>IF(B1502="","",IFERROR(VLOOKUP(--B1502,'CATALOGO CECO'!$A$2:$H$550,3,FALSE),""))</f>
        <v/>
      </c>
      <c r="I1502" s="8">
        <f>IF(B1502="","",IFERROR(VLOOKUP(--B1502,'CATALOGO CECO'!$A$2:$H$550,5,FALSE),""))</f>
        <v/>
      </c>
      <c r="J1502" s="8">
        <f>IF(B1502="","",IFERROR(VLOOKUP(--B1502,'CATALOGO CECO'!$A$2:$H$550,8,FALSE),""))</f>
        <v/>
      </c>
      <c r="K1502" s="8">
        <f>IF(COUNTA(A1502:F1502)=0,"",IF(OR(LEN(A1502)&lt;&gt;7,MID(A1502,5,1)&lt;&gt;"-",ISERROR(--LEFT(A1502,4)),ISERROR(--RIGHT(A1502,2))),"ERROR: PERIODO debe ser AAAA-MM",IF(B1502="","ERROR: falta CODIGO CECO",IF(G1502="CECO NO EXISTE","ERROR: CECO no existe en el catálogo",IF(C1502="","ERROR: falta CUENTA",IF(ISERROR(--C1502),"ERROR: CUENTA debe tener solo dígitos",IF(ISERROR(FIND(LEFT(C1502,1),"567")),"ERROR: CUENTA fuera de las clases de costo",IF(NOT(ISNUMBER(E1502)),"ERROR: VALOR debe ser numérico",IF(E1502=0,"AVISO: valor cero (no se carga)",IF(J1502&lt;&gt;"ACTIVO","NO SE CARGA: CECO en estado "&amp;J1502,"OK"))))))))))</f>
        <v/>
      </c>
    </row>
    <row r="1503">
      <c r="A1503" s="5" t="n"/>
      <c r="B1503" s="6" t="n"/>
      <c r="C1503" s="5" t="n"/>
      <c r="D1503" s="6" t="n"/>
      <c r="E1503" s="7" t="n"/>
      <c r="F1503" s="6" t="n"/>
      <c r="G1503" s="8">
        <f>IF(B1503="","",IFERROR(VLOOKUP(--B1503,'CATALOGO CECO'!$A$2:$H$550,2,FALSE),"CECO NO EXISTE"))</f>
        <v/>
      </c>
      <c r="H1503" s="8">
        <f>IF(B1503="","",IFERROR(VLOOKUP(--B1503,'CATALOGO CECO'!$A$2:$H$550,3,FALSE),""))</f>
        <v/>
      </c>
      <c r="I1503" s="8">
        <f>IF(B1503="","",IFERROR(VLOOKUP(--B1503,'CATALOGO CECO'!$A$2:$H$550,5,FALSE),""))</f>
        <v/>
      </c>
      <c r="J1503" s="8">
        <f>IF(B1503="","",IFERROR(VLOOKUP(--B1503,'CATALOGO CECO'!$A$2:$H$550,8,FALSE),""))</f>
        <v/>
      </c>
      <c r="K1503" s="8">
        <f>IF(COUNTA(A1503:F1503)=0,"",IF(OR(LEN(A1503)&lt;&gt;7,MID(A1503,5,1)&lt;&gt;"-",ISERROR(--LEFT(A1503,4)),ISERROR(--RIGHT(A1503,2))),"ERROR: PERIODO debe ser AAAA-MM",IF(B1503="","ERROR: falta CODIGO CECO",IF(G1503="CECO NO EXISTE","ERROR: CECO no existe en el catálogo",IF(C1503="","ERROR: falta CUENTA",IF(ISERROR(--C1503),"ERROR: CUENTA debe tener solo dígitos",IF(ISERROR(FIND(LEFT(C1503,1),"567")),"ERROR: CUENTA fuera de las clases de costo",IF(NOT(ISNUMBER(E1503)),"ERROR: VALOR debe ser numérico",IF(E1503=0,"AVISO: valor cero (no se carga)",IF(J1503&lt;&gt;"ACTIVO","NO SE CARGA: CECO en estado "&amp;J1503,"OK"))))))))))</f>
        <v/>
      </c>
    </row>
    <row r="1504">
      <c r="A1504" s="5" t="n"/>
      <c r="B1504" s="6" t="n"/>
      <c r="C1504" s="5" t="n"/>
      <c r="D1504" s="6" t="n"/>
      <c r="E1504" s="7" t="n"/>
      <c r="F1504" s="6" t="n"/>
      <c r="G1504" s="8">
        <f>IF(B1504="","",IFERROR(VLOOKUP(--B1504,'CATALOGO CECO'!$A$2:$H$550,2,FALSE),"CECO NO EXISTE"))</f>
        <v/>
      </c>
      <c r="H1504" s="8">
        <f>IF(B1504="","",IFERROR(VLOOKUP(--B1504,'CATALOGO CECO'!$A$2:$H$550,3,FALSE),""))</f>
        <v/>
      </c>
      <c r="I1504" s="8">
        <f>IF(B1504="","",IFERROR(VLOOKUP(--B1504,'CATALOGO CECO'!$A$2:$H$550,5,FALSE),""))</f>
        <v/>
      </c>
      <c r="J1504" s="8">
        <f>IF(B1504="","",IFERROR(VLOOKUP(--B1504,'CATALOGO CECO'!$A$2:$H$550,8,FALSE),""))</f>
        <v/>
      </c>
      <c r="K1504" s="8">
        <f>IF(COUNTA(A1504:F1504)=0,"",IF(OR(LEN(A1504)&lt;&gt;7,MID(A1504,5,1)&lt;&gt;"-",ISERROR(--LEFT(A1504,4)),ISERROR(--RIGHT(A1504,2))),"ERROR: PERIODO debe ser AAAA-MM",IF(B1504="","ERROR: falta CODIGO CECO",IF(G1504="CECO NO EXISTE","ERROR: CECO no existe en el catálogo",IF(C1504="","ERROR: falta CUENTA",IF(ISERROR(--C1504),"ERROR: CUENTA debe tener solo dígitos",IF(ISERROR(FIND(LEFT(C1504,1),"567")),"ERROR: CUENTA fuera de las clases de costo",IF(NOT(ISNUMBER(E1504)),"ERROR: VALOR debe ser numérico",IF(E1504=0,"AVISO: valor cero (no se carga)",IF(J1504&lt;&gt;"ACTIVO","NO SE CARGA: CECO en estado "&amp;J1504,"OK"))))))))))</f>
        <v/>
      </c>
    </row>
    <row r="1505">
      <c r="A1505" s="5" t="n"/>
      <c r="B1505" s="6" t="n"/>
      <c r="C1505" s="5" t="n"/>
      <c r="D1505" s="6" t="n"/>
      <c r="E1505" s="7" t="n"/>
      <c r="F1505" s="6" t="n"/>
      <c r="G1505" s="8">
        <f>IF(B1505="","",IFERROR(VLOOKUP(--B1505,'CATALOGO CECO'!$A$2:$H$550,2,FALSE),"CECO NO EXISTE"))</f>
        <v/>
      </c>
      <c r="H1505" s="8">
        <f>IF(B1505="","",IFERROR(VLOOKUP(--B1505,'CATALOGO CECO'!$A$2:$H$550,3,FALSE),""))</f>
        <v/>
      </c>
      <c r="I1505" s="8">
        <f>IF(B1505="","",IFERROR(VLOOKUP(--B1505,'CATALOGO CECO'!$A$2:$H$550,5,FALSE),""))</f>
        <v/>
      </c>
      <c r="J1505" s="8">
        <f>IF(B1505="","",IFERROR(VLOOKUP(--B1505,'CATALOGO CECO'!$A$2:$H$550,8,FALSE),""))</f>
        <v/>
      </c>
      <c r="K1505" s="8">
        <f>IF(COUNTA(A1505:F1505)=0,"",IF(OR(LEN(A1505)&lt;&gt;7,MID(A1505,5,1)&lt;&gt;"-",ISERROR(--LEFT(A1505,4)),ISERROR(--RIGHT(A1505,2))),"ERROR: PERIODO debe ser AAAA-MM",IF(B1505="","ERROR: falta CODIGO CECO",IF(G1505="CECO NO EXISTE","ERROR: CECO no existe en el catálogo",IF(C1505="","ERROR: falta CUENTA",IF(ISERROR(--C1505),"ERROR: CUENTA debe tener solo dígitos",IF(ISERROR(FIND(LEFT(C1505,1),"567")),"ERROR: CUENTA fuera de las clases de costo",IF(NOT(ISNUMBER(E1505)),"ERROR: VALOR debe ser numérico",IF(E1505=0,"AVISO: valor cero (no se carga)",IF(J1505&lt;&gt;"ACTIVO","NO SE CARGA: CECO en estado "&amp;J1505,"OK"))))))))))</f>
        <v/>
      </c>
    </row>
    <row r="1506">
      <c r="A1506" s="5" t="n"/>
      <c r="B1506" s="6" t="n"/>
      <c r="C1506" s="5" t="n"/>
      <c r="D1506" s="6" t="n"/>
      <c r="E1506" s="7" t="n"/>
      <c r="F1506" s="6" t="n"/>
      <c r="G1506" s="8">
        <f>IF(B1506="","",IFERROR(VLOOKUP(--B1506,'CATALOGO CECO'!$A$2:$H$550,2,FALSE),"CECO NO EXISTE"))</f>
        <v/>
      </c>
      <c r="H1506" s="8">
        <f>IF(B1506="","",IFERROR(VLOOKUP(--B1506,'CATALOGO CECO'!$A$2:$H$550,3,FALSE),""))</f>
        <v/>
      </c>
      <c r="I1506" s="8">
        <f>IF(B1506="","",IFERROR(VLOOKUP(--B1506,'CATALOGO CECO'!$A$2:$H$550,5,FALSE),""))</f>
        <v/>
      </c>
      <c r="J1506" s="8">
        <f>IF(B1506="","",IFERROR(VLOOKUP(--B1506,'CATALOGO CECO'!$A$2:$H$550,8,FALSE),""))</f>
        <v/>
      </c>
      <c r="K1506" s="8">
        <f>IF(COUNTA(A1506:F1506)=0,"",IF(OR(LEN(A1506)&lt;&gt;7,MID(A1506,5,1)&lt;&gt;"-",ISERROR(--LEFT(A1506,4)),ISERROR(--RIGHT(A1506,2))),"ERROR: PERIODO debe ser AAAA-MM",IF(B1506="","ERROR: falta CODIGO CECO",IF(G1506="CECO NO EXISTE","ERROR: CECO no existe en el catálogo",IF(C1506="","ERROR: falta CUENTA",IF(ISERROR(--C1506),"ERROR: CUENTA debe tener solo dígitos",IF(ISERROR(FIND(LEFT(C1506,1),"567")),"ERROR: CUENTA fuera de las clases de costo",IF(NOT(ISNUMBER(E1506)),"ERROR: VALOR debe ser numérico",IF(E1506=0,"AVISO: valor cero (no se carga)",IF(J1506&lt;&gt;"ACTIVO","NO SE CARGA: CECO en estado "&amp;J1506,"OK"))))))))))</f>
        <v/>
      </c>
    </row>
    <row r="1507">
      <c r="A1507" s="5" t="n"/>
      <c r="B1507" s="6" t="n"/>
      <c r="C1507" s="5" t="n"/>
      <c r="D1507" s="6" t="n"/>
      <c r="E1507" s="7" t="n"/>
      <c r="F1507" s="6" t="n"/>
      <c r="G1507" s="8">
        <f>IF(B1507="","",IFERROR(VLOOKUP(--B1507,'CATALOGO CECO'!$A$2:$H$550,2,FALSE),"CECO NO EXISTE"))</f>
        <v/>
      </c>
      <c r="H1507" s="8">
        <f>IF(B1507="","",IFERROR(VLOOKUP(--B1507,'CATALOGO CECO'!$A$2:$H$550,3,FALSE),""))</f>
        <v/>
      </c>
      <c r="I1507" s="8">
        <f>IF(B1507="","",IFERROR(VLOOKUP(--B1507,'CATALOGO CECO'!$A$2:$H$550,5,FALSE),""))</f>
        <v/>
      </c>
      <c r="J1507" s="8">
        <f>IF(B1507="","",IFERROR(VLOOKUP(--B1507,'CATALOGO CECO'!$A$2:$H$550,8,FALSE),""))</f>
        <v/>
      </c>
      <c r="K1507" s="8">
        <f>IF(COUNTA(A1507:F1507)=0,"",IF(OR(LEN(A1507)&lt;&gt;7,MID(A1507,5,1)&lt;&gt;"-",ISERROR(--LEFT(A1507,4)),ISERROR(--RIGHT(A1507,2))),"ERROR: PERIODO debe ser AAAA-MM",IF(B1507="","ERROR: falta CODIGO CECO",IF(G1507="CECO NO EXISTE","ERROR: CECO no existe en el catálogo",IF(C1507="","ERROR: falta CUENTA",IF(ISERROR(--C1507),"ERROR: CUENTA debe tener solo dígitos",IF(ISERROR(FIND(LEFT(C1507,1),"567")),"ERROR: CUENTA fuera de las clases de costo",IF(NOT(ISNUMBER(E1507)),"ERROR: VALOR debe ser numérico",IF(E1507=0,"AVISO: valor cero (no se carga)",IF(J1507&lt;&gt;"ACTIVO","NO SE CARGA: CECO en estado "&amp;J1507,"OK"))))))))))</f>
        <v/>
      </c>
    </row>
    <row r="1508">
      <c r="A1508" s="5" t="n"/>
      <c r="B1508" s="6" t="n"/>
      <c r="C1508" s="5" t="n"/>
      <c r="D1508" s="6" t="n"/>
      <c r="E1508" s="7" t="n"/>
      <c r="F1508" s="6" t="n"/>
      <c r="G1508" s="8">
        <f>IF(B1508="","",IFERROR(VLOOKUP(--B1508,'CATALOGO CECO'!$A$2:$H$550,2,FALSE),"CECO NO EXISTE"))</f>
        <v/>
      </c>
      <c r="H1508" s="8">
        <f>IF(B1508="","",IFERROR(VLOOKUP(--B1508,'CATALOGO CECO'!$A$2:$H$550,3,FALSE),""))</f>
        <v/>
      </c>
      <c r="I1508" s="8">
        <f>IF(B1508="","",IFERROR(VLOOKUP(--B1508,'CATALOGO CECO'!$A$2:$H$550,5,FALSE),""))</f>
        <v/>
      </c>
      <c r="J1508" s="8">
        <f>IF(B1508="","",IFERROR(VLOOKUP(--B1508,'CATALOGO CECO'!$A$2:$H$550,8,FALSE),""))</f>
        <v/>
      </c>
      <c r="K1508" s="8">
        <f>IF(COUNTA(A1508:F1508)=0,"",IF(OR(LEN(A1508)&lt;&gt;7,MID(A1508,5,1)&lt;&gt;"-",ISERROR(--LEFT(A1508,4)),ISERROR(--RIGHT(A1508,2))),"ERROR: PERIODO debe ser AAAA-MM",IF(B1508="","ERROR: falta CODIGO CECO",IF(G1508="CECO NO EXISTE","ERROR: CECO no existe en el catálogo",IF(C1508="","ERROR: falta CUENTA",IF(ISERROR(--C1508),"ERROR: CUENTA debe tener solo dígitos",IF(ISERROR(FIND(LEFT(C1508,1),"567")),"ERROR: CUENTA fuera de las clases de costo",IF(NOT(ISNUMBER(E1508)),"ERROR: VALOR debe ser numérico",IF(E1508=0,"AVISO: valor cero (no se carga)",IF(J1508&lt;&gt;"ACTIVO","NO SE CARGA: CECO en estado "&amp;J1508,"OK"))))))))))</f>
        <v/>
      </c>
    </row>
    <row r="1509">
      <c r="A1509" s="5" t="n"/>
      <c r="B1509" s="6" t="n"/>
      <c r="C1509" s="5" t="n"/>
      <c r="D1509" s="6" t="n"/>
      <c r="E1509" s="7" t="n"/>
      <c r="F1509" s="6" t="n"/>
      <c r="G1509" s="8">
        <f>IF(B1509="","",IFERROR(VLOOKUP(--B1509,'CATALOGO CECO'!$A$2:$H$550,2,FALSE),"CECO NO EXISTE"))</f>
        <v/>
      </c>
      <c r="H1509" s="8">
        <f>IF(B1509="","",IFERROR(VLOOKUP(--B1509,'CATALOGO CECO'!$A$2:$H$550,3,FALSE),""))</f>
        <v/>
      </c>
      <c r="I1509" s="8">
        <f>IF(B1509="","",IFERROR(VLOOKUP(--B1509,'CATALOGO CECO'!$A$2:$H$550,5,FALSE),""))</f>
        <v/>
      </c>
      <c r="J1509" s="8">
        <f>IF(B1509="","",IFERROR(VLOOKUP(--B1509,'CATALOGO CECO'!$A$2:$H$550,8,FALSE),""))</f>
        <v/>
      </c>
      <c r="K1509" s="8">
        <f>IF(COUNTA(A1509:F1509)=0,"",IF(OR(LEN(A1509)&lt;&gt;7,MID(A1509,5,1)&lt;&gt;"-",ISERROR(--LEFT(A1509,4)),ISERROR(--RIGHT(A1509,2))),"ERROR: PERIODO debe ser AAAA-MM",IF(B1509="","ERROR: falta CODIGO CECO",IF(G1509="CECO NO EXISTE","ERROR: CECO no existe en el catálogo",IF(C1509="","ERROR: falta CUENTA",IF(ISERROR(--C1509),"ERROR: CUENTA debe tener solo dígitos",IF(ISERROR(FIND(LEFT(C1509,1),"567")),"ERROR: CUENTA fuera de las clases de costo",IF(NOT(ISNUMBER(E1509)),"ERROR: VALOR debe ser numérico",IF(E1509=0,"AVISO: valor cero (no se carga)",IF(J1509&lt;&gt;"ACTIVO","NO SE CARGA: CECO en estado "&amp;J1509,"OK"))))))))))</f>
        <v/>
      </c>
    </row>
    <row r="1510">
      <c r="A1510" s="5" t="n"/>
      <c r="B1510" s="6" t="n"/>
      <c r="C1510" s="5" t="n"/>
      <c r="D1510" s="6" t="n"/>
      <c r="E1510" s="7" t="n"/>
      <c r="F1510" s="6" t="n"/>
      <c r="G1510" s="8">
        <f>IF(B1510="","",IFERROR(VLOOKUP(--B1510,'CATALOGO CECO'!$A$2:$H$550,2,FALSE),"CECO NO EXISTE"))</f>
        <v/>
      </c>
      <c r="H1510" s="8">
        <f>IF(B1510="","",IFERROR(VLOOKUP(--B1510,'CATALOGO CECO'!$A$2:$H$550,3,FALSE),""))</f>
        <v/>
      </c>
      <c r="I1510" s="8">
        <f>IF(B1510="","",IFERROR(VLOOKUP(--B1510,'CATALOGO CECO'!$A$2:$H$550,5,FALSE),""))</f>
        <v/>
      </c>
      <c r="J1510" s="8">
        <f>IF(B1510="","",IFERROR(VLOOKUP(--B1510,'CATALOGO CECO'!$A$2:$H$550,8,FALSE),""))</f>
        <v/>
      </c>
      <c r="K1510" s="8">
        <f>IF(COUNTA(A1510:F1510)=0,"",IF(OR(LEN(A1510)&lt;&gt;7,MID(A1510,5,1)&lt;&gt;"-",ISERROR(--LEFT(A1510,4)),ISERROR(--RIGHT(A1510,2))),"ERROR: PERIODO debe ser AAAA-MM",IF(B1510="","ERROR: falta CODIGO CECO",IF(G1510="CECO NO EXISTE","ERROR: CECO no existe en el catálogo",IF(C1510="","ERROR: falta CUENTA",IF(ISERROR(--C1510),"ERROR: CUENTA debe tener solo dígitos",IF(ISERROR(FIND(LEFT(C1510,1),"567")),"ERROR: CUENTA fuera de las clases de costo",IF(NOT(ISNUMBER(E1510)),"ERROR: VALOR debe ser numérico",IF(E1510=0,"AVISO: valor cero (no se carga)",IF(J1510&lt;&gt;"ACTIVO","NO SE CARGA: CECO en estado "&amp;J1510,"OK"))))))))))</f>
        <v/>
      </c>
    </row>
    <row r="1511">
      <c r="A1511" s="5" t="n"/>
      <c r="B1511" s="6" t="n"/>
      <c r="C1511" s="5" t="n"/>
      <c r="D1511" s="6" t="n"/>
      <c r="E1511" s="7" t="n"/>
      <c r="F1511" s="6" t="n"/>
      <c r="G1511" s="8">
        <f>IF(B1511="","",IFERROR(VLOOKUP(--B1511,'CATALOGO CECO'!$A$2:$H$550,2,FALSE),"CECO NO EXISTE"))</f>
        <v/>
      </c>
      <c r="H1511" s="8">
        <f>IF(B1511="","",IFERROR(VLOOKUP(--B1511,'CATALOGO CECO'!$A$2:$H$550,3,FALSE),""))</f>
        <v/>
      </c>
      <c r="I1511" s="8">
        <f>IF(B1511="","",IFERROR(VLOOKUP(--B1511,'CATALOGO CECO'!$A$2:$H$550,5,FALSE),""))</f>
        <v/>
      </c>
      <c r="J1511" s="8">
        <f>IF(B1511="","",IFERROR(VLOOKUP(--B1511,'CATALOGO CECO'!$A$2:$H$550,8,FALSE),""))</f>
        <v/>
      </c>
      <c r="K1511" s="8">
        <f>IF(COUNTA(A1511:F1511)=0,"",IF(OR(LEN(A1511)&lt;&gt;7,MID(A1511,5,1)&lt;&gt;"-",ISERROR(--LEFT(A1511,4)),ISERROR(--RIGHT(A1511,2))),"ERROR: PERIODO debe ser AAAA-MM",IF(B1511="","ERROR: falta CODIGO CECO",IF(G1511="CECO NO EXISTE","ERROR: CECO no existe en el catálogo",IF(C1511="","ERROR: falta CUENTA",IF(ISERROR(--C1511),"ERROR: CUENTA debe tener solo dígitos",IF(ISERROR(FIND(LEFT(C1511,1),"567")),"ERROR: CUENTA fuera de las clases de costo",IF(NOT(ISNUMBER(E1511)),"ERROR: VALOR debe ser numérico",IF(E1511=0,"AVISO: valor cero (no se carga)",IF(J1511&lt;&gt;"ACTIVO","NO SE CARGA: CECO en estado "&amp;J1511,"OK"))))))))))</f>
        <v/>
      </c>
    </row>
    <row r="1512">
      <c r="A1512" s="5" t="n"/>
      <c r="B1512" s="6" t="n"/>
      <c r="C1512" s="5" t="n"/>
      <c r="D1512" s="6" t="n"/>
      <c r="E1512" s="7" t="n"/>
      <c r="F1512" s="6" t="n"/>
      <c r="G1512" s="8">
        <f>IF(B1512="","",IFERROR(VLOOKUP(--B1512,'CATALOGO CECO'!$A$2:$H$550,2,FALSE),"CECO NO EXISTE"))</f>
        <v/>
      </c>
      <c r="H1512" s="8">
        <f>IF(B1512="","",IFERROR(VLOOKUP(--B1512,'CATALOGO CECO'!$A$2:$H$550,3,FALSE),""))</f>
        <v/>
      </c>
      <c r="I1512" s="8">
        <f>IF(B1512="","",IFERROR(VLOOKUP(--B1512,'CATALOGO CECO'!$A$2:$H$550,5,FALSE),""))</f>
        <v/>
      </c>
      <c r="J1512" s="8">
        <f>IF(B1512="","",IFERROR(VLOOKUP(--B1512,'CATALOGO CECO'!$A$2:$H$550,8,FALSE),""))</f>
        <v/>
      </c>
      <c r="K1512" s="8">
        <f>IF(COUNTA(A1512:F1512)=0,"",IF(OR(LEN(A1512)&lt;&gt;7,MID(A1512,5,1)&lt;&gt;"-",ISERROR(--LEFT(A1512,4)),ISERROR(--RIGHT(A1512,2))),"ERROR: PERIODO debe ser AAAA-MM",IF(B1512="","ERROR: falta CODIGO CECO",IF(G1512="CECO NO EXISTE","ERROR: CECO no existe en el catálogo",IF(C1512="","ERROR: falta CUENTA",IF(ISERROR(--C1512),"ERROR: CUENTA debe tener solo dígitos",IF(ISERROR(FIND(LEFT(C1512,1),"567")),"ERROR: CUENTA fuera de las clases de costo",IF(NOT(ISNUMBER(E1512)),"ERROR: VALOR debe ser numérico",IF(E1512=0,"AVISO: valor cero (no se carga)",IF(J1512&lt;&gt;"ACTIVO","NO SE CARGA: CECO en estado "&amp;J1512,"OK"))))))))))</f>
        <v/>
      </c>
    </row>
    <row r="1513">
      <c r="A1513" s="5" t="n"/>
      <c r="B1513" s="6" t="n"/>
      <c r="C1513" s="5" t="n"/>
      <c r="D1513" s="6" t="n"/>
      <c r="E1513" s="7" t="n"/>
      <c r="F1513" s="6" t="n"/>
      <c r="G1513" s="8">
        <f>IF(B1513="","",IFERROR(VLOOKUP(--B1513,'CATALOGO CECO'!$A$2:$H$550,2,FALSE),"CECO NO EXISTE"))</f>
        <v/>
      </c>
      <c r="H1513" s="8">
        <f>IF(B1513="","",IFERROR(VLOOKUP(--B1513,'CATALOGO CECO'!$A$2:$H$550,3,FALSE),""))</f>
        <v/>
      </c>
      <c r="I1513" s="8">
        <f>IF(B1513="","",IFERROR(VLOOKUP(--B1513,'CATALOGO CECO'!$A$2:$H$550,5,FALSE),""))</f>
        <v/>
      </c>
      <c r="J1513" s="8">
        <f>IF(B1513="","",IFERROR(VLOOKUP(--B1513,'CATALOGO CECO'!$A$2:$H$550,8,FALSE),""))</f>
        <v/>
      </c>
      <c r="K1513" s="8">
        <f>IF(COUNTA(A1513:F1513)=0,"",IF(OR(LEN(A1513)&lt;&gt;7,MID(A1513,5,1)&lt;&gt;"-",ISERROR(--LEFT(A1513,4)),ISERROR(--RIGHT(A1513,2))),"ERROR: PERIODO debe ser AAAA-MM",IF(B1513="","ERROR: falta CODIGO CECO",IF(G1513="CECO NO EXISTE","ERROR: CECO no existe en el catálogo",IF(C1513="","ERROR: falta CUENTA",IF(ISERROR(--C1513),"ERROR: CUENTA debe tener solo dígitos",IF(ISERROR(FIND(LEFT(C1513,1),"567")),"ERROR: CUENTA fuera de las clases de costo",IF(NOT(ISNUMBER(E1513)),"ERROR: VALOR debe ser numérico",IF(E1513=0,"AVISO: valor cero (no se carga)",IF(J1513&lt;&gt;"ACTIVO","NO SE CARGA: CECO en estado "&amp;J1513,"OK"))))))))))</f>
        <v/>
      </c>
    </row>
    <row r="1514">
      <c r="A1514" s="5" t="n"/>
      <c r="B1514" s="6" t="n"/>
      <c r="C1514" s="5" t="n"/>
      <c r="D1514" s="6" t="n"/>
      <c r="E1514" s="7" t="n"/>
      <c r="F1514" s="6" t="n"/>
      <c r="G1514" s="8">
        <f>IF(B1514="","",IFERROR(VLOOKUP(--B1514,'CATALOGO CECO'!$A$2:$H$550,2,FALSE),"CECO NO EXISTE"))</f>
        <v/>
      </c>
      <c r="H1514" s="8">
        <f>IF(B1514="","",IFERROR(VLOOKUP(--B1514,'CATALOGO CECO'!$A$2:$H$550,3,FALSE),""))</f>
        <v/>
      </c>
      <c r="I1514" s="8">
        <f>IF(B1514="","",IFERROR(VLOOKUP(--B1514,'CATALOGO CECO'!$A$2:$H$550,5,FALSE),""))</f>
        <v/>
      </c>
      <c r="J1514" s="8">
        <f>IF(B1514="","",IFERROR(VLOOKUP(--B1514,'CATALOGO CECO'!$A$2:$H$550,8,FALSE),""))</f>
        <v/>
      </c>
      <c r="K1514" s="8">
        <f>IF(COUNTA(A1514:F1514)=0,"",IF(OR(LEN(A1514)&lt;&gt;7,MID(A1514,5,1)&lt;&gt;"-",ISERROR(--LEFT(A1514,4)),ISERROR(--RIGHT(A1514,2))),"ERROR: PERIODO debe ser AAAA-MM",IF(B1514="","ERROR: falta CODIGO CECO",IF(G1514="CECO NO EXISTE","ERROR: CECO no existe en el catálogo",IF(C1514="","ERROR: falta CUENTA",IF(ISERROR(--C1514),"ERROR: CUENTA debe tener solo dígitos",IF(ISERROR(FIND(LEFT(C1514,1),"567")),"ERROR: CUENTA fuera de las clases de costo",IF(NOT(ISNUMBER(E1514)),"ERROR: VALOR debe ser numérico",IF(E1514=0,"AVISO: valor cero (no se carga)",IF(J1514&lt;&gt;"ACTIVO","NO SE CARGA: CECO en estado "&amp;J1514,"OK"))))))))))</f>
        <v/>
      </c>
    </row>
    <row r="1515">
      <c r="A1515" s="5" t="n"/>
      <c r="B1515" s="6" t="n"/>
      <c r="C1515" s="5" t="n"/>
      <c r="D1515" s="6" t="n"/>
      <c r="E1515" s="7" t="n"/>
      <c r="F1515" s="6" t="n"/>
      <c r="G1515" s="8">
        <f>IF(B1515="","",IFERROR(VLOOKUP(--B1515,'CATALOGO CECO'!$A$2:$H$550,2,FALSE),"CECO NO EXISTE"))</f>
        <v/>
      </c>
      <c r="H1515" s="8">
        <f>IF(B1515="","",IFERROR(VLOOKUP(--B1515,'CATALOGO CECO'!$A$2:$H$550,3,FALSE),""))</f>
        <v/>
      </c>
      <c r="I1515" s="8">
        <f>IF(B1515="","",IFERROR(VLOOKUP(--B1515,'CATALOGO CECO'!$A$2:$H$550,5,FALSE),""))</f>
        <v/>
      </c>
      <c r="J1515" s="8">
        <f>IF(B1515="","",IFERROR(VLOOKUP(--B1515,'CATALOGO CECO'!$A$2:$H$550,8,FALSE),""))</f>
        <v/>
      </c>
      <c r="K1515" s="8">
        <f>IF(COUNTA(A1515:F1515)=0,"",IF(OR(LEN(A1515)&lt;&gt;7,MID(A1515,5,1)&lt;&gt;"-",ISERROR(--LEFT(A1515,4)),ISERROR(--RIGHT(A1515,2))),"ERROR: PERIODO debe ser AAAA-MM",IF(B1515="","ERROR: falta CODIGO CECO",IF(G1515="CECO NO EXISTE","ERROR: CECO no existe en el catálogo",IF(C1515="","ERROR: falta CUENTA",IF(ISERROR(--C1515),"ERROR: CUENTA debe tener solo dígitos",IF(ISERROR(FIND(LEFT(C1515,1),"567")),"ERROR: CUENTA fuera de las clases de costo",IF(NOT(ISNUMBER(E1515)),"ERROR: VALOR debe ser numérico",IF(E1515=0,"AVISO: valor cero (no se carga)",IF(J1515&lt;&gt;"ACTIVO","NO SE CARGA: CECO en estado "&amp;J1515,"OK"))))))))))</f>
        <v/>
      </c>
    </row>
    <row r="1516">
      <c r="A1516" s="5" t="n"/>
      <c r="B1516" s="6" t="n"/>
      <c r="C1516" s="5" t="n"/>
      <c r="D1516" s="6" t="n"/>
      <c r="E1516" s="7" t="n"/>
      <c r="F1516" s="6" t="n"/>
      <c r="G1516" s="8">
        <f>IF(B1516="","",IFERROR(VLOOKUP(--B1516,'CATALOGO CECO'!$A$2:$H$550,2,FALSE),"CECO NO EXISTE"))</f>
        <v/>
      </c>
      <c r="H1516" s="8">
        <f>IF(B1516="","",IFERROR(VLOOKUP(--B1516,'CATALOGO CECO'!$A$2:$H$550,3,FALSE),""))</f>
        <v/>
      </c>
      <c r="I1516" s="8">
        <f>IF(B1516="","",IFERROR(VLOOKUP(--B1516,'CATALOGO CECO'!$A$2:$H$550,5,FALSE),""))</f>
        <v/>
      </c>
      <c r="J1516" s="8">
        <f>IF(B1516="","",IFERROR(VLOOKUP(--B1516,'CATALOGO CECO'!$A$2:$H$550,8,FALSE),""))</f>
        <v/>
      </c>
      <c r="K1516" s="8">
        <f>IF(COUNTA(A1516:F1516)=0,"",IF(OR(LEN(A1516)&lt;&gt;7,MID(A1516,5,1)&lt;&gt;"-",ISERROR(--LEFT(A1516,4)),ISERROR(--RIGHT(A1516,2))),"ERROR: PERIODO debe ser AAAA-MM",IF(B1516="","ERROR: falta CODIGO CECO",IF(G1516="CECO NO EXISTE","ERROR: CECO no existe en el catálogo",IF(C1516="","ERROR: falta CUENTA",IF(ISERROR(--C1516),"ERROR: CUENTA debe tener solo dígitos",IF(ISERROR(FIND(LEFT(C1516,1),"567")),"ERROR: CUENTA fuera de las clases de costo",IF(NOT(ISNUMBER(E1516)),"ERROR: VALOR debe ser numérico",IF(E1516=0,"AVISO: valor cero (no se carga)",IF(J1516&lt;&gt;"ACTIVO","NO SE CARGA: CECO en estado "&amp;J1516,"OK"))))))))))</f>
        <v/>
      </c>
    </row>
    <row r="1517">
      <c r="A1517" s="5" t="n"/>
      <c r="B1517" s="6" t="n"/>
      <c r="C1517" s="5" t="n"/>
      <c r="D1517" s="6" t="n"/>
      <c r="E1517" s="7" t="n"/>
      <c r="F1517" s="6" t="n"/>
      <c r="G1517" s="8">
        <f>IF(B1517="","",IFERROR(VLOOKUP(--B1517,'CATALOGO CECO'!$A$2:$H$550,2,FALSE),"CECO NO EXISTE"))</f>
        <v/>
      </c>
      <c r="H1517" s="8">
        <f>IF(B1517="","",IFERROR(VLOOKUP(--B1517,'CATALOGO CECO'!$A$2:$H$550,3,FALSE),""))</f>
        <v/>
      </c>
      <c r="I1517" s="8">
        <f>IF(B1517="","",IFERROR(VLOOKUP(--B1517,'CATALOGO CECO'!$A$2:$H$550,5,FALSE),""))</f>
        <v/>
      </c>
      <c r="J1517" s="8">
        <f>IF(B1517="","",IFERROR(VLOOKUP(--B1517,'CATALOGO CECO'!$A$2:$H$550,8,FALSE),""))</f>
        <v/>
      </c>
      <c r="K1517" s="8">
        <f>IF(COUNTA(A1517:F1517)=0,"",IF(OR(LEN(A1517)&lt;&gt;7,MID(A1517,5,1)&lt;&gt;"-",ISERROR(--LEFT(A1517,4)),ISERROR(--RIGHT(A1517,2))),"ERROR: PERIODO debe ser AAAA-MM",IF(B1517="","ERROR: falta CODIGO CECO",IF(G1517="CECO NO EXISTE","ERROR: CECO no existe en el catálogo",IF(C1517="","ERROR: falta CUENTA",IF(ISERROR(--C1517),"ERROR: CUENTA debe tener solo dígitos",IF(ISERROR(FIND(LEFT(C1517,1),"567")),"ERROR: CUENTA fuera de las clases de costo",IF(NOT(ISNUMBER(E1517)),"ERROR: VALOR debe ser numérico",IF(E1517=0,"AVISO: valor cero (no se carga)",IF(J1517&lt;&gt;"ACTIVO","NO SE CARGA: CECO en estado "&amp;J1517,"OK"))))))))))</f>
        <v/>
      </c>
    </row>
    <row r="1518">
      <c r="A1518" s="5" t="n"/>
      <c r="B1518" s="6" t="n"/>
      <c r="C1518" s="5" t="n"/>
      <c r="D1518" s="6" t="n"/>
      <c r="E1518" s="7" t="n"/>
      <c r="F1518" s="6" t="n"/>
      <c r="G1518" s="8">
        <f>IF(B1518="","",IFERROR(VLOOKUP(--B1518,'CATALOGO CECO'!$A$2:$H$550,2,FALSE),"CECO NO EXISTE"))</f>
        <v/>
      </c>
      <c r="H1518" s="8">
        <f>IF(B1518="","",IFERROR(VLOOKUP(--B1518,'CATALOGO CECO'!$A$2:$H$550,3,FALSE),""))</f>
        <v/>
      </c>
      <c r="I1518" s="8">
        <f>IF(B1518="","",IFERROR(VLOOKUP(--B1518,'CATALOGO CECO'!$A$2:$H$550,5,FALSE),""))</f>
        <v/>
      </c>
      <c r="J1518" s="8">
        <f>IF(B1518="","",IFERROR(VLOOKUP(--B1518,'CATALOGO CECO'!$A$2:$H$550,8,FALSE),""))</f>
        <v/>
      </c>
      <c r="K1518" s="8">
        <f>IF(COUNTA(A1518:F1518)=0,"",IF(OR(LEN(A1518)&lt;&gt;7,MID(A1518,5,1)&lt;&gt;"-",ISERROR(--LEFT(A1518,4)),ISERROR(--RIGHT(A1518,2))),"ERROR: PERIODO debe ser AAAA-MM",IF(B1518="","ERROR: falta CODIGO CECO",IF(G1518="CECO NO EXISTE","ERROR: CECO no existe en el catálogo",IF(C1518="","ERROR: falta CUENTA",IF(ISERROR(--C1518),"ERROR: CUENTA debe tener solo dígitos",IF(ISERROR(FIND(LEFT(C1518,1),"567")),"ERROR: CUENTA fuera de las clases de costo",IF(NOT(ISNUMBER(E1518)),"ERROR: VALOR debe ser numérico",IF(E1518=0,"AVISO: valor cero (no se carga)",IF(J1518&lt;&gt;"ACTIVO","NO SE CARGA: CECO en estado "&amp;J1518,"OK"))))))))))</f>
        <v/>
      </c>
    </row>
    <row r="1519">
      <c r="A1519" s="5" t="n"/>
      <c r="B1519" s="6" t="n"/>
      <c r="C1519" s="5" t="n"/>
      <c r="D1519" s="6" t="n"/>
      <c r="E1519" s="7" t="n"/>
      <c r="F1519" s="6" t="n"/>
      <c r="G1519" s="8">
        <f>IF(B1519="","",IFERROR(VLOOKUP(--B1519,'CATALOGO CECO'!$A$2:$H$550,2,FALSE),"CECO NO EXISTE"))</f>
        <v/>
      </c>
      <c r="H1519" s="8">
        <f>IF(B1519="","",IFERROR(VLOOKUP(--B1519,'CATALOGO CECO'!$A$2:$H$550,3,FALSE),""))</f>
        <v/>
      </c>
      <c r="I1519" s="8">
        <f>IF(B1519="","",IFERROR(VLOOKUP(--B1519,'CATALOGO CECO'!$A$2:$H$550,5,FALSE),""))</f>
        <v/>
      </c>
      <c r="J1519" s="8">
        <f>IF(B1519="","",IFERROR(VLOOKUP(--B1519,'CATALOGO CECO'!$A$2:$H$550,8,FALSE),""))</f>
        <v/>
      </c>
      <c r="K1519" s="8">
        <f>IF(COUNTA(A1519:F1519)=0,"",IF(OR(LEN(A1519)&lt;&gt;7,MID(A1519,5,1)&lt;&gt;"-",ISERROR(--LEFT(A1519,4)),ISERROR(--RIGHT(A1519,2))),"ERROR: PERIODO debe ser AAAA-MM",IF(B1519="","ERROR: falta CODIGO CECO",IF(G1519="CECO NO EXISTE","ERROR: CECO no existe en el catálogo",IF(C1519="","ERROR: falta CUENTA",IF(ISERROR(--C1519),"ERROR: CUENTA debe tener solo dígitos",IF(ISERROR(FIND(LEFT(C1519,1),"567")),"ERROR: CUENTA fuera de las clases de costo",IF(NOT(ISNUMBER(E1519)),"ERROR: VALOR debe ser numérico",IF(E1519=0,"AVISO: valor cero (no se carga)",IF(J1519&lt;&gt;"ACTIVO","NO SE CARGA: CECO en estado "&amp;J1519,"OK"))))))))))</f>
        <v/>
      </c>
    </row>
    <row r="1520">
      <c r="A1520" s="5" t="n"/>
      <c r="B1520" s="6" t="n"/>
      <c r="C1520" s="5" t="n"/>
      <c r="D1520" s="6" t="n"/>
      <c r="E1520" s="7" t="n"/>
      <c r="F1520" s="6" t="n"/>
      <c r="G1520" s="8">
        <f>IF(B1520="","",IFERROR(VLOOKUP(--B1520,'CATALOGO CECO'!$A$2:$H$550,2,FALSE),"CECO NO EXISTE"))</f>
        <v/>
      </c>
      <c r="H1520" s="8">
        <f>IF(B1520="","",IFERROR(VLOOKUP(--B1520,'CATALOGO CECO'!$A$2:$H$550,3,FALSE),""))</f>
        <v/>
      </c>
      <c r="I1520" s="8">
        <f>IF(B1520="","",IFERROR(VLOOKUP(--B1520,'CATALOGO CECO'!$A$2:$H$550,5,FALSE),""))</f>
        <v/>
      </c>
      <c r="J1520" s="8">
        <f>IF(B1520="","",IFERROR(VLOOKUP(--B1520,'CATALOGO CECO'!$A$2:$H$550,8,FALSE),""))</f>
        <v/>
      </c>
      <c r="K1520" s="8">
        <f>IF(COUNTA(A1520:F1520)=0,"",IF(OR(LEN(A1520)&lt;&gt;7,MID(A1520,5,1)&lt;&gt;"-",ISERROR(--LEFT(A1520,4)),ISERROR(--RIGHT(A1520,2))),"ERROR: PERIODO debe ser AAAA-MM",IF(B1520="","ERROR: falta CODIGO CECO",IF(G1520="CECO NO EXISTE","ERROR: CECO no existe en el catálogo",IF(C1520="","ERROR: falta CUENTA",IF(ISERROR(--C1520),"ERROR: CUENTA debe tener solo dígitos",IF(ISERROR(FIND(LEFT(C1520,1),"567")),"ERROR: CUENTA fuera de las clases de costo",IF(NOT(ISNUMBER(E1520)),"ERROR: VALOR debe ser numérico",IF(E1520=0,"AVISO: valor cero (no se carga)",IF(J1520&lt;&gt;"ACTIVO","NO SE CARGA: CECO en estado "&amp;J1520,"OK"))))))))))</f>
        <v/>
      </c>
    </row>
    <row r="1521">
      <c r="A1521" s="5" t="n"/>
      <c r="B1521" s="6" t="n"/>
      <c r="C1521" s="5" t="n"/>
      <c r="D1521" s="6" t="n"/>
      <c r="E1521" s="7" t="n"/>
      <c r="F1521" s="6" t="n"/>
      <c r="G1521" s="8">
        <f>IF(B1521="","",IFERROR(VLOOKUP(--B1521,'CATALOGO CECO'!$A$2:$H$550,2,FALSE),"CECO NO EXISTE"))</f>
        <v/>
      </c>
      <c r="H1521" s="8">
        <f>IF(B1521="","",IFERROR(VLOOKUP(--B1521,'CATALOGO CECO'!$A$2:$H$550,3,FALSE),""))</f>
        <v/>
      </c>
      <c r="I1521" s="8">
        <f>IF(B1521="","",IFERROR(VLOOKUP(--B1521,'CATALOGO CECO'!$A$2:$H$550,5,FALSE),""))</f>
        <v/>
      </c>
      <c r="J1521" s="8">
        <f>IF(B1521="","",IFERROR(VLOOKUP(--B1521,'CATALOGO CECO'!$A$2:$H$550,8,FALSE),""))</f>
        <v/>
      </c>
      <c r="K1521" s="8">
        <f>IF(COUNTA(A1521:F1521)=0,"",IF(OR(LEN(A1521)&lt;&gt;7,MID(A1521,5,1)&lt;&gt;"-",ISERROR(--LEFT(A1521,4)),ISERROR(--RIGHT(A1521,2))),"ERROR: PERIODO debe ser AAAA-MM",IF(B1521="","ERROR: falta CODIGO CECO",IF(G1521="CECO NO EXISTE","ERROR: CECO no existe en el catálogo",IF(C1521="","ERROR: falta CUENTA",IF(ISERROR(--C1521),"ERROR: CUENTA debe tener solo dígitos",IF(ISERROR(FIND(LEFT(C1521,1),"567")),"ERROR: CUENTA fuera de las clases de costo",IF(NOT(ISNUMBER(E1521)),"ERROR: VALOR debe ser numérico",IF(E1521=0,"AVISO: valor cero (no se carga)",IF(J1521&lt;&gt;"ACTIVO","NO SE CARGA: CECO en estado "&amp;J1521,"OK"))))))))))</f>
        <v/>
      </c>
    </row>
    <row r="1522">
      <c r="A1522" s="5" t="n"/>
      <c r="B1522" s="6" t="n"/>
      <c r="C1522" s="5" t="n"/>
      <c r="D1522" s="6" t="n"/>
      <c r="E1522" s="7" t="n"/>
      <c r="F1522" s="6" t="n"/>
      <c r="G1522" s="8">
        <f>IF(B1522="","",IFERROR(VLOOKUP(--B1522,'CATALOGO CECO'!$A$2:$H$550,2,FALSE),"CECO NO EXISTE"))</f>
        <v/>
      </c>
      <c r="H1522" s="8">
        <f>IF(B1522="","",IFERROR(VLOOKUP(--B1522,'CATALOGO CECO'!$A$2:$H$550,3,FALSE),""))</f>
        <v/>
      </c>
      <c r="I1522" s="8">
        <f>IF(B1522="","",IFERROR(VLOOKUP(--B1522,'CATALOGO CECO'!$A$2:$H$550,5,FALSE),""))</f>
        <v/>
      </c>
      <c r="J1522" s="8">
        <f>IF(B1522="","",IFERROR(VLOOKUP(--B1522,'CATALOGO CECO'!$A$2:$H$550,8,FALSE),""))</f>
        <v/>
      </c>
      <c r="K1522" s="8">
        <f>IF(COUNTA(A1522:F1522)=0,"",IF(OR(LEN(A1522)&lt;&gt;7,MID(A1522,5,1)&lt;&gt;"-",ISERROR(--LEFT(A1522,4)),ISERROR(--RIGHT(A1522,2))),"ERROR: PERIODO debe ser AAAA-MM",IF(B1522="","ERROR: falta CODIGO CECO",IF(G1522="CECO NO EXISTE","ERROR: CECO no existe en el catálogo",IF(C1522="","ERROR: falta CUENTA",IF(ISERROR(--C1522),"ERROR: CUENTA debe tener solo dígitos",IF(ISERROR(FIND(LEFT(C1522,1),"567")),"ERROR: CUENTA fuera de las clases de costo",IF(NOT(ISNUMBER(E1522)),"ERROR: VALOR debe ser numérico",IF(E1522=0,"AVISO: valor cero (no se carga)",IF(J1522&lt;&gt;"ACTIVO","NO SE CARGA: CECO en estado "&amp;J1522,"OK"))))))))))</f>
        <v/>
      </c>
    </row>
    <row r="1523">
      <c r="A1523" s="5" t="n"/>
      <c r="B1523" s="6" t="n"/>
      <c r="C1523" s="5" t="n"/>
      <c r="D1523" s="6" t="n"/>
      <c r="E1523" s="7" t="n"/>
      <c r="F1523" s="6" t="n"/>
      <c r="G1523" s="8">
        <f>IF(B1523="","",IFERROR(VLOOKUP(--B1523,'CATALOGO CECO'!$A$2:$H$550,2,FALSE),"CECO NO EXISTE"))</f>
        <v/>
      </c>
      <c r="H1523" s="8">
        <f>IF(B1523="","",IFERROR(VLOOKUP(--B1523,'CATALOGO CECO'!$A$2:$H$550,3,FALSE),""))</f>
        <v/>
      </c>
      <c r="I1523" s="8">
        <f>IF(B1523="","",IFERROR(VLOOKUP(--B1523,'CATALOGO CECO'!$A$2:$H$550,5,FALSE),""))</f>
        <v/>
      </c>
      <c r="J1523" s="8">
        <f>IF(B1523="","",IFERROR(VLOOKUP(--B1523,'CATALOGO CECO'!$A$2:$H$550,8,FALSE),""))</f>
        <v/>
      </c>
      <c r="K1523" s="8">
        <f>IF(COUNTA(A1523:F1523)=0,"",IF(OR(LEN(A1523)&lt;&gt;7,MID(A1523,5,1)&lt;&gt;"-",ISERROR(--LEFT(A1523,4)),ISERROR(--RIGHT(A1523,2))),"ERROR: PERIODO debe ser AAAA-MM",IF(B1523="","ERROR: falta CODIGO CECO",IF(G1523="CECO NO EXISTE","ERROR: CECO no existe en el catálogo",IF(C1523="","ERROR: falta CUENTA",IF(ISERROR(--C1523),"ERROR: CUENTA debe tener solo dígitos",IF(ISERROR(FIND(LEFT(C1523,1),"567")),"ERROR: CUENTA fuera de las clases de costo",IF(NOT(ISNUMBER(E1523)),"ERROR: VALOR debe ser numérico",IF(E1523=0,"AVISO: valor cero (no se carga)",IF(J1523&lt;&gt;"ACTIVO","NO SE CARGA: CECO en estado "&amp;J1523,"OK"))))))))))</f>
        <v/>
      </c>
    </row>
    <row r="1524">
      <c r="A1524" s="5" t="n"/>
      <c r="B1524" s="6" t="n"/>
      <c r="C1524" s="5" t="n"/>
      <c r="D1524" s="6" t="n"/>
      <c r="E1524" s="7" t="n"/>
      <c r="F1524" s="6" t="n"/>
      <c r="G1524" s="8">
        <f>IF(B1524="","",IFERROR(VLOOKUP(--B1524,'CATALOGO CECO'!$A$2:$H$550,2,FALSE),"CECO NO EXISTE"))</f>
        <v/>
      </c>
      <c r="H1524" s="8">
        <f>IF(B1524="","",IFERROR(VLOOKUP(--B1524,'CATALOGO CECO'!$A$2:$H$550,3,FALSE),""))</f>
        <v/>
      </c>
      <c r="I1524" s="8">
        <f>IF(B1524="","",IFERROR(VLOOKUP(--B1524,'CATALOGO CECO'!$A$2:$H$550,5,FALSE),""))</f>
        <v/>
      </c>
      <c r="J1524" s="8">
        <f>IF(B1524="","",IFERROR(VLOOKUP(--B1524,'CATALOGO CECO'!$A$2:$H$550,8,FALSE),""))</f>
        <v/>
      </c>
      <c r="K1524" s="8">
        <f>IF(COUNTA(A1524:F1524)=0,"",IF(OR(LEN(A1524)&lt;&gt;7,MID(A1524,5,1)&lt;&gt;"-",ISERROR(--LEFT(A1524,4)),ISERROR(--RIGHT(A1524,2))),"ERROR: PERIODO debe ser AAAA-MM",IF(B1524="","ERROR: falta CODIGO CECO",IF(G1524="CECO NO EXISTE","ERROR: CECO no existe en el catálogo",IF(C1524="","ERROR: falta CUENTA",IF(ISERROR(--C1524),"ERROR: CUENTA debe tener solo dígitos",IF(ISERROR(FIND(LEFT(C1524,1),"567")),"ERROR: CUENTA fuera de las clases de costo",IF(NOT(ISNUMBER(E1524)),"ERROR: VALOR debe ser numérico",IF(E1524=0,"AVISO: valor cero (no se carga)",IF(J1524&lt;&gt;"ACTIVO","NO SE CARGA: CECO en estado "&amp;J1524,"OK"))))))))))</f>
        <v/>
      </c>
    </row>
    <row r="1525">
      <c r="A1525" s="5" t="n"/>
      <c r="B1525" s="6" t="n"/>
      <c r="C1525" s="5" t="n"/>
      <c r="D1525" s="6" t="n"/>
      <c r="E1525" s="7" t="n"/>
      <c r="F1525" s="6" t="n"/>
      <c r="G1525" s="8">
        <f>IF(B1525="","",IFERROR(VLOOKUP(--B1525,'CATALOGO CECO'!$A$2:$H$550,2,FALSE),"CECO NO EXISTE"))</f>
        <v/>
      </c>
      <c r="H1525" s="8">
        <f>IF(B1525="","",IFERROR(VLOOKUP(--B1525,'CATALOGO CECO'!$A$2:$H$550,3,FALSE),""))</f>
        <v/>
      </c>
      <c r="I1525" s="8">
        <f>IF(B1525="","",IFERROR(VLOOKUP(--B1525,'CATALOGO CECO'!$A$2:$H$550,5,FALSE),""))</f>
        <v/>
      </c>
      <c r="J1525" s="8">
        <f>IF(B1525="","",IFERROR(VLOOKUP(--B1525,'CATALOGO CECO'!$A$2:$H$550,8,FALSE),""))</f>
        <v/>
      </c>
      <c r="K1525" s="8">
        <f>IF(COUNTA(A1525:F1525)=0,"",IF(OR(LEN(A1525)&lt;&gt;7,MID(A1525,5,1)&lt;&gt;"-",ISERROR(--LEFT(A1525,4)),ISERROR(--RIGHT(A1525,2))),"ERROR: PERIODO debe ser AAAA-MM",IF(B1525="","ERROR: falta CODIGO CECO",IF(G1525="CECO NO EXISTE","ERROR: CECO no existe en el catálogo",IF(C1525="","ERROR: falta CUENTA",IF(ISERROR(--C1525),"ERROR: CUENTA debe tener solo dígitos",IF(ISERROR(FIND(LEFT(C1525,1),"567")),"ERROR: CUENTA fuera de las clases de costo",IF(NOT(ISNUMBER(E1525)),"ERROR: VALOR debe ser numérico",IF(E1525=0,"AVISO: valor cero (no se carga)",IF(J1525&lt;&gt;"ACTIVO","NO SE CARGA: CECO en estado "&amp;J1525,"OK"))))))))))</f>
        <v/>
      </c>
    </row>
    <row r="1526">
      <c r="A1526" s="5" t="n"/>
      <c r="B1526" s="6" t="n"/>
      <c r="C1526" s="5" t="n"/>
      <c r="D1526" s="6" t="n"/>
      <c r="E1526" s="7" t="n"/>
      <c r="F1526" s="6" t="n"/>
      <c r="G1526" s="8">
        <f>IF(B1526="","",IFERROR(VLOOKUP(--B1526,'CATALOGO CECO'!$A$2:$H$550,2,FALSE),"CECO NO EXISTE"))</f>
        <v/>
      </c>
      <c r="H1526" s="8">
        <f>IF(B1526="","",IFERROR(VLOOKUP(--B1526,'CATALOGO CECO'!$A$2:$H$550,3,FALSE),""))</f>
        <v/>
      </c>
      <c r="I1526" s="8">
        <f>IF(B1526="","",IFERROR(VLOOKUP(--B1526,'CATALOGO CECO'!$A$2:$H$550,5,FALSE),""))</f>
        <v/>
      </c>
      <c r="J1526" s="8">
        <f>IF(B1526="","",IFERROR(VLOOKUP(--B1526,'CATALOGO CECO'!$A$2:$H$550,8,FALSE),""))</f>
        <v/>
      </c>
      <c r="K1526" s="8">
        <f>IF(COUNTA(A1526:F1526)=0,"",IF(OR(LEN(A1526)&lt;&gt;7,MID(A1526,5,1)&lt;&gt;"-",ISERROR(--LEFT(A1526,4)),ISERROR(--RIGHT(A1526,2))),"ERROR: PERIODO debe ser AAAA-MM",IF(B1526="","ERROR: falta CODIGO CECO",IF(G1526="CECO NO EXISTE","ERROR: CECO no existe en el catálogo",IF(C1526="","ERROR: falta CUENTA",IF(ISERROR(--C1526),"ERROR: CUENTA debe tener solo dígitos",IF(ISERROR(FIND(LEFT(C1526,1),"567")),"ERROR: CUENTA fuera de las clases de costo",IF(NOT(ISNUMBER(E1526)),"ERROR: VALOR debe ser numérico",IF(E1526=0,"AVISO: valor cero (no se carga)",IF(J1526&lt;&gt;"ACTIVO","NO SE CARGA: CECO en estado "&amp;J1526,"OK"))))))))))</f>
        <v/>
      </c>
    </row>
    <row r="1527">
      <c r="A1527" s="5" t="n"/>
      <c r="B1527" s="6" t="n"/>
      <c r="C1527" s="5" t="n"/>
      <c r="D1527" s="6" t="n"/>
      <c r="E1527" s="7" t="n"/>
      <c r="F1527" s="6" t="n"/>
      <c r="G1527" s="8">
        <f>IF(B1527="","",IFERROR(VLOOKUP(--B1527,'CATALOGO CECO'!$A$2:$H$550,2,FALSE),"CECO NO EXISTE"))</f>
        <v/>
      </c>
      <c r="H1527" s="8">
        <f>IF(B1527="","",IFERROR(VLOOKUP(--B1527,'CATALOGO CECO'!$A$2:$H$550,3,FALSE),""))</f>
        <v/>
      </c>
      <c r="I1527" s="8">
        <f>IF(B1527="","",IFERROR(VLOOKUP(--B1527,'CATALOGO CECO'!$A$2:$H$550,5,FALSE),""))</f>
        <v/>
      </c>
      <c r="J1527" s="8">
        <f>IF(B1527="","",IFERROR(VLOOKUP(--B1527,'CATALOGO CECO'!$A$2:$H$550,8,FALSE),""))</f>
        <v/>
      </c>
      <c r="K1527" s="8">
        <f>IF(COUNTA(A1527:F1527)=0,"",IF(OR(LEN(A1527)&lt;&gt;7,MID(A1527,5,1)&lt;&gt;"-",ISERROR(--LEFT(A1527,4)),ISERROR(--RIGHT(A1527,2))),"ERROR: PERIODO debe ser AAAA-MM",IF(B1527="","ERROR: falta CODIGO CECO",IF(G1527="CECO NO EXISTE","ERROR: CECO no existe en el catálogo",IF(C1527="","ERROR: falta CUENTA",IF(ISERROR(--C1527),"ERROR: CUENTA debe tener solo dígitos",IF(ISERROR(FIND(LEFT(C1527,1),"567")),"ERROR: CUENTA fuera de las clases de costo",IF(NOT(ISNUMBER(E1527)),"ERROR: VALOR debe ser numérico",IF(E1527=0,"AVISO: valor cero (no se carga)",IF(J1527&lt;&gt;"ACTIVO","NO SE CARGA: CECO en estado "&amp;J1527,"OK"))))))))))</f>
        <v/>
      </c>
    </row>
    <row r="1528">
      <c r="A1528" s="5" t="n"/>
      <c r="B1528" s="6" t="n"/>
      <c r="C1528" s="5" t="n"/>
      <c r="D1528" s="6" t="n"/>
      <c r="E1528" s="7" t="n"/>
      <c r="F1528" s="6" t="n"/>
      <c r="G1528" s="8">
        <f>IF(B1528="","",IFERROR(VLOOKUP(--B1528,'CATALOGO CECO'!$A$2:$H$550,2,FALSE),"CECO NO EXISTE"))</f>
        <v/>
      </c>
      <c r="H1528" s="8">
        <f>IF(B1528="","",IFERROR(VLOOKUP(--B1528,'CATALOGO CECO'!$A$2:$H$550,3,FALSE),""))</f>
        <v/>
      </c>
      <c r="I1528" s="8">
        <f>IF(B1528="","",IFERROR(VLOOKUP(--B1528,'CATALOGO CECO'!$A$2:$H$550,5,FALSE),""))</f>
        <v/>
      </c>
      <c r="J1528" s="8">
        <f>IF(B1528="","",IFERROR(VLOOKUP(--B1528,'CATALOGO CECO'!$A$2:$H$550,8,FALSE),""))</f>
        <v/>
      </c>
      <c r="K1528" s="8">
        <f>IF(COUNTA(A1528:F1528)=0,"",IF(OR(LEN(A1528)&lt;&gt;7,MID(A1528,5,1)&lt;&gt;"-",ISERROR(--LEFT(A1528,4)),ISERROR(--RIGHT(A1528,2))),"ERROR: PERIODO debe ser AAAA-MM",IF(B1528="","ERROR: falta CODIGO CECO",IF(G1528="CECO NO EXISTE","ERROR: CECO no existe en el catálogo",IF(C1528="","ERROR: falta CUENTA",IF(ISERROR(--C1528),"ERROR: CUENTA debe tener solo dígitos",IF(ISERROR(FIND(LEFT(C1528,1),"567")),"ERROR: CUENTA fuera de las clases de costo",IF(NOT(ISNUMBER(E1528)),"ERROR: VALOR debe ser numérico",IF(E1528=0,"AVISO: valor cero (no se carga)",IF(J1528&lt;&gt;"ACTIVO","NO SE CARGA: CECO en estado "&amp;J1528,"OK"))))))))))</f>
        <v/>
      </c>
    </row>
    <row r="1529">
      <c r="A1529" s="5" t="n"/>
      <c r="B1529" s="6" t="n"/>
      <c r="C1529" s="5" t="n"/>
      <c r="D1529" s="6" t="n"/>
      <c r="E1529" s="7" t="n"/>
      <c r="F1529" s="6" t="n"/>
      <c r="G1529" s="8">
        <f>IF(B1529="","",IFERROR(VLOOKUP(--B1529,'CATALOGO CECO'!$A$2:$H$550,2,FALSE),"CECO NO EXISTE"))</f>
        <v/>
      </c>
      <c r="H1529" s="8">
        <f>IF(B1529="","",IFERROR(VLOOKUP(--B1529,'CATALOGO CECO'!$A$2:$H$550,3,FALSE),""))</f>
        <v/>
      </c>
      <c r="I1529" s="8">
        <f>IF(B1529="","",IFERROR(VLOOKUP(--B1529,'CATALOGO CECO'!$A$2:$H$550,5,FALSE),""))</f>
        <v/>
      </c>
      <c r="J1529" s="8">
        <f>IF(B1529="","",IFERROR(VLOOKUP(--B1529,'CATALOGO CECO'!$A$2:$H$550,8,FALSE),""))</f>
        <v/>
      </c>
      <c r="K1529" s="8">
        <f>IF(COUNTA(A1529:F1529)=0,"",IF(OR(LEN(A1529)&lt;&gt;7,MID(A1529,5,1)&lt;&gt;"-",ISERROR(--LEFT(A1529,4)),ISERROR(--RIGHT(A1529,2))),"ERROR: PERIODO debe ser AAAA-MM",IF(B1529="","ERROR: falta CODIGO CECO",IF(G1529="CECO NO EXISTE","ERROR: CECO no existe en el catálogo",IF(C1529="","ERROR: falta CUENTA",IF(ISERROR(--C1529),"ERROR: CUENTA debe tener solo dígitos",IF(ISERROR(FIND(LEFT(C1529,1),"567")),"ERROR: CUENTA fuera de las clases de costo",IF(NOT(ISNUMBER(E1529)),"ERROR: VALOR debe ser numérico",IF(E1529=0,"AVISO: valor cero (no se carga)",IF(J1529&lt;&gt;"ACTIVO","NO SE CARGA: CECO en estado "&amp;J1529,"OK"))))))))))</f>
        <v/>
      </c>
    </row>
    <row r="1530">
      <c r="A1530" s="5" t="n"/>
      <c r="B1530" s="6" t="n"/>
      <c r="C1530" s="5" t="n"/>
      <c r="D1530" s="6" t="n"/>
      <c r="E1530" s="7" t="n"/>
      <c r="F1530" s="6" t="n"/>
      <c r="G1530" s="8">
        <f>IF(B1530="","",IFERROR(VLOOKUP(--B1530,'CATALOGO CECO'!$A$2:$H$550,2,FALSE),"CECO NO EXISTE"))</f>
        <v/>
      </c>
      <c r="H1530" s="8">
        <f>IF(B1530="","",IFERROR(VLOOKUP(--B1530,'CATALOGO CECO'!$A$2:$H$550,3,FALSE),""))</f>
        <v/>
      </c>
      <c r="I1530" s="8">
        <f>IF(B1530="","",IFERROR(VLOOKUP(--B1530,'CATALOGO CECO'!$A$2:$H$550,5,FALSE),""))</f>
        <v/>
      </c>
      <c r="J1530" s="8">
        <f>IF(B1530="","",IFERROR(VLOOKUP(--B1530,'CATALOGO CECO'!$A$2:$H$550,8,FALSE),""))</f>
        <v/>
      </c>
      <c r="K1530" s="8">
        <f>IF(COUNTA(A1530:F1530)=0,"",IF(OR(LEN(A1530)&lt;&gt;7,MID(A1530,5,1)&lt;&gt;"-",ISERROR(--LEFT(A1530,4)),ISERROR(--RIGHT(A1530,2))),"ERROR: PERIODO debe ser AAAA-MM",IF(B1530="","ERROR: falta CODIGO CECO",IF(G1530="CECO NO EXISTE","ERROR: CECO no existe en el catálogo",IF(C1530="","ERROR: falta CUENTA",IF(ISERROR(--C1530),"ERROR: CUENTA debe tener solo dígitos",IF(ISERROR(FIND(LEFT(C1530,1),"567")),"ERROR: CUENTA fuera de las clases de costo",IF(NOT(ISNUMBER(E1530)),"ERROR: VALOR debe ser numérico",IF(E1530=0,"AVISO: valor cero (no se carga)",IF(J1530&lt;&gt;"ACTIVO","NO SE CARGA: CECO en estado "&amp;J1530,"OK"))))))))))</f>
        <v/>
      </c>
    </row>
    <row r="1531">
      <c r="A1531" s="5" t="n"/>
      <c r="B1531" s="6" t="n"/>
      <c r="C1531" s="5" t="n"/>
      <c r="D1531" s="6" t="n"/>
      <c r="E1531" s="7" t="n"/>
      <c r="F1531" s="6" t="n"/>
      <c r="G1531" s="8">
        <f>IF(B1531="","",IFERROR(VLOOKUP(--B1531,'CATALOGO CECO'!$A$2:$H$550,2,FALSE),"CECO NO EXISTE"))</f>
        <v/>
      </c>
      <c r="H1531" s="8">
        <f>IF(B1531="","",IFERROR(VLOOKUP(--B1531,'CATALOGO CECO'!$A$2:$H$550,3,FALSE),""))</f>
        <v/>
      </c>
      <c r="I1531" s="8">
        <f>IF(B1531="","",IFERROR(VLOOKUP(--B1531,'CATALOGO CECO'!$A$2:$H$550,5,FALSE),""))</f>
        <v/>
      </c>
      <c r="J1531" s="8">
        <f>IF(B1531="","",IFERROR(VLOOKUP(--B1531,'CATALOGO CECO'!$A$2:$H$550,8,FALSE),""))</f>
        <v/>
      </c>
      <c r="K1531" s="8">
        <f>IF(COUNTA(A1531:F1531)=0,"",IF(OR(LEN(A1531)&lt;&gt;7,MID(A1531,5,1)&lt;&gt;"-",ISERROR(--LEFT(A1531,4)),ISERROR(--RIGHT(A1531,2))),"ERROR: PERIODO debe ser AAAA-MM",IF(B1531="","ERROR: falta CODIGO CECO",IF(G1531="CECO NO EXISTE","ERROR: CECO no existe en el catálogo",IF(C1531="","ERROR: falta CUENTA",IF(ISERROR(--C1531),"ERROR: CUENTA debe tener solo dígitos",IF(ISERROR(FIND(LEFT(C1531,1),"567")),"ERROR: CUENTA fuera de las clases de costo",IF(NOT(ISNUMBER(E1531)),"ERROR: VALOR debe ser numérico",IF(E1531=0,"AVISO: valor cero (no se carga)",IF(J1531&lt;&gt;"ACTIVO","NO SE CARGA: CECO en estado "&amp;J1531,"OK"))))))))))</f>
        <v/>
      </c>
    </row>
    <row r="1532">
      <c r="A1532" s="5" t="n"/>
      <c r="B1532" s="6" t="n"/>
      <c r="C1532" s="5" t="n"/>
      <c r="D1532" s="6" t="n"/>
      <c r="E1532" s="7" t="n"/>
      <c r="F1532" s="6" t="n"/>
      <c r="G1532" s="8">
        <f>IF(B1532="","",IFERROR(VLOOKUP(--B1532,'CATALOGO CECO'!$A$2:$H$550,2,FALSE),"CECO NO EXISTE"))</f>
        <v/>
      </c>
      <c r="H1532" s="8">
        <f>IF(B1532="","",IFERROR(VLOOKUP(--B1532,'CATALOGO CECO'!$A$2:$H$550,3,FALSE),""))</f>
        <v/>
      </c>
      <c r="I1532" s="8">
        <f>IF(B1532="","",IFERROR(VLOOKUP(--B1532,'CATALOGO CECO'!$A$2:$H$550,5,FALSE),""))</f>
        <v/>
      </c>
      <c r="J1532" s="8">
        <f>IF(B1532="","",IFERROR(VLOOKUP(--B1532,'CATALOGO CECO'!$A$2:$H$550,8,FALSE),""))</f>
        <v/>
      </c>
      <c r="K1532" s="8">
        <f>IF(COUNTA(A1532:F1532)=0,"",IF(OR(LEN(A1532)&lt;&gt;7,MID(A1532,5,1)&lt;&gt;"-",ISERROR(--LEFT(A1532,4)),ISERROR(--RIGHT(A1532,2))),"ERROR: PERIODO debe ser AAAA-MM",IF(B1532="","ERROR: falta CODIGO CECO",IF(G1532="CECO NO EXISTE","ERROR: CECO no existe en el catálogo",IF(C1532="","ERROR: falta CUENTA",IF(ISERROR(--C1532),"ERROR: CUENTA debe tener solo dígitos",IF(ISERROR(FIND(LEFT(C1532,1),"567")),"ERROR: CUENTA fuera de las clases de costo",IF(NOT(ISNUMBER(E1532)),"ERROR: VALOR debe ser numérico",IF(E1532=0,"AVISO: valor cero (no se carga)",IF(J1532&lt;&gt;"ACTIVO","NO SE CARGA: CECO en estado "&amp;J1532,"OK"))))))))))</f>
        <v/>
      </c>
    </row>
    <row r="1533">
      <c r="A1533" s="5" t="n"/>
      <c r="B1533" s="6" t="n"/>
      <c r="C1533" s="5" t="n"/>
      <c r="D1533" s="6" t="n"/>
      <c r="E1533" s="7" t="n"/>
      <c r="F1533" s="6" t="n"/>
      <c r="G1533" s="8">
        <f>IF(B1533="","",IFERROR(VLOOKUP(--B1533,'CATALOGO CECO'!$A$2:$H$550,2,FALSE),"CECO NO EXISTE"))</f>
        <v/>
      </c>
      <c r="H1533" s="8">
        <f>IF(B1533="","",IFERROR(VLOOKUP(--B1533,'CATALOGO CECO'!$A$2:$H$550,3,FALSE),""))</f>
        <v/>
      </c>
      <c r="I1533" s="8">
        <f>IF(B1533="","",IFERROR(VLOOKUP(--B1533,'CATALOGO CECO'!$A$2:$H$550,5,FALSE),""))</f>
        <v/>
      </c>
      <c r="J1533" s="8">
        <f>IF(B1533="","",IFERROR(VLOOKUP(--B1533,'CATALOGO CECO'!$A$2:$H$550,8,FALSE),""))</f>
        <v/>
      </c>
      <c r="K1533" s="8">
        <f>IF(COUNTA(A1533:F1533)=0,"",IF(OR(LEN(A1533)&lt;&gt;7,MID(A1533,5,1)&lt;&gt;"-",ISERROR(--LEFT(A1533,4)),ISERROR(--RIGHT(A1533,2))),"ERROR: PERIODO debe ser AAAA-MM",IF(B1533="","ERROR: falta CODIGO CECO",IF(G1533="CECO NO EXISTE","ERROR: CECO no existe en el catálogo",IF(C1533="","ERROR: falta CUENTA",IF(ISERROR(--C1533),"ERROR: CUENTA debe tener solo dígitos",IF(ISERROR(FIND(LEFT(C1533,1),"567")),"ERROR: CUENTA fuera de las clases de costo",IF(NOT(ISNUMBER(E1533)),"ERROR: VALOR debe ser numérico",IF(E1533=0,"AVISO: valor cero (no se carga)",IF(J1533&lt;&gt;"ACTIVO","NO SE CARGA: CECO en estado "&amp;J1533,"OK"))))))))))</f>
        <v/>
      </c>
    </row>
    <row r="1534">
      <c r="A1534" s="5" t="n"/>
      <c r="B1534" s="6" t="n"/>
      <c r="C1534" s="5" t="n"/>
      <c r="D1534" s="6" t="n"/>
      <c r="E1534" s="7" t="n"/>
      <c r="F1534" s="6" t="n"/>
      <c r="G1534" s="8">
        <f>IF(B1534="","",IFERROR(VLOOKUP(--B1534,'CATALOGO CECO'!$A$2:$H$550,2,FALSE),"CECO NO EXISTE"))</f>
        <v/>
      </c>
      <c r="H1534" s="8">
        <f>IF(B1534="","",IFERROR(VLOOKUP(--B1534,'CATALOGO CECO'!$A$2:$H$550,3,FALSE),""))</f>
        <v/>
      </c>
      <c r="I1534" s="8">
        <f>IF(B1534="","",IFERROR(VLOOKUP(--B1534,'CATALOGO CECO'!$A$2:$H$550,5,FALSE),""))</f>
        <v/>
      </c>
      <c r="J1534" s="8">
        <f>IF(B1534="","",IFERROR(VLOOKUP(--B1534,'CATALOGO CECO'!$A$2:$H$550,8,FALSE),""))</f>
        <v/>
      </c>
      <c r="K1534" s="8">
        <f>IF(COUNTA(A1534:F1534)=0,"",IF(OR(LEN(A1534)&lt;&gt;7,MID(A1534,5,1)&lt;&gt;"-",ISERROR(--LEFT(A1534,4)),ISERROR(--RIGHT(A1534,2))),"ERROR: PERIODO debe ser AAAA-MM",IF(B1534="","ERROR: falta CODIGO CECO",IF(G1534="CECO NO EXISTE","ERROR: CECO no existe en el catálogo",IF(C1534="","ERROR: falta CUENTA",IF(ISERROR(--C1534),"ERROR: CUENTA debe tener solo dígitos",IF(ISERROR(FIND(LEFT(C1534,1),"567")),"ERROR: CUENTA fuera de las clases de costo",IF(NOT(ISNUMBER(E1534)),"ERROR: VALOR debe ser numérico",IF(E1534=0,"AVISO: valor cero (no se carga)",IF(J1534&lt;&gt;"ACTIVO","NO SE CARGA: CECO en estado "&amp;J1534,"OK"))))))))))</f>
        <v/>
      </c>
    </row>
    <row r="1535">
      <c r="A1535" s="5" t="n"/>
      <c r="B1535" s="6" t="n"/>
      <c r="C1535" s="5" t="n"/>
      <c r="D1535" s="6" t="n"/>
      <c r="E1535" s="7" t="n"/>
      <c r="F1535" s="6" t="n"/>
      <c r="G1535" s="8">
        <f>IF(B1535="","",IFERROR(VLOOKUP(--B1535,'CATALOGO CECO'!$A$2:$H$550,2,FALSE),"CECO NO EXISTE"))</f>
        <v/>
      </c>
      <c r="H1535" s="8">
        <f>IF(B1535="","",IFERROR(VLOOKUP(--B1535,'CATALOGO CECO'!$A$2:$H$550,3,FALSE),""))</f>
        <v/>
      </c>
      <c r="I1535" s="8">
        <f>IF(B1535="","",IFERROR(VLOOKUP(--B1535,'CATALOGO CECO'!$A$2:$H$550,5,FALSE),""))</f>
        <v/>
      </c>
      <c r="J1535" s="8">
        <f>IF(B1535="","",IFERROR(VLOOKUP(--B1535,'CATALOGO CECO'!$A$2:$H$550,8,FALSE),""))</f>
        <v/>
      </c>
      <c r="K1535" s="8">
        <f>IF(COUNTA(A1535:F1535)=0,"",IF(OR(LEN(A1535)&lt;&gt;7,MID(A1535,5,1)&lt;&gt;"-",ISERROR(--LEFT(A1535,4)),ISERROR(--RIGHT(A1535,2))),"ERROR: PERIODO debe ser AAAA-MM",IF(B1535="","ERROR: falta CODIGO CECO",IF(G1535="CECO NO EXISTE","ERROR: CECO no existe en el catálogo",IF(C1535="","ERROR: falta CUENTA",IF(ISERROR(--C1535),"ERROR: CUENTA debe tener solo dígitos",IF(ISERROR(FIND(LEFT(C1535,1),"567")),"ERROR: CUENTA fuera de las clases de costo",IF(NOT(ISNUMBER(E1535)),"ERROR: VALOR debe ser numérico",IF(E1535=0,"AVISO: valor cero (no se carga)",IF(J1535&lt;&gt;"ACTIVO","NO SE CARGA: CECO en estado "&amp;J1535,"OK"))))))))))</f>
        <v/>
      </c>
    </row>
    <row r="1536">
      <c r="A1536" s="5" t="n"/>
      <c r="B1536" s="6" t="n"/>
      <c r="C1536" s="5" t="n"/>
      <c r="D1536" s="6" t="n"/>
      <c r="E1536" s="7" t="n"/>
      <c r="F1536" s="6" t="n"/>
      <c r="G1536" s="8">
        <f>IF(B1536="","",IFERROR(VLOOKUP(--B1536,'CATALOGO CECO'!$A$2:$H$550,2,FALSE),"CECO NO EXISTE"))</f>
        <v/>
      </c>
      <c r="H1536" s="8">
        <f>IF(B1536="","",IFERROR(VLOOKUP(--B1536,'CATALOGO CECO'!$A$2:$H$550,3,FALSE),""))</f>
        <v/>
      </c>
      <c r="I1536" s="8">
        <f>IF(B1536="","",IFERROR(VLOOKUP(--B1536,'CATALOGO CECO'!$A$2:$H$550,5,FALSE),""))</f>
        <v/>
      </c>
      <c r="J1536" s="8">
        <f>IF(B1536="","",IFERROR(VLOOKUP(--B1536,'CATALOGO CECO'!$A$2:$H$550,8,FALSE),""))</f>
        <v/>
      </c>
      <c r="K1536" s="8">
        <f>IF(COUNTA(A1536:F1536)=0,"",IF(OR(LEN(A1536)&lt;&gt;7,MID(A1536,5,1)&lt;&gt;"-",ISERROR(--LEFT(A1536,4)),ISERROR(--RIGHT(A1536,2))),"ERROR: PERIODO debe ser AAAA-MM",IF(B1536="","ERROR: falta CODIGO CECO",IF(G1536="CECO NO EXISTE","ERROR: CECO no existe en el catálogo",IF(C1536="","ERROR: falta CUENTA",IF(ISERROR(--C1536),"ERROR: CUENTA debe tener solo dígitos",IF(ISERROR(FIND(LEFT(C1536,1),"567")),"ERROR: CUENTA fuera de las clases de costo",IF(NOT(ISNUMBER(E1536)),"ERROR: VALOR debe ser numérico",IF(E1536=0,"AVISO: valor cero (no se carga)",IF(J1536&lt;&gt;"ACTIVO","NO SE CARGA: CECO en estado "&amp;J1536,"OK"))))))))))</f>
        <v/>
      </c>
    </row>
    <row r="1537">
      <c r="A1537" s="5" t="n"/>
      <c r="B1537" s="6" t="n"/>
      <c r="C1537" s="5" t="n"/>
      <c r="D1537" s="6" t="n"/>
      <c r="E1537" s="7" t="n"/>
      <c r="F1537" s="6" t="n"/>
      <c r="G1537" s="8">
        <f>IF(B1537="","",IFERROR(VLOOKUP(--B1537,'CATALOGO CECO'!$A$2:$H$550,2,FALSE),"CECO NO EXISTE"))</f>
        <v/>
      </c>
      <c r="H1537" s="8">
        <f>IF(B1537="","",IFERROR(VLOOKUP(--B1537,'CATALOGO CECO'!$A$2:$H$550,3,FALSE),""))</f>
        <v/>
      </c>
      <c r="I1537" s="8">
        <f>IF(B1537="","",IFERROR(VLOOKUP(--B1537,'CATALOGO CECO'!$A$2:$H$550,5,FALSE),""))</f>
        <v/>
      </c>
      <c r="J1537" s="8">
        <f>IF(B1537="","",IFERROR(VLOOKUP(--B1537,'CATALOGO CECO'!$A$2:$H$550,8,FALSE),""))</f>
        <v/>
      </c>
      <c r="K1537" s="8">
        <f>IF(COUNTA(A1537:F1537)=0,"",IF(OR(LEN(A1537)&lt;&gt;7,MID(A1537,5,1)&lt;&gt;"-",ISERROR(--LEFT(A1537,4)),ISERROR(--RIGHT(A1537,2))),"ERROR: PERIODO debe ser AAAA-MM",IF(B1537="","ERROR: falta CODIGO CECO",IF(G1537="CECO NO EXISTE","ERROR: CECO no existe en el catálogo",IF(C1537="","ERROR: falta CUENTA",IF(ISERROR(--C1537),"ERROR: CUENTA debe tener solo dígitos",IF(ISERROR(FIND(LEFT(C1537,1),"567")),"ERROR: CUENTA fuera de las clases de costo",IF(NOT(ISNUMBER(E1537)),"ERROR: VALOR debe ser numérico",IF(E1537=0,"AVISO: valor cero (no se carga)",IF(J1537&lt;&gt;"ACTIVO","NO SE CARGA: CECO en estado "&amp;J1537,"OK"))))))))))</f>
        <v/>
      </c>
    </row>
    <row r="1538">
      <c r="A1538" s="5" t="n"/>
      <c r="B1538" s="6" t="n"/>
      <c r="C1538" s="5" t="n"/>
      <c r="D1538" s="6" t="n"/>
      <c r="E1538" s="7" t="n"/>
      <c r="F1538" s="6" t="n"/>
      <c r="G1538" s="8">
        <f>IF(B1538="","",IFERROR(VLOOKUP(--B1538,'CATALOGO CECO'!$A$2:$H$550,2,FALSE),"CECO NO EXISTE"))</f>
        <v/>
      </c>
      <c r="H1538" s="8">
        <f>IF(B1538="","",IFERROR(VLOOKUP(--B1538,'CATALOGO CECO'!$A$2:$H$550,3,FALSE),""))</f>
        <v/>
      </c>
      <c r="I1538" s="8">
        <f>IF(B1538="","",IFERROR(VLOOKUP(--B1538,'CATALOGO CECO'!$A$2:$H$550,5,FALSE),""))</f>
        <v/>
      </c>
      <c r="J1538" s="8">
        <f>IF(B1538="","",IFERROR(VLOOKUP(--B1538,'CATALOGO CECO'!$A$2:$H$550,8,FALSE),""))</f>
        <v/>
      </c>
      <c r="K1538" s="8">
        <f>IF(COUNTA(A1538:F1538)=0,"",IF(OR(LEN(A1538)&lt;&gt;7,MID(A1538,5,1)&lt;&gt;"-",ISERROR(--LEFT(A1538,4)),ISERROR(--RIGHT(A1538,2))),"ERROR: PERIODO debe ser AAAA-MM",IF(B1538="","ERROR: falta CODIGO CECO",IF(G1538="CECO NO EXISTE","ERROR: CECO no existe en el catálogo",IF(C1538="","ERROR: falta CUENTA",IF(ISERROR(--C1538),"ERROR: CUENTA debe tener solo dígitos",IF(ISERROR(FIND(LEFT(C1538,1),"567")),"ERROR: CUENTA fuera de las clases de costo",IF(NOT(ISNUMBER(E1538)),"ERROR: VALOR debe ser numérico",IF(E1538=0,"AVISO: valor cero (no se carga)",IF(J1538&lt;&gt;"ACTIVO","NO SE CARGA: CECO en estado "&amp;J1538,"OK"))))))))))</f>
        <v/>
      </c>
    </row>
    <row r="1539">
      <c r="A1539" s="5" t="n"/>
      <c r="B1539" s="6" t="n"/>
      <c r="C1539" s="5" t="n"/>
      <c r="D1539" s="6" t="n"/>
      <c r="E1539" s="7" t="n"/>
      <c r="F1539" s="6" t="n"/>
      <c r="G1539" s="8">
        <f>IF(B1539="","",IFERROR(VLOOKUP(--B1539,'CATALOGO CECO'!$A$2:$H$550,2,FALSE),"CECO NO EXISTE"))</f>
        <v/>
      </c>
      <c r="H1539" s="8">
        <f>IF(B1539="","",IFERROR(VLOOKUP(--B1539,'CATALOGO CECO'!$A$2:$H$550,3,FALSE),""))</f>
        <v/>
      </c>
      <c r="I1539" s="8">
        <f>IF(B1539="","",IFERROR(VLOOKUP(--B1539,'CATALOGO CECO'!$A$2:$H$550,5,FALSE),""))</f>
        <v/>
      </c>
      <c r="J1539" s="8">
        <f>IF(B1539="","",IFERROR(VLOOKUP(--B1539,'CATALOGO CECO'!$A$2:$H$550,8,FALSE),""))</f>
        <v/>
      </c>
      <c r="K1539" s="8">
        <f>IF(COUNTA(A1539:F1539)=0,"",IF(OR(LEN(A1539)&lt;&gt;7,MID(A1539,5,1)&lt;&gt;"-",ISERROR(--LEFT(A1539,4)),ISERROR(--RIGHT(A1539,2))),"ERROR: PERIODO debe ser AAAA-MM",IF(B1539="","ERROR: falta CODIGO CECO",IF(G1539="CECO NO EXISTE","ERROR: CECO no existe en el catálogo",IF(C1539="","ERROR: falta CUENTA",IF(ISERROR(--C1539),"ERROR: CUENTA debe tener solo dígitos",IF(ISERROR(FIND(LEFT(C1539,1),"567")),"ERROR: CUENTA fuera de las clases de costo",IF(NOT(ISNUMBER(E1539)),"ERROR: VALOR debe ser numérico",IF(E1539=0,"AVISO: valor cero (no se carga)",IF(J1539&lt;&gt;"ACTIVO","NO SE CARGA: CECO en estado "&amp;J1539,"OK"))))))))))</f>
        <v/>
      </c>
    </row>
    <row r="1540">
      <c r="A1540" s="5" t="n"/>
      <c r="B1540" s="6" t="n"/>
      <c r="C1540" s="5" t="n"/>
      <c r="D1540" s="6" t="n"/>
      <c r="E1540" s="7" t="n"/>
      <c r="F1540" s="6" t="n"/>
      <c r="G1540" s="8">
        <f>IF(B1540="","",IFERROR(VLOOKUP(--B1540,'CATALOGO CECO'!$A$2:$H$550,2,FALSE),"CECO NO EXISTE"))</f>
        <v/>
      </c>
      <c r="H1540" s="8">
        <f>IF(B1540="","",IFERROR(VLOOKUP(--B1540,'CATALOGO CECO'!$A$2:$H$550,3,FALSE),""))</f>
        <v/>
      </c>
      <c r="I1540" s="8">
        <f>IF(B1540="","",IFERROR(VLOOKUP(--B1540,'CATALOGO CECO'!$A$2:$H$550,5,FALSE),""))</f>
        <v/>
      </c>
      <c r="J1540" s="8">
        <f>IF(B1540="","",IFERROR(VLOOKUP(--B1540,'CATALOGO CECO'!$A$2:$H$550,8,FALSE),""))</f>
        <v/>
      </c>
      <c r="K1540" s="8">
        <f>IF(COUNTA(A1540:F1540)=0,"",IF(OR(LEN(A1540)&lt;&gt;7,MID(A1540,5,1)&lt;&gt;"-",ISERROR(--LEFT(A1540,4)),ISERROR(--RIGHT(A1540,2))),"ERROR: PERIODO debe ser AAAA-MM",IF(B1540="","ERROR: falta CODIGO CECO",IF(G1540="CECO NO EXISTE","ERROR: CECO no existe en el catálogo",IF(C1540="","ERROR: falta CUENTA",IF(ISERROR(--C1540),"ERROR: CUENTA debe tener solo dígitos",IF(ISERROR(FIND(LEFT(C1540,1),"567")),"ERROR: CUENTA fuera de las clases de costo",IF(NOT(ISNUMBER(E1540)),"ERROR: VALOR debe ser numérico",IF(E1540=0,"AVISO: valor cero (no se carga)",IF(J1540&lt;&gt;"ACTIVO","NO SE CARGA: CECO en estado "&amp;J1540,"OK"))))))))))</f>
        <v/>
      </c>
    </row>
    <row r="1541">
      <c r="A1541" s="5" t="n"/>
      <c r="B1541" s="6" t="n"/>
      <c r="C1541" s="5" t="n"/>
      <c r="D1541" s="6" t="n"/>
      <c r="E1541" s="7" t="n"/>
      <c r="F1541" s="6" t="n"/>
      <c r="G1541" s="8">
        <f>IF(B1541="","",IFERROR(VLOOKUP(--B1541,'CATALOGO CECO'!$A$2:$H$550,2,FALSE),"CECO NO EXISTE"))</f>
        <v/>
      </c>
      <c r="H1541" s="8">
        <f>IF(B1541="","",IFERROR(VLOOKUP(--B1541,'CATALOGO CECO'!$A$2:$H$550,3,FALSE),""))</f>
        <v/>
      </c>
      <c r="I1541" s="8">
        <f>IF(B1541="","",IFERROR(VLOOKUP(--B1541,'CATALOGO CECO'!$A$2:$H$550,5,FALSE),""))</f>
        <v/>
      </c>
      <c r="J1541" s="8">
        <f>IF(B1541="","",IFERROR(VLOOKUP(--B1541,'CATALOGO CECO'!$A$2:$H$550,8,FALSE),""))</f>
        <v/>
      </c>
      <c r="K1541" s="8">
        <f>IF(COUNTA(A1541:F1541)=0,"",IF(OR(LEN(A1541)&lt;&gt;7,MID(A1541,5,1)&lt;&gt;"-",ISERROR(--LEFT(A1541,4)),ISERROR(--RIGHT(A1541,2))),"ERROR: PERIODO debe ser AAAA-MM",IF(B1541="","ERROR: falta CODIGO CECO",IF(G1541="CECO NO EXISTE","ERROR: CECO no existe en el catálogo",IF(C1541="","ERROR: falta CUENTA",IF(ISERROR(--C1541),"ERROR: CUENTA debe tener solo dígitos",IF(ISERROR(FIND(LEFT(C1541,1),"567")),"ERROR: CUENTA fuera de las clases de costo",IF(NOT(ISNUMBER(E1541)),"ERROR: VALOR debe ser numérico",IF(E1541=0,"AVISO: valor cero (no se carga)",IF(J1541&lt;&gt;"ACTIVO","NO SE CARGA: CECO en estado "&amp;J1541,"OK"))))))))))</f>
        <v/>
      </c>
    </row>
    <row r="1542">
      <c r="A1542" s="5" t="n"/>
      <c r="B1542" s="6" t="n"/>
      <c r="C1542" s="5" t="n"/>
      <c r="D1542" s="6" t="n"/>
      <c r="E1542" s="7" t="n"/>
      <c r="F1542" s="6" t="n"/>
      <c r="G1542" s="8">
        <f>IF(B1542="","",IFERROR(VLOOKUP(--B1542,'CATALOGO CECO'!$A$2:$H$550,2,FALSE),"CECO NO EXISTE"))</f>
        <v/>
      </c>
      <c r="H1542" s="8">
        <f>IF(B1542="","",IFERROR(VLOOKUP(--B1542,'CATALOGO CECO'!$A$2:$H$550,3,FALSE),""))</f>
        <v/>
      </c>
      <c r="I1542" s="8">
        <f>IF(B1542="","",IFERROR(VLOOKUP(--B1542,'CATALOGO CECO'!$A$2:$H$550,5,FALSE),""))</f>
        <v/>
      </c>
      <c r="J1542" s="8">
        <f>IF(B1542="","",IFERROR(VLOOKUP(--B1542,'CATALOGO CECO'!$A$2:$H$550,8,FALSE),""))</f>
        <v/>
      </c>
      <c r="K1542" s="8">
        <f>IF(COUNTA(A1542:F1542)=0,"",IF(OR(LEN(A1542)&lt;&gt;7,MID(A1542,5,1)&lt;&gt;"-",ISERROR(--LEFT(A1542,4)),ISERROR(--RIGHT(A1542,2))),"ERROR: PERIODO debe ser AAAA-MM",IF(B1542="","ERROR: falta CODIGO CECO",IF(G1542="CECO NO EXISTE","ERROR: CECO no existe en el catálogo",IF(C1542="","ERROR: falta CUENTA",IF(ISERROR(--C1542),"ERROR: CUENTA debe tener solo dígitos",IF(ISERROR(FIND(LEFT(C1542,1),"567")),"ERROR: CUENTA fuera de las clases de costo",IF(NOT(ISNUMBER(E1542)),"ERROR: VALOR debe ser numérico",IF(E1542=0,"AVISO: valor cero (no se carga)",IF(J1542&lt;&gt;"ACTIVO","NO SE CARGA: CECO en estado "&amp;J1542,"OK"))))))))))</f>
        <v/>
      </c>
    </row>
    <row r="1543">
      <c r="A1543" s="5" t="n"/>
      <c r="B1543" s="6" t="n"/>
      <c r="C1543" s="5" t="n"/>
      <c r="D1543" s="6" t="n"/>
      <c r="E1543" s="7" t="n"/>
      <c r="F1543" s="6" t="n"/>
      <c r="G1543" s="8">
        <f>IF(B1543="","",IFERROR(VLOOKUP(--B1543,'CATALOGO CECO'!$A$2:$H$550,2,FALSE),"CECO NO EXISTE"))</f>
        <v/>
      </c>
      <c r="H1543" s="8">
        <f>IF(B1543="","",IFERROR(VLOOKUP(--B1543,'CATALOGO CECO'!$A$2:$H$550,3,FALSE),""))</f>
        <v/>
      </c>
      <c r="I1543" s="8">
        <f>IF(B1543="","",IFERROR(VLOOKUP(--B1543,'CATALOGO CECO'!$A$2:$H$550,5,FALSE),""))</f>
        <v/>
      </c>
      <c r="J1543" s="8">
        <f>IF(B1543="","",IFERROR(VLOOKUP(--B1543,'CATALOGO CECO'!$A$2:$H$550,8,FALSE),""))</f>
        <v/>
      </c>
      <c r="K1543" s="8">
        <f>IF(COUNTA(A1543:F1543)=0,"",IF(OR(LEN(A1543)&lt;&gt;7,MID(A1543,5,1)&lt;&gt;"-",ISERROR(--LEFT(A1543,4)),ISERROR(--RIGHT(A1543,2))),"ERROR: PERIODO debe ser AAAA-MM",IF(B1543="","ERROR: falta CODIGO CECO",IF(G1543="CECO NO EXISTE","ERROR: CECO no existe en el catálogo",IF(C1543="","ERROR: falta CUENTA",IF(ISERROR(--C1543),"ERROR: CUENTA debe tener solo dígitos",IF(ISERROR(FIND(LEFT(C1543,1),"567")),"ERROR: CUENTA fuera de las clases de costo",IF(NOT(ISNUMBER(E1543)),"ERROR: VALOR debe ser numérico",IF(E1543=0,"AVISO: valor cero (no se carga)",IF(J1543&lt;&gt;"ACTIVO","NO SE CARGA: CECO en estado "&amp;J1543,"OK"))))))))))</f>
        <v/>
      </c>
    </row>
    <row r="1544">
      <c r="A1544" s="5" t="n"/>
      <c r="B1544" s="6" t="n"/>
      <c r="C1544" s="5" t="n"/>
      <c r="D1544" s="6" t="n"/>
      <c r="E1544" s="7" t="n"/>
      <c r="F1544" s="6" t="n"/>
      <c r="G1544" s="8">
        <f>IF(B1544="","",IFERROR(VLOOKUP(--B1544,'CATALOGO CECO'!$A$2:$H$550,2,FALSE),"CECO NO EXISTE"))</f>
        <v/>
      </c>
      <c r="H1544" s="8">
        <f>IF(B1544="","",IFERROR(VLOOKUP(--B1544,'CATALOGO CECO'!$A$2:$H$550,3,FALSE),""))</f>
        <v/>
      </c>
      <c r="I1544" s="8">
        <f>IF(B1544="","",IFERROR(VLOOKUP(--B1544,'CATALOGO CECO'!$A$2:$H$550,5,FALSE),""))</f>
        <v/>
      </c>
      <c r="J1544" s="8">
        <f>IF(B1544="","",IFERROR(VLOOKUP(--B1544,'CATALOGO CECO'!$A$2:$H$550,8,FALSE),""))</f>
        <v/>
      </c>
      <c r="K1544" s="8">
        <f>IF(COUNTA(A1544:F1544)=0,"",IF(OR(LEN(A1544)&lt;&gt;7,MID(A1544,5,1)&lt;&gt;"-",ISERROR(--LEFT(A1544,4)),ISERROR(--RIGHT(A1544,2))),"ERROR: PERIODO debe ser AAAA-MM",IF(B1544="","ERROR: falta CODIGO CECO",IF(G1544="CECO NO EXISTE","ERROR: CECO no existe en el catálogo",IF(C1544="","ERROR: falta CUENTA",IF(ISERROR(--C1544),"ERROR: CUENTA debe tener solo dígitos",IF(ISERROR(FIND(LEFT(C1544,1),"567")),"ERROR: CUENTA fuera de las clases de costo",IF(NOT(ISNUMBER(E1544)),"ERROR: VALOR debe ser numérico",IF(E1544=0,"AVISO: valor cero (no se carga)",IF(J1544&lt;&gt;"ACTIVO","NO SE CARGA: CECO en estado "&amp;J1544,"OK"))))))))))</f>
        <v/>
      </c>
    </row>
    <row r="1545">
      <c r="A1545" s="5" t="n"/>
      <c r="B1545" s="6" t="n"/>
      <c r="C1545" s="5" t="n"/>
      <c r="D1545" s="6" t="n"/>
      <c r="E1545" s="7" t="n"/>
      <c r="F1545" s="6" t="n"/>
      <c r="G1545" s="8">
        <f>IF(B1545="","",IFERROR(VLOOKUP(--B1545,'CATALOGO CECO'!$A$2:$H$550,2,FALSE),"CECO NO EXISTE"))</f>
        <v/>
      </c>
      <c r="H1545" s="8">
        <f>IF(B1545="","",IFERROR(VLOOKUP(--B1545,'CATALOGO CECO'!$A$2:$H$550,3,FALSE),""))</f>
        <v/>
      </c>
      <c r="I1545" s="8">
        <f>IF(B1545="","",IFERROR(VLOOKUP(--B1545,'CATALOGO CECO'!$A$2:$H$550,5,FALSE),""))</f>
        <v/>
      </c>
      <c r="J1545" s="8">
        <f>IF(B1545="","",IFERROR(VLOOKUP(--B1545,'CATALOGO CECO'!$A$2:$H$550,8,FALSE),""))</f>
        <v/>
      </c>
      <c r="K1545" s="8">
        <f>IF(COUNTA(A1545:F1545)=0,"",IF(OR(LEN(A1545)&lt;&gt;7,MID(A1545,5,1)&lt;&gt;"-",ISERROR(--LEFT(A1545,4)),ISERROR(--RIGHT(A1545,2))),"ERROR: PERIODO debe ser AAAA-MM",IF(B1545="","ERROR: falta CODIGO CECO",IF(G1545="CECO NO EXISTE","ERROR: CECO no existe en el catálogo",IF(C1545="","ERROR: falta CUENTA",IF(ISERROR(--C1545),"ERROR: CUENTA debe tener solo dígitos",IF(ISERROR(FIND(LEFT(C1545,1),"567")),"ERROR: CUENTA fuera de las clases de costo",IF(NOT(ISNUMBER(E1545)),"ERROR: VALOR debe ser numérico",IF(E1545=0,"AVISO: valor cero (no se carga)",IF(J1545&lt;&gt;"ACTIVO","NO SE CARGA: CECO en estado "&amp;J1545,"OK"))))))))))</f>
        <v/>
      </c>
    </row>
    <row r="1546">
      <c r="A1546" s="5" t="n"/>
      <c r="B1546" s="6" t="n"/>
      <c r="C1546" s="5" t="n"/>
      <c r="D1546" s="6" t="n"/>
      <c r="E1546" s="7" t="n"/>
      <c r="F1546" s="6" t="n"/>
      <c r="G1546" s="8">
        <f>IF(B1546="","",IFERROR(VLOOKUP(--B1546,'CATALOGO CECO'!$A$2:$H$550,2,FALSE),"CECO NO EXISTE"))</f>
        <v/>
      </c>
      <c r="H1546" s="8">
        <f>IF(B1546="","",IFERROR(VLOOKUP(--B1546,'CATALOGO CECO'!$A$2:$H$550,3,FALSE),""))</f>
        <v/>
      </c>
      <c r="I1546" s="8">
        <f>IF(B1546="","",IFERROR(VLOOKUP(--B1546,'CATALOGO CECO'!$A$2:$H$550,5,FALSE),""))</f>
        <v/>
      </c>
      <c r="J1546" s="8">
        <f>IF(B1546="","",IFERROR(VLOOKUP(--B1546,'CATALOGO CECO'!$A$2:$H$550,8,FALSE),""))</f>
        <v/>
      </c>
      <c r="K1546" s="8">
        <f>IF(COUNTA(A1546:F1546)=0,"",IF(OR(LEN(A1546)&lt;&gt;7,MID(A1546,5,1)&lt;&gt;"-",ISERROR(--LEFT(A1546,4)),ISERROR(--RIGHT(A1546,2))),"ERROR: PERIODO debe ser AAAA-MM",IF(B1546="","ERROR: falta CODIGO CECO",IF(G1546="CECO NO EXISTE","ERROR: CECO no existe en el catálogo",IF(C1546="","ERROR: falta CUENTA",IF(ISERROR(--C1546),"ERROR: CUENTA debe tener solo dígitos",IF(ISERROR(FIND(LEFT(C1546,1),"567")),"ERROR: CUENTA fuera de las clases de costo",IF(NOT(ISNUMBER(E1546)),"ERROR: VALOR debe ser numérico",IF(E1546=0,"AVISO: valor cero (no se carga)",IF(J1546&lt;&gt;"ACTIVO","NO SE CARGA: CECO en estado "&amp;J1546,"OK"))))))))))</f>
        <v/>
      </c>
    </row>
    <row r="1547">
      <c r="A1547" s="5" t="n"/>
      <c r="B1547" s="6" t="n"/>
      <c r="C1547" s="5" t="n"/>
      <c r="D1547" s="6" t="n"/>
      <c r="E1547" s="7" t="n"/>
      <c r="F1547" s="6" t="n"/>
      <c r="G1547" s="8">
        <f>IF(B1547="","",IFERROR(VLOOKUP(--B1547,'CATALOGO CECO'!$A$2:$H$550,2,FALSE),"CECO NO EXISTE"))</f>
        <v/>
      </c>
      <c r="H1547" s="8">
        <f>IF(B1547="","",IFERROR(VLOOKUP(--B1547,'CATALOGO CECO'!$A$2:$H$550,3,FALSE),""))</f>
        <v/>
      </c>
      <c r="I1547" s="8">
        <f>IF(B1547="","",IFERROR(VLOOKUP(--B1547,'CATALOGO CECO'!$A$2:$H$550,5,FALSE),""))</f>
        <v/>
      </c>
      <c r="J1547" s="8">
        <f>IF(B1547="","",IFERROR(VLOOKUP(--B1547,'CATALOGO CECO'!$A$2:$H$550,8,FALSE),""))</f>
        <v/>
      </c>
      <c r="K1547" s="8">
        <f>IF(COUNTA(A1547:F1547)=0,"",IF(OR(LEN(A1547)&lt;&gt;7,MID(A1547,5,1)&lt;&gt;"-",ISERROR(--LEFT(A1547,4)),ISERROR(--RIGHT(A1547,2))),"ERROR: PERIODO debe ser AAAA-MM",IF(B1547="","ERROR: falta CODIGO CECO",IF(G1547="CECO NO EXISTE","ERROR: CECO no existe en el catálogo",IF(C1547="","ERROR: falta CUENTA",IF(ISERROR(--C1547),"ERROR: CUENTA debe tener solo dígitos",IF(ISERROR(FIND(LEFT(C1547,1),"567")),"ERROR: CUENTA fuera de las clases de costo",IF(NOT(ISNUMBER(E1547)),"ERROR: VALOR debe ser numérico",IF(E1547=0,"AVISO: valor cero (no se carga)",IF(J1547&lt;&gt;"ACTIVO","NO SE CARGA: CECO en estado "&amp;J1547,"OK"))))))))))</f>
        <v/>
      </c>
    </row>
    <row r="1548">
      <c r="A1548" s="5" t="n"/>
      <c r="B1548" s="6" t="n"/>
      <c r="C1548" s="5" t="n"/>
      <c r="D1548" s="6" t="n"/>
      <c r="E1548" s="7" t="n"/>
      <c r="F1548" s="6" t="n"/>
      <c r="G1548" s="8">
        <f>IF(B1548="","",IFERROR(VLOOKUP(--B1548,'CATALOGO CECO'!$A$2:$H$550,2,FALSE),"CECO NO EXISTE"))</f>
        <v/>
      </c>
      <c r="H1548" s="8">
        <f>IF(B1548="","",IFERROR(VLOOKUP(--B1548,'CATALOGO CECO'!$A$2:$H$550,3,FALSE),""))</f>
        <v/>
      </c>
      <c r="I1548" s="8">
        <f>IF(B1548="","",IFERROR(VLOOKUP(--B1548,'CATALOGO CECO'!$A$2:$H$550,5,FALSE),""))</f>
        <v/>
      </c>
      <c r="J1548" s="8">
        <f>IF(B1548="","",IFERROR(VLOOKUP(--B1548,'CATALOGO CECO'!$A$2:$H$550,8,FALSE),""))</f>
        <v/>
      </c>
      <c r="K1548" s="8">
        <f>IF(COUNTA(A1548:F1548)=0,"",IF(OR(LEN(A1548)&lt;&gt;7,MID(A1548,5,1)&lt;&gt;"-",ISERROR(--LEFT(A1548,4)),ISERROR(--RIGHT(A1548,2))),"ERROR: PERIODO debe ser AAAA-MM",IF(B1548="","ERROR: falta CODIGO CECO",IF(G1548="CECO NO EXISTE","ERROR: CECO no existe en el catálogo",IF(C1548="","ERROR: falta CUENTA",IF(ISERROR(--C1548),"ERROR: CUENTA debe tener solo dígitos",IF(ISERROR(FIND(LEFT(C1548,1),"567")),"ERROR: CUENTA fuera de las clases de costo",IF(NOT(ISNUMBER(E1548)),"ERROR: VALOR debe ser numérico",IF(E1548=0,"AVISO: valor cero (no se carga)",IF(J1548&lt;&gt;"ACTIVO","NO SE CARGA: CECO en estado "&amp;J1548,"OK"))))))))))</f>
        <v/>
      </c>
    </row>
    <row r="1549">
      <c r="A1549" s="5" t="n"/>
      <c r="B1549" s="6" t="n"/>
      <c r="C1549" s="5" t="n"/>
      <c r="D1549" s="6" t="n"/>
      <c r="E1549" s="7" t="n"/>
      <c r="F1549" s="6" t="n"/>
      <c r="G1549" s="8">
        <f>IF(B1549="","",IFERROR(VLOOKUP(--B1549,'CATALOGO CECO'!$A$2:$H$550,2,FALSE),"CECO NO EXISTE"))</f>
        <v/>
      </c>
      <c r="H1549" s="8">
        <f>IF(B1549="","",IFERROR(VLOOKUP(--B1549,'CATALOGO CECO'!$A$2:$H$550,3,FALSE),""))</f>
        <v/>
      </c>
      <c r="I1549" s="8">
        <f>IF(B1549="","",IFERROR(VLOOKUP(--B1549,'CATALOGO CECO'!$A$2:$H$550,5,FALSE),""))</f>
        <v/>
      </c>
      <c r="J1549" s="8">
        <f>IF(B1549="","",IFERROR(VLOOKUP(--B1549,'CATALOGO CECO'!$A$2:$H$550,8,FALSE),""))</f>
        <v/>
      </c>
      <c r="K1549" s="8">
        <f>IF(COUNTA(A1549:F1549)=0,"",IF(OR(LEN(A1549)&lt;&gt;7,MID(A1549,5,1)&lt;&gt;"-",ISERROR(--LEFT(A1549,4)),ISERROR(--RIGHT(A1549,2))),"ERROR: PERIODO debe ser AAAA-MM",IF(B1549="","ERROR: falta CODIGO CECO",IF(G1549="CECO NO EXISTE","ERROR: CECO no existe en el catálogo",IF(C1549="","ERROR: falta CUENTA",IF(ISERROR(--C1549),"ERROR: CUENTA debe tener solo dígitos",IF(ISERROR(FIND(LEFT(C1549,1),"567")),"ERROR: CUENTA fuera de las clases de costo",IF(NOT(ISNUMBER(E1549)),"ERROR: VALOR debe ser numérico",IF(E1549=0,"AVISO: valor cero (no se carga)",IF(J1549&lt;&gt;"ACTIVO","NO SE CARGA: CECO en estado "&amp;J1549,"OK"))))))))))</f>
        <v/>
      </c>
    </row>
    <row r="1550">
      <c r="A1550" s="5" t="n"/>
      <c r="B1550" s="6" t="n"/>
      <c r="C1550" s="5" t="n"/>
      <c r="D1550" s="6" t="n"/>
      <c r="E1550" s="7" t="n"/>
      <c r="F1550" s="6" t="n"/>
      <c r="G1550" s="8">
        <f>IF(B1550="","",IFERROR(VLOOKUP(--B1550,'CATALOGO CECO'!$A$2:$H$550,2,FALSE),"CECO NO EXISTE"))</f>
        <v/>
      </c>
      <c r="H1550" s="8">
        <f>IF(B1550="","",IFERROR(VLOOKUP(--B1550,'CATALOGO CECO'!$A$2:$H$550,3,FALSE),""))</f>
        <v/>
      </c>
      <c r="I1550" s="8">
        <f>IF(B1550="","",IFERROR(VLOOKUP(--B1550,'CATALOGO CECO'!$A$2:$H$550,5,FALSE),""))</f>
        <v/>
      </c>
      <c r="J1550" s="8">
        <f>IF(B1550="","",IFERROR(VLOOKUP(--B1550,'CATALOGO CECO'!$A$2:$H$550,8,FALSE),""))</f>
        <v/>
      </c>
      <c r="K1550" s="8">
        <f>IF(COUNTA(A1550:F1550)=0,"",IF(OR(LEN(A1550)&lt;&gt;7,MID(A1550,5,1)&lt;&gt;"-",ISERROR(--LEFT(A1550,4)),ISERROR(--RIGHT(A1550,2))),"ERROR: PERIODO debe ser AAAA-MM",IF(B1550="","ERROR: falta CODIGO CECO",IF(G1550="CECO NO EXISTE","ERROR: CECO no existe en el catálogo",IF(C1550="","ERROR: falta CUENTA",IF(ISERROR(--C1550),"ERROR: CUENTA debe tener solo dígitos",IF(ISERROR(FIND(LEFT(C1550,1),"567")),"ERROR: CUENTA fuera de las clases de costo",IF(NOT(ISNUMBER(E1550)),"ERROR: VALOR debe ser numérico",IF(E1550=0,"AVISO: valor cero (no se carga)",IF(J1550&lt;&gt;"ACTIVO","NO SE CARGA: CECO en estado "&amp;J1550,"OK"))))))))))</f>
        <v/>
      </c>
    </row>
    <row r="1551">
      <c r="A1551" s="5" t="n"/>
      <c r="B1551" s="6" t="n"/>
      <c r="C1551" s="5" t="n"/>
      <c r="D1551" s="6" t="n"/>
      <c r="E1551" s="7" t="n"/>
      <c r="F1551" s="6" t="n"/>
      <c r="G1551" s="8">
        <f>IF(B1551="","",IFERROR(VLOOKUP(--B1551,'CATALOGO CECO'!$A$2:$H$550,2,FALSE),"CECO NO EXISTE"))</f>
        <v/>
      </c>
      <c r="H1551" s="8">
        <f>IF(B1551="","",IFERROR(VLOOKUP(--B1551,'CATALOGO CECO'!$A$2:$H$550,3,FALSE),""))</f>
        <v/>
      </c>
      <c r="I1551" s="8">
        <f>IF(B1551="","",IFERROR(VLOOKUP(--B1551,'CATALOGO CECO'!$A$2:$H$550,5,FALSE),""))</f>
        <v/>
      </c>
      <c r="J1551" s="8">
        <f>IF(B1551="","",IFERROR(VLOOKUP(--B1551,'CATALOGO CECO'!$A$2:$H$550,8,FALSE),""))</f>
        <v/>
      </c>
      <c r="K1551" s="8">
        <f>IF(COUNTA(A1551:F1551)=0,"",IF(OR(LEN(A1551)&lt;&gt;7,MID(A1551,5,1)&lt;&gt;"-",ISERROR(--LEFT(A1551,4)),ISERROR(--RIGHT(A1551,2))),"ERROR: PERIODO debe ser AAAA-MM",IF(B1551="","ERROR: falta CODIGO CECO",IF(G1551="CECO NO EXISTE","ERROR: CECO no existe en el catálogo",IF(C1551="","ERROR: falta CUENTA",IF(ISERROR(--C1551),"ERROR: CUENTA debe tener solo dígitos",IF(ISERROR(FIND(LEFT(C1551,1),"567")),"ERROR: CUENTA fuera de las clases de costo",IF(NOT(ISNUMBER(E1551)),"ERROR: VALOR debe ser numérico",IF(E1551=0,"AVISO: valor cero (no se carga)",IF(J1551&lt;&gt;"ACTIVO","NO SE CARGA: CECO en estado "&amp;J1551,"OK"))))))))))</f>
        <v/>
      </c>
    </row>
    <row r="1552">
      <c r="A1552" s="5" t="n"/>
      <c r="B1552" s="6" t="n"/>
      <c r="C1552" s="5" t="n"/>
      <c r="D1552" s="6" t="n"/>
      <c r="E1552" s="7" t="n"/>
      <c r="F1552" s="6" t="n"/>
      <c r="G1552" s="8">
        <f>IF(B1552="","",IFERROR(VLOOKUP(--B1552,'CATALOGO CECO'!$A$2:$H$550,2,FALSE),"CECO NO EXISTE"))</f>
        <v/>
      </c>
      <c r="H1552" s="8">
        <f>IF(B1552="","",IFERROR(VLOOKUP(--B1552,'CATALOGO CECO'!$A$2:$H$550,3,FALSE),""))</f>
        <v/>
      </c>
      <c r="I1552" s="8">
        <f>IF(B1552="","",IFERROR(VLOOKUP(--B1552,'CATALOGO CECO'!$A$2:$H$550,5,FALSE),""))</f>
        <v/>
      </c>
      <c r="J1552" s="8">
        <f>IF(B1552="","",IFERROR(VLOOKUP(--B1552,'CATALOGO CECO'!$A$2:$H$550,8,FALSE),""))</f>
        <v/>
      </c>
      <c r="K1552" s="8">
        <f>IF(COUNTA(A1552:F1552)=0,"",IF(OR(LEN(A1552)&lt;&gt;7,MID(A1552,5,1)&lt;&gt;"-",ISERROR(--LEFT(A1552,4)),ISERROR(--RIGHT(A1552,2))),"ERROR: PERIODO debe ser AAAA-MM",IF(B1552="","ERROR: falta CODIGO CECO",IF(G1552="CECO NO EXISTE","ERROR: CECO no existe en el catálogo",IF(C1552="","ERROR: falta CUENTA",IF(ISERROR(--C1552),"ERROR: CUENTA debe tener solo dígitos",IF(ISERROR(FIND(LEFT(C1552,1),"567")),"ERROR: CUENTA fuera de las clases de costo",IF(NOT(ISNUMBER(E1552)),"ERROR: VALOR debe ser numérico",IF(E1552=0,"AVISO: valor cero (no se carga)",IF(J1552&lt;&gt;"ACTIVO","NO SE CARGA: CECO en estado "&amp;J1552,"OK"))))))))))</f>
        <v/>
      </c>
    </row>
    <row r="1553">
      <c r="A1553" s="5" t="n"/>
      <c r="B1553" s="6" t="n"/>
      <c r="C1553" s="5" t="n"/>
      <c r="D1553" s="6" t="n"/>
      <c r="E1553" s="7" t="n"/>
      <c r="F1553" s="6" t="n"/>
      <c r="G1553" s="8">
        <f>IF(B1553="","",IFERROR(VLOOKUP(--B1553,'CATALOGO CECO'!$A$2:$H$550,2,FALSE),"CECO NO EXISTE"))</f>
        <v/>
      </c>
      <c r="H1553" s="8">
        <f>IF(B1553="","",IFERROR(VLOOKUP(--B1553,'CATALOGO CECO'!$A$2:$H$550,3,FALSE),""))</f>
        <v/>
      </c>
      <c r="I1553" s="8">
        <f>IF(B1553="","",IFERROR(VLOOKUP(--B1553,'CATALOGO CECO'!$A$2:$H$550,5,FALSE),""))</f>
        <v/>
      </c>
      <c r="J1553" s="8">
        <f>IF(B1553="","",IFERROR(VLOOKUP(--B1553,'CATALOGO CECO'!$A$2:$H$550,8,FALSE),""))</f>
        <v/>
      </c>
      <c r="K1553" s="8">
        <f>IF(COUNTA(A1553:F1553)=0,"",IF(OR(LEN(A1553)&lt;&gt;7,MID(A1553,5,1)&lt;&gt;"-",ISERROR(--LEFT(A1553,4)),ISERROR(--RIGHT(A1553,2))),"ERROR: PERIODO debe ser AAAA-MM",IF(B1553="","ERROR: falta CODIGO CECO",IF(G1553="CECO NO EXISTE","ERROR: CECO no existe en el catálogo",IF(C1553="","ERROR: falta CUENTA",IF(ISERROR(--C1553),"ERROR: CUENTA debe tener solo dígitos",IF(ISERROR(FIND(LEFT(C1553,1),"567")),"ERROR: CUENTA fuera de las clases de costo",IF(NOT(ISNUMBER(E1553)),"ERROR: VALOR debe ser numérico",IF(E1553=0,"AVISO: valor cero (no se carga)",IF(J1553&lt;&gt;"ACTIVO","NO SE CARGA: CECO en estado "&amp;J1553,"OK"))))))))))</f>
        <v/>
      </c>
    </row>
    <row r="1554">
      <c r="A1554" s="5" t="n"/>
      <c r="B1554" s="6" t="n"/>
      <c r="C1554" s="5" t="n"/>
      <c r="D1554" s="6" t="n"/>
      <c r="E1554" s="7" t="n"/>
      <c r="F1554" s="6" t="n"/>
      <c r="G1554" s="8">
        <f>IF(B1554="","",IFERROR(VLOOKUP(--B1554,'CATALOGO CECO'!$A$2:$H$550,2,FALSE),"CECO NO EXISTE"))</f>
        <v/>
      </c>
      <c r="H1554" s="8">
        <f>IF(B1554="","",IFERROR(VLOOKUP(--B1554,'CATALOGO CECO'!$A$2:$H$550,3,FALSE),""))</f>
        <v/>
      </c>
      <c r="I1554" s="8">
        <f>IF(B1554="","",IFERROR(VLOOKUP(--B1554,'CATALOGO CECO'!$A$2:$H$550,5,FALSE),""))</f>
        <v/>
      </c>
      <c r="J1554" s="8">
        <f>IF(B1554="","",IFERROR(VLOOKUP(--B1554,'CATALOGO CECO'!$A$2:$H$550,8,FALSE),""))</f>
        <v/>
      </c>
      <c r="K1554" s="8">
        <f>IF(COUNTA(A1554:F1554)=0,"",IF(OR(LEN(A1554)&lt;&gt;7,MID(A1554,5,1)&lt;&gt;"-",ISERROR(--LEFT(A1554,4)),ISERROR(--RIGHT(A1554,2))),"ERROR: PERIODO debe ser AAAA-MM",IF(B1554="","ERROR: falta CODIGO CECO",IF(G1554="CECO NO EXISTE","ERROR: CECO no existe en el catálogo",IF(C1554="","ERROR: falta CUENTA",IF(ISERROR(--C1554),"ERROR: CUENTA debe tener solo dígitos",IF(ISERROR(FIND(LEFT(C1554,1),"567")),"ERROR: CUENTA fuera de las clases de costo",IF(NOT(ISNUMBER(E1554)),"ERROR: VALOR debe ser numérico",IF(E1554=0,"AVISO: valor cero (no se carga)",IF(J1554&lt;&gt;"ACTIVO","NO SE CARGA: CECO en estado "&amp;J1554,"OK"))))))))))</f>
        <v/>
      </c>
    </row>
    <row r="1555">
      <c r="A1555" s="5" t="n"/>
      <c r="B1555" s="6" t="n"/>
      <c r="C1555" s="5" t="n"/>
      <c r="D1555" s="6" t="n"/>
      <c r="E1555" s="7" t="n"/>
      <c r="F1555" s="6" t="n"/>
      <c r="G1555" s="8">
        <f>IF(B1555="","",IFERROR(VLOOKUP(--B1555,'CATALOGO CECO'!$A$2:$H$550,2,FALSE),"CECO NO EXISTE"))</f>
        <v/>
      </c>
      <c r="H1555" s="8">
        <f>IF(B1555="","",IFERROR(VLOOKUP(--B1555,'CATALOGO CECO'!$A$2:$H$550,3,FALSE),""))</f>
        <v/>
      </c>
      <c r="I1555" s="8">
        <f>IF(B1555="","",IFERROR(VLOOKUP(--B1555,'CATALOGO CECO'!$A$2:$H$550,5,FALSE),""))</f>
        <v/>
      </c>
      <c r="J1555" s="8">
        <f>IF(B1555="","",IFERROR(VLOOKUP(--B1555,'CATALOGO CECO'!$A$2:$H$550,8,FALSE),""))</f>
        <v/>
      </c>
      <c r="K1555" s="8">
        <f>IF(COUNTA(A1555:F1555)=0,"",IF(OR(LEN(A1555)&lt;&gt;7,MID(A1555,5,1)&lt;&gt;"-",ISERROR(--LEFT(A1555,4)),ISERROR(--RIGHT(A1555,2))),"ERROR: PERIODO debe ser AAAA-MM",IF(B1555="","ERROR: falta CODIGO CECO",IF(G1555="CECO NO EXISTE","ERROR: CECO no existe en el catálogo",IF(C1555="","ERROR: falta CUENTA",IF(ISERROR(--C1555),"ERROR: CUENTA debe tener solo dígitos",IF(ISERROR(FIND(LEFT(C1555,1),"567")),"ERROR: CUENTA fuera de las clases de costo",IF(NOT(ISNUMBER(E1555)),"ERROR: VALOR debe ser numérico",IF(E1555=0,"AVISO: valor cero (no se carga)",IF(J1555&lt;&gt;"ACTIVO","NO SE CARGA: CECO en estado "&amp;J1555,"OK"))))))))))</f>
        <v/>
      </c>
    </row>
    <row r="1556">
      <c r="A1556" s="5" t="n"/>
      <c r="B1556" s="6" t="n"/>
      <c r="C1556" s="5" t="n"/>
      <c r="D1556" s="6" t="n"/>
      <c r="E1556" s="7" t="n"/>
      <c r="F1556" s="6" t="n"/>
      <c r="G1556" s="8">
        <f>IF(B1556="","",IFERROR(VLOOKUP(--B1556,'CATALOGO CECO'!$A$2:$H$550,2,FALSE),"CECO NO EXISTE"))</f>
        <v/>
      </c>
      <c r="H1556" s="8">
        <f>IF(B1556="","",IFERROR(VLOOKUP(--B1556,'CATALOGO CECO'!$A$2:$H$550,3,FALSE),""))</f>
        <v/>
      </c>
      <c r="I1556" s="8">
        <f>IF(B1556="","",IFERROR(VLOOKUP(--B1556,'CATALOGO CECO'!$A$2:$H$550,5,FALSE),""))</f>
        <v/>
      </c>
      <c r="J1556" s="8">
        <f>IF(B1556="","",IFERROR(VLOOKUP(--B1556,'CATALOGO CECO'!$A$2:$H$550,8,FALSE),""))</f>
        <v/>
      </c>
      <c r="K1556" s="8">
        <f>IF(COUNTA(A1556:F1556)=0,"",IF(OR(LEN(A1556)&lt;&gt;7,MID(A1556,5,1)&lt;&gt;"-",ISERROR(--LEFT(A1556,4)),ISERROR(--RIGHT(A1556,2))),"ERROR: PERIODO debe ser AAAA-MM",IF(B1556="","ERROR: falta CODIGO CECO",IF(G1556="CECO NO EXISTE","ERROR: CECO no existe en el catálogo",IF(C1556="","ERROR: falta CUENTA",IF(ISERROR(--C1556),"ERROR: CUENTA debe tener solo dígitos",IF(ISERROR(FIND(LEFT(C1556,1),"567")),"ERROR: CUENTA fuera de las clases de costo",IF(NOT(ISNUMBER(E1556)),"ERROR: VALOR debe ser numérico",IF(E1556=0,"AVISO: valor cero (no se carga)",IF(J1556&lt;&gt;"ACTIVO","NO SE CARGA: CECO en estado "&amp;J1556,"OK"))))))))))</f>
        <v/>
      </c>
    </row>
    <row r="1557">
      <c r="A1557" s="5" t="n"/>
      <c r="B1557" s="6" t="n"/>
      <c r="C1557" s="5" t="n"/>
      <c r="D1557" s="6" t="n"/>
      <c r="E1557" s="7" t="n"/>
      <c r="F1557" s="6" t="n"/>
      <c r="G1557" s="8">
        <f>IF(B1557="","",IFERROR(VLOOKUP(--B1557,'CATALOGO CECO'!$A$2:$H$550,2,FALSE),"CECO NO EXISTE"))</f>
        <v/>
      </c>
      <c r="H1557" s="8">
        <f>IF(B1557="","",IFERROR(VLOOKUP(--B1557,'CATALOGO CECO'!$A$2:$H$550,3,FALSE),""))</f>
        <v/>
      </c>
      <c r="I1557" s="8">
        <f>IF(B1557="","",IFERROR(VLOOKUP(--B1557,'CATALOGO CECO'!$A$2:$H$550,5,FALSE),""))</f>
        <v/>
      </c>
      <c r="J1557" s="8">
        <f>IF(B1557="","",IFERROR(VLOOKUP(--B1557,'CATALOGO CECO'!$A$2:$H$550,8,FALSE),""))</f>
        <v/>
      </c>
      <c r="K1557" s="8">
        <f>IF(COUNTA(A1557:F1557)=0,"",IF(OR(LEN(A1557)&lt;&gt;7,MID(A1557,5,1)&lt;&gt;"-",ISERROR(--LEFT(A1557,4)),ISERROR(--RIGHT(A1557,2))),"ERROR: PERIODO debe ser AAAA-MM",IF(B1557="","ERROR: falta CODIGO CECO",IF(G1557="CECO NO EXISTE","ERROR: CECO no existe en el catálogo",IF(C1557="","ERROR: falta CUENTA",IF(ISERROR(--C1557),"ERROR: CUENTA debe tener solo dígitos",IF(ISERROR(FIND(LEFT(C1557,1),"567")),"ERROR: CUENTA fuera de las clases de costo",IF(NOT(ISNUMBER(E1557)),"ERROR: VALOR debe ser numérico",IF(E1557=0,"AVISO: valor cero (no se carga)",IF(J1557&lt;&gt;"ACTIVO","NO SE CARGA: CECO en estado "&amp;J1557,"OK"))))))))))</f>
        <v/>
      </c>
    </row>
    <row r="1558">
      <c r="A1558" s="5" t="n"/>
      <c r="B1558" s="6" t="n"/>
      <c r="C1558" s="5" t="n"/>
      <c r="D1558" s="6" t="n"/>
      <c r="E1558" s="7" t="n"/>
      <c r="F1558" s="6" t="n"/>
      <c r="G1558" s="8">
        <f>IF(B1558="","",IFERROR(VLOOKUP(--B1558,'CATALOGO CECO'!$A$2:$H$550,2,FALSE),"CECO NO EXISTE"))</f>
        <v/>
      </c>
      <c r="H1558" s="8">
        <f>IF(B1558="","",IFERROR(VLOOKUP(--B1558,'CATALOGO CECO'!$A$2:$H$550,3,FALSE),""))</f>
        <v/>
      </c>
      <c r="I1558" s="8">
        <f>IF(B1558="","",IFERROR(VLOOKUP(--B1558,'CATALOGO CECO'!$A$2:$H$550,5,FALSE),""))</f>
        <v/>
      </c>
      <c r="J1558" s="8">
        <f>IF(B1558="","",IFERROR(VLOOKUP(--B1558,'CATALOGO CECO'!$A$2:$H$550,8,FALSE),""))</f>
        <v/>
      </c>
      <c r="K1558" s="8">
        <f>IF(COUNTA(A1558:F1558)=0,"",IF(OR(LEN(A1558)&lt;&gt;7,MID(A1558,5,1)&lt;&gt;"-",ISERROR(--LEFT(A1558,4)),ISERROR(--RIGHT(A1558,2))),"ERROR: PERIODO debe ser AAAA-MM",IF(B1558="","ERROR: falta CODIGO CECO",IF(G1558="CECO NO EXISTE","ERROR: CECO no existe en el catálogo",IF(C1558="","ERROR: falta CUENTA",IF(ISERROR(--C1558),"ERROR: CUENTA debe tener solo dígitos",IF(ISERROR(FIND(LEFT(C1558,1),"567")),"ERROR: CUENTA fuera de las clases de costo",IF(NOT(ISNUMBER(E1558)),"ERROR: VALOR debe ser numérico",IF(E1558=0,"AVISO: valor cero (no se carga)",IF(J1558&lt;&gt;"ACTIVO","NO SE CARGA: CECO en estado "&amp;J1558,"OK"))))))))))</f>
        <v/>
      </c>
    </row>
    <row r="1559">
      <c r="A1559" s="5" t="n"/>
      <c r="B1559" s="6" t="n"/>
      <c r="C1559" s="5" t="n"/>
      <c r="D1559" s="6" t="n"/>
      <c r="E1559" s="7" t="n"/>
      <c r="F1559" s="6" t="n"/>
      <c r="G1559" s="8">
        <f>IF(B1559="","",IFERROR(VLOOKUP(--B1559,'CATALOGO CECO'!$A$2:$H$550,2,FALSE),"CECO NO EXISTE"))</f>
        <v/>
      </c>
      <c r="H1559" s="8">
        <f>IF(B1559="","",IFERROR(VLOOKUP(--B1559,'CATALOGO CECO'!$A$2:$H$550,3,FALSE),""))</f>
        <v/>
      </c>
      <c r="I1559" s="8">
        <f>IF(B1559="","",IFERROR(VLOOKUP(--B1559,'CATALOGO CECO'!$A$2:$H$550,5,FALSE),""))</f>
        <v/>
      </c>
      <c r="J1559" s="8">
        <f>IF(B1559="","",IFERROR(VLOOKUP(--B1559,'CATALOGO CECO'!$A$2:$H$550,8,FALSE),""))</f>
        <v/>
      </c>
      <c r="K1559" s="8">
        <f>IF(COUNTA(A1559:F1559)=0,"",IF(OR(LEN(A1559)&lt;&gt;7,MID(A1559,5,1)&lt;&gt;"-",ISERROR(--LEFT(A1559,4)),ISERROR(--RIGHT(A1559,2))),"ERROR: PERIODO debe ser AAAA-MM",IF(B1559="","ERROR: falta CODIGO CECO",IF(G1559="CECO NO EXISTE","ERROR: CECO no existe en el catálogo",IF(C1559="","ERROR: falta CUENTA",IF(ISERROR(--C1559),"ERROR: CUENTA debe tener solo dígitos",IF(ISERROR(FIND(LEFT(C1559,1),"567")),"ERROR: CUENTA fuera de las clases de costo",IF(NOT(ISNUMBER(E1559)),"ERROR: VALOR debe ser numérico",IF(E1559=0,"AVISO: valor cero (no se carga)",IF(J1559&lt;&gt;"ACTIVO","NO SE CARGA: CECO en estado "&amp;J1559,"OK"))))))))))</f>
        <v/>
      </c>
    </row>
    <row r="1560">
      <c r="A1560" s="5" t="n"/>
      <c r="B1560" s="6" t="n"/>
      <c r="C1560" s="5" t="n"/>
      <c r="D1560" s="6" t="n"/>
      <c r="E1560" s="7" t="n"/>
      <c r="F1560" s="6" t="n"/>
      <c r="G1560" s="8">
        <f>IF(B1560="","",IFERROR(VLOOKUP(--B1560,'CATALOGO CECO'!$A$2:$H$550,2,FALSE),"CECO NO EXISTE"))</f>
        <v/>
      </c>
      <c r="H1560" s="8">
        <f>IF(B1560="","",IFERROR(VLOOKUP(--B1560,'CATALOGO CECO'!$A$2:$H$550,3,FALSE),""))</f>
        <v/>
      </c>
      <c r="I1560" s="8">
        <f>IF(B1560="","",IFERROR(VLOOKUP(--B1560,'CATALOGO CECO'!$A$2:$H$550,5,FALSE),""))</f>
        <v/>
      </c>
      <c r="J1560" s="8">
        <f>IF(B1560="","",IFERROR(VLOOKUP(--B1560,'CATALOGO CECO'!$A$2:$H$550,8,FALSE),""))</f>
        <v/>
      </c>
      <c r="K1560" s="8">
        <f>IF(COUNTA(A1560:F1560)=0,"",IF(OR(LEN(A1560)&lt;&gt;7,MID(A1560,5,1)&lt;&gt;"-",ISERROR(--LEFT(A1560,4)),ISERROR(--RIGHT(A1560,2))),"ERROR: PERIODO debe ser AAAA-MM",IF(B1560="","ERROR: falta CODIGO CECO",IF(G1560="CECO NO EXISTE","ERROR: CECO no existe en el catálogo",IF(C1560="","ERROR: falta CUENTA",IF(ISERROR(--C1560),"ERROR: CUENTA debe tener solo dígitos",IF(ISERROR(FIND(LEFT(C1560,1),"567")),"ERROR: CUENTA fuera de las clases de costo",IF(NOT(ISNUMBER(E1560)),"ERROR: VALOR debe ser numérico",IF(E1560=0,"AVISO: valor cero (no se carga)",IF(J1560&lt;&gt;"ACTIVO","NO SE CARGA: CECO en estado "&amp;J1560,"OK"))))))))))</f>
        <v/>
      </c>
    </row>
    <row r="1561">
      <c r="A1561" s="5" t="n"/>
      <c r="B1561" s="6" t="n"/>
      <c r="C1561" s="5" t="n"/>
      <c r="D1561" s="6" t="n"/>
      <c r="E1561" s="7" t="n"/>
      <c r="F1561" s="6" t="n"/>
      <c r="G1561" s="8">
        <f>IF(B1561="","",IFERROR(VLOOKUP(--B1561,'CATALOGO CECO'!$A$2:$H$550,2,FALSE),"CECO NO EXISTE"))</f>
        <v/>
      </c>
      <c r="H1561" s="8">
        <f>IF(B1561="","",IFERROR(VLOOKUP(--B1561,'CATALOGO CECO'!$A$2:$H$550,3,FALSE),""))</f>
        <v/>
      </c>
      <c r="I1561" s="8">
        <f>IF(B1561="","",IFERROR(VLOOKUP(--B1561,'CATALOGO CECO'!$A$2:$H$550,5,FALSE),""))</f>
        <v/>
      </c>
      <c r="J1561" s="8">
        <f>IF(B1561="","",IFERROR(VLOOKUP(--B1561,'CATALOGO CECO'!$A$2:$H$550,8,FALSE),""))</f>
        <v/>
      </c>
      <c r="K1561" s="8">
        <f>IF(COUNTA(A1561:F1561)=0,"",IF(OR(LEN(A1561)&lt;&gt;7,MID(A1561,5,1)&lt;&gt;"-",ISERROR(--LEFT(A1561,4)),ISERROR(--RIGHT(A1561,2))),"ERROR: PERIODO debe ser AAAA-MM",IF(B1561="","ERROR: falta CODIGO CECO",IF(G1561="CECO NO EXISTE","ERROR: CECO no existe en el catálogo",IF(C1561="","ERROR: falta CUENTA",IF(ISERROR(--C1561),"ERROR: CUENTA debe tener solo dígitos",IF(ISERROR(FIND(LEFT(C1561,1),"567")),"ERROR: CUENTA fuera de las clases de costo",IF(NOT(ISNUMBER(E1561)),"ERROR: VALOR debe ser numérico",IF(E1561=0,"AVISO: valor cero (no se carga)",IF(J1561&lt;&gt;"ACTIVO","NO SE CARGA: CECO en estado "&amp;J1561,"OK"))))))))))</f>
        <v/>
      </c>
    </row>
    <row r="1562">
      <c r="A1562" s="5" t="n"/>
      <c r="B1562" s="6" t="n"/>
      <c r="C1562" s="5" t="n"/>
      <c r="D1562" s="6" t="n"/>
      <c r="E1562" s="7" t="n"/>
      <c r="F1562" s="6" t="n"/>
      <c r="G1562" s="8">
        <f>IF(B1562="","",IFERROR(VLOOKUP(--B1562,'CATALOGO CECO'!$A$2:$H$550,2,FALSE),"CECO NO EXISTE"))</f>
        <v/>
      </c>
      <c r="H1562" s="8">
        <f>IF(B1562="","",IFERROR(VLOOKUP(--B1562,'CATALOGO CECO'!$A$2:$H$550,3,FALSE),""))</f>
        <v/>
      </c>
      <c r="I1562" s="8">
        <f>IF(B1562="","",IFERROR(VLOOKUP(--B1562,'CATALOGO CECO'!$A$2:$H$550,5,FALSE),""))</f>
        <v/>
      </c>
      <c r="J1562" s="8">
        <f>IF(B1562="","",IFERROR(VLOOKUP(--B1562,'CATALOGO CECO'!$A$2:$H$550,8,FALSE),""))</f>
        <v/>
      </c>
      <c r="K1562" s="8">
        <f>IF(COUNTA(A1562:F1562)=0,"",IF(OR(LEN(A1562)&lt;&gt;7,MID(A1562,5,1)&lt;&gt;"-",ISERROR(--LEFT(A1562,4)),ISERROR(--RIGHT(A1562,2))),"ERROR: PERIODO debe ser AAAA-MM",IF(B1562="","ERROR: falta CODIGO CECO",IF(G1562="CECO NO EXISTE","ERROR: CECO no existe en el catálogo",IF(C1562="","ERROR: falta CUENTA",IF(ISERROR(--C1562),"ERROR: CUENTA debe tener solo dígitos",IF(ISERROR(FIND(LEFT(C1562,1),"567")),"ERROR: CUENTA fuera de las clases de costo",IF(NOT(ISNUMBER(E1562)),"ERROR: VALOR debe ser numérico",IF(E1562=0,"AVISO: valor cero (no se carga)",IF(J1562&lt;&gt;"ACTIVO","NO SE CARGA: CECO en estado "&amp;J1562,"OK"))))))))))</f>
        <v/>
      </c>
    </row>
    <row r="1563">
      <c r="A1563" s="5" t="n"/>
      <c r="B1563" s="6" t="n"/>
      <c r="C1563" s="5" t="n"/>
      <c r="D1563" s="6" t="n"/>
      <c r="E1563" s="7" t="n"/>
      <c r="F1563" s="6" t="n"/>
      <c r="G1563" s="8">
        <f>IF(B1563="","",IFERROR(VLOOKUP(--B1563,'CATALOGO CECO'!$A$2:$H$550,2,FALSE),"CECO NO EXISTE"))</f>
        <v/>
      </c>
      <c r="H1563" s="8">
        <f>IF(B1563="","",IFERROR(VLOOKUP(--B1563,'CATALOGO CECO'!$A$2:$H$550,3,FALSE),""))</f>
        <v/>
      </c>
      <c r="I1563" s="8">
        <f>IF(B1563="","",IFERROR(VLOOKUP(--B1563,'CATALOGO CECO'!$A$2:$H$550,5,FALSE),""))</f>
        <v/>
      </c>
      <c r="J1563" s="8">
        <f>IF(B1563="","",IFERROR(VLOOKUP(--B1563,'CATALOGO CECO'!$A$2:$H$550,8,FALSE),""))</f>
        <v/>
      </c>
      <c r="K1563" s="8">
        <f>IF(COUNTA(A1563:F1563)=0,"",IF(OR(LEN(A1563)&lt;&gt;7,MID(A1563,5,1)&lt;&gt;"-",ISERROR(--LEFT(A1563,4)),ISERROR(--RIGHT(A1563,2))),"ERROR: PERIODO debe ser AAAA-MM",IF(B1563="","ERROR: falta CODIGO CECO",IF(G1563="CECO NO EXISTE","ERROR: CECO no existe en el catálogo",IF(C1563="","ERROR: falta CUENTA",IF(ISERROR(--C1563),"ERROR: CUENTA debe tener solo dígitos",IF(ISERROR(FIND(LEFT(C1563,1),"567")),"ERROR: CUENTA fuera de las clases de costo",IF(NOT(ISNUMBER(E1563)),"ERROR: VALOR debe ser numérico",IF(E1563=0,"AVISO: valor cero (no se carga)",IF(J1563&lt;&gt;"ACTIVO","NO SE CARGA: CECO en estado "&amp;J1563,"OK"))))))))))</f>
        <v/>
      </c>
    </row>
    <row r="1564">
      <c r="A1564" s="5" t="n"/>
      <c r="B1564" s="6" t="n"/>
      <c r="C1564" s="5" t="n"/>
      <c r="D1564" s="6" t="n"/>
      <c r="E1564" s="7" t="n"/>
      <c r="F1564" s="6" t="n"/>
      <c r="G1564" s="8">
        <f>IF(B1564="","",IFERROR(VLOOKUP(--B1564,'CATALOGO CECO'!$A$2:$H$550,2,FALSE),"CECO NO EXISTE"))</f>
        <v/>
      </c>
      <c r="H1564" s="8">
        <f>IF(B1564="","",IFERROR(VLOOKUP(--B1564,'CATALOGO CECO'!$A$2:$H$550,3,FALSE),""))</f>
        <v/>
      </c>
      <c r="I1564" s="8">
        <f>IF(B1564="","",IFERROR(VLOOKUP(--B1564,'CATALOGO CECO'!$A$2:$H$550,5,FALSE),""))</f>
        <v/>
      </c>
      <c r="J1564" s="8">
        <f>IF(B1564="","",IFERROR(VLOOKUP(--B1564,'CATALOGO CECO'!$A$2:$H$550,8,FALSE),""))</f>
        <v/>
      </c>
      <c r="K1564" s="8">
        <f>IF(COUNTA(A1564:F1564)=0,"",IF(OR(LEN(A1564)&lt;&gt;7,MID(A1564,5,1)&lt;&gt;"-",ISERROR(--LEFT(A1564,4)),ISERROR(--RIGHT(A1564,2))),"ERROR: PERIODO debe ser AAAA-MM",IF(B1564="","ERROR: falta CODIGO CECO",IF(G1564="CECO NO EXISTE","ERROR: CECO no existe en el catálogo",IF(C1564="","ERROR: falta CUENTA",IF(ISERROR(--C1564),"ERROR: CUENTA debe tener solo dígitos",IF(ISERROR(FIND(LEFT(C1564,1),"567")),"ERROR: CUENTA fuera de las clases de costo",IF(NOT(ISNUMBER(E1564)),"ERROR: VALOR debe ser numérico",IF(E1564=0,"AVISO: valor cero (no se carga)",IF(J1564&lt;&gt;"ACTIVO","NO SE CARGA: CECO en estado "&amp;J1564,"OK"))))))))))</f>
        <v/>
      </c>
    </row>
    <row r="1565">
      <c r="A1565" s="5" t="n"/>
      <c r="B1565" s="6" t="n"/>
      <c r="C1565" s="5" t="n"/>
      <c r="D1565" s="6" t="n"/>
      <c r="E1565" s="7" t="n"/>
      <c r="F1565" s="6" t="n"/>
      <c r="G1565" s="8">
        <f>IF(B1565="","",IFERROR(VLOOKUP(--B1565,'CATALOGO CECO'!$A$2:$H$550,2,FALSE),"CECO NO EXISTE"))</f>
        <v/>
      </c>
      <c r="H1565" s="8">
        <f>IF(B1565="","",IFERROR(VLOOKUP(--B1565,'CATALOGO CECO'!$A$2:$H$550,3,FALSE),""))</f>
        <v/>
      </c>
      <c r="I1565" s="8">
        <f>IF(B1565="","",IFERROR(VLOOKUP(--B1565,'CATALOGO CECO'!$A$2:$H$550,5,FALSE),""))</f>
        <v/>
      </c>
      <c r="J1565" s="8">
        <f>IF(B1565="","",IFERROR(VLOOKUP(--B1565,'CATALOGO CECO'!$A$2:$H$550,8,FALSE),""))</f>
        <v/>
      </c>
      <c r="K1565" s="8">
        <f>IF(COUNTA(A1565:F1565)=0,"",IF(OR(LEN(A1565)&lt;&gt;7,MID(A1565,5,1)&lt;&gt;"-",ISERROR(--LEFT(A1565,4)),ISERROR(--RIGHT(A1565,2))),"ERROR: PERIODO debe ser AAAA-MM",IF(B1565="","ERROR: falta CODIGO CECO",IF(G1565="CECO NO EXISTE","ERROR: CECO no existe en el catálogo",IF(C1565="","ERROR: falta CUENTA",IF(ISERROR(--C1565),"ERROR: CUENTA debe tener solo dígitos",IF(ISERROR(FIND(LEFT(C1565,1),"567")),"ERROR: CUENTA fuera de las clases de costo",IF(NOT(ISNUMBER(E1565)),"ERROR: VALOR debe ser numérico",IF(E1565=0,"AVISO: valor cero (no se carga)",IF(J1565&lt;&gt;"ACTIVO","NO SE CARGA: CECO en estado "&amp;J1565,"OK"))))))))))</f>
        <v/>
      </c>
    </row>
    <row r="1566">
      <c r="A1566" s="5" t="n"/>
      <c r="B1566" s="6" t="n"/>
      <c r="C1566" s="5" t="n"/>
      <c r="D1566" s="6" t="n"/>
      <c r="E1566" s="7" t="n"/>
      <c r="F1566" s="6" t="n"/>
      <c r="G1566" s="8">
        <f>IF(B1566="","",IFERROR(VLOOKUP(--B1566,'CATALOGO CECO'!$A$2:$H$550,2,FALSE),"CECO NO EXISTE"))</f>
        <v/>
      </c>
      <c r="H1566" s="8">
        <f>IF(B1566="","",IFERROR(VLOOKUP(--B1566,'CATALOGO CECO'!$A$2:$H$550,3,FALSE),""))</f>
        <v/>
      </c>
      <c r="I1566" s="8">
        <f>IF(B1566="","",IFERROR(VLOOKUP(--B1566,'CATALOGO CECO'!$A$2:$H$550,5,FALSE),""))</f>
        <v/>
      </c>
      <c r="J1566" s="8">
        <f>IF(B1566="","",IFERROR(VLOOKUP(--B1566,'CATALOGO CECO'!$A$2:$H$550,8,FALSE),""))</f>
        <v/>
      </c>
      <c r="K1566" s="8">
        <f>IF(COUNTA(A1566:F1566)=0,"",IF(OR(LEN(A1566)&lt;&gt;7,MID(A1566,5,1)&lt;&gt;"-",ISERROR(--LEFT(A1566,4)),ISERROR(--RIGHT(A1566,2))),"ERROR: PERIODO debe ser AAAA-MM",IF(B1566="","ERROR: falta CODIGO CECO",IF(G1566="CECO NO EXISTE","ERROR: CECO no existe en el catálogo",IF(C1566="","ERROR: falta CUENTA",IF(ISERROR(--C1566),"ERROR: CUENTA debe tener solo dígitos",IF(ISERROR(FIND(LEFT(C1566,1),"567")),"ERROR: CUENTA fuera de las clases de costo",IF(NOT(ISNUMBER(E1566)),"ERROR: VALOR debe ser numérico",IF(E1566=0,"AVISO: valor cero (no se carga)",IF(J1566&lt;&gt;"ACTIVO","NO SE CARGA: CECO en estado "&amp;J1566,"OK"))))))))))</f>
        <v/>
      </c>
    </row>
    <row r="1567">
      <c r="A1567" s="5" t="n"/>
      <c r="B1567" s="6" t="n"/>
      <c r="C1567" s="5" t="n"/>
      <c r="D1567" s="6" t="n"/>
      <c r="E1567" s="7" t="n"/>
      <c r="F1567" s="6" t="n"/>
      <c r="G1567" s="8">
        <f>IF(B1567="","",IFERROR(VLOOKUP(--B1567,'CATALOGO CECO'!$A$2:$H$550,2,FALSE),"CECO NO EXISTE"))</f>
        <v/>
      </c>
      <c r="H1567" s="8">
        <f>IF(B1567="","",IFERROR(VLOOKUP(--B1567,'CATALOGO CECO'!$A$2:$H$550,3,FALSE),""))</f>
        <v/>
      </c>
      <c r="I1567" s="8">
        <f>IF(B1567="","",IFERROR(VLOOKUP(--B1567,'CATALOGO CECO'!$A$2:$H$550,5,FALSE),""))</f>
        <v/>
      </c>
      <c r="J1567" s="8">
        <f>IF(B1567="","",IFERROR(VLOOKUP(--B1567,'CATALOGO CECO'!$A$2:$H$550,8,FALSE),""))</f>
        <v/>
      </c>
      <c r="K1567" s="8">
        <f>IF(COUNTA(A1567:F1567)=0,"",IF(OR(LEN(A1567)&lt;&gt;7,MID(A1567,5,1)&lt;&gt;"-",ISERROR(--LEFT(A1567,4)),ISERROR(--RIGHT(A1567,2))),"ERROR: PERIODO debe ser AAAA-MM",IF(B1567="","ERROR: falta CODIGO CECO",IF(G1567="CECO NO EXISTE","ERROR: CECO no existe en el catálogo",IF(C1567="","ERROR: falta CUENTA",IF(ISERROR(--C1567),"ERROR: CUENTA debe tener solo dígitos",IF(ISERROR(FIND(LEFT(C1567,1),"567")),"ERROR: CUENTA fuera de las clases de costo",IF(NOT(ISNUMBER(E1567)),"ERROR: VALOR debe ser numérico",IF(E1567=0,"AVISO: valor cero (no se carga)",IF(J1567&lt;&gt;"ACTIVO","NO SE CARGA: CECO en estado "&amp;J1567,"OK"))))))))))</f>
        <v/>
      </c>
    </row>
    <row r="1568">
      <c r="A1568" s="5" t="n"/>
      <c r="B1568" s="6" t="n"/>
      <c r="C1568" s="5" t="n"/>
      <c r="D1568" s="6" t="n"/>
      <c r="E1568" s="7" t="n"/>
      <c r="F1568" s="6" t="n"/>
      <c r="G1568" s="8">
        <f>IF(B1568="","",IFERROR(VLOOKUP(--B1568,'CATALOGO CECO'!$A$2:$H$550,2,FALSE),"CECO NO EXISTE"))</f>
        <v/>
      </c>
      <c r="H1568" s="8">
        <f>IF(B1568="","",IFERROR(VLOOKUP(--B1568,'CATALOGO CECO'!$A$2:$H$550,3,FALSE),""))</f>
        <v/>
      </c>
      <c r="I1568" s="8">
        <f>IF(B1568="","",IFERROR(VLOOKUP(--B1568,'CATALOGO CECO'!$A$2:$H$550,5,FALSE),""))</f>
        <v/>
      </c>
      <c r="J1568" s="8">
        <f>IF(B1568="","",IFERROR(VLOOKUP(--B1568,'CATALOGO CECO'!$A$2:$H$550,8,FALSE),""))</f>
        <v/>
      </c>
      <c r="K1568" s="8">
        <f>IF(COUNTA(A1568:F1568)=0,"",IF(OR(LEN(A1568)&lt;&gt;7,MID(A1568,5,1)&lt;&gt;"-",ISERROR(--LEFT(A1568,4)),ISERROR(--RIGHT(A1568,2))),"ERROR: PERIODO debe ser AAAA-MM",IF(B1568="","ERROR: falta CODIGO CECO",IF(G1568="CECO NO EXISTE","ERROR: CECO no existe en el catálogo",IF(C1568="","ERROR: falta CUENTA",IF(ISERROR(--C1568),"ERROR: CUENTA debe tener solo dígitos",IF(ISERROR(FIND(LEFT(C1568,1),"567")),"ERROR: CUENTA fuera de las clases de costo",IF(NOT(ISNUMBER(E1568)),"ERROR: VALOR debe ser numérico",IF(E1568=0,"AVISO: valor cero (no se carga)",IF(J1568&lt;&gt;"ACTIVO","NO SE CARGA: CECO en estado "&amp;J1568,"OK"))))))))))</f>
        <v/>
      </c>
    </row>
    <row r="1569">
      <c r="A1569" s="5" t="n"/>
      <c r="B1569" s="6" t="n"/>
      <c r="C1569" s="5" t="n"/>
      <c r="D1569" s="6" t="n"/>
      <c r="E1569" s="7" t="n"/>
      <c r="F1569" s="6" t="n"/>
      <c r="G1569" s="8">
        <f>IF(B1569="","",IFERROR(VLOOKUP(--B1569,'CATALOGO CECO'!$A$2:$H$550,2,FALSE),"CECO NO EXISTE"))</f>
        <v/>
      </c>
      <c r="H1569" s="8">
        <f>IF(B1569="","",IFERROR(VLOOKUP(--B1569,'CATALOGO CECO'!$A$2:$H$550,3,FALSE),""))</f>
        <v/>
      </c>
      <c r="I1569" s="8">
        <f>IF(B1569="","",IFERROR(VLOOKUP(--B1569,'CATALOGO CECO'!$A$2:$H$550,5,FALSE),""))</f>
        <v/>
      </c>
      <c r="J1569" s="8">
        <f>IF(B1569="","",IFERROR(VLOOKUP(--B1569,'CATALOGO CECO'!$A$2:$H$550,8,FALSE),""))</f>
        <v/>
      </c>
      <c r="K1569" s="8">
        <f>IF(COUNTA(A1569:F1569)=0,"",IF(OR(LEN(A1569)&lt;&gt;7,MID(A1569,5,1)&lt;&gt;"-",ISERROR(--LEFT(A1569,4)),ISERROR(--RIGHT(A1569,2))),"ERROR: PERIODO debe ser AAAA-MM",IF(B1569="","ERROR: falta CODIGO CECO",IF(G1569="CECO NO EXISTE","ERROR: CECO no existe en el catálogo",IF(C1569="","ERROR: falta CUENTA",IF(ISERROR(--C1569),"ERROR: CUENTA debe tener solo dígitos",IF(ISERROR(FIND(LEFT(C1569,1),"567")),"ERROR: CUENTA fuera de las clases de costo",IF(NOT(ISNUMBER(E1569)),"ERROR: VALOR debe ser numérico",IF(E1569=0,"AVISO: valor cero (no se carga)",IF(J1569&lt;&gt;"ACTIVO","NO SE CARGA: CECO en estado "&amp;J1569,"OK"))))))))))</f>
        <v/>
      </c>
    </row>
    <row r="1570">
      <c r="A1570" s="5" t="n"/>
      <c r="B1570" s="6" t="n"/>
      <c r="C1570" s="5" t="n"/>
      <c r="D1570" s="6" t="n"/>
      <c r="E1570" s="7" t="n"/>
      <c r="F1570" s="6" t="n"/>
      <c r="G1570" s="8">
        <f>IF(B1570="","",IFERROR(VLOOKUP(--B1570,'CATALOGO CECO'!$A$2:$H$550,2,FALSE),"CECO NO EXISTE"))</f>
        <v/>
      </c>
      <c r="H1570" s="8">
        <f>IF(B1570="","",IFERROR(VLOOKUP(--B1570,'CATALOGO CECO'!$A$2:$H$550,3,FALSE),""))</f>
        <v/>
      </c>
      <c r="I1570" s="8">
        <f>IF(B1570="","",IFERROR(VLOOKUP(--B1570,'CATALOGO CECO'!$A$2:$H$550,5,FALSE),""))</f>
        <v/>
      </c>
      <c r="J1570" s="8">
        <f>IF(B1570="","",IFERROR(VLOOKUP(--B1570,'CATALOGO CECO'!$A$2:$H$550,8,FALSE),""))</f>
        <v/>
      </c>
      <c r="K1570" s="8">
        <f>IF(COUNTA(A1570:F1570)=0,"",IF(OR(LEN(A1570)&lt;&gt;7,MID(A1570,5,1)&lt;&gt;"-",ISERROR(--LEFT(A1570,4)),ISERROR(--RIGHT(A1570,2))),"ERROR: PERIODO debe ser AAAA-MM",IF(B1570="","ERROR: falta CODIGO CECO",IF(G1570="CECO NO EXISTE","ERROR: CECO no existe en el catálogo",IF(C1570="","ERROR: falta CUENTA",IF(ISERROR(--C1570),"ERROR: CUENTA debe tener solo dígitos",IF(ISERROR(FIND(LEFT(C1570,1),"567")),"ERROR: CUENTA fuera de las clases de costo",IF(NOT(ISNUMBER(E1570)),"ERROR: VALOR debe ser numérico",IF(E1570=0,"AVISO: valor cero (no se carga)",IF(J1570&lt;&gt;"ACTIVO","NO SE CARGA: CECO en estado "&amp;J1570,"OK"))))))))))</f>
        <v/>
      </c>
    </row>
    <row r="1571">
      <c r="A1571" s="5" t="n"/>
      <c r="B1571" s="6" t="n"/>
      <c r="C1571" s="5" t="n"/>
      <c r="D1571" s="6" t="n"/>
      <c r="E1571" s="7" t="n"/>
      <c r="F1571" s="6" t="n"/>
      <c r="G1571" s="8">
        <f>IF(B1571="","",IFERROR(VLOOKUP(--B1571,'CATALOGO CECO'!$A$2:$H$550,2,FALSE),"CECO NO EXISTE"))</f>
        <v/>
      </c>
      <c r="H1571" s="8">
        <f>IF(B1571="","",IFERROR(VLOOKUP(--B1571,'CATALOGO CECO'!$A$2:$H$550,3,FALSE),""))</f>
        <v/>
      </c>
      <c r="I1571" s="8">
        <f>IF(B1571="","",IFERROR(VLOOKUP(--B1571,'CATALOGO CECO'!$A$2:$H$550,5,FALSE),""))</f>
        <v/>
      </c>
      <c r="J1571" s="8">
        <f>IF(B1571="","",IFERROR(VLOOKUP(--B1571,'CATALOGO CECO'!$A$2:$H$550,8,FALSE),""))</f>
        <v/>
      </c>
      <c r="K1571" s="8">
        <f>IF(COUNTA(A1571:F1571)=0,"",IF(OR(LEN(A1571)&lt;&gt;7,MID(A1571,5,1)&lt;&gt;"-",ISERROR(--LEFT(A1571,4)),ISERROR(--RIGHT(A1571,2))),"ERROR: PERIODO debe ser AAAA-MM",IF(B1571="","ERROR: falta CODIGO CECO",IF(G1571="CECO NO EXISTE","ERROR: CECO no existe en el catálogo",IF(C1571="","ERROR: falta CUENTA",IF(ISERROR(--C1571),"ERROR: CUENTA debe tener solo dígitos",IF(ISERROR(FIND(LEFT(C1571,1),"567")),"ERROR: CUENTA fuera de las clases de costo",IF(NOT(ISNUMBER(E1571)),"ERROR: VALOR debe ser numérico",IF(E1571=0,"AVISO: valor cero (no se carga)",IF(J1571&lt;&gt;"ACTIVO","NO SE CARGA: CECO en estado "&amp;J1571,"OK"))))))))))</f>
        <v/>
      </c>
    </row>
    <row r="1572">
      <c r="A1572" s="5" t="n"/>
      <c r="B1572" s="6" t="n"/>
      <c r="C1572" s="5" t="n"/>
      <c r="D1572" s="6" t="n"/>
      <c r="E1572" s="7" t="n"/>
      <c r="F1572" s="6" t="n"/>
      <c r="G1572" s="8">
        <f>IF(B1572="","",IFERROR(VLOOKUP(--B1572,'CATALOGO CECO'!$A$2:$H$550,2,FALSE),"CECO NO EXISTE"))</f>
        <v/>
      </c>
      <c r="H1572" s="8">
        <f>IF(B1572="","",IFERROR(VLOOKUP(--B1572,'CATALOGO CECO'!$A$2:$H$550,3,FALSE),""))</f>
        <v/>
      </c>
      <c r="I1572" s="8">
        <f>IF(B1572="","",IFERROR(VLOOKUP(--B1572,'CATALOGO CECO'!$A$2:$H$550,5,FALSE),""))</f>
        <v/>
      </c>
      <c r="J1572" s="8">
        <f>IF(B1572="","",IFERROR(VLOOKUP(--B1572,'CATALOGO CECO'!$A$2:$H$550,8,FALSE),""))</f>
        <v/>
      </c>
      <c r="K1572" s="8">
        <f>IF(COUNTA(A1572:F1572)=0,"",IF(OR(LEN(A1572)&lt;&gt;7,MID(A1572,5,1)&lt;&gt;"-",ISERROR(--LEFT(A1572,4)),ISERROR(--RIGHT(A1572,2))),"ERROR: PERIODO debe ser AAAA-MM",IF(B1572="","ERROR: falta CODIGO CECO",IF(G1572="CECO NO EXISTE","ERROR: CECO no existe en el catálogo",IF(C1572="","ERROR: falta CUENTA",IF(ISERROR(--C1572),"ERROR: CUENTA debe tener solo dígitos",IF(ISERROR(FIND(LEFT(C1572,1),"567")),"ERROR: CUENTA fuera de las clases de costo",IF(NOT(ISNUMBER(E1572)),"ERROR: VALOR debe ser numérico",IF(E1572=0,"AVISO: valor cero (no se carga)",IF(J1572&lt;&gt;"ACTIVO","NO SE CARGA: CECO en estado "&amp;J1572,"OK"))))))))))</f>
        <v/>
      </c>
    </row>
    <row r="1573">
      <c r="A1573" s="5" t="n"/>
      <c r="B1573" s="6" t="n"/>
      <c r="C1573" s="5" t="n"/>
      <c r="D1573" s="6" t="n"/>
      <c r="E1573" s="7" t="n"/>
      <c r="F1573" s="6" t="n"/>
      <c r="G1573" s="8">
        <f>IF(B1573="","",IFERROR(VLOOKUP(--B1573,'CATALOGO CECO'!$A$2:$H$550,2,FALSE),"CECO NO EXISTE"))</f>
        <v/>
      </c>
      <c r="H1573" s="8">
        <f>IF(B1573="","",IFERROR(VLOOKUP(--B1573,'CATALOGO CECO'!$A$2:$H$550,3,FALSE),""))</f>
        <v/>
      </c>
      <c r="I1573" s="8">
        <f>IF(B1573="","",IFERROR(VLOOKUP(--B1573,'CATALOGO CECO'!$A$2:$H$550,5,FALSE),""))</f>
        <v/>
      </c>
      <c r="J1573" s="8">
        <f>IF(B1573="","",IFERROR(VLOOKUP(--B1573,'CATALOGO CECO'!$A$2:$H$550,8,FALSE),""))</f>
        <v/>
      </c>
      <c r="K1573" s="8">
        <f>IF(COUNTA(A1573:F1573)=0,"",IF(OR(LEN(A1573)&lt;&gt;7,MID(A1573,5,1)&lt;&gt;"-",ISERROR(--LEFT(A1573,4)),ISERROR(--RIGHT(A1573,2))),"ERROR: PERIODO debe ser AAAA-MM",IF(B1573="","ERROR: falta CODIGO CECO",IF(G1573="CECO NO EXISTE","ERROR: CECO no existe en el catálogo",IF(C1573="","ERROR: falta CUENTA",IF(ISERROR(--C1573),"ERROR: CUENTA debe tener solo dígitos",IF(ISERROR(FIND(LEFT(C1573,1),"567")),"ERROR: CUENTA fuera de las clases de costo",IF(NOT(ISNUMBER(E1573)),"ERROR: VALOR debe ser numérico",IF(E1573=0,"AVISO: valor cero (no se carga)",IF(J1573&lt;&gt;"ACTIVO","NO SE CARGA: CECO en estado "&amp;J1573,"OK"))))))))))</f>
        <v/>
      </c>
    </row>
    <row r="1574">
      <c r="A1574" s="5" t="n"/>
      <c r="B1574" s="6" t="n"/>
      <c r="C1574" s="5" t="n"/>
      <c r="D1574" s="6" t="n"/>
      <c r="E1574" s="7" t="n"/>
      <c r="F1574" s="6" t="n"/>
      <c r="G1574" s="8">
        <f>IF(B1574="","",IFERROR(VLOOKUP(--B1574,'CATALOGO CECO'!$A$2:$H$550,2,FALSE),"CECO NO EXISTE"))</f>
        <v/>
      </c>
      <c r="H1574" s="8">
        <f>IF(B1574="","",IFERROR(VLOOKUP(--B1574,'CATALOGO CECO'!$A$2:$H$550,3,FALSE),""))</f>
        <v/>
      </c>
      <c r="I1574" s="8">
        <f>IF(B1574="","",IFERROR(VLOOKUP(--B1574,'CATALOGO CECO'!$A$2:$H$550,5,FALSE),""))</f>
        <v/>
      </c>
      <c r="J1574" s="8">
        <f>IF(B1574="","",IFERROR(VLOOKUP(--B1574,'CATALOGO CECO'!$A$2:$H$550,8,FALSE),""))</f>
        <v/>
      </c>
      <c r="K1574" s="8">
        <f>IF(COUNTA(A1574:F1574)=0,"",IF(OR(LEN(A1574)&lt;&gt;7,MID(A1574,5,1)&lt;&gt;"-",ISERROR(--LEFT(A1574,4)),ISERROR(--RIGHT(A1574,2))),"ERROR: PERIODO debe ser AAAA-MM",IF(B1574="","ERROR: falta CODIGO CECO",IF(G1574="CECO NO EXISTE","ERROR: CECO no existe en el catálogo",IF(C1574="","ERROR: falta CUENTA",IF(ISERROR(--C1574),"ERROR: CUENTA debe tener solo dígitos",IF(ISERROR(FIND(LEFT(C1574,1),"567")),"ERROR: CUENTA fuera de las clases de costo",IF(NOT(ISNUMBER(E1574)),"ERROR: VALOR debe ser numérico",IF(E1574=0,"AVISO: valor cero (no se carga)",IF(J1574&lt;&gt;"ACTIVO","NO SE CARGA: CECO en estado "&amp;J1574,"OK"))))))))))</f>
        <v/>
      </c>
    </row>
    <row r="1575">
      <c r="A1575" s="5" t="n"/>
      <c r="B1575" s="6" t="n"/>
      <c r="C1575" s="5" t="n"/>
      <c r="D1575" s="6" t="n"/>
      <c r="E1575" s="7" t="n"/>
      <c r="F1575" s="6" t="n"/>
      <c r="G1575" s="8">
        <f>IF(B1575="","",IFERROR(VLOOKUP(--B1575,'CATALOGO CECO'!$A$2:$H$550,2,FALSE),"CECO NO EXISTE"))</f>
        <v/>
      </c>
      <c r="H1575" s="8">
        <f>IF(B1575="","",IFERROR(VLOOKUP(--B1575,'CATALOGO CECO'!$A$2:$H$550,3,FALSE),""))</f>
        <v/>
      </c>
      <c r="I1575" s="8">
        <f>IF(B1575="","",IFERROR(VLOOKUP(--B1575,'CATALOGO CECO'!$A$2:$H$550,5,FALSE),""))</f>
        <v/>
      </c>
      <c r="J1575" s="8">
        <f>IF(B1575="","",IFERROR(VLOOKUP(--B1575,'CATALOGO CECO'!$A$2:$H$550,8,FALSE),""))</f>
        <v/>
      </c>
      <c r="K1575" s="8">
        <f>IF(COUNTA(A1575:F1575)=0,"",IF(OR(LEN(A1575)&lt;&gt;7,MID(A1575,5,1)&lt;&gt;"-",ISERROR(--LEFT(A1575,4)),ISERROR(--RIGHT(A1575,2))),"ERROR: PERIODO debe ser AAAA-MM",IF(B1575="","ERROR: falta CODIGO CECO",IF(G1575="CECO NO EXISTE","ERROR: CECO no existe en el catálogo",IF(C1575="","ERROR: falta CUENTA",IF(ISERROR(--C1575),"ERROR: CUENTA debe tener solo dígitos",IF(ISERROR(FIND(LEFT(C1575,1),"567")),"ERROR: CUENTA fuera de las clases de costo",IF(NOT(ISNUMBER(E1575)),"ERROR: VALOR debe ser numérico",IF(E1575=0,"AVISO: valor cero (no se carga)",IF(J1575&lt;&gt;"ACTIVO","NO SE CARGA: CECO en estado "&amp;J1575,"OK"))))))))))</f>
        <v/>
      </c>
    </row>
    <row r="1576">
      <c r="A1576" s="5" t="n"/>
      <c r="B1576" s="6" t="n"/>
      <c r="C1576" s="5" t="n"/>
      <c r="D1576" s="6" t="n"/>
      <c r="E1576" s="7" t="n"/>
      <c r="F1576" s="6" t="n"/>
      <c r="G1576" s="8">
        <f>IF(B1576="","",IFERROR(VLOOKUP(--B1576,'CATALOGO CECO'!$A$2:$H$550,2,FALSE),"CECO NO EXISTE"))</f>
        <v/>
      </c>
      <c r="H1576" s="8">
        <f>IF(B1576="","",IFERROR(VLOOKUP(--B1576,'CATALOGO CECO'!$A$2:$H$550,3,FALSE),""))</f>
        <v/>
      </c>
      <c r="I1576" s="8">
        <f>IF(B1576="","",IFERROR(VLOOKUP(--B1576,'CATALOGO CECO'!$A$2:$H$550,5,FALSE),""))</f>
        <v/>
      </c>
      <c r="J1576" s="8">
        <f>IF(B1576="","",IFERROR(VLOOKUP(--B1576,'CATALOGO CECO'!$A$2:$H$550,8,FALSE),""))</f>
        <v/>
      </c>
      <c r="K1576" s="8">
        <f>IF(COUNTA(A1576:F1576)=0,"",IF(OR(LEN(A1576)&lt;&gt;7,MID(A1576,5,1)&lt;&gt;"-",ISERROR(--LEFT(A1576,4)),ISERROR(--RIGHT(A1576,2))),"ERROR: PERIODO debe ser AAAA-MM",IF(B1576="","ERROR: falta CODIGO CECO",IF(G1576="CECO NO EXISTE","ERROR: CECO no existe en el catálogo",IF(C1576="","ERROR: falta CUENTA",IF(ISERROR(--C1576),"ERROR: CUENTA debe tener solo dígitos",IF(ISERROR(FIND(LEFT(C1576,1),"567")),"ERROR: CUENTA fuera de las clases de costo",IF(NOT(ISNUMBER(E1576)),"ERROR: VALOR debe ser numérico",IF(E1576=0,"AVISO: valor cero (no se carga)",IF(J1576&lt;&gt;"ACTIVO","NO SE CARGA: CECO en estado "&amp;J1576,"OK"))))))))))</f>
        <v/>
      </c>
    </row>
    <row r="1577">
      <c r="A1577" s="5" t="n"/>
      <c r="B1577" s="6" t="n"/>
      <c r="C1577" s="5" t="n"/>
      <c r="D1577" s="6" t="n"/>
      <c r="E1577" s="7" t="n"/>
      <c r="F1577" s="6" t="n"/>
      <c r="G1577" s="8">
        <f>IF(B1577="","",IFERROR(VLOOKUP(--B1577,'CATALOGO CECO'!$A$2:$H$550,2,FALSE),"CECO NO EXISTE"))</f>
        <v/>
      </c>
      <c r="H1577" s="8">
        <f>IF(B1577="","",IFERROR(VLOOKUP(--B1577,'CATALOGO CECO'!$A$2:$H$550,3,FALSE),""))</f>
        <v/>
      </c>
      <c r="I1577" s="8">
        <f>IF(B1577="","",IFERROR(VLOOKUP(--B1577,'CATALOGO CECO'!$A$2:$H$550,5,FALSE),""))</f>
        <v/>
      </c>
      <c r="J1577" s="8">
        <f>IF(B1577="","",IFERROR(VLOOKUP(--B1577,'CATALOGO CECO'!$A$2:$H$550,8,FALSE),""))</f>
        <v/>
      </c>
      <c r="K1577" s="8">
        <f>IF(COUNTA(A1577:F1577)=0,"",IF(OR(LEN(A1577)&lt;&gt;7,MID(A1577,5,1)&lt;&gt;"-",ISERROR(--LEFT(A1577,4)),ISERROR(--RIGHT(A1577,2))),"ERROR: PERIODO debe ser AAAA-MM",IF(B1577="","ERROR: falta CODIGO CECO",IF(G1577="CECO NO EXISTE","ERROR: CECO no existe en el catálogo",IF(C1577="","ERROR: falta CUENTA",IF(ISERROR(--C1577),"ERROR: CUENTA debe tener solo dígitos",IF(ISERROR(FIND(LEFT(C1577,1),"567")),"ERROR: CUENTA fuera de las clases de costo",IF(NOT(ISNUMBER(E1577)),"ERROR: VALOR debe ser numérico",IF(E1577=0,"AVISO: valor cero (no se carga)",IF(J1577&lt;&gt;"ACTIVO","NO SE CARGA: CECO en estado "&amp;J1577,"OK"))))))))))</f>
        <v/>
      </c>
    </row>
    <row r="1578">
      <c r="A1578" s="5" t="n"/>
      <c r="B1578" s="6" t="n"/>
      <c r="C1578" s="5" t="n"/>
      <c r="D1578" s="6" t="n"/>
      <c r="E1578" s="7" t="n"/>
      <c r="F1578" s="6" t="n"/>
      <c r="G1578" s="8">
        <f>IF(B1578="","",IFERROR(VLOOKUP(--B1578,'CATALOGO CECO'!$A$2:$H$550,2,FALSE),"CECO NO EXISTE"))</f>
        <v/>
      </c>
      <c r="H1578" s="8">
        <f>IF(B1578="","",IFERROR(VLOOKUP(--B1578,'CATALOGO CECO'!$A$2:$H$550,3,FALSE),""))</f>
        <v/>
      </c>
      <c r="I1578" s="8">
        <f>IF(B1578="","",IFERROR(VLOOKUP(--B1578,'CATALOGO CECO'!$A$2:$H$550,5,FALSE),""))</f>
        <v/>
      </c>
      <c r="J1578" s="8">
        <f>IF(B1578="","",IFERROR(VLOOKUP(--B1578,'CATALOGO CECO'!$A$2:$H$550,8,FALSE),""))</f>
        <v/>
      </c>
      <c r="K1578" s="8">
        <f>IF(COUNTA(A1578:F1578)=0,"",IF(OR(LEN(A1578)&lt;&gt;7,MID(A1578,5,1)&lt;&gt;"-",ISERROR(--LEFT(A1578,4)),ISERROR(--RIGHT(A1578,2))),"ERROR: PERIODO debe ser AAAA-MM",IF(B1578="","ERROR: falta CODIGO CECO",IF(G1578="CECO NO EXISTE","ERROR: CECO no existe en el catálogo",IF(C1578="","ERROR: falta CUENTA",IF(ISERROR(--C1578),"ERROR: CUENTA debe tener solo dígitos",IF(ISERROR(FIND(LEFT(C1578,1),"567")),"ERROR: CUENTA fuera de las clases de costo",IF(NOT(ISNUMBER(E1578)),"ERROR: VALOR debe ser numérico",IF(E1578=0,"AVISO: valor cero (no se carga)",IF(J1578&lt;&gt;"ACTIVO","NO SE CARGA: CECO en estado "&amp;J1578,"OK"))))))))))</f>
        <v/>
      </c>
    </row>
    <row r="1579">
      <c r="A1579" s="5" t="n"/>
      <c r="B1579" s="6" t="n"/>
      <c r="C1579" s="5" t="n"/>
      <c r="D1579" s="6" t="n"/>
      <c r="E1579" s="7" t="n"/>
      <c r="F1579" s="6" t="n"/>
      <c r="G1579" s="8">
        <f>IF(B1579="","",IFERROR(VLOOKUP(--B1579,'CATALOGO CECO'!$A$2:$H$550,2,FALSE),"CECO NO EXISTE"))</f>
        <v/>
      </c>
      <c r="H1579" s="8">
        <f>IF(B1579="","",IFERROR(VLOOKUP(--B1579,'CATALOGO CECO'!$A$2:$H$550,3,FALSE),""))</f>
        <v/>
      </c>
      <c r="I1579" s="8">
        <f>IF(B1579="","",IFERROR(VLOOKUP(--B1579,'CATALOGO CECO'!$A$2:$H$550,5,FALSE),""))</f>
        <v/>
      </c>
      <c r="J1579" s="8">
        <f>IF(B1579="","",IFERROR(VLOOKUP(--B1579,'CATALOGO CECO'!$A$2:$H$550,8,FALSE),""))</f>
        <v/>
      </c>
      <c r="K1579" s="8">
        <f>IF(COUNTA(A1579:F1579)=0,"",IF(OR(LEN(A1579)&lt;&gt;7,MID(A1579,5,1)&lt;&gt;"-",ISERROR(--LEFT(A1579,4)),ISERROR(--RIGHT(A1579,2))),"ERROR: PERIODO debe ser AAAA-MM",IF(B1579="","ERROR: falta CODIGO CECO",IF(G1579="CECO NO EXISTE","ERROR: CECO no existe en el catálogo",IF(C1579="","ERROR: falta CUENTA",IF(ISERROR(--C1579),"ERROR: CUENTA debe tener solo dígitos",IF(ISERROR(FIND(LEFT(C1579,1),"567")),"ERROR: CUENTA fuera de las clases de costo",IF(NOT(ISNUMBER(E1579)),"ERROR: VALOR debe ser numérico",IF(E1579=0,"AVISO: valor cero (no se carga)",IF(J1579&lt;&gt;"ACTIVO","NO SE CARGA: CECO en estado "&amp;J1579,"OK"))))))))))</f>
        <v/>
      </c>
    </row>
    <row r="1580">
      <c r="A1580" s="5" t="n"/>
      <c r="B1580" s="6" t="n"/>
      <c r="C1580" s="5" t="n"/>
      <c r="D1580" s="6" t="n"/>
      <c r="E1580" s="7" t="n"/>
      <c r="F1580" s="6" t="n"/>
      <c r="G1580" s="8">
        <f>IF(B1580="","",IFERROR(VLOOKUP(--B1580,'CATALOGO CECO'!$A$2:$H$550,2,FALSE),"CECO NO EXISTE"))</f>
        <v/>
      </c>
      <c r="H1580" s="8">
        <f>IF(B1580="","",IFERROR(VLOOKUP(--B1580,'CATALOGO CECO'!$A$2:$H$550,3,FALSE),""))</f>
        <v/>
      </c>
      <c r="I1580" s="8">
        <f>IF(B1580="","",IFERROR(VLOOKUP(--B1580,'CATALOGO CECO'!$A$2:$H$550,5,FALSE),""))</f>
        <v/>
      </c>
      <c r="J1580" s="8">
        <f>IF(B1580="","",IFERROR(VLOOKUP(--B1580,'CATALOGO CECO'!$A$2:$H$550,8,FALSE),""))</f>
        <v/>
      </c>
      <c r="K1580" s="8">
        <f>IF(COUNTA(A1580:F1580)=0,"",IF(OR(LEN(A1580)&lt;&gt;7,MID(A1580,5,1)&lt;&gt;"-",ISERROR(--LEFT(A1580,4)),ISERROR(--RIGHT(A1580,2))),"ERROR: PERIODO debe ser AAAA-MM",IF(B1580="","ERROR: falta CODIGO CECO",IF(G1580="CECO NO EXISTE","ERROR: CECO no existe en el catálogo",IF(C1580="","ERROR: falta CUENTA",IF(ISERROR(--C1580),"ERROR: CUENTA debe tener solo dígitos",IF(ISERROR(FIND(LEFT(C1580,1),"567")),"ERROR: CUENTA fuera de las clases de costo",IF(NOT(ISNUMBER(E1580)),"ERROR: VALOR debe ser numérico",IF(E1580=0,"AVISO: valor cero (no se carga)",IF(J1580&lt;&gt;"ACTIVO","NO SE CARGA: CECO en estado "&amp;J1580,"OK"))))))))))</f>
        <v/>
      </c>
    </row>
    <row r="1581">
      <c r="A1581" s="5" t="n"/>
      <c r="B1581" s="6" t="n"/>
      <c r="C1581" s="5" t="n"/>
      <c r="D1581" s="6" t="n"/>
      <c r="E1581" s="7" t="n"/>
      <c r="F1581" s="6" t="n"/>
      <c r="G1581" s="8">
        <f>IF(B1581="","",IFERROR(VLOOKUP(--B1581,'CATALOGO CECO'!$A$2:$H$550,2,FALSE),"CECO NO EXISTE"))</f>
        <v/>
      </c>
      <c r="H1581" s="8">
        <f>IF(B1581="","",IFERROR(VLOOKUP(--B1581,'CATALOGO CECO'!$A$2:$H$550,3,FALSE),""))</f>
        <v/>
      </c>
      <c r="I1581" s="8">
        <f>IF(B1581="","",IFERROR(VLOOKUP(--B1581,'CATALOGO CECO'!$A$2:$H$550,5,FALSE),""))</f>
        <v/>
      </c>
      <c r="J1581" s="8">
        <f>IF(B1581="","",IFERROR(VLOOKUP(--B1581,'CATALOGO CECO'!$A$2:$H$550,8,FALSE),""))</f>
        <v/>
      </c>
      <c r="K1581" s="8">
        <f>IF(COUNTA(A1581:F1581)=0,"",IF(OR(LEN(A1581)&lt;&gt;7,MID(A1581,5,1)&lt;&gt;"-",ISERROR(--LEFT(A1581,4)),ISERROR(--RIGHT(A1581,2))),"ERROR: PERIODO debe ser AAAA-MM",IF(B1581="","ERROR: falta CODIGO CECO",IF(G1581="CECO NO EXISTE","ERROR: CECO no existe en el catálogo",IF(C1581="","ERROR: falta CUENTA",IF(ISERROR(--C1581),"ERROR: CUENTA debe tener solo dígitos",IF(ISERROR(FIND(LEFT(C1581,1),"567")),"ERROR: CUENTA fuera de las clases de costo",IF(NOT(ISNUMBER(E1581)),"ERROR: VALOR debe ser numérico",IF(E1581=0,"AVISO: valor cero (no se carga)",IF(J1581&lt;&gt;"ACTIVO","NO SE CARGA: CECO en estado "&amp;J1581,"OK"))))))))))</f>
        <v/>
      </c>
    </row>
    <row r="1582">
      <c r="A1582" s="5" t="n"/>
      <c r="B1582" s="6" t="n"/>
      <c r="C1582" s="5" t="n"/>
      <c r="D1582" s="6" t="n"/>
      <c r="E1582" s="7" t="n"/>
      <c r="F1582" s="6" t="n"/>
      <c r="G1582" s="8">
        <f>IF(B1582="","",IFERROR(VLOOKUP(--B1582,'CATALOGO CECO'!$A$2:$H$550,2,FALSE),"CECO NO EXISTE"))</f>
        <v/>
      </c>
      <c r="H1582" s="8">
        <f>IF(B1582="","",IFERROR(VLOOKUP(--B1582,'CATALOGO CECO'!$A$2:$H$550,3,FALSE),""))</f>
        <v/>
      </c>
      <c r="I1582" s="8">
        <f>IF(B1582="","",IFERROR(VLOOKUP(--B1582,'CATALOGO CECO'!$A$2:$H$550,5,FALSE),""))</f>
        <v/>
      </c>
      <c r="J1582" s="8">
        <f>IF(B1582="","",IFERROR(VLOOKUP(--B1582,'CATALOGO CECO'!$A$2:$H$550,8,FALSE),""))</f>
        <v/>
      </c>
      <c r="K1582" s="8">
        <f>IF(COUNTA(A1582:F1582)=0,"",IF(OR(LEN(A1582)&lt;&gt;7,MID(A1582,5,1)&lt;&gt;"-",ISERROR(--LEFT(A1582,4)),ISERROR(--RIGHT(A1582,2))),"ERROR: PERIODO debe ser AAAA-MM",IF(B1582="","ERROR: falta CODIGO CECO",IF(G1582="CECO NO EXISTE","ERROR: CECO no existe en el catálogo",IF(C1582="","ERROR: falta CUENTA",IF(ISERROR(--C1582),"ERROR: CUENTA debe tener solo dígitos",IF(ISERROR(FIND(LEFT(C1582,1),"567")),"ERROR: CUENTA fuera de las clases de costo",IF(NOT(ISNUMBER(E1582)),"ERROR: VALOR debe ser numérico",IF(E1582=0,"AVISO: valor cero (no se carga)",IF(J1582&lt;&gt;"ACTIVO","NO SE CARGA: CECO en estado "&amp;J1582,"OK"))))))))))</f>
        <v/>
      </c>
    </row>
    <row r="1583">
      <c r="A1583" s="5" t="n"/>
      <c r="B1583" s="6" t="n"/>
      <c r="C1583" s="5" t="n"/>
      <c r="D1583" s="6" t="n"/>
      <c r="E1583" s="7" t="n"/>
      <c r="F1583" s="6" t="n"/>
      <c r="G1583" s="8">
        <f>IF(B1583="","",IFERROR(VLOOKUP(--B1583,'CATALOGO CECO'!$A$2:$H$550,2,FALSE),"CECO NO EXISTE"))</f>
        <v/>
      </c>
      <c r="H1583" s="8">
        <f>IF(B1583="","",IFERROR(VLOOKUP(--B1583,'CATALOGO CECO'!$A$2:$H$550,3,FALSE),""))</f>
        <v/>
      </c>
      <c r="I1583" s="8">
        <f>IF(B1583="","",IFERROR(VLOOKUP(--B1583,'CATALOGO CECO'!$A$2:$H$550,5,FALSE),""))</f>
        <v/>
      </c>
      <c r="J1583" s="8">
        <f>IF(B1583="","",IFERROR(VLOOKUP(--B1583,'CATALOGO CECO'!$A$2:$H$550,8,FALSE),""))</f>
        <v/>
      </c>
      <c r="K1583" s="8">
        <f>IF(COUNTA(A1583:F1583)=0,"",IF(OR(LEN(A1583)&lt;&gt;7,MID(A1583,5,1)&lt;&gt;"-",ISERROR(--LEFT(A1583,4)),ISERROR(--RIGHT(A1583,2))),"ERROR: PERIODO debe ser AAAA-MM",IF(B1583="","ERROR: falta CODIGO CECO",IF(G1583="CECO NO EXISTE","ERROR: CECO no existe en el catálogo",IF(C1583="","ERROR: falta CUENTA",IF(ISERROR(--C1583),"ERROR: CUENTA debe tener solo dígitos",IF(ISERROR(FIND(LEFT(C1583,1),"567")),"ERROR: CUENTA fuera de las clases de costo",IF(NOT(ISNUMBER(E1583)),"ERROR: VALOR debe ser numérico",IF(E1583=0,"AVISO: valor cero (no se carga)",IF(J1583&lt;&gt;"ACTIVO","NO SE CARGA: CECO en estado "&amp;J1583,"OK"))))))))))</f>
        <v/>
      </c>
    </row>
    <row r="1584">
      <c r="A1584" s="5" t="n"/>
      <c r="B1584" s="6" t="n"/>
      <c r="C1584" s="5" t="n"/>
      <c r="D1584" s="6" t="n"/>
      <c r="E1584" s="7" t="n"/>
      <c r="F1584" s="6" t="n"/>
      <c r="G1584" s="8">
        <f>IF(B1584="","",IFERROR(VLOOKUP(--B1584,'CATALOGO CECO'!$A$2:$H$550,2,FALSE),"CECO NO EXISTE"))</f>
        <v/>
      </c>
      <c r="H1584" s="8">
        <f>IF(B1584="","",IFERROR(VLOOKUP(--B1584,'CATALOGO CECO'!$A$2:$H$550,3,FALSE),""))</f>
        <v/>
      </c>
      <c r="I1584" s="8">
        <f>IF(B1584="","",IFERROR(VLOOKUP(--B1584,'CATALOGO CECO'!$A$2:$H$550,5,FALSE),""))</f>
        <v/>
      </c>
      <c r="J1584" s="8">
        <f>IF(B1584="","",IFERROR(VLOOKUP(--B1584,'CATALOGO CECO'!$A$2:$H$550,8,FALSE),""))</f>
        <v/>
      </c>
      <c r="K1584" s="8">
        <f>IF(COUNTA(A1584:F1584)=0,"",IF(OR(LEN(A1584)&lt;&gt;7,MID(A1584,5,1)&lt;&gt;"-",ISERROR(--LEFT(A1584,4)),ISERROR(--RIGHT(A1584,2))),"ERROR: PERIODO debe ser AAAA-MM",IF(B1584="","ERROR: falta CODIGO CECO",IF(G1584="CECO NO EXISTE","ERROR: CECO no existe en el catálogo",IF(C1584="","ERROR: falta CUENTA",IF(ISERROR(--C1584),"ERROR: CUENTA debe tener solo dígitos",IF(ISERROR(FIND(LEFT(C1584,1),"567")),"ERROR: CUENTA fuera de las clases de costo",IF(NOT(ISNUMBER(E1584)),"ERROR: VALOR debe ser numérico",IF(E1584=0,"AVISO: valor cero (no se carga)",IF(J1584&lt;&gt;"ACTIVO","NO SE CARGA: CECO en estado "&amp;J1584,"OK"))))))))))</f>
        <v/>
      </c>
    </row>
    <row r="1585">
      <c r="A1585" s="5" t="n"/>
      <c r="B1585" s="6" t="n"/>
      <c r="C1585" s="5" t="n"/>
      <c r="D1585" s="6" t="n"/>
      <c r="E1585" s="7" t="n"/>
      <c r="F1585" s="6" t="n"/>
      <c r="G1585" s="8">
        <f>IF(B1585="","",IFERROR(VLOOKUP(--B1585,'CATALOGO CECO'!$A$2:$H$550,2,FALSE),"CECO NO EXISTE"))</f>
        <v/>
      </c>
      <c r="H1585" s="8">
        <f>IF(B1585="","",IFERROR(VLOOKUP(--B1585,'CATALOGO CECO'!$A$2:$H$550,3,FALSE),""))</f>
        <v/>
      </c>
      <c r="I1585" s="8">
        <f>IF(B1585="","",IFERROR(VLOOKUP(--B1585,'CATALOGO CECO'!$A$2:$H$550,5,FALSE),""))</f>
        <v/>
      </c>
      <c r="J1585" s="8">
        <f>IF(B1585="","",IFERROR(VLOOKUP(--B1585,'CATALOGO CECO'!$A$2:$H$550,8,FALSE),""))</f>
        <v/>
      </c>
      <c r="K1585" s="8">
        <f>IF(COUNTA(A1585:F1585)=0,"",IF(OR(LEN(A1585)&lt;&gt;7,MID(A1585,5,1)&lt;&gt;"-",ISERROR(--LEFT(A1585,4)),ISERROR(--RIGHT(A1585,2))),"ERROR: PERIODO debe ser AAAA-MM",IF(B1585="","ERROR: falta CODIGO CECO",IF(G1585="CECO NO EXISTE","ERROR: CECO no existe en el catálogo",IF(C1585="","ERROR: falta CUENTA",IF(ISERROR(--C1585),"ERROR: CUENTA debe tener solo dígitos",IF(ISERROR(FIND(LEFT(C1585,1),"567")),"ERROR: CUENTA fuera de las clases de costo",IF(NOT(ISNUMBER(E1585)),"ERROR: VALOR debe ser numérico",IF(E1585=0,"AVISO: valor cero (no se carga)",IF(J1585&lt;&gt;"ACTIVO","NO SE CARGA: CECO en estado "&amp;J1585,"OK"))))))))))</f>
        <v/>
      </c>
    </row>
    <row r="1586">
      <c r="A1586" s="5" t="n"/>
      <c r="B1586" s="6" t="n"/>
      <c r="C1586" s="5" t="n"/>
      <c r="D1586" s="6" t="n"/>
      <c r="E1586" s="7" t="n"/>
      <c r="F1586" s="6" t="n"/>
      <c r="G1586" s="8">
        <f>IF(B1586="","",IFERROR(VLOOKUP(--B1586,'CATALOGO CECO'!$A$2:$H$550,2,FALSE),"CECO NO EXISTE"))</f>
        <v/>
      </c>
      <c r="H1586" s="8">
        <f>IF(B1586="","",IFERROR(VLOOKUP(--B1586,'CATALOGO CECO'!$A$2:$H$550,3,FALSE),""))</f>
        <v/>
      </c>
      <c r="I1586" s="8">
        <f>IF(B1586="","",IFERROR(VLOOKUP(--B1586,'CATALOGO CECO'!$A$2:$H$550,5,FALSE),""))</f>
        <v/>
      </c>
      <c r="J1586" s="8">
        <f>IF(B1586="","",IFERROR(VLOOKUP(--B1586,'CATALOGO CECO'!$A$2:$H$550,8,FALSE),""))</f>
        <v/>
      </c>
      <c r="K1586" s="8">
        <f>IF(COUNTA(A1586:F1586)=0,"",IF(OR(LEN(A1586)&lt;&gt;7,MID(A1586,5,1)&lt;&gt;"-",ISERROR(--LEFT(A1586,4)),ISERROR(--RIGHT(A1586,2))),"ERROR: PERIODO debe ser AAAA-MM",IF(B1586="","ERROR: falta CODIGO CECO",IF(G1586="CECO NO EXISTE","ERROR: CECO no existe en el catálogo",IF(C1586="","ERROR: falta CUENTA",IF(ISERROR(--C1586),"ERROR: CUENTA debe tener solo dígitos",IF(ISERROR(FIND(LEFT(C1586,1),"567")),"ERROR: CUENTA fuera de las clases de costo",IF(NOT(ISNUMBER(E1586)),"ERROR: VALOR debe ser numérico",IF(E1586=0,"AVISO: valor cero (no se carga)",IF(J1586&lt;&gt;"ACTIVO","NO SE CARGA: CECO en estado "&amp;J1586,"OK"))))))))))</f>
        <v/>
      </c>
    </row>
    <row r="1587">
      <c r="A1587" s="5" t="n"/>
      <c r="B1587" s="6" t="n"/>
      <c r="C1587" s="5" t="n"/>
      <c r="D1587" s="6" t="n"/>
      <c r="E1587" s="7" t="n"/>
      <c r="F1587" s="6" t="n"/>
      <c r="G1587" s="8">
        <f>IF(B1587="","",IFERROR(VLOOKUP(--B1587,'CATALOGO CECO'!$A$2:$H$550,2,FALSE),"CECO NO EXISTE"))</f>
        <v/>
      </c>
      <c r="H1587" s="8">
        <f>IF(B1587="","",IFERROR(VLOOKUP(--B1587,'CATALOGO CECO'!$A$2:$H$550,3,FALSE),""))</f>
        <v/>
      </c>
      <c r="I1587" s="8">
        <f>IF(B1587="","",IFERROR(VLOOKUP(--B1587,'CATALOGO CECO'!$A$2:$H$550,5,FALSE),""))</f>
        <v/>
      </c>
      <c r="J1587" s="8">
        <f>IF(B1587="","",IFERROR(VLOOKUP(--B1587,'CATALOGO CECO'!$A$2:$H$550,8,FALSE),""))</f>
        <v/>
      </c>
      <c r="K1587" s="8">
        <f>IF(COUNTA(A1587:F1587)=0,"",IF(OR(LEN(A1587)&lt;&gt;7,MID(A1587,5,1)&lt;&gt;"-",ISERROR(--LEFT(A1587,4)),ISERROR(--RIGHT(A1587,2))),"ERROR: PERIODO debe ser AAAA-MM",IF(B1587="","ERROR: falta CODIGO CECO",IF(G1587="CECO NO EXISTE","ERROR: CECO no existe en el catálogo",IF(C1587="","ERROR: falta CUENTA",IF(ISERROR(--C1587),"ERROR: CUENTA debe tener solo dígitos",IF(ISERROR(FIND(LEFT(C1587,1),"567")),"ERROR: CUENTA fuera de las clases de costo",IF(NOT(ISNUMBER(E1587)),"ERROR: VALOR debe ser numérico",IF(E1587=0,"AVISO: valor cero (no se carga)",IF(J1587&lt;&gt;"ACTIVO","NO SE CARGA: CECO en estado "&amp;J1587,"OK"))))))))))</f>
        <v/>
      </c>
    </row>
    <row r="1588">
      <c r="A1588" s="5" t="n"/>
      <c r="B1588" s="6" t="n"/>
      <c r="C1588" s="5" t="n"/>
      <c r="D1588" s="6" t="n"/>
      <c r="E1588" s="7" t="n"/>
      <c r="F1588" s="6" t="n"/>
      <c r="G1588" s="8">
        <f>IF(B1588="","",IFERROR(VLOOKUP(--B1588,'CATALOGO CECO'!$A$2:$H$550,2,FALSE),"CECO NO EXISTE"))</f>
        <v/>
      </c>
      <c r="H1588" s="8">
        <f>IF(B1588="","",IFERROR(VLOOKUP(--B1588,'CATALOGO CECO'!$A$2:$H$550,3,FALSE),""))</f>
        <v/>
      </c>
      <c r="I1588" s="8">
        <f>IF(B1588="","",IFERROR(VLOOKUP(--B1588,'CATALOGO CECO'!$A$2:$H$550,5,FALSE),""))</f>
        <v/>
      </c>
      <c r="J1588" s="8">
        <f>IF(B1588="","",IFERROR(VLOOKUP(--B1588,'CATALOGO CECO'!$A$2:$H$550,8,FALSE),""))</f>
        <v/>
      </c>
      <c r="K1588" s="8">
        <f>IF(COUNTA(A1588:F1588)=0,"",IF(OR(LEN(A1588)&lt;&gt;7,MID(A1588,5,1)&lt;&gt;"-",ISERROR(--LEFT(A1588,4)),ISERROR(--RIGHT(A1588,2))),"ERROR: PERIODO debe ser AAAA-MM",IF(B1588="","ERROR: falta CODIGO CECO",IF(G1588="CECO NO EXISTE","ERROR: CECO no existe en el catálogo",IF(C1588="","ERROR: falta CUENTA",IF(ISERROR(--C1588),"ERROR: CUENTA debe tener solo dígitos",IF(ISERROR(FIND(LEFT(C1588,1),"567")),"ERROR: CUENTA fuera de las clases de costo",IF(NOT(ISNUMBER(E1588)),"ERROR: VALOR debe ser numérico",IF(E1588=0,"AVISO: valor cero (no se carga)",IF(J1588&lt;&gt;"ACTIVO","NO SE CARGA: CECO en estado "&amp;J1588,"OK"))))))))))</f>
        <v/>
      </c>
    </row>
    <row r="1589">
      <c r="A1589" s="5" t="n"/>
      <c r="B1589" s="6" t="n"/>
      <c r="C1589" s="5" t="n"/>
      <c r="D1589" s="6" t="n"/>
      <c r="E1589" s="7" t="n"/>
      <c r="F1589" s="6" t="n"/>
      <c r="G1589" s="8">
        <f>IF(B1589="","",IFERROR(VLOOKUP(--B1589,'CATALOGO CECO'!$A$2:$H$550,2,FALSE),"CECO NO EXISTE"))</f>
        <v/>
      </c>
      <c r="H1589" s="8">
        <f>IF(B1589="","",IFERROR(VLOOKUP(--B1589,'CATALOGO CECO'!$A$2:$H$550,3,FALSE),""))</f>
        <v/>
      </c>
      <c r="I1589" s="8">
        <f>IF(B1589="","",IFERROR(VLOOKUP(--B1589,'CATALOGO CECO'!$A$2:$H$550,5,FALSE),""))</f>
        <v/>
      </c>
      <c r="J1589" s="8">
        <f>IF(B1589="","",IFERROR(VLOOKUP(--B1589,'CATALOGO CECO'!$A$2:$H$550,8,FALSE),""))</f>
        <v/>
      </c>
      <c r="K1589" s="8">
        <f>IF(COUNTA(A1589:F1589)=0,"",IF(OR(LEN(A1589)&lt;&gt;7,MID(A1589,5,1)&lt;&gt;"-",ISERROR(--LEFT(A1589,4)),ISERROR(--RIGHT(A1589,2))),"ERROR: PERIODO debe ser AAAA-MM",IF(B1589="","ERROR: falta CODIGO CECO",IF(G1589="CECO NO EXISTE","ERROR: CECO no existe en el catálogo",IF(C1589="","ERROR: falta CUENTA",IF(ISERROR(--C1589),"ERROR: CUENTA debe tener solo dígitos",IF(ISERROR(FIND(LEFT(C1589,1),"567")),"ERROR: CUENTA fuera de las clases de costo",IF(NOT(ISNUMBER(E1589)),"ERROR: VALOR debe ser numérico",IF(E1589=0,"AVISO: valor cero (no se carga)",IF(J1589&lt;&gt;"ACTIVO","NO SE CARGA: CECO en estado "&amp;J1589,"OK"))))))))))</f>
        <v/>
      </c>
    </row>
    <row r="1590">
      <c r="A1590" s="5" t="n"/>
      <c r="B1590" s="6" t="n"/>
      <c r="C1590" s="5" t="n"/>
      <c r="D1590" s="6" t="n"/>
      <c r="E1590" s="7" t="n"/>
      <c r="F1590" s="6" t="n"/>
      <c r="G1590" s="8">
        <f>IF(B1590="","",IFERROR(VLOOKUP(--B1590,'CATALOGO CECO'!$A$2:$H$550,2,FALSE),"CECO NO EXISTE"))</f>
        <v/>
      </c>
      <c r="H1590" s="8">
        <f>IF(B1590="","",IFERROR(VLOOKUP(--B1590,'CATALOGO CECO'!$A$2:$H$550,3,FALSE),""))</f>
        <v/>
      </c>
      <c r="I1590" s="8">
        <f>IF(B1590="","",IFERROR(VLOOKUP(--B1590,'CATALOGO CECO'!$A$2:$H$550,5,FALSE),""))</f>
        <v/>
      </c>
      <c r="J1590" s="8">
        <f>IF(B1590="","",IFERROR(VLOOKUP(--B1590,'CATALOGO CECO'!$A$2:$H$550,8,FALSE),""))</f>
        <v/>
      </c>
      <c r="K1590" s="8">
        <f>IF(COUNTA(A1590:F1590)=0,"",IF(OR(LEN(A1590)&lt;&gt;7,MID(A1590,5,1)&lt;&gt;"-",ISERROR(--LEFT(A1590,4)),ISERROR(--RIGHT(A1590,2))),"ERROR: PERIODO debe ser AAAA-MM",IF(B1590="","ERROR: falta CODIGO CECO",IF(G1590="CECO NO EXISTE","ERROR: CECO no existe en el catálogo",IF(C1590="","ERROR: falta CUENTA",IF(ISERROR(--C1590),"ERROR: CUENTA debe tener solo dígitos",IF(ISERROR(FIND(LEFT(C1590,1),"567")),"ERROR: CUENTA fuera de las clases de costo",IF(NOT(ISNUMBER(E1590)),"ERROR: VALOR debe ser numérico",IF(E1590=0,"AVISO: valor cero (no se carga)",IF(J1590&lt;&gt;"ACTIVO","NO SE CARGA: CECO en estado "&amp;J1590,"OK"))))))))))</f>
        <v/>
      </c>
    </row>
    <row r="1591">
      <c r="A1591" s="5" t="n"/>
      <c r="B1591" s="6" t="n"/>
      <c r="C1591" s="5" t="n"/>
      <c r="D1591" s="6" t="n"/>
      <c r="E1591" s="7" t="n"/>
      <c r="F1591" s="6" t="n"/>
      <c r="G1591" s="8">
        <f>IF(B1591="","",IFERROR(VLOOKUP(--B1591,'CATALOGO CECO'!$A$2:$H$550,2,FALSE),"CECO NO EXISTE"))</f>
        <v/>
      </c>
      <c r="H1591" s="8">
        <f>IF(B1591="","",IFERROR(VLOOKUP(--B1591,'CATALOGO CECO'!$A$2:$H$550,3,FALSE),""))</f>
        <v/>
      </c>
      <c r="I1591" s="8">
        <f>IF(B1591="","",IFERROR(VLOOKUP(--B1591,'CATALOGO CECO'!$A$2:$H$550,5,FALSE),""))</f>
        <v/>
      </c>
      <c r="J1591" s="8">
        <f>IF(B1591="","",IFERROR(VLOOKUP(--B1591,'CATALOGO CECO'!$A$2:$H$550,8,FALSE),""))</f>
        <v/>
      </c>
      <c r="K1591" s="8">
        <f>IF(COUNTA(A1591:F1591)=0,"",IF(OR(LEN(A1591)&lt;&gt;7,MID(A1591,5,1)&lt;&gt;"-",ISERROR(--LEFT(A1591,4)),ISERROR(--RIGHT(A1591,2))),"ERROR: PERIODO debe ser AAAA-MM",IF(B1591="","ERROR: falta CODIGO CECO",IF(G1591="CECO NO EXISTE","ERROR: CECO no existe en el catálogo",IF(C1591="","ERROR: falta CUENTA",IF(ISERROR(--C1591),"ERROR: CUENTA debe tener solo dígitos",IF(ISERROR(FIND(LEFT(C1591,1),"567")),"ERROR: CUENTA fuera de las clases de costo",IF(NOT(ISNUMBER(E1591)),"ERROR: VALOR debe ser numérico",IF(E1591=0,"AVISO: valor cero (no se carga)",IF(J1591&lt;&gt;"ACTIVO","NO SE CARGA: CECO en estado "&amp;J1591,"OK"))))))))))</f>
        <v/>
      </c>
    </row>
    <row r="1592">
      <c r="A1592" s="5" t="n"/>
      <c r="B1592" s="6" t="n"/>
      <c r="C1592" s="5" t="n"/>
      <c r="D1592" s="6" t="n"/>
      <c r="E1592" s="7" t="n"/>
      <c r="F1592" s="6" t="n"/>
      <c r="G1592" s="8">
        <f>IF(B1592="","",IFERROR(VLOOKUP(--B1592,'CATALOGO CECO'!$A$2:$H$550,2,FALSE),"CECO NO EXISTE"))</f>
        <v/>
      </c>
      <c r="H1592" s="8">
        <f>IF(B1592="","",IFERROR(VLOOKUP(--B1592,'CATALOGO CECO'!$A$2:$H$550,3,FALSE),""))</f>
        <v/>
      </c>
      <c r="I1592" s="8">
        <f>IF(B1592="","",IFERROR(VLOOKUP(--B1592,'CATALOGO CECO'!$A$2:$H$550,5,FALSE),""))</f>
        <v/>
      </c>
      <c r="J1592" s="8">
        <f>IF(B1592="","",IFERROR(VLOOKUP(--B1592,'CATALOGO CECO'!$A$2:$H$550,8,FALSE),""))</f>
        <v/>
      </c>
      <c r="K1592" s="8">
        <f>IF(COUNTA(A1592:F1592)=0,"",IF(OR(LEN(A1592)&lt;&gt;7,MID(A1592,5,1)&lt;&gt;"-",ISERROR(--LEFT(A1592,4)),ISERROR(--RIGHT(A1592,2))),"ERROR: PERIODO debe ser AAAA-MM",IF(B1592="","ERROR: falta CODIGO CECO",IF(G1592="CECO NO EXISTE","ERROR: CECO no existe en el catálogo",IF(C1592="","ERROR: falta CUENTA",IF(ISERROR(--C1592),"ERROR: CUENTA debe tener solo dígitos",IF(ISERROR(FIND(LEFT(C1592,1),"567")),"ERROR: CUENTA fuera de las clases de costo",IF(NOT(ISNUMBER(E1592)),"ERROR: VALOR debe ser numérico",IF(E1592=0,"AVISO: valor cero (no se carga)",IF(J1592&lt;&gt;"ACTIVO","NO SE CARGA: CECO en estado "&amp;J1592,"OK"))))))))))</f>
        <v/>
      </c>
    </row>
    <row r="1593">
      <c r="A1593" s="5" t="n"/>
      <c r="B1593" s="6" t="n"/>
      <c r="C1593" s="5" t="n"/>
      <c r="D1593" s="6" t="n"/>
      <c r="E1593" s="7" t="n"/>
      <c r="F1593" s="6" t="n"/>
      <c r="G1593" s="8">
        <f>IF(B1593="","",IFERROR(VLOOKUP(--B1593,'CATALOGO CECO'!$A$2:$H$550,2,FALSE),"CECO NO EXISTE"))</f>
        <v/>
      </c>
      <c r="H1593" s="8">
        <f>IF(B1593="","",IFERROR(VLOOKUP(--B1593,'CATALOGO CECO'!$A$2:$H$550,3,FALSE),""))</f>
        <v/>
      </c>
      <c r="I1593" s="8">
        <f>IF(B1593="","",IFERROR(VLOOKUP(--B1593,'CATALOGO CECO'!$A$2:$H$550,5,FALSE),""))</f>
        <v/>
      </c>
      <c r="J1593" s="8">
        <f>IF(B1593="","",IFERROR(VLOOKUP(--B1593,'CATALOGO CECO'!$A$2:$H$550,8,FALSE),""))</f>
        <v/>
      </c>
      <c r="K1593" s="8">
        <f>IF(COUNTA(A1593:F1593)=0,"",IF(OR(LEN(A1593)&lt;&gt;7,MID(A1593,5,1)&lt;&gt;"-",ISERROR(--LEFT(A1593,4)),ISERROR(--RIGHT(A1593,2))),"ERROR: PERIODO debe ser AAAA-MM",IF(B1593="","ERROR: falta CODIGO CECO",IF(G1593="CECO NO EXISTE","ERROR: CECO no existe en el catálogo",IF(C1593="","ERROR: falta CUENTA",IF(ISERROR(--C1593),"ERROR: CUENTA debe tener solo dígitos",IF(ISERROR(FIND(LEFT(C1593,1),"567")),"ERROR: CUENTA fuera de las clases de costo",IF(NOT(ISNUMBER(E1593)),"ERROR: VALOR debe ser numérico",IF(E1593=0,"AVISO: valor cero (no se carga)",IF(J1593&lt;&gt;"ACTIVO","NO SE CARGA: CECO en estado "&amp;J1593,"OK"))))))))))</f>
        <v/>
      </c>
    </row>
    <row r="1594">
      <c r="A1594" s="5" t="n"/>
      <c r="B1594" s="6" t="n"/>
      <c r="C1594" s="5" t="n"/>
      <c r="D1594" s="6" t="n"/>
      <c r="E1594" s="7" t="n"/>
      <c r="F1594" s="6" t="n"/>
      <c r="G1594" s="8">
        <f>IF(B1594="","",IFERROR(VLOOKUP(--B1594,'CATALOGO CECO'!$A$2:$H$550,2,FALSE),"CECO NO EXISTE"))</f>
        <v/>
      </c>
      <c r="H1594" s="8">
        <f>IF(B1594="","",IFERROR(VLOOKUP(--B1594,'CATALOGO CECO'!$A$2:$H$550,3,FALSE),""))</f>
        <v/>
      </c>
      <c r="I1594" s="8">
        <f>IF(B1594="","",IFERROR(VLOOKUP(--B1594,'CATALOGO CECO'!$A$2:$H$550,5,FALSE),""))</f>
        <v/>
      </c>
      <c r="J1594" s="8">
        <f>IF(B1594="","",IFERROR(VLOOKUP(--B1594,'CATALOGO CECO'!$A$2:$H$550,8,FALSE),""))</f>
        <v/>
      </c>
      <c r="K1594" s="8">
        <f>IF(COUNTA(A1594:F1594)=0,"",IF(OR(LEN(A1594)&lt;&gt;7,MID(A1594,5,1)&lt;&gt;"-",ISERROR(--LEFT(A1594,4)),ISERROR(--RIGHT(A1594,2))),"ERROR: PERIODO debe ser AAAA-MM",IF(B1594="","ERROR: falta CODIGO CECO",IF(G1594="CECO NO EXISTE","ERROR: CECO no existe en el catálogo",IF(C1594="","ERROR: falta CUENTA",IF(ISERROR(--C1594),"ERROR: CUENTA debe tener solo dígitos",IF(ISERROR(FIND(LEFT(C1594,1),"567")),"ERROR: CUENTA fuera de las clases de costo",IF(NOT(ISNUMBER(E1594)),"ERROR: VALOR debe ser numérico",IF(E1594=0,"AVISO: valor cero (no se carga)",IF(J1594&lt;&gt;"ACTIVO","NO SE CARGA: CECO en estado "&amp;J1594,"OK"))))))))))</f>
        <v/>
      </c>
    </row>
    <row r="1595">
      <c r="A1595" s="5" t="n"/>
      <c r="B1595" s="6" t="n"/>
      <c r="C1595" s="5" t="n"/>
      <c r="D1595" s="6" t="n"/>
      <c r="E1595" s="7" t="n"/>
      <c r="F1595" s="6" t="n"/>
      <c r="G1595" s="8">
        <f>IF(B1595="","",IFERROR(VLOOKUP(--B1595,'CATALOGO CECO'!$A$2:$H$550,2,FALSE),"CECO NO EXISTE"))</f>
        <v/>
      </c>
      <c r="H1595" s="8">
        <f>IF(B1595="","",IFERROR(VLOOKUP(--B1595,'CATALOGO CECO'!$A$2:$H$550,3,FALSE),""))</f>
        <v/>
      </c>
      <c r="I1595" s="8">
        <f>IF(B1595="","",IFERROR(VLOOKUP(--B1595,'CATALOGO CECO'!$A$2:$H$550,5,FALSE),""))</f>
        <v/>
      </c>
      <c r="J1595" s="8">
        <f>IF(B1595="","",IFERROR(VLOOKUP(--B1595,'CATALOGO CECO'!$A$2:$H$550,8,FALSE),""))</f>
        <v/>
      </c>
      <c r="K1595" s="8">
        <f>IF(COUNTA(A1595:F1595)=0,"",IF(OR(LEN(A1595)&lt;&gt;7,MID(A1595,5,1)&lt;&gt;"-",ISERROR(--LEFT(A1595,4)),ISERROR(--RIGHT(A1595,2))),"ERROR: PERIODO debe ser AAAA-MM",IF(B1595="","ERROR: falta CODIGO CECO",IF(G1595="CECO NO EXISTE","ERROR: CECO no existe en el catálogo",IF(C1595="","ERROR: falta CUENTA",IF(ISERROR(--C1595),"ERROR: CUENTA debe tener solo dígitos",IF(ISERROR(FIND(LEFT(C1595,1),"567")),"ERROR: CUENTA fuera de las clases de costo",IF(NOT(ISNUMBER(E1595)),"ERROR: VALOR debe ser numérico",IF(E1595=0,"AVISO: valor cero (no se carga)",IF(J1595&lt;&gt;"ACTIVO","NO SE CARGA: CECO en estado "&amp;J1595,"OK"))))))))))</f>
        <v/>
      </c>
    </row>
    <row r="1596">
      <c r="A1596" s="5" t="n"/>
      <c r="B1596" s="6" t="n"/>
      <c r="C1596" s="5" t="n"/>
      <c r="D1596" s="6" t="n"/>
      <c r="E1596" s="7" t="n"/>
      <c r="F1596" s="6" t="n"/>
      <c r="G1596" s="8">
        <f>IF(B1596="","",IFERROR(VLOOKUP(--B1596,'CATALOGO CECO'!$A$2:$H$550,2,FALSE),"CECO NO EXISTE"))</f>
        <v/>
      </c>
      <c r="H1596" s="8">
        <f>IF(B1596="","",IFERROR(VLOOKUP(--B1596,'CATALOGO CECO'!$A$2:$H$550,3,FALSE),""))</f>
        <v/>
      </c>
      <c r="I1596" s="8">
        <f>IF(B1596="","",IFERROR(VLOOKUP(--B1596,'CATALOGO CECO'!$A$2:$H$550,5,FALSE),""))</f>
        <v/>
      </c>
      <c r="J1596" s="8">
        <f>IF(B1596="","",IFERROR(VLOOKUP(--B1596,'CATALOGO CECO'!$A$2:$H$550,8,FALSE),""))</f>
        <v/>
      </c>
      <c r="K1596" s="8">
        <f>IF(COUNTA(A1596:F1596)=0,"",IF(OR(LEN(A1596)&lt;&gt;7,MID(A1596,5,1)&lt;&gt;"-",ISERROR(--LEFT(A1596,4)),ISERROR(--RIGHT(A1596,2))),"ERROR: PERIODO debe ser AAAA-MM",IF(B1596="","ERROR: falta CODIGO CECO",IF(G1596="CECO NO EXISTE","ERROR: CECO no existe en el catálogo",IF(C1596="","ERROR: falta CUENTA",IF(ISERROR(--C1596),"ERROR: CUENTA debe tener solo dígitos",IF(ISERROR(FIND(LEFT(C1596,1),"567")),"ERROR: CUENTA fuera de las clases de costo",IF(NOT(ISNUMBER(E1596)),"ERROR: VALOR debe ser numérico",IF(E1596=0,"AVISO: valor cero (no se carga)",IF(J1596&lt;&gt;"ACTIVO","NO SE CARGA: CECO en estado "&amp;J1596,"OK"))))))))))</f>
        <v/>
      </c>
    </row>
    <row r="1597">
      <c r="A1597" s="5" t="n"/>
      <c r="B1597" s="6" t="n"/>
      <c r="C1597" s="5" t="n"/>
      <c r="D1597" s="6" t="n"/>
      <c r="E1597" s="7" t="n"/>
      <c r="F1597" s="6" t="n"/>
      <c r="G1597" s="8">
        <f>IF(B1597="","",IFERROR(VLOOKUP(--B1597,'CATALOGO CECO'!$A$2:$H$550,2,FALSE),"CECO NO EXISTE"))</f>
        <v/>
      </c>
      <c r="H1597" s="8">
        <f>IF(B1597="","",IFERROR(VLOOKUP(--B1597,'CATALOGO CECO'!$A$2:$H$550,3,FALSE),""))</f>
        <v/>
      </c>
      <c r="I1597" s="8">
        <f>IF(B1597="","",IFERROR(VLOOKUP(--B1597,'CATALOGO CECO'!$A$2:$H$550,5,FALSE),""))</f>
        <v/>
      </c>
      <c r="J1597" s="8">
        <f>IF(B1597="","",IFERROR(VLOOKUP(--B1597,'CATALOGO CECO'!$A$2:$H$550,8,FALSE),""))</f>
        <v/>
      </c>
      <c r="K1597" s="8">
        <f>IF(COUNTA(A1597:F1597)=0,"",IF(OR(LEN(A1597)&lt;&gt;7,MID(A1597,5,1)&lt;&gt;"-",ISERROR(--LEFT(A1597,4)),ISERROR(--RIGHT(A1597,2))),"ERROR: PERIODO debe ser AAAA-MM",IF(B1597="","ERROR: falta CODIGO CECO",IF(G1597="CECO NO EXISTE","ERROR: CECO no existe en el catálogo",IF(C1597="","ERROR: falta CUENTA",IF(ISERROR(--C1597),"ERROR: CUENTA debe tener solo dígitos",IF(ISERROR(FIND(LEFT(C1597,1),"567")),"ERROR: CUENTA fuera de las clases de costo",IF(NOT(ISNUMBER(E1597)),"ERROR: VALOR debe ser numérico",IF(E1597=0,"AVISO: valor cero (no se carga)",IF(J1597&lt;&gt;"ACTIVO","NO SE CARGA: CECO en estado "&amp;J1597,"OK"))))))))))</f>
        <v/>
      </c>
    </row>
    <row r="1598">
      <c r="A1598" s="5" t="n"/>
      <c r="B1598" s="6" t="n"/>
      <c r="C1598" s="5" t="n"/>
      <c r="D1598" s="6" t="n"/>
      <c r="E1598" s="7" t="n"/>
      <c r="F1598" s="6" t="n"/>
      <c r="G1598" s="8">
        <f>IF(B1598="","",IFERROR(VLOOKUP(--B1598,'CATALOGO CECO'!$A$2:$H$550,2,FALSE),"CECO NO EXISTE"))</f>
        <v/>
      </c>
      <c r="H1598" s="8">
        <f>IF(B1598="","",IFERROR(VLOOKUP(--B1598,'CATALOGO CECO'!$A$2:$H$550,3,FALSE),""))</f>
        <v/>
      </c>
      <c r="I1598" s="8">
        <f>IF(B1598="","",IFERROR(VLOOKUP(--B1598,'CATALOGO CECO'!$A$2:$H$550,5,FALSE),""))</f>
        <v/>
      </c>
      <c r="J1598" s="8">
        <f>IF(B1598="","",IFERROR(VLOOKUP(--B1598,'CATALOGO CECO'!$A$2:$H$550,8,FALSE),""))</f>
        <v/>
      </c>
      <c r="K1598" s="8">
        <f>IF(COUNTA(A1598:F1598)=0,"",IF(OR(LEN(A1598)&lt;&gt;7,MID(A1598,5,1)&lt;&gt;"-",ISERROR(--LEFT(A1598,4)),ISERROR(--RIGHT(A1598,2))),"ERROR: PERIODO debe ser AAAA-MM",IF(B1598="","ERROR: falta CODIGO CECO",IF(G1598="CECO NO EXISTE","ERROR: CECO no existe en el catálogo",IF(C1598="","ERROR: falta CUENTA",IF(ISERROR(--C1598),"ERROR: CUENTA debe tener solo dígitos",IF(ISERROR(FIND(LEFT(C1598,1),"567")),"ERROR: CUENTA fuera de las clases de costo",IF(NOT(ISNUMBER(E1598)),"ERROR: VALOR debe ser numérico",IF(E1598=0,"AVISO: valor cero (no se carga)",IF(J1598&lt;&gt;"ACTIVO","NO SE CARGA: CECO en estado "&amp;J1598,"OK"))))))))))</f>
        <v/>
      </c>
    </row>
    <row r="1599">
      <c r="A1599" s="5" t="n"/>
      <c r="B1599" s="6" t="n"/>
      <c r="C1599" s="5" t="n"/>
      <c r="D1599" s="6" t="n"/>
      <c r="E1599" s="7" t="n"/>
      <c r="F1599" s="6" t="n"/>
      <c r="G1599" s="8">
        <f>IF(B1599="","",IFERROR(VLOOKUP(--B1599,'CATALOGO CECO'!$A$2:$H$550,2,FALSE),"CECO NO EXISTE"))</f>
        <v/>
      </c>
      <c r="H1599" s="8">
        <f>IF(B1599="","",IFERROR(VLOOKUP(--B1599,'CATALOGO CECO'!$A$2:$H$550,3,FALSE),""))</f>
        <v/>
      </c>
      <c r="I1599" s="8">
        <f>IF(B1599="","",IFERROR(VLOOKUP(--B1599,'CATALOGO CECO'!$A$2:$H$550,5,FALSE),""))</f>
        <v/>
      </c>
      <c r="J1599" s="8">
        <f>IF(B1599="","",IFERROR(VLOOKUP(--B1599,'CATALOGO CECO'!$A$2:$H$550,8,FALSE),""))</f>
        <v/>
      </c>
      <c r="K1599" s="8">
        <f>IF(COUNTA(A1599:F1599)=0,"",IF(OR(LEN(A1599)&lt;&gt;7,MID(A1599,5,1)&lt;&gt;"-",ISERROR(--LEFT(A1599,4)),ISERROR(--RIGHT(A1599,2))),"ERROR: PERIODO debe ser AAAA-MM",IF(B1599="","ERROR: falta CODIGO CECO",IF(G1599="CECO NO EXISTE","ERROR: CECO no existe en el catálogo",IF(C1599="","ERROR: falta CUENTA",IF(ISERROR(--C1599),"ERROR: CUENTA debe tener solo dígitos",IF(ISERROR(FIND(LEFT(C1599,1),"567")),"ERROR: CUENTA fuera de las clases de costo",IF(NOT(ISNUMBER(E1599)),"ERROR: VALOR debe ser numérico",IF(E1599=0,"AVISO: valor cero (no se carga)",IF(J1599&lt;&gt;"ACTIVO","NO SE CARGA: CECO en estado "&amp;J1599,"OK"))))))))))</f>
        <v/>
      </c>
    </row>
    <row r="1600">
      <c r="A1600" s="5" t="n"/>
      <c r="B1600" s="6" t="n"/>
      <c r="C1600" s="5" t="n"/>
      <c r="D1600" s="6" t="n"/>
      <c r="E1600" s="7" t="n"/>
      <c r="F1600" s="6" t="n"/>
      <c r="G1600" s="8">
        <f>IF(B1600="","",IFERROR(VLOOKUP(--B1600,'CATALOGO CECO'!$A$2:$H$550,2,FALSE),"CECO NO EXISTE"))</f>
        <v/>
      </c>
      <c r="H1600" s="8">
        <f>IF(B1600="","",IFERROR(VLOOKUP(--B1600,'CATALOGO CECO'!$A$2:$H$550,3,FALSE),""))</f>
        <v/>
      </c>
      <c r="I1600" s="8">
        <f>IF(B1600="","",IFERROR(VLOOKUP(--B1600,'CATALOGO CECO'!$A$2:$H$550,5,FALSE),""))</f>
        <v/>
      </c>
      <c r="J1600" s="8">
        <f>IF(B1600="","",IFERROR(VLOOKUP(--B1600,'CATALOGO CECO'!$A$2:$H$550,8,FALSE),""))</f>
        <v/>
      </c>
      <c r="K1600" s="8">
        <f>IF(COUNTA(A1600:F1600)=0,"",IF(OR(LEN(A1600)&lt;&gt;7,MID(A1600,5,1)&lt;&gt;"-",ISERROR(--LEFT(A1600,4)),ISERROR(--RIGHT(A1600,2))),"ERROR: PERIODO debe ser AAAA-MM",IF(B1600="","ERROR: falta CODIGO CECO",IF(G1600="CECO NO EXISTE","ERROR: CECO no existe en el catálogo",IF(C1600="","ERROR: falta CUENTA",IF(ISERROR(--C1600),"ERROR: CUENTA debe tener solo dígitos",IF(ISERROR(FIND(LEFT(C1600,1),"567")),"ERROR: CUENTA fuera de las clases de costo",IF(NOT(ISNUMBER(E1600)),"ERROR: VALOR debe ser numérico",IF(E1600=0,"AVISO: valor cero (no se carga)",IF(J1600&lt;&gt;"ACTIVO","NO SE CARGA: CECO en estado "&amp;J1600,"OK"))))))))))</f>
        <v/>
      </c>
    </row>
    <row r="1601">
      <c r="A1601" s="5" t="n"/>
      <c r="B1601" s="6" t="n"/>
      <c r="C1601" s="5" t="n"/>
      <c r="D1601" s="6" t="n"/>
      <c r="E1601" s="7" t="n"/>
      <c r="F1601" s="6" t="n"/>
      <c r="G1601" s="8">
        <f>IF(B1601="","",IFERROR(VLOOKUP(--B1601,'CATALOGO CECO'!$A$2:$H$550,2,FALSE),"CECO NO EXISTE"))</f>
        <v/>
      </c>
      <c r="H1601" s="8">
        <f>IF(B1601="","",IFERROR(VLOOKUP(--B1601,'CATALOGO CECO'!$A$2:$H$550,3,FALSE),""))</f>
        <v/>
      </c>
      <c r="I1601" s="8">
        <f>IF(B1601="","",IFERROR(VLOOKUP(--B1601,'CATALOGO CECO'!$A$2:$H$550,5,FALSE),""))</f>
        <v/>
      </c>
      <c r="J1601" s="8">
        <f>IF(B1601="","",IFERROR(VLOOKUP(--B1601,'CATALOGO CECO'!$A$2:$H$550,8,FALSE),""))</f>
        <v/>
      </c>
      <c r="K1601" s="8">
        <f>IF(COUNTA(A1601:F1601)=0,"",IF(OR(LEN(A1601)&lt;&gt;7,MID(A1601,5,1)&lt;&gt;"-",ISERROR(--LEFT(A1601,4)),ISERROR(--RIGHT(A1601,2))),"ERROR: PERIODO debe ser AAAA-MM",IF(B1601="","ERROR: falta CODIGO CECO",IF(G1601="CECO NO EXISTE","ERROR: CECO no existe en el catálogo",IF(C1601="","ERROR: falta CUENTA",IF(ISERROR(--C1601),"ERROR: CUENTA debe tener solo dígitos",IF(ISERROR(FIND(LEFT(C1601,1),"567")),"ERROR: CUENTA fuera de las clases de costo",IF(NOT(ISNUMBER(E1601)),"ERROR: VALOR debe ser numérico",IF(E1601=0,"AVISO: valor cero (no se carga)",IF(J1601&lt;&gt;"ACTIVO","NO SE CARGA: CECO en estado "&amp;J1601,"OK"))))))))))</f>
        <v/>
      </c>
    </row>
    <row r="1602">
      <c r="A1602" s="5" t="n"/>
      <c r="B1602" s="6" t="n"/>
      <c r="C1602" s="5" t="n"/>
      <c r="D1602" s="6" t="n"/>
      <c r="E1602" s="7" t="n"/>
      <c r="F1602" s="6" t="n"/>
      <c r="G1602" s="8">
        <f>IF(B1602="","",IFERROR(VLOOKUP(--B1602,'CATALOGO CECO'!$A$2:$H$550,2,FALSE),"CECO NO EXISTE"))</f>
        <v/>
      </c>
      <c r="H1602" s="8">
        <f>IF(B1602="","",IFERROR(VLOOKUP(--B1602,'CATALOGO CECO'!$A$2:$H$550,3,FALSE),""))</f>
        <v/>
      </c>
      <c r="I1602" s="8">
        <f>IF(B1602="","",IFERROR(VLOOKUP(--B1602,'CATALOGO CECO'!$A$2:$H$550,5,FALSE),""))</f>
        <v/>
      </c>
      <c r="J1602" s="8">
        <f>IF(B1602="","",IFERROR(VLOOKUP(--B1602,'CATALOGO CECO'!$A$2:$H$550,8,FALSE),""))</f>
        <v/>
      </c>
      <c r="K1602" s="8">
        <f>IF(COUNTA(A1602:F1602)=0,"",IF(OR(LEN(A1602)&lt;&gt;7,MID(A1602,5,1)&lt;&gt;"-",ISERROR(--LEFT(A1602,4)),ISERROR(--RIGHT(A1602,2))),"ERROR: PERIODO debe ser AAAA-MM",IF(B1602="","ERROR: falta CODIGO CECO",IF(G1602="CECO NO EXISTE","ERROR: CECO no existe en el catálogo",IF(C1602="","ERROR: falta CUENTA",IF(ISERROR(--C1602),"ERROR: CUENTA debe tener solo dígitos",IF(ISERROR(FIND(LEFT(C1602,1),"567")),"ERROR: CUENTA fuera de las clases de costo",IF(NOT(ISNUMBER(E1602)),"ERROR: VALOR debe ser numérico",IF(E1602=0,"AVISO: valor cero (no se carga)",IF(J1602&lt;&gt;"ACTIVO","NO SE CARGA: CECO en estado "&amp;J1602,"OK"))))))))))</f>
        <v/>
      </c>
    </row>
    <row r="1603">
      <c r="A1603" s="5" t="n"/>
      <c r="B1603" s="6" t="n"/>
      <c r="C1603" s="5" t="n"/>
      <c r="D1603" s="6" t="n"/>
      <c r="E1603" s="7" t="n"/>
      <c r="F1603" s="6" t="n"/>
      <c r="G1603" s="8">
        <f>IF(B1603="","",IFERROR(VLOOKUP(--B1603,'CATALOGO CECO'!$A$2:$H$550,2,FALSE),"CECO NO EXISTE"))</f>
        <v/>
      </c>
      <c r="H1603" s="8">
        <f>IF(B1603="","",IFERROR(VLOOKUP(--B1603,'CATALOGO CECO'!$A$2:$H$550,3,FALSE),""))</f>
        <v/>
      </c>
      <c r="I1603" s="8">
        <f>IF(B1603="","",IFERROR(VLOOKUP(--B1603,'CATALOGO CECO'!$A$2:$H$550,5,FALSE),""))</f>
        <v/>
      </c>
      <c r="J1603" s="8">
        <f>IF(B1603="","",IFERROR(VLOOKUP(--B1603,'CATALOGO CECO'!$A$2:$H$550,8,FALSE),""))</f>
        <v/>
      </c>
      <c r="K1603" s="8">
        <f>IF(COUNTA(A1603:F1603)=0,"",IF(OR(LEN(A1603)&lt;&gt;7,MID(A1603,5,1)&lt;&gt;"-",ISERROR(--LEFT(A1603,4)),ISERROR(--RIGHT(A1603,2))),"ERROR: PERIODO debe ser AAAA-MM",IF(B1603="","ERROR: falta CODIGO CECO",IF(G1603="CECO NO EXISTE","ERROR: CECO no existe en el catálogo",IF(C1603="","ERROR: falta CUENTA",IF(ISERROR(--C1603),"ERROR: CUENTA debe tener solo dígitos",IF(ISERROR(FIND(LEFT(C1603,1),"567")),"ERROR: CUENTA fuera de las clases de costo",IF(NOT(ISNUMBER(E1603)),"ERROR: VALOR debe ser numérico",IF(E1603=0,"AVISO: valor cero (no se carga)",IF(J1603&lt;&gt;"ACTIVO","NO SE CARGA: CECO en estado "&amp;J1603,"OK"))))))))))</f>
        <v/>
      </c>
    </row>
    <row r="1604">
      <c r="A1604" s="5" t="n"/>
      <c r="B1604" s="6" t="n"/>
      <c r="C1604" s="5" t="n"/>
      <c r="D1604" s="6" t="n"/>
      <c r="E1604" s="7" t="n"/>
      <c r="F1604" s="6" t="n"/>
      <c r="G1604" s="8">
        <f>IF(B1604="","",IFERROR(VLOOKUP(--B1604,'CATALOGO CECO'!$A$2:$H$550,2,FALSE),"CECO NO EXISTE"))</f>
        <v/>
      </c>
      <c r="H1604" s="8">
        <f>IF(B1604="","",IFERROR(VLOOKUP(--B1604,'CATALOGO CECO'!$A$2:$H$550,3,FALSE),""))</f>
        <v/>
      </c>
      <c r="I1604" s="8">
        <f>IF(B1604="","",IFERROR(VLOOKUP(--B1604,'CATALOGO CECO'!$A$2:$H$550,5,FALSE),""))</f>
        <v/>
      </c>
      <c r="J1604" s="8">
        <f>IF(B1604="","",IFERROR(VLOOKUP(--B1604,'CATALOGO CECO'!$A$2:$H$550,8,FALSE),""))</f>
        <v/>
      </c>
      <c r="K1604" s="8">
        <f>IF(COUNTA(A1604:F1604)=0,"",IF(OR(LEN(A1604)&lt;&gt;7,MID(A1604,5,1)&lt;&gt;"-",ISERROR(--LEFT(A1604,4)),ISERROR(--RIGHT(A1604,2))),"ERROR: PERIODO debe ser AAAA-MM",IF(B1604="","ERROR: falta CODIGO CECO",IF(G1604="CECO NO EXISTE","ERROR: CECO no existe en el catálogo",IF(C1604="","ERROR: falta CUENTA",IF(ISERROR(--C1604),"ERROR: CUENTA debe tener solo dígitos",IF(ISERROR(FIND(LEFT(C1604,1),"567")),"ERROR: CUENTA fuera de las clases de costo",IF(NOT(ISNUMBER(E1604)),"ERROR: VALOR debe ser numérico",IF(E1604=0,"AVISO: valor cero (no se carga)",IF(J1604&lt;&gt;"ACTIVO","NO SE CARGA: CECO en estado "&amp;J1604,"OK"))))))))))</f>
        <v/>
      </c>
    </row>
    <row r="1605">
      <c r="A1605" s="5" t="n"/>
      <c r="B1605" s="6" t="n"/>
      <c r="C1605" s="5" t="n"/>
      <c r="D1605" s="6" t="n"/>
      <c r="E1605" s="7" t="n"/>
      <c r="F1605" s="6" t="n"/>
      <c r="G1605" s="8">
        <f>IF(B1605="","",IFERROR(VLOOKUP(--B1605,'CATALOGO CECO'!$A$2:$H$550,2,FALSE),"CECO NO EXISTE"))</f>
        <v/>
      </c>
      <c r="H1605" s="8">
        <f>IF(B1605="","",IFERROR(VLOOKUP(--B1605,'CATALOGO CECO'!$A$2:$H$550,3,FALSE),""))</f>
        <v/>
      </c>
      <c r="I1605" s="8">
        <f>IF(B1605="","",IFERROR(VLOOKUP(--B1605,'CATALOGO CECO'!$A$2:$H$550,5,FALSE),""))</f>
        <v/>
      </c>
      <c r="J1605" s="8">
        <f>IF(B1605="","",IFERROR(VLOOKUP(--B1605,'CATALOGO CECO'!$A$2:$H$550,8,FALSE),""))</f>
        <v/>
      </c>
      <c r="K1605" s="8">
        <f>IF(COUNTA(A1605:F1605)=0,"",IF(OR(LEN(A1605)&lt;&gt;7,MID(A1605,5,1)&lt;&gt;"-",ISERROR(--LEFT(A1605,4)),ISERROR(--RIGHT(A1605,2))),"ERROR: PERIODO debe ser AAAA-MM",IF(B1605="","ERROR: falta CODIGO CECO",IF(G1605="CECO NO EXISTE","ERROR: CECO no existe en el catálogo",IF(C1605="","ERROR: falta CUENTA",IF(ISERROR(--C1605),"ERROR: CUENTA debe tener solo dígitos",IF(ISERROR(FIND(LEFT(C1605,1),"567")),"ERROR: CUENTA fuera de las clases de costo",IF(NOT(ISNUMBER(E1605)),"ERROR: VALOR debe ser numérico",IF(E1605=0,"AVISO: valor cero (no se carga)",IF(J1605&lt;&gt;"ACTIVO","NO SE CARGA: CECO en estado "&amp;J1605,"OK"))))))))))</f>
        <v/>
      </c>
    </row>
    <row r="1606">
      <c r="A1606" s="5" t="n"/>
      <c r="B1606" s="6" t="n"/>
      <c r="C1606" s="5" t="n"/>
      <c r="D1606" s="6" t="n"/>
      <c r="E1606" s="7" t="n"/>
      <c r="F1606" s="6" t="n"/>
      <c r="G1606" s="8">
        <f>IF(B1606="","",IFERROR(VLOOKUP(--B1606,'CATALOGO CECO'!$A$2:$H$550,2,FALSE),"CECO NO EXISTE"))</f>
        <v/>
      </c>
      <c r="H1606" s="8">
        <f>IF(B1606="","",IFERROR(VLOOKUP(--B1606,'CATALOGO CECO'!$A$2:$H$550,3,FALSE),""))</f>
        <v/>
      </c>
      <c r="I1606" s="8">
        <f>IF(B1606="","",IFERROR(VLOOKUP(--B1606,'CATALOGO CECO'!$A$2:$H$550,5,FALSE),""))</f>
        <v/>
      </c>
      <c r="J1606" s="8">
        <f>IF(B1606="","",IFERROR(VLOOKUP(--B1606,'CATALOGO CECO'!$A$2:$H$550,8,FALSE),""))</f>
        <v/>
      </c>
      <c r="K1606" s="8">
        <f>IF(COUNTA(A1606:F1606)=0,"",IF(OR(LEN(A1606)&lt;&gt;7,MID(A1606,5,1)&lt;&gt;"-",ISERROR(--LEFT(A1606,4)),ISERROR(--RIGHT(A1606,2))),"ERROR: PERIODO debe ser AAAA-MM",IF(B1606="","ERROR: falta CODIGO CECO",IF(G1606="CECO NO EXISTE","ERROR: CECO no existe en el catálogo",IF(C1606="","ERROR: falta CUENTA",IF(ISERROR(--C1606),"ERROR: CUENTA debe tener solo dígitos",IF(ISERROR(FIND(LEFT(C1606,1),"567")),"ERROR: CUENTA fuera de las clases de costo",IF(NOT(ISNUMBER(E1606)),"ERROR: VALOR debe ser numérico",IF(E1606=0,"AVISO: valor cero (no se carga)",IF(J1606&lt;&gt;"ACTIVO","NO SE CARGA: CECO en estado "&amp;J1606,"OK"))))))))))</f>
        <v/>
      </c>
    </row>
    <row r="1607">
      <c r="A1607" s="5" t="n"/>
      <c r="B1607" s="6" t="n"/>
      <c r="C1607" s="5" t="n"/>
      <c r="D1607" s="6" t="n"/>
      <c r="E1607" s="7" t="n"/>
      <c r="F1607" s="6" t="n"/>
      <c r="G1607" s="8">
        <f>IF(B1607="","",IFERROR(VLOOKUP(--B1607,'CATALOGO CECO'!$A$2:$H$550,2,FALSE),"CECO NO EXISTE"))</f>
        <v/>
      </c>
      <c r="H1607" s="8">
        <f>IF(B1607="","",IFERROR(VLOOKUP(--B1607,'CATALOGO CECO'!$A$2:$H$550,3,FALSE),""))</f>
        <v/>
      </c>
      <c r="I1607" s="8">
        <f>IF(B1607="","",IFERROR(VLOOKUP(--B1607,'CATALOGO CECO'!$A$2:$H$550,5,FALSE),""))</f>
        <v/>
      </c>
      <c r="J1607" s="8">
        <f>IF(B1607="","",IFERROR(VLOOKUP(--B1607,'CATALOGO CECO'!$A$2:$H$550,8,FALSE),""))</f>
        <v/>
      </c>
      <c r="K1607" s="8">
        <f>IF(COUNTA(A1607:F1607)=0,"",IF(OR(LEN(A1607)&lt;&gt;7,MID(A1607,5,1)&lt;&gt;"-",ISERROR(--LEFT(A1607,4)),ISERROR(--RIGHT(A1607,2))),"ERROR: PERIODO debe ser AAAA-MM",IF(B1607="","ERROR: falta CODIGO CECO",IF(G1607="CECO NO EXISTE","ERROR: CECO no existe en el catálogo",IF(C1607="","ERROR: falta CUENTA",IF(ISERROR(--C1607),"ERROR: CUENTA debe tener solo dígitos",IF(ISERROR(FIND(LEFT(C1607,1),"567")),"ERROR: CUENTA fuera de las clases de costo",IF(NOT(ISNUMBER(E1607)),"ERROR: VALOR debe ser numérico",IF(E1607=0,"AVISO: valor cero (no se carga)",IF(J1607&lt;&gt;"ACTIVO","NO SE CARGA: CECO en estado "&amp;J1607,"OK"))))))))))</f>
        <v/>
      </c>
    </row>
    <row r="1608">
      <c r="A1608" s="5" t="n"/>
      <c r="B1608" s="6" t="n"/>
      <c r="C1608" s="5" t="n"/>
      <c r="D1608" s="6" t="n"/>
      <c r="E1608" s="7" t="n"/>
      <c r="F1608" s="6" t="n"/>
      <c r="G1608" s="8">
        <f>IF(B1608="","",IFERROR(VLOOKUP(--B1608,'CATALOGO CECO'!$A$2:$H$550,2,FALSE),"CECO NO EXISTE"))</f>
        <v/>
      </c>
      <c r="H1608" s="8">
        <f>IF(B1608="","",IFERROR(VLOOKUP(--B1608,'CATALOGO CECO'!$A$2:$H$550,3,FALSE),""))</f>
        <v/>
      </c>
      <c r="I1608" s="8">
        <f>IF(B1608="","",IFERROR(VLOOKUP(--B1608,'CATALOGO CECO'!$A$2:$H$550,5,FALSE),""))</f>
        <v/>
      </c>
      <c r="J1608" s="8">
        <f>IF(B1608="","",IFERROR(VLOOKUP(--B1608,'CATALOGO CECO'!$A$2:$H$550,8,FALSE),""))</f>
        <v/>
      </c>
      <c r="K1608" s="8">
        <f>IF(COUNTA(A1608:F1608)=0,"",IF(OR(LEN(A1608)&lt;&gt;7,MID(A1608,5,1)&lt;&gt;"-",ISERROR(--LEFT(A1608,4)),ISERROR(--RIGHT(A1608,2))),"ERROR: PERIODO debe ser AAAA-MM",IF(B1608="","ERROR: falta CODIGO CECO",IF(G1608="CECO NO EXISTE","ERROR: CECO no existe en el catálogo",IF(C1608="","ERROR: falta CUENTA",IF(ISERROR(--C1608),"ERROR: CUENTA debe tener solo dígitos",IF(ISERROR(FIND(LEFT(C1608,1),"567")),"ERROR: CUENTA fuera de las clases de costo",IF(NOT(ISNUMBER(E1608)),"ERROR: VALOR debe ser numérico",IF(E1608=0,"AVISO: valor cero (no se carga)",IF(J1608&lt;&gt;"ACTIVO","NO SE CARGA: CECO en estado "&amp;J1608,"OK"))))))))))</f>
        <v/>
      </c>
    </row>
    <row r="1609">
      <c r="A1609" s="5" t="n"/>
      <c r="B1609" s="6" t="n"/>
      <c r="C1609" s="5" t="n"/>
      <c r="D1609" s="6" t="n"/>
      <c r="E1609" s="7" t="n"/>
      <c r="F1609" s="6" t="n"/>
      <c r="G1609" s="8">
        <f>IF(B1609="","",IFERROR(VLOOKUP(--B1609,'CATALOGO CECO'!$A$2:$H$550,2,FALSE),"CECO NO EXISTE"))</f>
        <v/>
      </c>
      <c r="H1609" s="8">
        <f>IF(B1609="","",IFERROR(VLOOKUP(--B1609,'CATALOGO CECO'!$A$2:$H$550,3,FALSE),""))</f>
        <v/>
      </c>
      <c r="I1609" s="8">
        <f>IF(B1609="","",IFERROR(VLOOKUP(--B1609,'CATALOGO CECO'!$A$2:$H$550,5,FALSE),""))</f>
        <v/>
      </c>
      <c r="J1609" s="8">
        <f>IF(B1609="","",IFERROR(VLOOKUP(--B1609,'CATALOGO CECO'!$A$2:$H$550,8,FALSE),""))</f>
        <v/>
      </c>
      <c r="K1609" s="8">
        <f>IF(COUNTA(A1609:F1609)=0,"",IF(OR(LEN(A1609)&lt;&gt;7,MID(A1609,5,1)&lt;&gt;"-",ISERROR(--LEFT(A1609,4)),ISERROR(--RIGHT(A1609,2))),"ERROR: PERIODO debe ser AAAA-MM",IF(B1609="","ERROR: falta CODIGO CECO",IF(G1609="CECO NO EXISTE","ERROR: CECO no existe en el catálogo",IF(C1609="","ERROR: falta CUENTA",IF(ISERROR(--C1609),"ERROR: CUENTA debe tener solo dígitos",IF(ISERROR(FIND(LEFT(C1609,1),"567")),"ERROR: CUENTA fuera de las clases de costo",IF(NOT(ISNUMBER(E1609)),"ERROR: VALOR debe ser numérico",IF(E1609=0,"AVISO: valor cero (no se carga)",IF(J1609&lt;&gt;"ACTIVO","NO SE CARGA: CECO en estado "&amp;J1609,"OK"))))))))))</f>
        <v/>
      </c>
    </row>
    <row r="1610">
      <c r="A1610" s="5" t="n"/>
      <c r="B1610" s="6" t="n"/>
      <c r="C1610" s="5" t="n"/>
      <c r="D1610" s="6" t="n"/>
      <c r="E1610" s="7" t="n"/>
      <c r="F1610" s="6" t="n"/>
      <c r="G1610" s="8">
        <f>IF(B1610="","",IFERROR(VLOOKUP(--B1610,'CATALOGO CECO'!$A$2:$H$550,2,FALSE),"CECO NO EXISTE"))</f>
        <v/>
      </c>
      <c r="H1610" s="8">
        <f>IF(B1610="","",IFERROR(VLOOKUP(--B1610,'CATALOGO CECO'!$A$2:$H$550,3,FALSE),""))</f>
        <v/>
      </c>
      <c r="I1610" s="8">
        <f>IF(B1610="","",IFERROR(VLOOKUP(--B1610,'CATALOGO CECO'!$A$2:$H$550,5,FALSE),""))</f>
        <v/>
      </c>
      <c r="J1610" s="8">
        <f>IF(B1610="","",IFERROR(VLOOKUP(--B1610,'CATALOGO CECO'!$A$2:$H$550,8,FALSE),""))</f>
        <v/>
      </c>
      <c r="K1610" s="8">
        <f>IF(COUNTA(A1610:F1610)=0,"",IF(OR(LEN(A1610)&lt;&gt;7,MID(A1610,5,1)&lt;&gt;"-",ISERROR(--LEFT(A1610,4)),ISERROR(--RIGHT(A1610,2))),"ERROR: PERIODO debe ser AAAA-MM",IF(B1610="","ERROR: falta CODIGO CECO",IF(G1610="CECO NO EXISTE","ERROR: CECO no existe en el catálogo",IF(C1610="","ERROR: falta CUENTA",IF(ISERROR(--C1610),"ERROR: CUENTA debe tener solo dígitos",IF(ISERROR(FIND(LEFT(C1610,1),"567")),"ERROR: CUENTA fuera de las clases de costo",IF(NOT(ISNUMBER(E1610)),"ERROR: VALOR debe ser numérico",IF(E1610=0,"AVISO: valor cero (no se carga)",IF(J1610&lt;&gt;"ACTIVO","NO SE CARGA: CECO en estado "&amp;J1610,"OK"))))))))))</f>
        <v/>
      </c>
    </row>
    <row r="1611">
      <c r="A1611" s="5" t="n"/>
      <c r="B1611" s="6" t="n"/>
      <c r="C1611" s="5" t="n"/>
      <c r="D1611" s="6" t="n"/>
      <c r="E1611" s="7" t="n"/>
      <c r="F1611" s="6" t="n"/>
      <c r="G1611" s="8">
        <f>IF(B1611="","",IFERROR(VLOOKUP(--B1611,'CATALOGO CECO'!$A$2:$H$550,2,FALSE),"CECO NO EXISTE"))</f>
        <v/>
      </c>
      <c r="H1611" s="8">
        <f>IF(B1611="","",IFERROR(VLOOKUP(--B1611,'CATALOGO CECO'!$A$2:$H$550,3,FALSE),""))</f>
        <v/>
      </c>
      <c r="I1611" s="8">
        <f>IF(B1611="","",IFERROR(VLOOKUP(--B1611,'CATALOGO CECO'!$A$2:$H$550,5,FALSE),""))</f>
        <v/>
      </c>
      <c r="J1611" s="8">
        <f>IF(B1611="","",IFERROR(VLOOKUP(--B1611,'CATALOGO CECO'!$A$2:$H$550,8,FALSE),""))</f>
        <v/>
      </c>
      <c r="K1611" s="8">
        <f>IF(COUNTA(A1611:F1611)=0,"",IF(OR(LEN(A1611)&lt;&gt;7,MID(A1611,5,1)&lt;&gt;"-",ISERROR(--LEFT(A1611,4)),ISERROR(--RIGHT(A1611,2))),"ERROR: PERIODO debe ser AAAA-MM",IF(B1611="","ERROR: falta CODIGO CECO",IF(G1611="CECO NO EXISTE","ERROR: CECO no existe en el catálogo",IF(C1611="","ERROR: falta CUENTA",IF(ISERROR(--C1611),"ERROR: CUENTA debe tener solo dígitos",IF(ISERROR(FIND(LEFT(C1611,1),"567")),"ERROR: CUENTA fuera de las clases de costo",IF(NOT(ISNUMBER(E1611)),"ERROR: VALOR debe ser numérico",IF(E1611=0,"AVISO: valor cero (no se carga)",IF(J1611&lt;&gt;"ACTIVO","NO SE CARGA: CECO en estado "&amp;J1611,"OK"))))))))))</f>
        <v/>
      </c>
    </row>
    <row r="1612">
      <c r="A1612" s="5" t="n"/>
      <c r="B1612" s="6" t="n"/>
      <c r="C1612" s="5" t="n"/>
      <c r="D1612" s="6" t="n"/>
      <c r="E1612" s="7" t="n"/>
      <c r="F1612" s="6" t="n"/>
      <c r="G1612" s="8">
        <f>IF(B1612="","",IFERROR(VLOOKUP(--B1612,'CATALOGO CECO'!$A$2:$H$550,2,FALSE),"CECO NO EXISTE"))</f>
        <v/>
      </c>
      <c r="H1612" s="8">
        <f>IF(B1612="","",IFERROR(VLOOKUP(--B1612,'CATALOGO CECO'!$A$2:$H$550,3,FALSE),""))</f>
        <v/>
      </c>
      <c r="I1612" s="8">
        <f>IF(B1612="","",IFERROR(VLOOKUP(--B1612,'CATALOGO CECO'!$A$2:$H$550,5,FALSE),""))</f>
        <v/>
      </c>
      <c r="J1612" s="8">
        <f>IF(B1612="","",IFERROR(VLOOKUP(--B1612,'CATALOGO CECO'!$A$2:$H$550,8,FALSE),""))</f>
        <v/>
      </c>
      <c r="K1612" s="8">
        <f>IF(COUNTA(A1612:F1612)=0,"",IF(OR(LEN(A1612)&lt;&gt;7,MID(A1612,5,1)&lt;&gt;"-",ISERROR(--LEFT(A1612,4)),ISERROR(--RIGHT(A1612,2))),"ERROR: PERIODO debe ser AAAA-MM",IF(B1612="","ERROR: falta CODIGO CECO",IF(G1612="CECO NO EXISTE","ERROR: CECO no existe en el catálogo",IF(C1612="","ERROR: falta CUENTA",IF(ISERROR(--C1612),"ERROR: CUENTA debe tener solo dígitos",IF(ISERROR(FIND(LEFT(C1612,1),"567")),"ERROR: CUENTA fuera de las clases de costo",IF(NOT(ISNUMBER(E1612)),"ERROR: VALOR debe ser numérico",IF(E1612=0,"AVISO: valor cero (no se carga)",IF(J1612&lt;&gt;"ACTIVO","NO SE CARGA: CECO en estado "&amp;J1612,"OK"))))))))))</f>
        <v/>
      </c>
    </row>
    <row r="1613">
      <c r="A1613" s="5" t="n"/>
      <c r="B1613" s="6" t="n"/>
      <c r="C1613" s="5" t="n"/>
      <c r="D1613" s="6" t="n"/>
      <c r="E1613" s="7" t="n"/>
      <c r="F1613" s="6" t="n"/>
      <c r="G1613" s="8">
        <f>IF(B1613="","",IFERROR(VLOOKUP(--B1613,'CATALOGO CECO'!$A$2:$H$550,2,FALSE),"CECO NO EXISTE"))</f>
        <v/>
      </c>
      <c r="H1613" s="8">
        <f>IF(B1613="","",IFERROR(VLOOKUP(--B1613,'CATALOGO CECO'!$A$2:$H$550,3,FALSE),""))</f>
        <v/>
      </c>
      <c r="I1613" s="8">
        <f>IF(B1613="","",IFERROR(VLOOKUP(--B1613,'CATALOGO CECO'!$A$2:$H$550,5,FALSE),""))</f>
        <v/>
      </c>
      <c r="J1613" s="8">
        <f>IF(B1613="","",IFERROR(VLOOKUP(--B1613,'CATALOGO CECO'!$A$2:$H$550,8,FALSE),""))</f>
        <v/>
      </c>
      <c r="K1613" s="8">
        <f>IF(COUNTA(A1613:F1613)=0,"",IF(OR(LEN(A1613)&lt;&gt;7,MID(A1613,5,1)&lt;&gt;"-",ISERROR(--LEFT(A1613,4)),ISERROR(--RIGHT(A1613,2))),"ERROR: PERIODO debe ser AAAA-MM",IF(B1613="","ERROR: falta CODIGO CECO",IF(G1613="CECO NO EXISTE","ERROR: CECO no existe en el catálogo",IF(C1613="","ERROR: falta CUENTA",IF(ISERROR(--C1613),"ERROR: CUENTA debe tener solo dígitos",IF(ISERROR(FIND(LEFT(C1613,1),"567")),"ERROR: CUENTA fuera de las clases de costo",IF(NOT(ISNUMBER(E1613)),"ERROR: VALOR debe ser numérico",IF(E1613=0,"AVISO: valor cero (no se carga)",IF(J1613&lt;&gt;"ACTIVO","NO SE CARGA: CECO en estado "&amp;J1613,"OK"))))))))))</f>
        <v/>
      </c>
    </row>
    <row r="1614">
      <c r="A1614" s="5" t="n"/>
      <c r="B1614" s="6" t="n"/>
      <c r="C1614" s="5" t="n"/>
      <c r="D1614" s="6" t="n"/>
      <c r="E1614" s="7" t="n"/>
      <c r="F1614" s="6" t="n"/>
      <c r="G1614" s="8">
        <f>IF(B1614="","",IFERROR(VLOOKUP(--B1614,'CATALOGO CECO'!$A$2:$H$550,2,FALSE),"CECO NO EXISTE"))</f>
        <v/>
      </c>
      <c r="H1614" s="8">
        <f>IF(B1614="","",IFERROR(VLOOKUP(--B1614,'CATALOGO CECO'!$A$2:$H$550,3,FALSE),""))</f>
        <v/>
      </c>
      <c r="I1614" s="8">
        <f>IF(B1614="","",IFERROR(VLOOKUP(--B1614,'CATALOGO CECO'!$A$2:$H$550,5,FALSE),""))</f>
        <v/>
      </c>
      <c r="J1614" s="8">
        <f>IF(B1614="","",IFERROR(VLOOKUP(--B1614,'CATALOGO CECO'!$A$2:$H$550,8,FALSE),""))</f>
        <v/>
      </c>
      <c r="K1614" s="8">
        <f>IF(COUNTA(A1614:F1614)=0,"",IF(OR(LEN(A1614)&lt;&gt;7,MID(A1614,5,1)&lt;&gt;"-",ISERROR(--LEFT(A1614,4)),ISERROR(--RIGHT(A1614,2))),"ERROR: PERIODO debe ser AAAA-MM",IF(B1614="","ERROR: falta CODIGO CECO",IF(G1614="CECO NO EXISTE","ERROR: CECO no existe en el catálogo",IF(C1614="","ERROR: falta CUENTA",IF(ISERROR(--C1614),"ERROR: CUENTA debe tener solo dígitos",IF(ISERROR(FIND(LEFT(C1614,1),"567")),"ERROR: CUENTA fuera de las clases de costo",IF(NOT(ISNUMBER(E1614)),"ERROR: VALOR debe ser numérico",IF(E1614=0,"AVISO: valor cero (no se carga)",IF(J1614&lt;&gt;"ACTIVO","NO SE CARGA: CECO en estado "&amp;J1614,"OK"))))))))))</f>
        <v/>
      </c>
    </row>
    <row r="1615">
      <c r="A1615" s="5" t="n"/>
      <c r="B1615" s="6" t="n"/>
      <c r="C1615" s="5" t="n"/>
      <c r="D1615" s="6" t="n"/>
      <c r="E1615" s="7" t="n"/>
      <c r="F1615" s="6" t="n"/>
      <c r="G1615" s="8">
        <f>IF(B1615="","",IFERROR(VLOOKUP(--B1615,'CATALOGO CECO'!$A$2:$H$550,2,FALSE),"CECO NO EXISTE"))</f>
        <v/>
      </c>
      <c r="H1615" s="8">
        <f>IF(B1615="","",IFERROR(VLOOKUP(--B1615,'CATALOGO CECO'!$A$2:$H$550,3,FALSE),""))</f>
        <v/>
      </c>
      <c r="I1615" s="8">
        <f>IF(B1615="","",IFERROR(VLOOKUP(--B1615,'CATALOGO CECO'!$A$2:$H$550,5,FALSE),""))</f>
        <v/>
      </c>
      <c r="J1615" s="8">
        <f>IF(B1615="","",IFERROR(VLOOKUP(--B1615,'CATALOGO CECO'!$A$2:$H$550,8,FALSE),""))</f>
        <v/>
      </c>
      <c r="K1615" s="8">
        <f>IF(COUNTA(A1615:F1615)=0,"",IF(OR(LEN(A1615)&lt;&gt;7,MID(A1615,5,1)&lt;&gt;"-",ISERROR(--LEFT(A1615,4)),ISERROR(--RIGHT(A1615,2))),"ERROR: PERIODO debe ser AAAA-MM",IF(B1615="","ERROR: falta CODIGO CECO",IF(G1615="CECO NO EXISTE","ERROR: CECO no existe en el catálogo",IF(C1615="","ERROR: falta CUENTA",IF(ISERROR(--C1615),"ERROR: CUENTA debe tener solo dígitos",IF(ISERROR(FIND(LEFT(C1615,1),"567")),"ERROR: CUENTA fuera de las clases de costo",IF(NOT(ISNUMBER(E1615)),"ERROR: VALOR debe ser numérico",IF(E1615=0,"AVISO: valor cero (no se carga)",IF(J1615&lt;&gt;"ACTIVO","NO SE CARGA: CECO en estado "&amp;J1615,"OK"))))))))))</f>
        <v/>
      </c>
    </row>
    <row r="1616">
      <c r="A1616" s="5" t="n"/>
      <c r="B1616" s="6" t="n"/>
      <c r="C1616" s="5" t="n"/>
      <c r="D1616" s="6" t="n"/>
      <c r="E1616" s="7" t="n"/>
      <c r="F1616" s="6" t="n"/>
      <c r="G1616" s="8">
        <f>IF(B1616="","",IFERROR(VLOOKUP(--B1616,'CATALOGO CECO'!$A$2:$H$550,2,FALSE),"CECO NO EXISTE"))</f>
        <v/>
      </c>
      <c r="H1616" s="8">
        <f>IF(B1616="","",IFERROR(VLOOKUP(--B1616,'CATALOGO CECO'!$A$2:$H$550,3,FALSE),""))</f>
        <v/>
      </c>
      <c r="I1616" s="8">
        <f>IF(B1616="","",IFERROR(VLOOKUP(--B1616,'CATALOGO CECO'!$A$2:$H$550,5,FALSE),""))</f>
        <v/>
      </c>
      <c r="J1616" s="8">
        <f>IF(B1616="","",IFERROR(VLOOKUP(--B1616,'CATALOGO CECO'!$A$2:$H$550,8,FALSE),""))</f>
        <v/>
      </c>
      <c r="K1616" s="8">
        <f>IF(COUNTA(A1616:F1616)=0,"",IF(OR(LEN(A1616)&lt;&gt;7,MID(A1616,5,1)&lt;&gt;"-",ISERROR(--LEFT(A1616,4)),ISERROR(--RIGHT(A1616,2))),"ERROR: PERIODO debe ser AAAA-MM",IF(B1616="","ERROR: falta CODIGO CECO",IF(G1616="CECO NO EXISTE","ERROR: CECO no existe en el catálogo",IF(C1616="","ERROR: falta CUENTA",IF(ISERROR(--C1616),"ERROR: CUENTA debe tener solo dígitos",IF(ISERROR(FIND(LEFT(C1616,1),"567")),"ERROR: CUENTA fuera de las clases de costo",IF(NOT(ISNUMBER(E1616)),"ERROR: VALOR debe ser numérico",IF(E1616=0,"AVISO: valor cero (no se carga)",IF(J1616&lt;&gt;"ACTIVO","NO SE CARGA: CECO en estado "&amp;J1616,"OK"))))))))))</f>
        <v/>
      </c>
    </row>
    <row r="1617">
      <c r="A1617" s="5" t="n"/>
      <c r="B1617" s="6" t="n"/>
      <c r="C1617" s="5" t="n"/>
      <c r="D1617" s="6" t="n"/>
      <c r="E1617" s="7" t="n"/>
      <c r="F1617" s="6" t="n"/>
      <c r="G1617" s="8">
        <f>IF(B1617="","",IFERROR(VLOOKUP(--B1617,'CATALOGO CECO'!$A$2:$H$550,2,FALSE),"CECO NO EXISTE"))</f>
        <v/>
      </c>
      <c r="H1617" s="8">
        <f>IF(B1617="","",IFERROR(VLOOKUP(--B1617,'CATALOGO CECO'!$A$2:$H$550,3,FALSE),""))</f>
        <v/>
      </c>
      <c r="I1617" s="8">
        <f>IF(B1617="","",IFERROR(VLOOKUP(--B1617,'CATALOGO CECO'!$A$2:$H$550,5,FALSE),""))</f>
        <v/>
      </c>
      <c r="J1617" s="8">
        <f>IF(B1617="","",IFERROR(VLOOKUP(--B1617,'CATALOGO CECO'!$A$2:$H$550,8,FALSE),""))</f>
        <v/>
      </c>
      <c r="K1617" s="8">
        <f>IF(COUNTA(A1617:F1617)=0,"",IF(OR(LEN(A1617)&lt;&gt;7,MID(A1617,5,1)&lt;&gt;"-",ISERROR(--LEFT(A1617,4)),ISERROR(--RIGHT(A1617,2))),"ERROR: PERIODO debe ser AAAA-MM",IF(B1617="","ERROR: falta CODIGO CECO",IF(G1617="CECO NO EXISTE","ERROR: CECO no existe en el catálogo",IF(C1617="","ERROR: falta CUENTA",IF(ISERROR(--C1617),"ERROR: CUENTA debe tener solo dígitos",IF(ISERROR(FIND(LEFT(C1617,1),"567")),"ERROR: CUENTA fuera de las clases de costo",IF(NOT(ISNUMBER(E1617)),"ERROR: VALOR debe ser numérico",IF(E1617=0,"AVISO: valor cero (no se carga)",IF(J1617&lt;&gt;"ACTIVO","NO SE CARGA: CECO en estado "&amp;J1617,"OK"))))))))))</f>
        <v/>
      </c>
    </row>
    <row r="1618">
      <c r="A1618" s="5" t="n"/>
      <c r="B1618" s="6" t="n"/>
      <c r="C1618" s="5" t="n"/>
      <c r="D1618" s="6" t="n"/>
      <c r="E1618" s="7" t="n"/>
      <c r="F1618" s="6" t="n"/>
      <c r="G1618" s="8">
        <f>IF(B1618="","",IFERROR(VLOOKUP(--B1618,'CATALOGO CECO'!$A$2:$H$550,2,FALSE),"CECO NO EXISTE"))</f>
        <v/>
      </c>
      <c r="H1618" s="8">
        <f>IF(B1618="","",IFERROR(VLOOKUP(--B1618,'CATALOGO CECO'!$A$2:$H$550,3,FALSE),""))</f>
        <v/>
      </c>
      <c r="I1618" s="8">
        <f>IF(B1618="","",IFERROR(VLOOKUP(--B1618,'CATALOGO CECO'!$A$2:$H$550,5,FALSE),""))</f>
        <v/>
      </c>
      <c r="J1618" s="8">
        <f>IF(B1618="","",IFERROR(VLOOKUP(--B1618,'CATALOGO CECO'!$A$2:$H$550,8,FALSE),""))</f>
        <v/>
      </c>
      <c r="K1618" s="8">
        <f>IF(COUNTA(A1618:F1618)=0,"",IF(OR(LEN(A1618)&lt;&gt;7,MID(A1618,5,1)&lt;&gt;"-",ISERROR(--LEFT(A1618,4)),ISERROR(--RIGHT(A1618,2))),"ERROR: PERIODO debe ser AAAA-MM",IF(B1618="","ERROR: falta CODIGO CECO",IF(G1618="CECO NO EXISTE","ERROR: CECO no existe en el catálogo",IF(C1618="","ERROR: falta CUENTA",IF(ISERROR(--C1618),"ERROR: CUENTA debe tener solo dígitos",IF(ISERROR(FIND(LEFT(C1618,1),"567")),"ERROR: CUENTA fuera de las clases de costo",IF(NOT(ISNUMBER(E1618)),"ERROR: VALOR debe ser numérico",IF(E1618=0,"AVISO: valor cero (no se carga)",IF(J1618&lt;&gt;"ACTIVO","NO SE CARGA: CECO en estado "&amp;J1618,"OK"))))))))))</f>
        <v/>
      </c>
    </row>
    <row r="1619">
      <c r="A1619" s="5" t="n"/>
      <c r="B1619" s="6" t="n"/>
      <c r="C1619" s="5" t="n"/>
      <c r="D1619" s="6" t="n"/>
      <c r="E1619" s="7" t="n"/>
      <c r="F1619" s="6" t="n"/>
      <c r="G1619" s="8">
        <f>IF(B1619="","",IFERROR(VLOOKUP(--B1619,'CATALOGO CECO'!$A$2:$H$550,2,FALSE),"CECO NO EXISTE"))</f>
        <v/>
      </c>
      <c r="H1619" s="8">
        <f>IF(B1619="","",IFERROR(VLOOKUP(--B1619,'CATALOGO CECO'!$A$2:$H$550,3,FALSE),""))</f>
        <v/>
      </c>
      <c r="I1619" s="8">
        <f>IF(B1619="","",IFERROR(VLOOKUP(--B1619,'CATALOGO CECO'!$A$2:$H$550,5,FALSE),""))</f>
        <v/>
      </c>
      <c r="J1619" s="8">
        <f>IF(B1619="","",IFERROR(VLOOKUP(--B1619,'CATALOGO CECO'!$A$2:$H$550,8,FALSE),""))</f>
        <v/>
      </c>
      <c r="K1619" s="8">
        <f>IF(COUNTA(A1619:F1619)=0,"",IF(OR(LEN(A1619)&lt;&gt;7,MID(A1619,5,1)&lt;&gt;"-",ISERROR(--LEFT(A1619,4)),ISERROR(--RIGHT(A1619,2))),"ERROR: PERIODO debe ser AAAA-MM",IF(B1619="","ERROR: falta CODIGO CECO",IF(G1619="CECO NO EXISTE","ERROR: CECO no existe en el catálogo",IF(C1619="","ERROR: falta CUENTA",IF(ISERROR(--C1619),"ERROR: CUENTA debe tener solo dígitos",IF(ISERROR(FIND(LEFT(C1619,1),"567")),"ERROR: CUENTA fuera de las clases de costo",IF(NOT(ISNUMBER(E1619)),"ERROR: VALOR debe ser numérico",IF(E1619=0,"AVISO: valor cero (no se carga)",IF(J1619&lt;&gt;"ACTIVO","NO SE CARGA: CECO en estado "&amp;J1619,"OK"))))))))))</f>
        <v/>
      </c>
    </row>
    <row r="1620">
      <c r="A1620" s="5" t="n"/>
      <c r="B1620" s="6" t="n"/>
      <c r="C1620" s="5" t="n"/>
      <c r="D1620" s="6" t="n"/>
      <c r="E1620" s="7" t="n"/>
      <c r="F1620" s="6" t="n"/>
      <c r="G1620" s="8">
        <f>IF(B1620="","",IFERROR(VLOOKUP(--B1620,'CATALOGO CECO'!$A$2:$H$550,2,FALSE),"CECO NO EXISTE"))</f>
        <v/>
      </c>
      <c r="H1620" s="8">
        <f>IF(B1620="","",IFERROR(VLOOKUP(--B1620,'CATALOGO CECO'!$A$2:$H$550,3,FALSE),""))</f>
        <v/>
      </c>
      <c r="I1620" s="8">
        <f>IF(B1620="","",IFERROR(VLOOKUP(--B1620,'CATALOGO CECO'!$A$2:$H$550,5,FALSE),""))</f>
        <v/>
      </c>
      <c r="J1620" s="8">
        <f>IF(B1620="","",IFERROR(VLOOKUP(--B1620,'CATALOGO CECO'!$A$2:$H$550,8,FALSE),""))</f>
        <v/>
      </c>
      <c r="K1620" s="8">
        <f>IF(COUNTA(A1620:F1620)=0,"",IF(OR(LEN(A1620)&lt;&gt;7,MID(A1620,5,1)&lt;&gt;"-",ISERROR(--LEFT(A1620,4)),ISERROR(--RIGHT(A1620,2))),"ERROR: PERIODO debe ser AAAA-MM",IF(B1620="","ERROR: falta CODIGO CECO",IF(G1620="CECO NO EXISTE","ERROR: CECO no existe en el catálogo",IF(C1620="","ERROR: falta CUENTA",IF(ISERROR(--C1620),"ERROR: CUENTA debe tener solo dígitos",IF(ISERROR(FIND(LEFT(C1620,1),"567")),"ERROR: CUENTA fuera de las clases de costo",IF(NOT(ISNUMBER(E1620)),"ERROR: VALOR debe ser numérico",IF(E1620=0,"AVISO: valor cero (no se carga)",IF(J1620&lt;&gt;"ACTIVO","NO SE CARGA: CECO en estado "&amp;J1620,"OK"))))))))))</f>
        <v/>
      </c>
    </row>
    <row r="1621">
      <c r="A1621" s="5" t="n"/>
      <c r="B1621" s="6" t="n"/>
      <c r="C1621" s="5" t="n"/>
      <c r="D1621" s="6" t="n"/>
      <c r="E1621" s="7" t="n"/>
      <c r="F1621" s="6" t="n"/>
      <c r="G1621" s="8">
        <f>IF(B1621="","",IFERROR(VLOOKUP(--B1621,'CATALOGO CECO'!$A$2:$H$550,2,FALSE),"CECO NO EXISTE"))</f>
        <v/>
      </c>
      <c r="H1621" s="8">
        <f>IF(B1621="","",IFERROR(VLOOKUP(--B1621,'CATALOGO CECO'!$A$2:$H$550,3,FALSE),""))</f>
        <v/>
      </c>
      <c r="I1621" s="8">
        <f>IF(B1621="","",IFERROR(VLOOKUP(--B1621,'CATALOGO CECO'!$A$2:$H$550,5,FALSE),""))</f>
        <v/>
      </c>
      <c r="J1621" s="8">
        <f>IF(B1621="","",IFERROR(VLOOKUP(--B1621,'CATALOGO CECO'!$A$2:$H$550,8,FALSE),""))</f>
        <v/>
      </c>
      <c r="K1621" s="8">
        <f>IF(COUNTA(A1621:F1621)=0,"",IF(OR(LEN(A1621)&lt;&gt;7,MID(A1621,5,1)&lt;&gt;"-",ISERROR(--LEFT(A1621,4)),ISERROR(--RIGHT(A1621,2))),"ERROR: PERIODO debe ser AAAA-MM",IF(B1621="","ERROR: falta CODIGO CECO",IF(G1621="CECO NO EXISTE","ERROR: CECO no existe en el catálogo",IF(C1621="","ERROR: falta CUENTA",IF(ISERROR(--C1621),"ERROR: CUENTA debe tener solo dígitos",IF(ISERROR(FIND(LEFT(C1621,1),"567")),"ERROR: CUENTA fuera de las clases de costo",IF(NOT(ISNUMBER(E1621)),"ERROR: VALOR debe ser numérico",IF(E1621=0,"AVISO: valor cero (no se carga)",IF(J1621&lt;&gt;"ACTIVO","NO SE CARGA: CECO en estado "&amp;J1621,"OK"))))))))))</f>
        <v/>
      </c>
    </row>
    <row r="1622">
      <c r="A1622" s="5" t="n"/>
      <c r="B1622" s="6" t="n"/>
      <c r="C1622" s="5" t="n"/>
      <c r="D1622" s="6" t="n"/>
      <c r="E1622" s="7" t="n"/>
      <c r="F1622" s="6" t="n"/>
      <c r="G1622" s="8">
        <f>IF(B1622="","",IFERROR(VLOOKUP(--B1622,'CATALOGO CECO'!$A$2:$H$550,2,FALSE),"CECO NO EXISTE"))</f>
        <v/>
      </c>
      <c r="H1622" s="8">
        <f>IF(B1622="","",IFERROR(VLOOKUP(--B1622,'CATALOGO CECO'!$A$2:$H$550,3,FALSE),""))</f>
        <v/>
      </c>
      <c r="I1622" s="8">
        <f>IF(B1622="","",IFERROR(VLOOKUP(--B1622,'CATALOGO CECO'!$A$2:$H$550,5,FALSE),""))</f>
        <v/>
      </c>
      <c r="J1622" s="8">
        <f>IF(B1622="","",IFERROR(VLOOKUP(--B1622,'CATALOGO CECO'!$A$2:$H$550,8,FALSE),""))</f>
        <v/>
      </c>
      <c r="K1622" s="8">
        <f>IF(COUNTA(A1622:F1622)=0,"",IF(OR(LEN(A1622)&lt;&gt;7,MID(A1622,5,1)&lt;&gt;"-",ISERROR(--LEFT(A1622,4)),ISERROR(--RIGHT(A1622,2))),"ERROR: PERIODO debe ser AAAA-MM",IF(B1622="","ERROR: falta CODIGO CECO",IF(G1622="CECO NO EXISTE","ERROR: CECO no existe en el catálogo",IF(C1622="","ERROR: falta CUENTA",IF(ISERROR(--C1622),"ERROR: CUENTA debe tener solo dígitos",IF(ISERROR(FIND(LEFT(C1622,1),"567")),"ERROR: CUENTA fuera de las clases de costo",IF(NOT(ISNUMBER(E1622)),"ERROR: VALOR debe ser numérico",IF(E1622=0,"AVISO: valor cero (no se carga)",IF(J1622&lt;&gt;"ACTIVO","NO SE CARGA: CECO en estado "&amp;J1622,"OK"))))))))))</f>
        <v/>
      </c>
    </row>
    <row r="1623">
      <c r="A1623" s="5" t="n"/>
      <c r="B1623" s="6" t="n"/>
      <c r="C1623" s="5" t="n"/>
      <c r="D1623" s="6" t="n"/>
      <c r="E1623" s="7" t="n"/>
      <c r="F1623" s="6" t="n"/>
      <c r="G1623" s="8">
        <f>IF(B1623="","",IFERROR(VLOOKUP(--B1623,'CATALOGO CECO'!$A$2:$H$550,2,FALSE),"CECO NO EXISTE"))</f>
        <v/>
      </c>
      <c r="H1623" s="8">
        <f>IF(B1623="","",IFERROR(VLOOKUP(--B1623,'CATALOGO CECO'!$A$2:$H$550,3,FALSE),""))</f>
        <v/>
      </c>
      <c r="I1623" s="8">
        <f>IF(B1623="","",IFERROR(VLOOKUP(--B1623,'CATALOGO CECO'!$A$2:$H$550,5,FALSE),""))</f>
        <v/>
      </c>
      <c r="J1623" s="8">
        <f>IF(B1623="","",IFERROR(VLOOKUP(--B1623,'CATALOGO CECO'!$A$2:$H$550,8,FALSE),""))</f>
        <v/>
      </c>
      <c r="K1623" s="8">
        <f>IF(COUNTA(A1623:F1623)=0,"",IF(OR(LEN(A1623)&lt;&gt;7,MID(A1623,5,1)&lt;&gt;"-",ISERROR(--LEFT(A1623,4)),ISERROR(--RIGHT(A1623,2))),"ERROR: PERIODO debe ser AAAA-MM",IF(B1623="","ERROR: falta CODIGO CECO",IF(G1623="CECO NO EXISTE","ERROR: CECO no existe en el catálogo",IF(C1623="","ERROR: falta CUENTA",IF(ISERROR(--C1623),"ERROR: CUENTA debe tener solo dígitos",IF(ISERROR(FIND(LEFT(C1623,1),"567")),"ERROR: CUENTA fuera de las clases de costo",IF(NOT(ISNUMBER(E1623)),"ERROR: VALOR debe ser numérico",IF(E1623=0,"AVISO: valor cero (no se carga)",IF(J1623&lt;&gt;"ACTIVO","NO SE CARGA: CECO en estado "&amp;J1623,"OK"))))))))))</f>
        <v/>
      </c>
    </row>
    <row r="1624">
      <c r="A1624" s="5" t="n"/>
      <c r="B1624" s="6" t="n"/>
      <c r="C1624" s="5" t="n"/>
      <c r="D1624" s="6" t="n"/>
      <c r="E1624" s="7" t="n"/>
      <c r="F1624" s="6" t="n"/>
      <c r="G1624" s="8">
        <f>IF(B1624="","",IFERROR(VLOOKUP(--B1624,'CATALOGO CECO'!$A$2:$H$550,2,FALSE),"CECO NO EXISTE"))</f>
        <v/>
      </c>
      <c r="H1624" s="8">
        <f>IF(B1624="","",IFERROR(VLOOKUP(--B1624,'CATALOGO CECO'!$A$2:$H$550,3,FALSE),""))</f>
        <v/>
      </c>
      <c r="I1624" s="8">
        <f>IF(B1624="","",IFERROR(VLOOKUP(--B1624,'CATALOGO CECO'!$A$2:$H$550,5,FALSE),""))</f>
        <v/>
      </c>
      <c r="J1624" s="8">
        <f>IF(B1624="","",IFERROR(VLOOKUP(--B1624,'CATALOGO CECO'!$A$2:$H$550,8,FALSE),""))</f>
        <v/>
      </c>
      <c r="K1624" s="8">
        <f>IF(COUNTA(A1624:F1624)=0,"",IF(OR(LEN(A1624)&lt;&gt;7,MID(A1624,5,1)&lt;&gt;"-",ISERROR(--LEFT(A1624,4)),ISERROR(--RIGHT(A1624,2))),"ERROR: PERIODO debe ser AAAA-MM",IF(B1624="","ERROR: falta CODIGO CECO",IF(G1624="CECO NO EXISTE","ERROR: CECO no existe en el catálogo",IF(C1624="","ERROR: falta CUENTA",IF(ISERROR(--C1624),"ERROR: CUENTA debe tener solo dígitos",IF(ISERROR(FIND(LEFT(C1624,1),"567")),"ERROR: CUENTA fuera de las clases de costo",IF(NOT(ISNUMBER(E1624)),"ERROR: VALOR debe ser numérico",IF(E1624=0,"AVISO: valor cero (no se carga)",IF(J1624&lt;&gt;"ACTIVO","NO SE CARGA: CECO en estado "&amp;J1624,"OK"))))))))))</f>
        <v/>
      </c>
    </row>
    <row r="1625">
      <c r="A1625" s="5" t="n"/>
      <c r="B1625" s="6" t="n"/>
      <c r="C1625" s="5" t="n"/>
      <c r="D1625" s="6" t="n"/>
      <c r="E1625" s="7" t="n"/>
      <c r="F1625" s="6" t="n"/>
      <c r="G1625" s="8">
        <f>IF(B1625="","",IFERROR(VLOOKUP(--B1625,'CATALOGO CECO'!$A$2:$H$550,2,FALSE),"CECO NO EXISTE"))</f>
        <v/>
      </c>
      <c r="H1625" s="8">
        <f>IF(B1625="","",IFERROR(VLOOKUP(--B1625,'CATALOGO CECO'!$A$2:$H$550,3,FALSE),""))</f>
        <v/>
      </c>
      <c r="I1625" s="8">
        <f>IF(B1625="","",IFERROR(VLOOKUP(--B1625,'CATALOGO CECO'!$A$2:$H$550,5,FALSE),""))</f>
        <v/>
      </c>
      <c r="J1625" s="8">
        <f>IF(B1625="","",IFERROR(VLOOKUP(--B1625,'CATALOGO CECO'!$A$2:$H$550,8,FALSE),""))</f>
        <v/>
      </c>
      <c r="K1625" s="8">
        <f>IF(COUNTA(A1625:F1625)=0,"",IF(OR(LEN(A1625)&lt;&gt;7,MID(A1625,5,1)&lt;&gt;"-",ISERROR(--LEFT(A1625,4)),ISERROR(--RIGHT(A1625,2))),"ERROR: PERIODO debe ser AAAA-MM",IF(B1625="","ERROR: falta CODIGO CECO",IF(G1625="CECO NO EXISTE","ERROR: CECO no existe en el catálogo",IF(C1625="","ERROR: falta CUENTA",IF(ISERROR(--C1625),"ERROR: CUENTA debe tener solo dígitos",IF(ISERROR(FIND(LEFT(C1625,1),"567")),"ERROR: CUENTA fuera de las clases de costo",IF(NOT(ISNUMBER(E1625)),"ERROR: VALOR debe ser numérico",IF(E1625=0,"AVISO: valor cero (no se carga)",IF(J1625&lt;&gt;"ACTIVO","NO SE CARGA: CECO en estado "&amp;J1625,"OK"))))))))))</f>
        <v/>
      </c>
    </row>
    <row r="1626">
      <c r="A1626" s="5" t="n"/>
      <c r="B1626" s="6" t="n"/>
      <c r="C1626" s="5" t="n"/>
      <c r="D1626" s="6" t="n"/>
      <c r="E1626" s="7" t="n"/>
      <c r="F1626" s="6" t="n"/>
      <c r="G1626" s="8">
        <f>IF(B1626="","",IFERROR(VLOOKUP(--B1626,'CATALOGO CECO'!$A$2:$H$550,2,FALSE),"CECO NO EXISTE"))</f>
        <v/>
      </c>
      <c r="H1626" s="8">
        <f>IF(B1626="","",IFERROR(VLOOKUP(--B1626,'CATALOGO CECO'!$A$2:$H$550,3,FALSE),""))</f>
        <v/>
      </c>
      <c r="I1626" s="8">
        <f>IF(B1626="","",IFERROR(VLOOKUP(--B1626,'CATALOGO CECO'!$A$2:$H$550,5,FALSE),""))</f>
        <v/>
      </c>
      <c r="J1626" s="8">
        <f>IF(B1626="","",IFERROR(VLOOKUP(--B1626,'CATALOGO CECO'!$A$2:$H$550,8,FALSE),""))</f>
        <v/>
      </c>
      <c r="K1626" s="8">
        <f>IF(COUNTA(A1626:F1626)=0,"",IF(OR(LEN(A1626)&lt;&gt;7,MID(A1626,5,1)&lt;&gt;"-",ISERROR(--LEFT(A1626,4)),ISERROR(--RIGHT(A1626,2))),"ERROR: PERIODO debe ser AAAA-MM",IF(B1626="","ERROR: falta CODIGO CECO",IF(G1626="CECO NO EXISTE","ERROR: CECO no existe en el catálogo",IF(C1626="","ERROR: falta CUENTA",IF(ISERROR(--C1626),"ERROR: CUENTA debe tener solo dígitos",IF(ISERROR(FIND(LEFT(C1626,1),"567")),"ERROR: CUENTA fuera de las clases de costo",IF(NOT(ISNUMBER(E1626)),"ERROR: VALOR debe ser numérico",IF(E1626=0,"AVISO: valor cero (no se carga)",IF(J1626&lt;&gt;"ACTIVO","NO SE CARGA: CECO en estado "&amp;J1626,"OK"))))))))))</f>
        <v/>
      </c>
    </row>
    <row r="1627">
      <c r="A1627" s="5" t="n"/>
      <c r="B1627" s="6" t="n"/>
      <c r="C1627" s="5" t="n"/>
      <c r="D1627" s="6" t="n"/>
      <c r="E1627" s="7" t="n"/>
      <c r="F1627" s="6" t="n"/>
      <c r="G1627" s="8">
        <f>IF(B1627="","",IFERROR(VLOOKUP(--B1627,'CATALOGO CECO'!$A$2:$H$550,2,FALSE),"CECO NO EXISTE"))</f>
        <v/>
      </c>
      <c r="H1627" s="8">
        <f>IF(B1627="","",IFERROR(VLOOKUP(--B1627,'CATALOGO CECO'!$A$2:$H$550,3,FALSE),""))</f>
        <v/>
      </c>
      <c r="I1627" s="8">
        <f>IF(B1627="","",IFERROR(VLOOKUP(--B1627,'CATALOGO CECO'!$A$2:$H$550,5,FALSE),""))</f>
        <v/>
      </c>
      <c r="J1627" s="8">
        <f>IF(B1627="","",IFERROR(VLOOKUP(--B1627,'CATALOGO CECO'!$A$2:$H$550,8,FALSE),""))</f>
        <v/>
      </c>
      <c r="K1627" s="8">
        <f>IF(COUNTA(A1627:F1627)=0,"",IF(OR(LEN(A1627)&lt;&gt;7,MID(A1627,5,1)&lt;&gt;"-",ISERROR(--LEFT(A1627,4)),ISERROR(--RIGHT(A1627,2))),"ERROR: PERIODO debe ser AAAA-MM",IF(B1627="","ERROR: falta CODIGO CECO",IF(G1627="CECO NO EXISTE","ERROR: CECO no existe en el catálogo",IF(C1627="","ERROR: falta CUENTA",IF(ISERROR(--C1627),"ERROR: CUENTA debe tener solo dígitos",IF(ISERROR(FIND(LEFT(C1627,1),"567")),"ERROR: CUENTA fuera de las clases de costo",IF(NOT(ISNUMBER(E1627)),"ERROR: VALOR debe ser numérico",IF(E1627=0,"AVISO: valor cero (no se carga)",IF(J1627&lt;&gt;"ACTIVO","NO SE CARGA: CECO en estado "&amp;J1627,"OK"))))))))))</f>
        <v/>
      </c>
    </row>
    <row r="1628">
      <c r="A1628" s="5" t="n"/>
      <c r="B1628" s="6" t="n"/>
      <c r="C1628" s="5" t="n"/>
      <c r="D1628" s="6" t="n"/>
      <c r="E1628" s="7" t="n"/>
      <c r="F1628" s="6" t="n"/>
      <c r="G1628" s="8">
        <f>IF(B1628="","",IFERROR(VLOOKUP(--B1628,'CATALOGO CECO'!$A$2:$H$550,2,FALSE),"CECO NO EXISTE"))</f>
        <v/>
      </c>
      <c r="H1628" s="8">
        <f>IF(B1628="","",IFERROR(VLOOKUP(--B1628,'CATALOGO CECO'!$A$2:$H$550,3,FALSE),""))</f>
        <v/>
      </c>
      <c r="I1628" s="8">
        <f>IF(B1628="","",IFERROR(VLOOKUP(--B1628,'CATALOGO CECO'!$A$2:$H$550,5,FALSE),""))</f>
        <v/>
      </c>
      <c r="J1628" s="8">
        <f>IF(B1628="","",IFERROR(VLOOKUP(--B1628,'CATALOGO CECO'!$A$2:$H$550,8,FALSE),""))</f>
        <v/>
      </c>
      <c r="K1628" s="8">
        <f>IF(COUNTA(A1628:F1628)=0,"",IF(OR(LEN(A1628)&lt;&gt;7,MID(A1628,5,1)&lt;&gt;"-",ISERROR(--LEFT(A1628,4)),ISERROR(--RIGHT(A1628,2))),"ERROR: PERIODO debe ser AAAA-MM",IF(B1628="","ERROR: falta CODIGO CECO",IF(G1628="CECO NO EXISTE","ERROR: CECO no existe en el catálogo",IF(C1628="","ERROR: falta CUENTA",IF(ISERROR(--C1628),"ERROR: CUENTA debe tener solo dígitos",IF(ISERROR(FIND(LEFT(C1628,1),"567")),"ERROR: CUENTA fuera de las clases de costo",IF(NOT(ISNUMBER(E1628)),"ERROR: VALOR debe ser numérico",IF(E1628=0,"AVISO: valor cero (no se carga)",IF(J1628&lt;&gt;"ACTIVO","NO SE CARGA: CECO en estado "&amp;J1628,"OK"))))))))))</f>
        <v/>
      </c>
    </row>
    <row r="1629">
      <c r="A1629" s="5" t="n"/>
      <c r="B1629" s="6" t="n"/>
      <c r="C1629" s="5" t="n"/>
      <c r="D1629" s="6" t="n"/>
      <c r="E1629" s="7" t="n"/>
      <c r="F1629" s="6" t="n"/>
      <c r="G1629" s="8">
        <f>IF(B1629="","",IFERROR(VLOOKUP(--B1629,'CATALOGO CECO'!$A$2:$H$550,2,FALSE),"CECO NO EXISTE"))</f>
        <v/>
      </c>
      <c r="H1629" s="8">
        <f>IF(B1629="","",IFERROR(VLOOKUP(--B1629,'CATALOGO CECO'!$A$2:$H$550,3,FALSE),""))</f>
        <v/>
      </c>
      <c r="I1629" s="8">
        <f>IF(B1629="","",IFERROR(VLOOKUP(--B1629,'CATALOGO CECO'!$A$2:$H$550,5,FALSE),""))</f>
        <v/>
      </c>
      <c r="J1629" s="8">
        <f>IF(B1629="","",IFERROR(VLOOKUP(--B1629,'CATALOGO CECO'!$A$2:$H$550,8,FALSE),""))</f>
        <v/>
      </c>
      <c r="K1629" s="8">
        <f>IF(COUNTA(A1629:F1629)=0,"",IF(OR(LEN(A1629)&lt;&gt;7,MID(A1629,5,1)&lt;&gt;"-",ISERROR(--LEFT(A1629,4)),ISERROR(--RIGHT(A1629,2))),"ERROR: PERIODO debe ser AAAA-MM",IF(B1629="","ERROR: falta CODIGO CECO",IF(G1629="CECO NO EXISTE","ERROR: CECO no existe en el catálogo",IF(C1629="","ERROR: falta CUENTA",IF(ISERROR(--C1629),"ERROR: CUENTA debe tener solo dígitos",IF(ISERROR(FIND(LEFT(C1629,1),"567")),"ERROR: CUENTA fuera de las clases de costo",IF(NOT(ISNUMBER(E1629)),"ERROR: VALOR debe ser numérico",IF(E1629=0,"AVISO: valor cero (no se carga)",IF(J1629&lt;&gt;"ACTIVO","NO SE CARGA: CECO en estado "&amp;J1629,"OK"))))))))))</f>
        <v/>
      </c>
    </row>
    <row r="1630">
      <c r="A1630" s="5" t="n"/>
      <c r="B1630" s="6" t="n"/>
      <c r="C1630" s="5" t="n"/>
      <c r="D1630" s="6" t="n"/>
      <c r="E1630" s="7" t="n"/>
      <c r="F1630" s="6" t="n"/>
      <c r="G1630" s="8">
        <f>IF(B1630="","",IFERROR(VLOOKUP(--B1630,'CATALOGO CECO'!$A$2:$H$550,2,FALSE),"CECO NO EXISTE"))</f>
        <v/>
      </c>
      <c r="H1630" s="8">
        <f>IF(B1630="","",IFERROR(VLOOKUP(--B1630,'CATALOGO CECO'!$A$2:$H$550,3,FALSE),""))</f>
        <v/>
      </c>
      <c r="I1630" s="8">
        <f>IF(B1630="","",IFERROR(VLOOKUP(--B1630,'CATALOGO CECO'!$A$2:$H$550,5,FALSE),""))</f>
        <v/>
      </c>
      <c r="J1630" s="8">
        <f>IF(B1630="","",IFERROR(VLOOKUP(--B1630,'CATALOGO CECO'!$A$2:$H$550,8,FALSE),""))</f>
        <v/>
      </c>
      <c r="K1630" s="8">
        <f>IF(COUNTA(A1630:F1630)=0,"",IF(OR(LEN(A1630)&lt;&gt;7,MID(A1630,5,1)&lt;&gt;"-",ISERROR(--LEFT(A1630,4)),ISERROR(--RIGHT(A1630,2))),"ERROR: PERIODO debe ser AAAA-MM",IF(B1630="","ERROR: falta CODIGO CECO",IF(G1630="CECO NO EXISTE","ERROR: CECO no existe en el catálogo",IF(C1630="","ERROR: falta CUENTA",IF(ISERROR(--C1630),"ERROR: CUENTA debe tener solo dígitos",IF(ISERROR(FIND(LEFT(C1630,1),"567")),"ERROR: CUENTA fuera de las clases de costo",IF(NOT(ISNUMBER(E1630)),"ERROR: VALOR debe ser numérico",IF(E1630=0,"AVISO: valor cero (no se carga)",IF(J1630&lt;&gt;"ACTIVO","NO SE CARGA: CECO en estado "&amp;J1630,"OK"))))))))))</f>
        <v/>
      </c>
    </row>
    <row r="1631">
      <c r="A1631" s="5" t="n"/>
      <c r="B1631" s="6" t="n"/>
      <c r="C1631" s="5" t="n"/>
      <c r="D1631" s="6" t="n"/>
      <c r="E1631" s="7" t="n"/>
      <c r="F1631" s="6" t="n"/>
      <c r="G1631" s="8">
        <f>IF(B1631="","",IFERROR(VLOOKUP(--B1631,'CATALOGO CECO'!$A$2:$H$550,2,FALSE),"CECO NO EXISTE"))</f>
        <v/>
      </c>
      <c r="H1631" s="8">
        <f>IF(B1631="","",IFERROR(VLOOKUP(--B1631,'CATALOGO CECO'!$A$2:$H$550,3,FALSE),""))</f>
        <v/>
      </c>
      <c r="I1631" s="8">
        <f>IF(B1631="","",IFERROR(VLOOKUP(--B1631,'CATALOGO CECO'!$A$2:$H$550,5,FALSE),""))</f>
        <v/>
      </c>
      <c r="J1631" s="8">
        <f>IF(B1631="","",IFERROR(VLOOKUP(--B1631,'CATALOGO CECO'!$A$2:$H$550,8,FALSE),""))</f>
        <v/>
      </c>
      <c r="K1631" s="8">
        <f>IF(COUNTA(A1631:F1631)=0,"",IF(OR(LEN(A1631)&lt;&gt;7,MID(A1631,5,1)&lt;&gt;"-",ISERROR(--LEFT(A1631,4)),ISERROR(--RIGHT(A1631,2))),"ERROR: PERIODO debe ser AAAA-MM",IF(B1631="","ERROR: falta CODIGO CECO",IF(G1631="CECO NO EXISTE","ERROR: CECO no existe en el catálogo",IF(C1631="","ERROR: falta CUENTA",IF(ISERROR(--C1631),"ERROR: CUENTA debe tener solo dígitos",IF(ISERROR(FIND(LEFT(C1631,1),"567")),"ERROR: CUENTA fuera de las clases de costo",IF(NOT(ISNUMBER(E1631)),"ERROR: VALOR debe ser numérico",IF(E1631=0,"AVISO: valor cero (no se carga)",IF(J1631&lt;&gt;"ACTIVO","NO SE CARGA: CECO en estado "&amp;J1631,"OK"))))))))))</f>
        <v/>
      </c>
    </row>
    <row r="1632">
      <c r="A1632" s="5" t="n"/>
      <c r="B1632" s="6" t="n"/>
      <c r="C1632" s="5" t="n"/>
      <c r="D1632" s="6" t="n"/>
      <c r="E1632" s="7" t="n"/>
      <c r="F1632" s="6" t="n"/>
      <c r="G1632" s="8">
        <f>IF(B1632="","",IFERROR(VLOOKUP(--B1632,'CATALOGO CECO'!$A$2:$H$550,2,FALSE),"CECO NO EXISTE"))</f>
        <v/>
      </c>
      <c r="H1632" s="8">
        <f>IF(B1632="","",IFERROR(VLOOKUP(--B1632,'CATALOGO CECO'!$A$2:$H$550,3,FALSE),""))</f>
        <v/>
      </c>
      <c r="I1632" s="8">
        <f>IF(B1632="","",IFERROR(VLOOKUP(--B1632,'CATALOGO CECO'!$A$2:$H$550,5,FALSE),""))</f>
        <v/>
      </c>
      <c r="J1632" s="8">
        <f>IF(B1632="","",IFERROR(VLOOKUP(--B1632,'CATALOGO CECO'!$A$2:$H$550,8,FALSE),""))</f>
        <v/>
      </c>
      <c r="K1632" s="8">
        <f>IF(COUNTA(A1632:F1632)=0,"",IF(OR(LEN(A1632)&lt;&gt;7,MID(A1632,5,1)&lt;&gt;"-",ISERROR(--LEFT(A1632,4)),ISERROR(--RIGHT(A1632,2))),"ERROR: PERIODO debe ser AAAA-MM",IF(B1632="","ERROR: falta CODIGO CECO",IF(G1632="CECO NO EXISTE","ERROR: CECO no existe en el catálogo",IF(C1632="","ERROR: falta CUENTA",IF(ISERROR(--C1632),"ERROR: CUENTA debe tener solo dígitos",IF(ISERROR(FIND(LEFT(C1632,1),"567")),"ERROR: CUENTA fuera de las clases de costo",IF(NOT(ISNUMBER(E1632)),"ERROR: VALOR debe ser numérico",IF(E1632=0,"AVISO: valor cero (no se carga)",IF(J1632&lt;&gt;"ACTIVO","NO SE CARGA: CECO en estado "&amp;J1632,"OK"))))))))))</f>
        <v/>
      </c>
    </row>
    <row r="1633">
      <c r="A1633" s="5" t="n"/>
      <c r="B1633" s="6" t="n"/>
      <c r="C1633" s="5" t="n"/>
      <c r="D1633" s="6" t="n"/>
      <c r="E1633" s="7" t="n"/>
      <c r="F1633" s="6" t="n"/>
      <c r="G1633" s="8">
        <f>IF(B1633="","",IFERROR(VLOOKUP(--B1633,'CATALOGO CECO'!$A$2:$H$550,2,FALSE),"CECO NO EXISTE"))</f>
        <v/>
      </c>
      <c r="H1633" s="8">
        <f>IF(B1633="","",IFERROR(VLOOKUP(--B1633,'CATALOGO CECO'!$A$2:$H$550,3,FALSE),""))</f>
        <v/>
      </c>
      <c r="I1633" s="8">
        <f>IF(B1633="","",IFERROR(VLOOKUP(--B1633,'CATALOGO CECO'!$A$2:$H$550,5,FALSE),""))</f>
        <v/>
      </c>
      <c r="J1633" s="8">
        <f>IF(B1633="","",IFERROR(VLOOKUP(--B1633,'CATALOGO CECO'!$A$2:$H$550,8,FALSE),""))</f>
        <v/>
      </c>
      <c r="K1633" s="8">
        <f>IF(COUNTA(A1633:F1633)=0,"",IF(OR(LEN(A1633)&lt;&gt;7,MID(A1633,5,1)&lt;&gt;"-",ISERROR(--LEFT(A1633,4)),ISERROR(--RIGHT(A1633,2))),"ERROR: PERIODO debe ser AAAA-MM",IF(B1633="","ERROR: falta CODIGO CECO",IF(G1633="CECO NO EXISTE","ERROR: CECO no existe en el catálogo",IF(C1633="","ERROR: falta CUENTA",IF(ISERROR(--C1633),"ERROR: CUENTA debe tener solo dígitos",IF(ISERROR(FIND(LEFT(C1633,1),"567")),"ERROR: CUENTA fuera de las clases de costo",IF(NOT(ISNUMBER(E1633)),"ERROR: VALOR debe ser numérico",IF(E1633=0,"AVISO: valor cero (no se carga)",IF(J1633&lt;&gt;"ACTIVO","NO SE CARGA: CECO en estado "&amp;J1633,"OK"))))))))))</f>
        <v/>
      </c>
    </row>
    <row r="1634">
      <c r="A1634" s="5" t="n"/>
      <c r="B1634" s="6" t="n"/>
      <c r="C1634" s="5" t="n"/>
      <c r="D1634" s="6" t="n"/>
      <c r="E1634" s="7" t="n"/>
      <c r="F1634" s="6" t="n"/>
      <c r="G1634" s="8">
        <f>IF(B1634="","",IFERROR(VLOOKUP(--B1634,'CATALOGO CECO'!$A$2:$H$550,2,FALSE),"CECO NO EXISTE"))</f>
        <v/>
      </c>
      <c r="H1634" s="8">
        <f>IF(B1634="","",IFERROR(VLOOKUP(--B1634,'CATALOGO CECO'!$A$2:$H$550,3,FALSE),""))</f>
        <v/>
      </c>
      <c r="I1634" s="8">
        <f>IF(B1634="","",IFERROR(VLOOKUP(--B1634,'CATALOGO CECO'!$A$2:$H$550,5,FALSE),""))</f>
        <v/>
      </c>
      <c r="J1634" s="8">
        <f>IF(B1634="","",IFERROR(VLOOKUP(--B1634,'CATALOGO CECO'!$A$2:$H$550,8,FALSE),""))</f>
        <v/>
      </c>
      <c r="K1634" s="8">
        <f>IF(COUNTA(A1634:F1634)=0,"",IF(OR(LEN(A1634)&lt;&gt;7,MID(A1634,5,1)&lt;&gt;"-",ISERROR(--LEFT(A1634,4)),ISERROR(--RIGHT(A1634,2))),"ERROR: PERIODO debe ser AAAA-MM",IF(B1634="","ERROR: falta CODIGO CECO",IF(G1634="CECO NO EXISTE","ERROR: CECO no existe en el catálogo",IF(C1634="","ERROR: falta CUENTA",IF(ISERROR(--C1634),"ERROR: CUENTA debe tener solo dígitos",IF(ISERROR(FIND(LEFT(C1634,1),"567")),"ERROR: CUENTA fuera de las clases de costo",IF(NOT(ISNUMBER(E1634)),"ERROR: VALOR debe ser numérico",IF(E1634=0,"AVISO: valor cero (no se carga)",IF(J1634&lt;&gt;"ACTIVO","NO SE CARGA: CECO en estado "&amp;J1634,"OK"))))))))))</f>
        <v/>
      </c>
    </row>
    <row r="1635">
      <c r="A1635" s="5" t="n"/>
      <c r="B1635" s="6" t="n"/>
      <c r="C1635" s="5" t="n"/>
      <c r="D1635" s="6" t="n"/>
      <c r="E1635" s="7" t="n"/>
      <c r="F1635" s="6" t="n"/>
      <c r="G1635" s="8">
        <f>IF(B1635="","",IFERROR(VLOOKUP(--B1635,'CATALOGO CECO'!$A$2:$H$550,2,FALSE),"CECO NO EXISTE"))</f>
        <v/>
      </c>
      <c r="H1635" s="8">
        <f>IF(B1635="","",IFERROR(VLOOKUP(--B1635,'CATALOGO CECO'!$A$2:$H$550,3,FALSE),""))</f>
        <v/>
      </c>
      <c r="I1635" s="8">
        <f>IF(B1635="","",IFERROR(VLOOKUP(--B1635,'CATALOGO CECO'!$A$2:$H$550,5,FALSE),""))</f>
        <v/>
      </c>
      <c r="J1635" s="8">
        <f>IF(B1635="","",IFERROR(VLOOKUP(--B1635,'CATALOGO CECO'!$A$2:$H$550,8,FALSE),""))</f>
        <v/>
      </c>
      <c r="K1635" s="8">
        <f>IF(COUNTA(A1635:F1635)=0,"",IF(OR(LEN(A1635)&lt;&gt;7,MID(A1635,5,1)&lt;&gt;"-",ISERROR(--LEFT(A1635,4)),ISERROR(--RIGHT(A1635,2))),"ERROR: PERIODO debe ser AAAA-MM",IF(B1635="","ERROR: falta CODIGO CECO",IF(G1635="CECO NO EXISTE","ERROR: CECO no existe en el catálogo",IF(C1635="","ERROR: falta CUENTA",IF(ISERROR(--C1635),"ERROR: CUENTA debe tener solo dígitos",IF(ISERROR(FIND(LEFT(C1635,1),"567")),"ERROR: CUENTA fuera de las clases de costo",IF(NOT(ISNUMBER(E1635)),"ERROR: VALOR debe ser numérico",IF(E1635=0,"AVISO: valor cero (no se carga)",IF(J1635&lt;&gt;"ACTIVO","NO SE CARGA: CECO en estado "&amp;J1635,"OK"))))))))))</f>
        <v/>
      </c>
    </row>
    <row r="1636">
      <c r="A1636" s="5" t="n"/>
      <c r="B1636" s="6" t="n"/>
      <c r="C1636" s="5" t="n"/>
      <c r="D1636" s="6" t="n"/>
      <c r="E1636" s="7" t="n"/>
      <c r="F1636" s="6" t="n"/>
      <c r="G1636" s="8">
        <f>IF(B1636="","",IFERROR(VLOOKUP(--B1636,'CATALOGO CECO'!$A$2:$H$550,2,FALSE),"CECO NO EXISTE"))</f>
        <v/>
      </c>
      <c r="H1636" s="8">
        <f>IF(B1636="","",IFERROR(VLOOKUP(--B1636,'CATALOGO CECO'!$A$2:$H$550,3,FALSE),""))</f>
        <v/>
      </c>
      <c r="I1636" s="8">
        <f>IF(B1636="","",IFERROR(VLOOKUP(--B1636,'CATALOGO CECO'!$A$2:$H$550,5,FALSE),""))</f>
        <v/>
      </c>
      <c r="J1636" s="8">
        <f>IF(B1636="","",IFERROR(VLOOKUP(--B1636,'CATALOGO CECO'!$A$2:$H$550,8,FALSE),""))</f>
        <v/>
      </c>
      <c r="K1636" s="8">
        <f>IF(COUNTA(A1636:F1636)=0,"",IF(OR(LEN(A1636)&lt;&gt;7,MID(A1636,5,1)&lt;&gt;"-",ISERROR(--LEFT(A1636,4)),ISERROR(--RIGHT(A1636,2))),"ERROR: PERIODO debe ser AAAA-MM",IF(B1636="","ERROR: falta CODIGO CECO",IF(G1636="CECO NO EXISTE","ERROR: CECO no existe en el catálogo",IF(C1636="","ERROR: falta CUENTA",IF(ISERROR(--C1636),"ERROR: CUENTA debe tener solo dígitos",IF(ISERROR(FIND(LEFT(C1636,1),"567")),"ERROR: CUENTA fuera de las clases de costo",IF(NOT(ISNUMBER(E1636)),"ERROR: VALOR debe ser numérico",IF(E1636=0,"AVISO: valor cero (no se carga)",IF(J1636&lt;&gt;"ACTIVO","NO SE CARGA: CECO en estado "&amp;J1636,"OK"))))))))))</f>
        <v/>
      </c>
    </row>
    <row r="1637">
      <c r="A1637" s="5" t="n"/>
      <c r="B1637" s="6" t="n"/>
      <c r="C1637" s="5" t="n"/>
      <c r="D1637" s="6" t="n"/>
      <c r="E1637" s="7" t="n"/>
      <c r="F1637" s="6" t="n"/>
      <c r="G1637" s="8">
        <f>IF(B1637="","",IFERROR(VLOOKUP(--B1637,'CATALOGO CECO'!$A$2:$H$550,2,FALSE),"CECO NO EXISTE"))</f>
        <v/>
      </c>
      <c r="H1637" s="8">
        <f>IF(B1637="","",IFERROR(VLOOKUP(--B1637,'CATALOGO CECO'!$A$2:$H$550,3,FALSE),""))</f>
        <v/>
      </c>
      <c r="I1637" s="8">
        <f>IF(B1637="","",IFERROR(VLOOKUP(--B1637,'CATALOGO CECO'!$A$2:$H$550,5,FALSE),""))</f>
        <v/>
      </c>
      <c r="J1637" s="8">
        <f>IF(B1637="","",IFERROR(VLOOKUP(--B1637,'CATALOGO CECO'!$A$2:$H$550,8,FALSE),""))</f>
        <v/>
      </c>
      <c r="K1637" s="8">
        <f>IF(COUNTA(A1637:F1637)=0,"",IF(OR(LEN(A1637)&lt;&gt;7,MID(A1637,5,1)&lt;&gt;"-",ISERROR(--LEFT(A1637,4)),ISERROR(--RIGHT(A1637,2))),"ERROR: PERIODO debe ser AAAA-MM",IF(B1637="","ERROR: falta CODIGO CECO",IF(G1637="CECO NO EXISTE","ERROR: CECO no existe en el catálogo",IF(C1637="","ERROR: falta CUENTA",IF(ISERROR(--C1637),"ERROR: CUENTA debe tener solo dígitos",IF(ISERROR(FIND(LEFT(C1637,1),"567")),"ERROR: CUENTA fuera de las clases de costo",IF(NOT(ISNUMBER(E1637)),"ERROR: VALOR debe ser numérico",IF(E1637=0,"AVISO: valor cero (no se carga)",IF(J1637&lt;&gt;"ACTIVO","NO SE CARGA: CECO en estado "&amp;J1637,"OK"))))))))))</f>
        <v/>
      </c>
    </row>
    <row r="1638">
      <c r="A1638" s="5" t="n"/>
      <c r="B1638" s="6" t="n"/>
      <c r="C1638" s="5" t="n"/>
      <c r="D1638" s="6" t="n"/>
      <c r="E1638" s="7" t="n"/>
      <c r="F1638" s="6" t="n"/>
      <c r="G1638" s="8">
        <f>IF(B1638="","",IFERROR(VLOOKUP(--B1638,'CATALOGO CECO'!$A$2:$H$550,2,FALSE),"CECO NO EXISTE"))</f>
        <v/>
      </c>
      <c r="H1638" s="8">
        <f>IF(B1638="","",IFERROR(VLOOKUP(--B1638,'CATALOGO CECO'!$A$2:$H$550,3,FALSE),""))</f>
        <v/>
      </c>
      <c r="I1638" s="8">
        <f>IF(B1638="","",IFERROR(VLOOKUP(--B1638,'CATALOGO CECO'!$A$2:$H$550,5,FALSE),""))</f>
        <v/>
      </c>
      <c r="J1638" s="8">
        <f>IF(B1638="","",IFERROR(VLOOKUP(--B1638,'CATALOGO CECO'!$A$2:$H$550,8,FALSE),""))</f>
        <v/>
      </c>
      <c r="K1638" s="8">
        <f>IF(COUNTA(A1638:F1638)=0,"",IF(OR(LEN(A1638)&lt;&gt;7,MID(A1638,5,1)&lt;&gt;"-",ISERROR(--LEFT(A1638,4)),ISERROR(--RIGHT(A1638,2))),"ERROR: PERIODO debe ser AAAA-MM",IF(B1638="","ERROR: falta CODIGO CECO",IF(G1638="CECO NO EXISTE","ERROR: CECO no existe en el catálogo",IF(C1638="","ERROR: falta CUENTA",IF(ISERROR(--C1638),"ERROR: CUENTA debe tener solo dígitos",IF(ISERROR(FIND(LEFT(C1638,1),"567")),"ERROR: CUENTA fuera de las clases de costo",IF(NOT(ISNUMBER(E1638)),"ERROR: VALOR debe ser numérico",IF(E1638=0,"AVISO: valor cero (no se carga)",IF(J1638&lt;&gt;"ACTIVO","NO SE CARGA: CECO en estado "&amp;J1638,"OK"))))))))))</f>
        <v/>
      </c>
    </row>
    <row r="1639">
      <c r="A1639" s="5" t="n"/>
      <c r="B1639" s="6" t="n"/>
      <c r="C1639" s="5" t="n"/>
      <c r="D1639" s="6" t="n"/>
      <c r="E1639" s="7" t="n"/>
      <c r="F1639" s="6" t="n"/>
      <c r="G1639" s="8">
        <f>IF(B1639="","",IFERROR(VLOOKUP(--B1639,'CATALOGO CECO'!$A$2:$H$550,2,FALSE),"CECO NO EXISTE"))</f>
        <v/>
      </c>
      <c r="H1639" s="8">
        <f>IF(B1639="","",IFERROR(VLOOKUP(--B1639,'CATALOGO CECO'!$A$2:$H$550,3,FALSE),""))</f>
        <v/>
      </c>
      <c r="I1639" s="8">
        <f>IF(B1639="","",IFERROR(VLOOKUP(--B1639,'CATALOGO CECO'!$A$2:$H$550,5,FALSE),""))</f>
        <v/>
      </c>
      <c r="J1639" s="8">
        <f>IF(B1639="","",IFERROR(VLOOKUP(--B1639,'CATALOGO CECO'!$A$2:$H$550,8,FALSE),""))</f>
        <v/>
      </c>
      <c r="K1639" s="8">
        <f>IF(COUNTA(A1639:F1639)=0,"",IF(OR(LEN(A1639)&lt;&gt;7,MID(A1639,5,1)&lt;&gt;"-",ISERROR(--LEFT(A1639,4)),ISERROR(--RIGHT(A1639,2))),"ERROR: PERIODO debe ser AAAA-MM",IF(B1639="","ERROR: falta CODIGO CECO",IF(G1639="CECO NO EXISTE","ERROR: CECO no existe en el catálogo",IF(C1639="","ERROR: falta CUENTA",IF(ISERROR(--C1639),"ERROR: CUENTA debe tener solo dígitos",IF(ISERROR(FIND(LEFT(C1639,1),"567")),"ERROR: CUENTA fuera de las clases de costo",IF(NOT(ISNUMBER(E1639)),"ERROR: VALOR debe ser numérico",IF(E1639=0,"AVISO: valor cero (no se carga)",IF(J1639&lt;&gt;"ACTIVO","NO SE CARGA: CECO en estado "&amp;J1639,"OK"))))))))))</f>
        <v/>
      </c>
    </row>
    <row r="1640">
      <c r="A1640" s="5" t="n"/>
      <c r="B1640" s="6" t="n"/>
      <c r="C1640" s="5" t="n"/>
      <c r="D1640" s="6" t="n"/>
      <c r="E1640" s="7" t="n"/>
      <c r="F1640" s="6" t="n"/>
      <c r="G1640" s="8">
        <f>IF(B1640="","",IFERROR(VLOOKUP(--B1640,'CATALOGO CECO'!$A$2:$H$550,2,FALSE),"CECO NO EXISTE"))</f>
        <v/>
      </c>
      <c r="H1640" s="8">
        <f>IF(B1640="","",IFERROR(VLOOKUP(--B1640,'CATALOGO CECO'!$A$2:$H$550,3,FALSE),""))</f>
        <v/>
      </c>
      <c r="I1640" s="8">
        <f>IF(B1640="","",IFERROR(VLOOKUP(--B1640,'CATALOGO CECO'!$A$2:$H$550,5,FALSE),""))</f>
        <v/>
      </c>
      <c r="J1640" s="8">
        <f>IF(B1640="","",IFERROR(VLOOKUP(--B1640,'CATALOGO CECO'!$A$2:$H$550,8,FALSE),""))</f>
        <v/>
      </c>
      <c r="K1640" s="8">
        <f>IF(COUNTA(A1640:F1640)=0,"",IF(OR(LEN(A1640)&lt;&gt;7,MID(A1640,5,1)&lt;&gt;"-",ISERROR(--LEFT(A1640,4)),ISERROR(--RIGHT(A1640,2))),"ERROR: PERIODO debe ser AAAA-MM",IF(B1640="","ERROR: falta CODIGO CECO",IF(G1640="CECO NO EXISTE","ERROR: CECO no existe en el catálogo",IF(C1640="","ERROR: falta CUENTA",IF(ISERROR(--C1640),"ERROR: CUENTA debe tener solo dígitos",IF(ISERROR(FIND(LEFT(C1640,1),"567")),"ERROR: CUENTA fuera de las clases de costo",IF(NOT(ISNUMBER(E1640)),"ERROR: VALOR debe ser numérico",IF(E1640=0,"AVISO: valor cero (no se carga)",IF(J1640&lt;&gt;"ACTIVO","NO SE CARGA: CECO en estado "&amp;J1640,"OK"))))))))))</f>
        <v/>
      </c>
    </row>
    <row r="1641">
      <c r="A1641" s="5" t="n"/>
      <c r="B1641" s="6" t="n"/>
      <c r="C1641" s="5" t="n"/>
      <c r="D1641" s="6" t="n"/>
      <c r="E1641" s="7" t="n"/>
      <c r="F1641" s="6" t="n"/>
      <c r="G1641" s="8">
        <f>IF(B1641="","",IFERROR(VLOOKUP(--B1641,'CATALOGO CECO'!$A$2:$H$550,2,FALSE),"CECO NO EXISTE"))</f>
        <v/>
      </c>
      <c r="H1641" s="8">
        <f>IF(B1641="","",IFERROR(VLOOKUP(--B1641,'CATALOGO CECO'!$A$2:$H$550,3,FALSE),""))</f>
        <v/>
      </c>
      <c r="I1641" s="8">
        <f>IF(B1641="","",IFERROR(VLOOKUP(--B1641,'CATALOGO CECO'!$A$2:$H$550,5,FALSE),""))</f>
        <v/>
      </c>
      <c r="J1641" s="8">
        <f>IF(B1641="","",IFERROR(VLOOKUP(--B1641,'CATALOGO CECO'!$A$2:$H$550,8,FALSE),""))</f>
        <v/>
      </c>
      <c r="K1641" s="8">
        <f>IF(COUNTA(A1641:F1641)=0,"",IF(OR(LEN(A1641)&lt;&gt;7,MID(A1641,5,1)&lt;&gt;"-",ISERROR(--LEFT(A1641,4)),ISERROR(--RIGHT(A1641,2))),"ERROR: PERIODO debe ser AAAA-MM",IF(B1641="","ERROR: falta CODIGO CECO",IF(G1641="CECO NO EXISTE","ERROR: CECO no existe en el catálogo",IF(C1641="","ERROR: falta CUENTA",IF(ISERROR(--C1641),"ERROR: CUENTA debe tener solo dígitos",IF(ISERROR(FIND(LEFT(C1641,1),"567")),"ERROR: CUENTA fuera de las clases de costo",IF(NOT(ISNUMBER(E1641)),"ERROR: VALOR debe ser numérico",IF(E1641=0,"AVISO: valor cero (no se carga)",IF(J1641&lt;&gt;"ACTIVO","NO SE CARGA: CECO en estado "&amp;J1641,"OK"))))))))))</f>
        <v/>
      </c>
    </row>
    <row r="1642">
      <c r="A1642" s="5" t="n"/>
      <c r="B1642" s="6" t="n"/>
      <c r="C1642" s="5" t="n"/>
      <c r="D1642" s="6" t="n"/>
      <c r="E1642" s="7" t="n"/>
      <c r="F1642" s="6" t="n"/>
      <c r="G1642" s="8">
        <f>IF(B1642="","",IFERROR(VLOOKUP(--B1642,'CATALOGO CECO'!$A$2:$H$550,2,FALSE),"CECO NO EXISTE"))</f>
        <v/>
      </c>
      <c r="H1642" s="8">
        <f>IF(B1642="","",IFERROR(VLOOKUP(--B1642,'CATALOGO CECO'!$A$2:$H$550,3,FALSE),""))</f>
        <v/>
      </c>
      <c r="I1642" s="8">
        <f>IF(B1642="","",IFERROR(VLOOKUP(--B1642,'CATALOGO CECO'!$A$2:$H$550,5,FALSE),""))</f>
        <v/>
      </c>
      <c r="J1642" s="8">
        <f>IF(B1642="","",IFERROR(VLOOKUP(--B1642,'CATALOGO CECO'!$A$2:$H$550,8,FALSE),""))</f>
        <v/>
      </c>
      <c r="K1642" s="8">
        <f>IF(COUNTA(A1642:F1642)=0,"",IF(OR(LEN(A1642)&lt;&gt;7,MID(A1642,5,1)&lt;&gt;"-",ISERROR(--LEFT(A1642,4)),ISERROR(--RIGHT(A1642,2))),"ERROR: PERIODO debe ser AAAA-MM",IF(B1642="","ERROR: falta CODIGO CECO",IF(G1642="CECO NO EXISTE","ERROR: CECO no existe en el catálogo",IF(C1642="","ERROR: falta CUENTA",IF(ISERROR(--C1642),"ERROR: CUENTA debe tener solo dígitos",IF(ISERROR(FIND(LEFT(C1642,1),"567")),"ERROR: CUENTA fuera de las clases de costo",IF(NOT(ISNUMBER(E1642)),"ERROR: VALOR debe ser numérico",IF(E1642=0,"AVISO: valor cero (no se carga)",IF(J1642&lt;&gt;"ACTIVO","NO SE CARGA: CECO en estado "&amp;J1642,"OK"))))))))))</f>
        <v/>
      </c>
    </row>
    <row r="1643">
      <c r="A1643" s="5" t="n"/>
      <c r="B1643" s="6" t="n"/>
      <c r="C1643" s="5" t="n"/>
      <c r="D1643" s="6" t="n"/>
      <c r="E1643" s="7" t="n"/>
      <c r="F1643" s="6" t="n"/>
      <c r="G1643" s="8">
        <f>IF(B1643="","",IFERROR(VLOOKUP(--B1643,'CATALOGO CECO'!$A$2:$H$550,2,FALSE),"CECO NO EXISTE"))</f>
        <v/>
      </c>
      <c r="H1643" s="8">
        <f>IF(B1643="","",IFERROR(VLOOKUP(--B1643,'CATALOGO CECO'!$A$2:$H$550,3,FALSE),""))</f>
        <v/>
      </c>
      <c r="I1643" s="8">
        <f>IF(B1643="","",IFERROR(VLOOKUP(--B1643,'CATALOGO CECO'!$A$2:$H$550,5,FALSE),""))</f>
        <v/>
      </c>
      <c r="J1643" s="8">
        <f>IF(B1643="","",IFERROR(VLOOKUP(--B1643,'CATALOGO CECO'!$A$2:$H$550,8,FALSE),""))</f>
        <v/>
      </c>
      <c r="K1643" s="8">
        <f>IF(COUNTA(A1643:F1643)=0,"",IF(OR(LEN(A1643)&lt;&gt;7,MID(A1643,5,1)&lt;&gt;"-",ISERROR(--LEFT(A1643,4)),ISERROR(--RIGHT(A1643,2))),"ERROR: PERIODO debe ser AAAA-MM",IF(B1643="","ERROR: falta CODIGO CECO",IF(G1643="CECO NO EXISTE","ERROR: CECO no existe en el catálogo",IF(C1643="","ERROR: falta CUENTA",IF(ISERROR(--C1643),"ERROR: CUENTA debe tener solo dígitos",IF(ISERROR(FIND(LEFT(C1643,1),"567")),"ERROR: CUENTA fuera de las clases de costo",IF(NOT(ISNUMBER(E1643)),"ERROR: VALOR debe ser numérico",IF(E1643=0,"AVISO: valor cero (no se carga)",IF(J1643&lt;&gt;"ACTIVO","NO SE CARGA: CECO en estado "&amp;J1643,"OK"))))))))))</f>
        <v/>
      </c>
    </row>
    <row r="1644">
      <c r="A1644" s="5" t="n"/>
      <c r="B1644" s="6" t="n"/>
      <c r="C1644" s="5" t="n"/>
      <c r="D1644" s="6" t="n"/>
      <c r="E1644" s="7" t="n"/>
      <c r="F1644" s="6" t="n"/>
      <c r="G1644" s="8">
        <f>IF(B1644="","",IFERROR(VLOOKUP(--B1644,'CATALOGO CECO'!$A$2:$H$550,2,FALSE),"CECO NO EXISTE"))</f>
        <v/>
      </c>
      <c r="H1644" s="8">
        <f>IF(B1644="","",IFERROR(VLOOKUP(--B1644,'CATALOGO CECO'!$A$2:$H$550,3,FALSE),""))</f>
        <v/>
      </c>
      <c r="I1644" s="8">
        <f>IF(B1644="","",IFERROR(VLOOKUP(--B1644,'CATALOGO CECO'!$A$2:$H$550,5,FALSE),""))</f>
        <v/>
      </c>
      <c r="J1644" s="8">
        <f>IF(B1644="","",IFERROR(VLOOKUP(--B1644,'CATALOGO CECO'!$A$2:$H$550,8,FALSE),""))</f>
        <v/>
      </c>
      <c r="K1644" s="8">
        <f>IF(COUNTA(A1644:F1644)=0,"",IF(OR(LEN(A1644)&lt;&gt;7,MID(A1644,5,1)&lt;&gt;"-",ISERROR(--LEFT(A1644,4)),ISERROR(--RIGHT(A1644,2))),"ERROR: PERIODO debe ser AAAA-MM",IF(B1644="","ERROR: falta CODIGO CECO",IF(G1644="CECO NO EXISTE","ERROR: CECO no existe en el catálogo",IF(C1644="","ERROR: falta CUENTA",IF(ISERROR(--C1644),"ERROR: CUENTA debe tener solo dígitos",IF(ISERROR(FIND(LEFT(C1644,1),"567")),"ERROR: CUENTA fuera de las clases de costo",IF(NOT(ISNUMBER(E1644)),"ERROR: VALOR debe ser numérico",IF(E1644=0,"AVISO: valor cero (no se carga)",IF(J1644&lt;&gt;"ACTIVO","NO SE CARGA: CECO en estado "&amp;J1644,"OK"))))))))))</f>
        <v/>
      </c>
    </row>
    <row r="1645">
      <c r="A1645" s="5" t="n"/>
      <c r="B1645" s="6" t="n"/>
      <c r="C1645" s="5" t="n"/>
      <c r="D1645" s="6" t="n"/>
      <c r="E1645" s="7" t="n"/>
      <c r="F1645" s="6" t="n"/>
      <c r="G1645" s="8">
        <f>IF(B1645="","",IFERROR(VLOOKUP(--B1645,'CATALOGO CECO'!$A$2:$H$550,2,FALSE),"CECO NO EXISTE"))</f>
        <v/>
      </c>
      <c r="H1645" s="8">
        <f>IF(B1645="","",IFERROR(VLOOKUP(--B1645,'CATALOGO CECO'!$A$2:$H$550,3,FALSE),""))</f>
        <v/>
      </c>
      <c r="I1645" s="8">
        <f>IF(B1645="","",IFERROR(VLOOKUP(--B1645,'CATALOGO CECO'!$A$2:$H$550,5,FALSE),""))</f>
        <v/>
      </c>
      <c r="J1645" s="8">
        <f>IF(B1645="","",IFERROR(VLOOKUP(--B1645,'CATALOGO CECO'!$A$2:$H$550,8,FALSE),""))</f>
        <v/>
      </c>
      <c r="K1645" s="8">
        <f>IF(COUNTA(A1645:F1645)=0,"",IF(OR(LEN(A1645)&lt;&gt;7,MID(A1645,5,1)&lt;&gt;"-",ISERROR(--LEFT(A1645,4)),ISERROR(--RIGHT(A1645,2))),"ERROR: PERIODO debe ser AAAA-MM",IF(B1645="","ERROR: falta CODIGO CECO",IF(G1645="CECO NO EXISTE","ERROR: CECO no existe en el catálogo",IF(C1645="","ERROR: falta CUENTA",IF(ISERROR(--C1645),"ERROR: CUENTA debe tener solo dígitos",IF(ISERROR(FIND(LEFT(C1645,1),"567")),"ERROR: CUENTA fuera de las clases de costo",IF(NOT(ISNUMBER(E1645)),"ERROR: VALOR debe ser numérico",IF(E1645=0,"AVISO: valor cero (no se carga)",IF(J1645&lt;&gt;"ACTIVO","NO SE CARGA: CECO en estado "&amp;J1645,"OK"))))))))))</f>
        <v/>
      </c>
    </row>
    <row r="1646">
      <c r="A1646" s="5" t="n"/>
      <c r="B1646" s="6" t="n"/>
      <c r="C1646" s="5" t="n"/>
      <c r="D1646" s="6" t="n"/>
      <c r="E1646" s="7" t="n"/>
      <c r="F1646" s="6" t="n"/>
      <c r="G1646" s="8">
        <f>IF(B1646="","",IFERROR(VLOOKUP(--B1646,'CATALOGO CECO'!$A$2:$H$550,2,FALSE),"CECO NO EXISTE"))</f>
        <v/>
      </c>
      <c r="H1646" s="8">
        <f>IF(B1646="","",IFERROR(VLOOKUP(--B1646,'CATALOGO CECO'!$A$2:$H$550,3,FALSE),""))</f>
        <v/>
      </c>
      <c r="I1646" s="8">
        <f>IF(B1646="","",IFERROR(VLOOKUP(--B1646,'CATALOGO CECO'!$A$2:$H$550,5,FALSE),""))</f>
        <v/>
      </c>
      <c r="J1646" s="8">
        <f>IF(B1646="","",IFERROR(VLOOKUP(--B1646,'CATALOGO CECO'!$A$2:$H$550,8,FALSE),""))</f>
        <v/>
      </c>
      <c r="K1646" s="8">
        <f>IF(COUNTA(A1646:F1646)=0,"",IF(OR(LEN(A1646)&lt;&gt;7,MID(A1646,5,1)&lt;&gt;"-",ISERROR(--LEFT(A1646,4)),ISERROR(--RIGHT(A1646,2))),"ERROR: PERIODO debe ser AAAA-MM",IF(B1646="","ERROR: falta CODIGO CECO",IF(G1646="CECO NO EXISTE","ERROR: CECO no existe en el catálogo",IF(C1646="","ERROR: falta CUENTA",IF(ISERROR(--C1646),"ERROR: CUENTA debe tener solo dígitos",IF(ISERROR(FIND(LEFT(C1646,1),"567")),"ERROR: CUENTA fuera de las clases de costo",IF(NOT(ISNUMBER(E1646)),"ERROR: VALOR debe ser numérico",IF(E1646=0,"AVISO: valor cero (no se carga)",IF(J1646&lt;&gt;"ACTIVO","NO SE CARGA: CECO en estado "&amp;J1646,"OK"))))))))))</f>
        <v/>
      </c>
    </row>
    <row r="1647">
      <c r="A1647" s="5" t="n"/>
      <c r="B1647" s="6" t="n"/>
      <c r="C1647" s="5" t="n"/>
      <c r="D1647" s="6" t="n"/>
      <c r="E1647" s="7" t="n"/>
      <c r="F1647" s="6" t="n"/>
      <c r="G1647" s="8">
        <f>IF(B1647="","",IFERROR(VLOOKUP(--B1647,'CATALOGO CECO'!$A$2:$H$550,2,FALSE),"CECO NO EXISTE"))</f>
        <v/>
      </c>
      <c r="H1647" s="8">
        <f>IF(B1647="","",IFERROR(VLOOKUP(--B1647,'CATALOGO CECO'!$A$2:$H$550,3,FALSE),""))</f>
        <v/>
      </c>
      <c r="I1647" s="8">
        <f>IF(B1647="","",IFERROR(VLOOKUP(--B1647,'CATALOGO CECO'!$A$2:$H$550,5,FALSE),""))</f>
        <v/>
      </c>
      <c r="J1647" s="8">
        <f>IF(B1647="","",IFERROR(VLOOKUP(--B1647,'CATALOGO CECO'!$A$2:$H$550,8,FALSE),""))</f>
        <v/>
      </c>
      <c r="K1647" s="8">
        <f>IF(COUNTA(A1647:F1647)=0,"",IF(OR(LEN(A1647)&lt;&gt;7,MID(A1647,5,1)&lt;&gt;"-",ISERROR(--LEFT(A1647,4)),ISERROR(--RIGHT(A1647,2))),"ERROR: PERIODO debe ser AAAA-MM",IF(B1647="","ERROR: falta CODIGO CECO",IF(G1647="CECO NO EXISTE","ERROR: CECO no existe en el catálogo",IF(C1647="","ERROR: falta CUENTA",IF(ISERROR(--C1647),"ERROR: CUENTA debe tener solo dígitos",IF(ISERROR(FIND(LEFT(C1647,1),"567")),"ERROR: CUENTA fuera de las clases de costo",IF(NOT(ISNUMBER(E1647)),"ERROR: VALOR debe ser numérico",IF(E1647=0,"AVISO: valor cero (no se carga)",IF(J1647&lt;&gt;"ACTIVO","NO SE CARGA: CECO en estado "&amp;J1647,"OK"))))))))))</f>
        <v/>
      </c>
    </row>
    <row r="1648">
      <c r="A1648" s="5" t="n"/>
      <c r="B1648" s="6" t="n"/>
      <c r="C1648" s="5" t="n"/>
      <c r="D1648" s="6" t="n"/>
      <c r="E1648" s="7" t="n"/>
      <c r="F1648" s="6" t="n"/>
      <c r="G1648" s="8">
        <f>IF(B1648="","",IFERROR(VLOOKUP(--B1648,'CATALOGO CECO'!$A$2:$H$550,2,FALSE),"CECO NO EXISTE"))</f>
        <v/>
      </c>
      <c r="H1648" s="8">
        <f>IF(B1648="","",IFERROR(VLOOKUP(--B1648,'CATALOGO CECO'!$A$2:$H$550,3,FALSE),""))</f>
        <v/>
      </c>
      <c r="I1648" s="8">
        <f>IF(B1648="","",IFERROR(VLOOKUP(--B1648,'CATALOGO CECO'!$A$2:$H$550,5,FALSE),""))</f>
        <v/>
      </c>
      <c r="J1648" s="8">
        <f>IF(B1648="","",IFERROR(VLOOKUP(--B1648,'CATALOGO CECO'!$A$2:$H$550,8,FALSE),""))</f>
        <v/>
      </c>
      <c r="K1648" s="8">
        <f>IF(COUNTA(A1648:F1648)=0,"",IF(OR(LEN(A1648)&lt;&gt;7,MID(A1648,5,1)&lt;&gt;"-",ISERROR(--LEFT(A1648,4)),ISERROR(--RIGHT(A1648,2))),"ERROR: PERIODO debe ser AAAA-MM",IF(B1648="","ERROR: falta CODIGO CECO",IF(G1648="CECO NO EXISTE","ERROR: CECO no existe en el catálogo",IF(C1648="","ERROR: falta CUENTA",IF(ISERROR(--C1648),"ERROR: CUENTA debe tener solo dígitos",IF(ISERROR(FIND(LEFT(C1648,1),"567")),"ERROR: CUENTA fuera de las clases de costo",IF(NOT(ISNUMBER(E1648)),"ERROR: VALOR debe ser numérico",IF(E1648=0,"AVISO: valor cero (no se carga)",IF(J1648&lt;&gt;"ACTIVO","NO SE CARGA: CECO en estado "&amp;J1648,"OK"))))))))))</f>
        <v/>
      </c>
    </row>
    <row r="1649">
      <c r="A1649" s="5" t="n"/>
      <c r="B1649" s="6" t="n"/>
      <c r="C1649" s="5" t="n"/>
      <c r="D1649" s="6" t="n"/>
      <c r="E1649" s="7" t="n"/>
      <c r="F1649" s="6" t="n"/>
      <c r="G1649" s="8">
        <f>IF(B1649="","",IFERROR(VLOOKUP(--B1649,'CATALOGO CECO'!$A$2:$H$550,2,FALSE),"CECO NO EXISTE"))</f>
        <v/>
      </c>
      <c r="H1649" s="8">
        <f>IF(B1649="","",IFERROR(VLOOKUP(--B1649,'CATALOGO CECO'!$A$2:$H$550,3,FALSE),""))</f>
        <v/>
      </c>
      <c r="I1649" s="8">
        <f>IF(B1649="","",IFERROR(VLOOKUP(--B1649,'CATALOGO CECO'!$A$2:$H$550,5,FALSE),""))</f>
        <v/>
      </c>
      <c r="J1649" s="8">
        <f>IF(B1649="","",IFERROR(VLOOKUP(--B1649,'CATALOGO CECO'!$A$2:$H$550,8,FALSE),""))</f>
        <v/>
      </c>
      <c r="K1649" s="8">
        <f>IF(COUNTA(A1649:F1649)=0,"",IF(OR(LEN(A1649)&lt;&gt;7,MID(A1649,5,1)&lt;&gt;"-",ISERROR(--LEFT(A1649,4)),ISERROR(--RIGHT(A1649,2))),"ERROR: PERIODO debe ser AAAA-MM",IF(B1649="","ERROR: falta CODIGO CECO",IF(G1649="CECO NO EXISTE","ERROR: CECO no existe en el catálogo",IF(C1649="","ERROR: falta CUENTA",IF(ISERROR(--C1649),"ERROR: CUENTA debe tener solo dígitos",IF(ISERROR(FIND(LEFT(C1649,1),"567")),"ERROR: CUENTA fuera de las clases de costo",IF(NOT(ISNUMBER(E1649)),"ERROR: VALOR debe ser numérico",IF(E1649=0,"AVISO: valor cero (no se carga)",IF(J1649&lt;&gt;"ACTIVO","NO SE CARGA: CECO en estado "&amp;J1649,"OK"))))))))))</f>
        <v/>
      </c>
    </row>
    <row r="1650">
      <c r="A1650" s="5" t="n"/>
      <c r="B1650" s="6" t="n"/>
      <c r="C1650" s="5" t="n"/>
      <c r="D1650" s="6" t="n"/>
      <c r="E1650" s="7" t="n"/>
      <c r="F1650" s="6" t="n"/>
      <c r="G1650" s="8">
        <f>IF(B1650="","",IFERROR(VLOOKUP(--B1650,'CATALOGO CECO'!$A$2:$H$550,2,FALSE),"CECO NO EXISTE"))</f>
        <v/>
      </c>
      <c r="H1650" s="8">
        <f>IF(B1650="","",IFERROR(VLOOKUP(--B1650,'CATALOGO CECO'!$A$2:$H$550,3,FALSE),""))</f>
        <v/>
      </c>
      <c r="I1650" s="8">
        <f>IF(B1650="","",IFERROR(VLOOKUP(--B1650,'CATALOGO CECO'!$A$2:$H$550,5,FALSE),""))</f>
        <v/>
      </c>
      <c r="J1650" s="8">
        <f>IF(B1650="","",IFERROR(VLOOKUP(--B1650,'CATALOGO CECO'!$A$2:$H$550,8,FALSE),""))</f>
        <v/>
      </c>
      <c r="K1650" s="8">
        <f>IF(COUNTA(A1650:F1650)=0,"",IF(OR(LEN(A1650)&lt;&gt;7,MID(A1650,5,1)&lt;&gt;"-",ISERROR(--LEFT(A1650,4)),ISERROR(--RIGHT(A1650,2))),"ERROR: PERIODO debe ser AAAA-MM",IF(B1650="","ERROR: falta CODIGO CECO",IF(G1650="CECO NO EXISTE","ERROR: CECO no existe en el catálogo",IF(C1650="","ERROR: falta CUENTA",IF(ISERROR(--C1650),"ERROR: CUENTA debe tener solo dígitos",IF(ISERROR(FIND(LEFT(C1650,1),"567")),"ERROR: CUENTA fuera de las clases de costo",IF(NOT(ISNUMBER(E1650)),"ERROR: VALOR debe ser numérico",IF(E1650=0,"AVISO: valor cero (no se carga)",IF(J1650&lt;&gt;"ACTIVO","NO SE CARGA: CECO en estado "&amp;J1650,"OK"))))))))))</f>
        <v/>
      </c>
    </row>
    <row r="1651">
      <c r="A1651" s="5" t="n"/>
      <c r="B1651" s="6" t="n"/>
      <c r="C1651" s="5" t="n"/>
      <c r="D1651" s="6" t="n"/>
      <c r="E1651" s="7" t="n"/>
      <c r="F1651" s="6" t="n"/>
      <c r="G1651" s="8">
        <f>IF(B1651="","",IFERROR(VLOOKUP(--B1651,'CATALOGO CECO'!$A$2:$H$550,2,FALSE),"CECO NO EXISTE"))</f>
        <v/>
      </c>
      <c r="H1651" s="8">
        <f>IF(B1651="","",IFERROR(VLOOKUP(--B1651,'CATALOGO CECO'!$A$2:$H$550,3,FALSE),""))</f>
        <v/>
      </c>
      <c r="I1651" s="8">
        <f>IF(B1651="","",IFERROR(VLOOKUP(--B1651,'CATALOGO CECO'!$A$2:$H$550,5,FALSE),""))</f>
        <v/>
      </c>
      <c r="J1651" s="8">
        <f>IF(B1651="","",IFERROR(VLOOKUP(--B1651,'CATALOGO CECO'!$A$2:$H$550,8,FALSE),""))</f>
        <v/>
      </c>
      <c r="K1651" s="8">
        <f>IF(COUNTA(A1651:F1651)=0,"",IF(OR(LEN(A1651)&lt;&gt;7,MID(A1651,5,1)&lt;&gt;"-",ISERROR(--LEFT(A1651,4)),ISERROR(--RIGHT(A1651,2))),"ERROR: PERIODO debe ser AAAA-MM",IF(B1651="","ERROR: falta CODIGO CECO",IF(G1651="CECO NO EXISTE","ERROR: CECO no existe en el catálogo",IF(C1651="","ERROR: falta CUENTA",IF(ISERROR(--C1651),"ERROR: CUENTA debe tener solo dígitos",IF(ISERROR(FIND(LEFT(C1651,1),"567")),"ERROR: CUENTA fuera de las clases de costo",IF(NOT(ISNUMBER(E1651)),"ERROR: VALOR debe ser numérico",IF(E1651=0,"AVISO: valor cero (no se carga)",IF(J1651&lt;&gt;"ACTIVO","NO SE CARGA: CECO en estado "&amp;J1651,"OK"))))))))))</f>
        <v/>
      </c>
    </row>
    <row r="1652">
      <c r="A1652" s="5" t="n"/>
      <c r="B1652" s="6" t="n"/>
      <c r="C1652" s="5" t="n"/>
      <c r="D1652" s="6" t="n"/>
      <c r="E1652" s="7" t="n"/>
      <c r="F1652" s="6" t="n"/>
      <c r="G1652" s="8">
        <f>IF(B1652="","",IFERROR(VLOOKUP(--B1652,'CATALOGO CECO'!$A$2:$H$550,2,FALSE),"CECO NO EXISTE"))</f>
        <v/>
      </c>
      <c r="H1652" s="8">
        <f>IF(B1652="","",IFERROR(VLOOKUP(--B1652,'CATALOGO CECO'!$A$2:$H$550,3,FALSE),""))</f>
        <v/>
      </c>
      <c r="I1652" s="8">
        <f>IF(B1652="","",IFERROR(VLOOKUP(--B1652,'CATALOGO CECO'!$A$2:$H$550,5,FALSE),""))</f>
        <v/>
      </c>
      <c r="J1652" s="8">
        <f>IF(B1652="","",IFERROR(VLOOKUP(--B1652,'CATALOGO CECO'!$A$2:$H$550,8,FALSE),""))</f>
        <v/>
      </c>
      <c r="K1652" s="8">
        <f>IF(COUNTA(A1652:F1652)=0,"",IF(OR(LEN(A1652)&lt;&gt;7,MID(A1652,5,1)&lt;&gt;"-",ISERROR(--LEFT(A1652,4)),ISERROR(--RIGHT(A1652,2))),"ERROR: PERIODO debe ser AAAA-MM",IF(B1652="","ERROR: falta CODIGO CECO",IF(G1652="CECO NO EXISTE","ERROR: CECO no existe en el catálogo",IF(C1652="","ERROR: falta CUENTA",IF(ISERROR(--C1652),"ERROR: CUENTA debe tener solo dígitos",IF(ISERROR(FIND(LEFT(C1652,1),"567")),"ERROR: CUENTA fuera de las clases de costo",IF(NOT(ISNUMBER(E1652)),"ERROR: VALOR debe ser numérico",IF(E1652=0,"AVISO: valor cero (no se carga)",IF(J1652&lt;&gt;"ACTIVO","NO SE CARGA: CECO en estado "&amp;J1652,"OK"))))))))))</f>
        <v/>
      </c>
    </row>
    <row r="1653">
      <c r="A1653" s="5" t="n"/>
      <c r="B1653" s="6" t="n"/>
      <c r="C1653" s="5" t="n"/>
      <c r="D1653" s="6" t="n"/>
      <c r="E1653" s="7" t="n"/>
      <c r="F1653" s="6" t="n"/>
      <c r="G1653" s="8">
        <f>IF(B1653="","",IFERROR(VLOOKUP(--B1653,'CATALOGO CECO'!$A$2:$H$550,2,FALSE),"CECO NO EXISTE"))</f>
        <v/>
      </c>
      <c r="H1653" s="8">
        <f>IF(B1653="","",IFERROR(VLOOKUP(--B1653,'CATALOGO CECO'!$A$2:$H$550,3,FALSE),""))</f>
        <v/>
      </c>
      <c r="I1653" s="8">
        <f>IF(B1653="","",IFERROR(VLOOKUP(--B1653,'CATALOGO CECO'!$A$2:$H$550,5,FALSE),""))</f>
        <v/>
      </c>
      <c r="J1653" s="8">
        <f>IF(B1653="","",IFERROR(VLOOKUP(--B1653,'CATALOGO CECO'!$A$2:$H$550,8,FALSE),""))</f>
        <v/>
      </c>
      <c r="K1653" s="8">
        <f>IF(COUNTA(A1653:F1653)=0,"",IF(OR(LEN(A1653)&lt;&gt;7,MID(A1653,5,1)&lt;&gt;"-",ISERROR(--LEFT(A1653,4)),ISERROR(--RIGHT(A1653,2))),"ERROR: PERIODO debe ser AAAA-MM",IF(B1653="","ERROR: falta CODIGO CECO",IF(G1653="CECO NO EXISTE","ERROR: CECO no existe en el catálogo",IF(C1653="","ERROR: falta CUENTA",IF(ISERROR(--C1653),"ERROR: CUENTA debe tener solo dígitos",IF(ISERROR(FIND(LEFT(C1653,1),"567")),"ERROR: CUENTA fuera de las clases de costo",IF(NOT(ISNUMBER(E1653)),"ERROR: VALOR debe ser numérico",IF(E1653=0,"AVISO: valor cero (no se carga)",IF(J1653&lt;&gt;"ACTIVO","NO SE CARGA: CECO en estado "&amp;J1653,"OK"))))))))))</f>
        <v/>
      </c>
    </row>
    <row r="1654">
      <c r="A1654" s="5" t="n"/>
      <c r="B1654" s="6" t="n"/>
      <c r="C1654" s="5" t="n"/>
      <c r="D1654" s="6" t="n"/>
      <c r="E1654" s="7" t="n"/>
      <c r="F1654" s="6" t="n"/>
      <c r="G1654" s="8">
        <f>IF(B1654="","",IFERROR(VLOOKUP(--B1654,'CATALOGO CECO'!$A$2:$H$550,2,FALSE),"CECO NO EXISTE"))</f>
        <v/>
      </c>
      <c r="H1654" s="8">
        <f>IF(B1654="","",IFERROR(VLOOKUP(--B1654,'CATALOGO CECO'!$A$2:$H$550,3,FALSE),""))</f>
        <v/>
      </c>
      <c r="I1654" s="8">
        <f>IF(B1654="","",IFERROR(VLOOKUP(--B1654,'CATALOGO CECO'!$A$2:$H$550,5,FALSE),""))</f>
        <v/>
      </c>
      <c r="J1654" s="8">
        <f>IF(B1654="","",IFERROR(VLOOKUP(--B1654,'CATALOGO CECO'!$A$2:$H$550,8,FALSE),""))</f>
        <v/>
      </c>
      <c r="K1654" s="8">
        <f>IF(COUNTA(A1654:F1654)=0,"",IF(OR(LEN(A1654)&lt;&gt;7,MID(A1654,5,1)&lt;&gt;"-",ISERROR(--LEFT(A1654,4)),ISERROR(--RIGHT(A1654,2))),"ERROR: PERIODO debe ser AAAA-MM",IF(B1654="","ERROR: falta CODIGO CECO",IF(G1654="CECO NO EXISTE","ERROR: CECO no existe en el catálogo",IF(C1654="","ERROR: falta CUENTA",IF(ISERROR(--C1654),"ERROR: CUENTA debe tener solo dígitos",IF(ISERROR(FIND(LEFT(C1654,1),"567")),"ERROR: CUENTA fuera de las clases de costo",IF(NOT(ISNUMBER(E1654)),"ERROR: VALOR debe ser numérico",IF(E1654=0,"AVISO: valor cero (no se carga)",IF(J1654&lt;&gt;"ACTIVO","NO SE CARGA: CECO en estado "&amp;J1654,"OK"))))))))))</f>
        <v/>
      </c>
    </row>
    <row r="1655">
      <c r="A1655" s="5" t="n"/>
      <c r="B1655" s="6" t="n"/>
      <c r="C1655" s="5" t="n"/>
      <c r="D1655" s="6" t="n"/>
      <c r="E1655" s="7" t="n"/>
      <c r="F1655" s="6" t="n"/>
      <c r="G1655" s="8">
        <f>IF(B1655="","",IFERROR(VLOOKUP(--B1655,'CATALOGO CECO'!$A$2:$H$550,2,FALSE),"CECO NO EXISTE"))</f>
        <v/>
      </c>
      <c r="H1655" s="8">
        <f>IF(B1655="","",IFERROR(VLOOKUP(--B1655,'CATALOGO CECO'!$A$2:$H$550,3,FALSE),""))</f>
        <v/>
      </c>
      <c r="I1655" s="8">
        <f>IF(B1655="","",IFERROR(VLOOKUP(--B1655,'CATALOGO CECO'!$A$2:$H$550,5,FALSE),""))</f>
        <v/>
      </c>
      <c r="J1655" s="8">
        <f>IF(B1655="","",IFERROR(VLOOKUP(--B1655,'CATALOGO CECO'!$A$2:$H$550,8,FALSE),""))</f>
        <v/>
      </c>
      <c r="K1655" s="8">
        <f>IF(COUNTA(A1655:F1655)=0,"",IF(OR(LEN(A1655)&lt;&gt;7,MID(A1655,5,1)&lt;&gt;"-",ISERROR(--LEFT(A1655,4)),ISERROR(--RIGHT(A1655,2))),"ERROR: PERIODO debe ser AAAA-MM",IF(B1655="","ERROR: falta CODIGO CECO",IF(G1655="CECO NO EXISTE","ERROR: CECO no existe en el catálogo",IF(C1655="","ERROR: falta CUENTA",IF(ISERROR(--C1655),"ERROR: CUENTA debe tener solo dígitos",IF(ISERROR(FIND(LEFT(C1655,1),"567")),"ERROR: CUENTA fuera de las clases de costo",IF(NOT(ISNUMBER(E1655)),"ERROR: VALOR debe ser numérico",IF(E1655=0,"AVISO: valor cero (no se carga)",IF(J1655&lt;&gt;"ACTIVO","NO SE CARGA: CECO en estado "&amp;J1655,"OK"))))))))))</f>
        <v/>
      </c>
    </row>
    <row r="1656">
      <c r="A1656" s="5" t="n"/>
      <c r="B1656" s="6" t="n"/>
      <c r="C1656" s="5" t="n"/>
      <c r="D1656" s="6" t="n"/>
      <c r="E1656" s="7" t="n"/>
      <c r="F1656" s="6" t="n"/>
      <c r="G1656" s="8">
        <f>IF(B1656="","",IFERROR(VLOOKUP(--B1656,'CATALOGO CECO'!$A$2:$H$550,2,FALSE),"CECO NO EXISTE"))</f>
        <v/>
      </c>
      <c r="H1656" s="8">
        <f>IF(B1656="","",IFERROR(VLOOKUP(--B1656,'CATALOGO CECO'!$A$2:$H$550,3,FALSE),""))</f>
        <v/>
      </c>
      <c r="I1656" s="8">
        <f>IF(B1656="","",IFERROR(VLOOKUP(--B1656,'CATALOGO CECO'!$A$2:$H$550,5,FALSE),""))</f>
        <v/>
      </c>
      <c r="J1656" s="8">
        <f>IF(B1656="","",IFERROR(VLOOKUP(--B1656,'CATALOGO CECO'!$A$2:$H$550,8,FALSE),""))</f>
        <v/>
      </c>
      <c r="K1656" s="8">
        <f>IF(COUNTA(A1656:F1656)=0,"",IF(OR(LEN(A1656)&lt;&gt;7,MID(A1656,5,1)&lt;&gt;"-",ISERROR(--LEFT(A1656,4)),ISERROR(--RIGHT(A1656,2))),"ERROR: PERIODO debe ser AAAA-MM",IF(B1656="","ERROR: falta CODIGO CECO",IF(G1656="CECO NO EXISTE","ERROR: CECO no existe en el catálogo",IF(C1656="","ERROR: falta CUENTA",IF(ISERROR(--C1656),"ERROR: CUENTA debe tener solo dígitos",IF(ISERROR(FIND(LEFT(C1656,1),"567")),"ERROR: CUENTA fuera de las clases de costo",IF(NOT(ISNUMBER(E1656)),"ERROR: VALOR debe ser numérico",IF(E1656=0,"AVISO: valor cero (no se carga)",IF(J1656&lt;&gt;"ACTIVO","NO SE CARGA: CECO en estado "&amp;J1656,"OK"))))))))))</f>
        <v/>
      </c>
    </row>
    <row r="1657">
      <c r="A1657" s="5" t="n"/>
      <c r="B1657" s="6" t="n"/>
      <c r="C1657" s="5" t="n"/>
      <c r="D1657" s="6" t="n"/>
      <c r="E1657" s="7" t="n"/>
      <c r="F1657" s="6" t="n"/>
      <c r="G1657" s="8">
        <f>IF(B1657="","",IFERROR(VLOOKUP(--B1657,'CATALOGO CECO'!$A$2:$H$550,2,FALSE),"CECO NO EXISTE"))</f>
        <v/>
      </c>
      <c r="H1657" s="8">
        <f>IF(B1657="","",IFERROR(VLOOKUP(--B1657,'CATALOGO CECO'!$A$2:$H$550,3,FALSE),""))</f>
        <v/>
      </c>
      <c r="I1657" s="8">
        <f>IF(B1657="","",IFERROR(VLOOKUP(--B1657,'CATALOGO CECO'!$A$2:$H$550,5,FALSE),""))</f>
        <v/>
      </c>
      <c r="J1657" s="8">
        <f>IF(B1657="","",IFERROR(VLOOKUP(--B1657,'CATALOGO CECO'!$A$2:$H$550,8,FALSE),""))</f>
        <v/>
      </c>
      <c r="K1657" s="8">
        <f>IF(COUNTA(A1657:F1657)=0,"",IF(OR(LEN(A1657)&lt;&gt;7,MID(A1657,5,1)&lt;&gt;"-",ISERROR(--LEFT(A1657,4)),ISERROR(--RIGHT(A1657,2))),"ERROR: PERIODO debe ser AAAA-MM",IF(B1657="","ERROR: falta CODIGO CECO",IF(G1657="CECO NO EXISTE","ERROR: CECO no existe en el catálogo",IF(C1657="","ERROR: falta CUENTA",IF(ISERROR(--C1657),"ERROR: CUENTA debe tener solo dígitos",IF(ISERROR(FIND(LEFT(C1657,1),"567")),"ERROR: CUENTA fuera de las clases de costo",IF(NOT(ISNUMBER(E1657)),"ERROR: VALOR debe ser numérico",IF(E1657=0,"AVISO: valor cero (no se carga)",IF(J1657&lt;&gt;"ACTIVO","NO SE CARGA: CECO en estado "&amp;J1657,"OK"))))))))))</f>
        <v/>
      </c>
    </row>
    <row r="1658">
      <c r="A1658" s="5" t="n"/>
      <c r="B1658" s="6" t="n"/>
      <c r="C1658" s="5" t="n"/>
      <c r="D1658" s="6" t="n"/>
      <c r="E1658" s="7" t="n"/>
      <c r="F1658" s="6" t="n"/>
      <c r="G1658" s="8">
        <f>IF(B1658="","",IFERROR(VLOOKUP(--B1658,'CATALOGO CECO'!$A$2:$H$550,2,FALSE),"CECO NO EXISTE"))</f>
        <v/>
      </c>
      <c r="H1658" s="8">
        <f>IF(B1658="","",IFERROR(VLOOKUP(--B1658,'CATALOGO CECO'!$A$2:$H$550,3,FALSE),""))</f>
        <v/>
      </c>
      <c r="I1658" s="8">
        <f>IF(B1658="","",IFERROR(VLOOKUP(--B1658,'CATALOGO CECO'!$A$2:$H$550,5,FALSE),""))</f>
        <v/>
      </c>
      <c r="J1658" s="8">
        <f>IF(B1658="","",IFERROR(VLOOKUP(--B1658,'CATALOGO CECO'!$A$2:$H$550,8,FALSE),""))</f>
        <v/>
      </c>
      <c r="K1658" s="8">
        <f>IF(COUNTA(A1658:F1658)=0,"",IF(OR(LEN(A1658)&lt;&gt;7,MID(A1658,5,1)&lt;&gt;"-",ISERROR(--LEFT(A1658,4)),ISERROR(--RIGHT(A1658,2))),"ERROR: PERIODO debe ser AAAA-MM",IF(B1658="","ERROR: falta CODIGO CECO",IF(G1658="CECO NO EXISTE","ERROR: CECO no existe en el catálogo",IF(C1658="","ERROR: falta CUENTA",IF(ISERROR(--C1658),"ERROR: CUENTA debe tener solo dígitos",IF(ISERROR(FIND(LEFT(C1658,1),"567")),"ERROR: CUENTA fuera de las clases de costo",IF(NOT(ISNUMBER(E1658)),"ERROR: VALOR debe ser numérico",IF(E1658=0,"AVISO: valor cero (no se carga)",IF(J1658&lt;&gt;"ACTIVO","NO SE CARGA: CECO en estado "&amp;J1658,"OK"))))))))))</f>
        <v/>
      </c>
    </row>
    <row r="1659">
      <c r="A1659" s="5" t="n"/>
      <c r="B1659" s="6" t="n"/>
      <c r="C1659" s="5" t="n"/>
      <c r="D1659" s="6" t="n"/>
      <c r="E1659" s="7" t="n"/>
      <c r="F1659" s="6" t="n"/>
      <c r="G1659" s="8">
        <f>IF(B1659="","",IFERROR(VLOOKUP(--B1659,'CATALOGO CECO'!$A$2:$H$550,2,FALSE),"CECO NO EXISTE"))</f>
        <v/>
      </c>
      <c r="H1659" s="8">
        <f>IF(B1659="","",IFERROR(VLOOKUP(--B1659,'CATALOGO CECO'!$A$2:$H$550,3,FALSE),""))</f>
        <v/>
      </c>
      <c r="I1659" s="8">
        <f>IF(B1659="","",IFERROR(VLOOKUP(--B1659,'CATALOGO CECO'!$A$2:$H$550,5,FALSE),""))</f>
        <v/>
      </c>
      <c r="J1659" s="8">
        <f>IF(B1659="","",IFERROR(VLOOKUP(--B1659,'CATALOGO CECO'!$A$2:$H$550,8,FALSE),""))</f>
        <v/>
      </c>
      <c r="K1659" s="8">
        <f>IF(COUNTA(A1659:F1659)=0,"",IF(OR(LEN(A1659)&lt;&gt;7,MID(A1659,5,1)&lt;&gt;"-",ISERROR(--LEFT(A1659,4)),ISERROR(--RIGHT(A1659,2))),"ERROR: PERIODO debe ser AAAA-MM",IF(B1659="","ERROR: falta CODIGO CECO",IF(G1659="CECO NO EXISTE","ERROR: CECO no existe en el catálogo",IF(C1659="","ERROR: falta CUENTA",IF(ISERROR(--C1659),"ERROR: CUENTA debe tener solo dígitos",IF(ISERROR(FIND(LEFT(C1659,1),"567")),"ERROR: CUENTA fuera de las clases de costo",IF(NOT(ISNUMBER(E1659)),"ERROR: VALOR debe ser numérico",IF(E1659=0,"AVISO: valor cero (no se carga)",IF(J1659&lt;&gt;"ACTIVO","NO SE CARGA: CECO en estado "&amp;J1659,"OK"))))))))))</f>
        <v/>
      </c>
    </row>
    <row r="1660">
      <c r="A1660" s="5" t="n"/>
      <c r="B1660" s="6" t="n"/>
      <c r="C1660" s="5" t="n"/>
      <c r="D1660" s="6" t="n"/>
      <c r="E1660" s="7" t="n"/>
      <c r="F1660" s="6" t="n"/>
      <c r="G1660" s="8">
        <f>IF(B1660="","",IFERROR(VLOOKUP(--B1660,'CATALOGO CECO'!$A$2:$H$550,2,FALSE),"CECO NO EXISTE"))</f>
        <v/>
      </c>
      <c r="H1660" s="8">
        <f>IF(B1660="","",IFERROR(VLOOKUP(--B1660,'CATALOGO CECO'!$A$2:$H$550,3,FALSE),""))</f>
        <v/>
      </c>
      <c r="I1660" s="8">
        <f>IF(B1660="","",IFERROR(VLOOKUP(--B1660,'CATALOGO CECO'!$A$2:$H$550,5,FALSE),""))</f>
        <v/>
      </c>
      <c r="J1660" s="8">
        <f>IF(B1660="","",IFERROR(VLOOKUP(--B1660,'CATALOGO CECO'!$A$2:$H$550,8,FALSE),""))</f>
        <v/>
      </c>
      <c r="K1660" s="8">
        <f>IF(COUNTA(A1660:F1660)=0,"",IF(OR(LEN(A1660)&lt;&gt;7,MID(A1660,5,1)&lt;&gt;"-",ISERROR(--LEFT(A1660,4)),ISERROR(--RIGHT(A1660,2))),"ERROR: PERIODO debe ser AAAA-MM",IF(B1660="","ERROR: falta CODIGO CECO",IF(G1660="CECO NO EXISTE","ERROR: CECO no existe en el catálogo",IF(C1660="","ERROR: falta CUENTA",IF(ISERROR(--C1660),"ERROR: CUENTA debe tener solo dígitos",IF(ISERROR(FIND(LEFT(C1660,1),"567")),"ERROR: CUENTA fuera de las clases de costo",IF(NOT(ISNUMBER(E1660)),"ERROR: VALOR debe ser numérico",IF(E1660=0,"AVISO: valor cero (no se carga)",IF(J1660&lt;&gt;"ACTIVO","NO SE CARGA: CECO en estado "&amp;J1660,"OK"))))))))))</f>
        <v/>
      </c>
    </row>
    <row r="1661">
      <c r="A1661" s="5" t="n"/>
      <c r="B1661" s="6" t="n"/>
      <c r="C1661" s="5" t="n"/>
      <c r="D1661" s="6" t="n"/>
      <c r="E1661" s="7" t="n"/>
      <c r="F1661" s="6" t="n"/>
      <c r="G1661" s="8">
        <f>IF(B1661="","",IFERROR(VLOOKUP(--B1661,'CATALOGO CECO'!$A$2:$H$550,2,FALSE),"CECO NO EXISTE"))</f>
        <v/>
      </c>
      <c r="H1661" s="8">
        <f>IF(B1661="","",IFERROR(VLOOKUP(--B1661,'CATALOGO CECO'!$A$2:$H$550,3,FALSE),""))</f>
        <v/>
      </c>
      <c r="I1661" s="8">
        <f>IF(B1661="","",IFERROR(VLOOKUP(--B1661,'CATALOGO CECO'!$A$2:$H$550,5,FALSE),""))</f>
        <v/>
      </c>
      <c r="J1661" s="8">
        <f>IF(B1661="","",IFERROR(VLOOKUP(--B1661,'CATALOGO CECO'!$A$2:$H$550,8,FALSE),""))</f>
        <v/>
      </c>
      <c r="K1661" s="8">
        <f>IF(COUNTA(A1661:F1661)=0,"",IF(OR(LEN(A1661)&lt;&gt;7,MID(A1661,5,1)&lt;&gt;"-",ISERROR(--LEFT(A1661,4)),ISERROR(--RIGHT(A1661,2))),"ERROR: PERIODO debe ser AAAA-MM",IF(B1661="","ERROR: falta CODIGO CECO",IF(G1661="CECO NO EXISTE","ERROR: CECO no existe en el catálogo",IF(C1661="","ERROR: falta CUENTA",IF(ISERROR(--C1661),"ERROR: CUENTA debe tener solo dígitos",IF(ISERROR(FIND(LEFT(C1661,1),"567")),"ERROR: CUENTA fuera de las clases de costo",IF(NOT(ISNUMBER(E1661)),"ERROR: VALOR debe ser numérico",IF(E1661=0,"AVISO: valor cero (no se carga)",IF(J1661&lt;&gt;"ACTIVO","NO SE CARGA: CECO en estado "&amp;J1661,"OK"))))))))))</f>
        <v/>
      </c>
    </row>
    <row r="1662">
      <c r="A1662" s="5" t="n"/>
      <c r="B1662" s="6" t="n"/>
      <c r="C1662" s="5" t="n"/>
      <c r="D1662" s="6" t="n"/>
      <c r="E1662" s="7" t="n"/>
      <c r="F1662" s="6" t="n"/>
      <c r="G1662" s="8">
        <f>IF(B1662="","",IFERROR(VLOOKUP(--B1662,'CATALOGO CECO'!$A$2:$H$550,2,FALSE),"CECO NO EXISTE"))</f>
        <v/>
      </c>
      <c r="H1662" s="8">
        <f>IF(B1662="","",IFERROR(VLOOKUP(--B1662,'CATALOGO CECO'!$A$2:$H$550,3,FALSE),""))</f>
        <v/>
      </c>
      <c r="I1662" s="8">
        <f>IF(B1662="","",IFERROR(VLOOKUP(--B1662,'CATALOGO CECO'!$A$2:$H$550,5,FALSE),""))</f>
        <v/>
      </c>
      <c r="J1662" s="8">
        <f>IF(B1662="","",IFERROR(VLOOKUP(--B1662,'CATALOGO CECO'!$A$2:$H$550,8,FALSE),""))</f>
        <v/>
      </c>
      <c r="K1662" s="8">
        <f>IF(COUNTA(A1662:F1662)=0,"",IF(OR(LEN(A1662)&lt;&gt;7,MID(A1662,5,1)&lt;&gt;"-",ISERROR(--LEFT(A1662,4)),ISERROR(--RIGHT(A1662,2))),"ERROR: PERIODO debe ser AAAA-MM",IF(B1662="","ERROR: falta CODIGO CECO",IF(G1662="CECO NO EXISTE","ERROR: CECO no existe en el catálogo",IF(C1662="","ERROR: falta CUENTA",IF(ISERROR(--C1662),"ERROR: CUENTA debe tener solo dígitos",IF(ISERROR(FIND(LEFT(C1662,1),"567")),"ERROR: CUENTA fuera de las clases de costo",IF(NOT(ISNUMBER(E1662)),"ERROR: VALOR debe ser numérico",IF(E1662=0,"AVISO: valor cero (no se carga)",IF(J1662&lt;&gt;"ACTIVO","NO SE CARGA: CECO en estado "&amp;J1662,"OK"))))))))))</f>
        <v/>
      </c>
    </row>
    <row r="1663">
      <c r="A1663" s="5" t="n"/>
      <c r="B1663" s="6" t="n"/>
      <c r="C1663" s="5" t="n"/>
      <c r="D1663" s="6" t="n"/>
      <c r="E1663" s="7" t="n"/>
      <c r="F1663" s="6" t="n"/>
      <c r="G1663" s="8">
        <f>IF(B1663="","",IFERROR(VLOOKUP(--B1663,'CATALOGO CECO'!$A$2:$H$550,2,FALSE),"CECO NO EXISTE"))</f>
        <v/>
      </c>
      <c r="H1663" s="8">
        <f>IF(B1663="","",IFERROR(VLOOKUP(--B1663,'CATALOGO CECO'!$A$2:$H$550,3,FALSE),""))</f>
        <v/>
      </c>
      <c r="I1663" s="8">
        <f>IF(B1663="","",IFERROR(VLOOKUP(--B1663,'CATALOGO CECO'!$A$2:$H$550,5,FALSE),""))</f>
        <v/>
      </c>
      <c r="J1663" s="8">
        <f>IF(B1663="","",IFERROR(VLOOKUP(--B1663,'CATALOGO CECO'!$A$2:$H$550,8,FALSE),""))</f>
        <v/>
      </c>
      <c r="K1663" s="8">
        <f>IF(COUNTA(A1663:F1663)=0,"",IF(OR(LEN(A1663)&lt;&gt;7,MID(A1663,5,1)&lt;&gt;"-",ISERROR(--LEFT(A1663,4)),ISERROR(--RIGHT(A1663,2))),"ERROR: PERIODO debe ser AAAA-MM",IF(B1663="","ERROR: falta CODIGO CECO",IF(G1663="CECO NO EXISTE","ERROR: CECO no existe en el catálogo",IF(C1663="","ERROR: falta CUENTA",IF(ISERROR(--C1663),"ERROR: CUENTA debe tener solo dígitos",IF(ISERROR(FIND(LEFT(C1663,1),"567")),"ERROR: CUENTA fuera de las clases de costo",IF(NOT(ISNUMBER(E1663)),"ERROR: VALOR debe ser numérico",IF(E1663=0,"AVISO: valor cero (no se carga)",IF(J1663&lt;&gt;"ACTIVO","NO SE CARGA: CECO en estado "&amp;J1663,"OK"))))))))))</f>
        <v/>
      </c>
    </row>
    <row r="1664">
      <c r="A1664" s="5" t="n"/>
      <c r="B1664" s="6" t="n"/>
      <c r="C1664" s="5" t="n"/>
      <c r="D1664" s="6" t="n"/>
      <c r="E1664" s="7" t="n"/>
      <c r="F1664" s="6" t="n"/>
      <c r="G1664" s="8">
        <f>IF(B1664="","",IFERROR(VLOOKUP(--B1664,'CATALOGO CECO'!$A$2:$H$550,2,FALSE),"CECO NO EXISTE"))</f>
        <v/>
      </c>
      <c r="H1664" s="8">
        <f>IF(B1664="","",IFERROR(VLOOKUP(--B1664,'CATALOGO CECO'!$A$2:$H$550,3,FALSE),""))</f>
        <v/>
      </c>
      <c r="I1664" s="8">
        <f>IF(B1664="","",IFERROR(VLOOKUP(--B1664,'CATALOGO CECO'!$A$2:$H$550,5,FALSE),""))</f>
        <v/>
      </c>
      <c r="J1664" s="8">
        <f>IF(B1664="","",IFERROR(VLOOKUP(--B1664,'CATALOGO CECO'!$A$2:$H$550,8,FALSE),""))</f>
        <v/>
      </c>
      <c r="K1664" s="8">
        <f>IF(COUNTA(A1664:F1664)=0,"",IF(OR(LEN(A1664)&lt;&gt;7,MID(A1664,5,1)&lt;&gt;"-",ISERROR(--LEFT(A1664,4)),ISERROR(--RIGHT(A1664,2))),"ERROR: PERIODO debe ser AAAA-MM",IF(B1664="","ERROR: falta CODIGO CECO",IF(G1664="CECO NO EXISTE","ERROR: CECO no existe en el catálogo",IF(C1664="","ERROR: falta CUENTA",IF(ISERROR(--C1664),"ERROR: CUENTA debe tener solo dígitos",IF(ISERROR(FIND(LEFT(C1664,1),"567")),"ERROR: CUENTA fuera de las clases de costo",IF(NOT(ISNUMBER(E1664)),"ERROR: VALOR debe ser numérico",IF(E1664=0,"AVISO: valor cero (no se carga)",IF(J1664&lt;&gt;"ACTIVO","NO SE CARGA: CECO en estado "&amp;J1664,"OK"))))))))))</f>
        <v/>
      </c>
    </row>
    <row r="1665">
      <c r="A1665" s="5" t="n"/>
      <c r="B1665" s="6" t="n"/>
      <c r="C1665" s="5" t="n"/>
      <c r="D1665" s="6" t="n"/>
      <c r="E1665" s="7" t="n"/>
      <c r="F1665" s="6" t="n"/>
      <c r="G1665" s="8">
        <f>IF(B1665="","",IFERROR(VLOOKUP(--B1665,'CATALOGO CECO'!$A$2:$H$550,2,FALSE),"CECO NO EXISTE"))</f>
        <v/>
      </c>
      <c r="H1665" s="8">
        <f>IF(B1665="","",IFERROR(VLOOKUP(--B1665,'CATALOGO CECO'!$A$2:$H$550,3,FALSE),""))</f>
        <v/>
      </c>
      <c r="I1665" s="8">
        <f>IF(B1665="","",IFERROR(VLOOKUP(--B1665,'CATALOGO CECO'!$A$2:$H$550,5,FALSE),""))</f>
        <v/>
      </c>
      <c r="J1665" s="8">
        <f>IF(B1665="","",IFERROR(VLOOKUP(--B1665,'CATALOGO CECO'!$A$2:$H$550,8,FALSE),""))</f>
        <v/>
      </c>
      <c r="K1665" s="8">
        <f>IF(COUNTA(A1665:F1665)=0,"",IF(OR(LEN(A1665)&lt;&gt;7,MID(A1665,5,1)&lt;&gt;"-",ISERROR(--LEFT(A1665,4)),ISERROR(--RIGHT(A1665,2))),"ERROR: PERIODO debe ser AAAA-MM",IF(B1665="","ERROR: falta CODIGO CECO",IF(G1665="CECO NO EXISTE","ERROR: CECO no existe en el catálogo",IF(C1665="","ERROR: falta CUENTA",IF(ISERROR(--C1665),"ERROR: CUENTA debe tener solo dígitos",IF(ISERROR(FIND(LEFT(C1665,1),"567")),"ERROR: CUENTA fuera de las clases de costo",IF(NOT(ISNUMBER(E1665)),"ERROR: VALOR debe ser numérico",IF(E1665=0,"AVISO: valor cero (no se carga)",IF(J1665&lt;&gt;"ACTIVO","NO SE CARGA: CECO en estado "&amp;J1665,"OK"))))))))))</f>
        <v/>
      </c>
    </row>
    <row r="1666">
      <c r="A1666" s="5" t="n"/>
      <c r="B1666" s="6" t="n"/>
      <c r="C1666" s="5" t="n"/>
      <c r="D1666" s="6" t="n"/>
      <c r="E1666" s="7" t="n"/>
      <c r="F1666" s="6" t="n"/>
      <c r="G1666" s="8">
        <f>IF(B1666="","",IFERROR(VLOOKUP(--B1666,'CATALOGO CECO'!$A$2:$H$550,2,FALSE),"CECO NO EXISTE"))</f>
        <v/>
      </c>
      <c r="H1666" s="8">
        <f>IF(B1666="","",IFERROR(VLOOKUP(--B1666,'CATALOGO CECO'!$A$2:$H$550,3,FALSE),""))</f>
        <v/>
      </c>
      <c r="I1666" s="8">
        <f>IF(B1666="","",IFERROR(VLOOKUP(--B1666,'CATALOGO CECO'!$A$2:$H$550,5,FALSE),""))</f>
        <v/>
      </c>
      <c r="J1666" s="8">
        <f>IF(B1666="","",IFERROR(VLOOKUP(--B1666,'CATALOGO CECO'!$A$2:$H$550,8,FALSE),""))</f>
        <v/>
      </c>
      <c r="K1666" s="8">
        <f>IF(COUNTA(A1666:F1666)=0,"",IF(OR(LEN(A1666)&lt;&gt;7,MID(A1666,5,1)&lt;&gt;"-",ISERROR(--LEFT(A1666,4)),ISERROR(--RIGHT(A1666,2))),"ERROR: PERIODO debe ser AAAA-MM",IF(B1666="","ERROR: falta CODIGO CECO",IF(G1666="CECO NO EXISTE","ERROR: CECO no existe en el catálogo",IF(C1666="","ERROR: falta CUENTA",IF(ISERROR(--C1666),"ERROR: CUENTA debe tener solo dígitos",IF(ISERROR(FIND(LEFT(C1666,1),"567")),"ERROR: CUENTA fuera de las clases de costo",IF(NOT(ISNUMBER(E1666)),"ERROR: VALOR debe ser numérico",IF(E1666=0,"AVISO: valor cero (no se carga)",IF(J1666&lt;&gt;"ACTIVO","NO SE CARGA: CECO en estado "&amp;J1666,"OK"))))))))))</f>
        <v/>
      </c>
    </row>
    <row r="1667">
      <c r="A1667" s="5" t="n"/>
      <c r="B1667" s="6" t="n"/>
      <c r="C1667" s="5" t="n"/>
      <c r="D1667" s="6" t="n"/>
      <c r="E1667" s="7" t="n"/>
      <c r="F1667" s="6" t="n"/>
      <c r="G1667" s="8">
        <f>IF(B1667="","",IFERROR(VLOOKUP(--B1667,'CATALOGO CECO'!$A$2:$H$550,2,FALSE),"CECO NO EXISTE"))</f>
        <v/>
      </c>
      <c r="H1667" s="8">
        <f>IF(B1667="","",IFERROR(VLOOKUP(--B1667,'CATALOGO CECO'!$A$2:$H$550,3,FALSE),""))</f>
        <v/>
      </c>
      <c r="I1667" s="8">
        <f>IF(B1667="","",IFERROR(VLOOKUP(--B1667,'CATALOGO CECO'!$A$2:$H$550,5,FALSE),""))</f>
        <v/>
      </c>
      <c r="J1667" s="8">
        <f>IF(B1667="","",IFERROR(VLOOKUP(--B1667,'CATALOGO CECO'!$A$2:$H$550,8,FALSE),""))</f>
        <v/>
      </c>
      <c r="K1667" s="8">
        <f>IF(COUNTA(A1667:F1667)=0,"",IF(OR(LEN(A1667)&lt;&gt;7,MID(A1667,5,1)&lt;&gt;"-",ISERROR(--LEFT(A1667,4)),ISERROR(--RIGHT(A1667,2))),"ERROR: PERIODO debe ser AAAA-MM",IF(B1667="","ERROR: falta CODIGO CECO",IF(G1667="CECO NO EXISTE","ERROR: CECO no existe en el catálogo",IF(C1667="","ERROR: falta CUENTA",IF(ISERROR(--C1667),"ERROR: CUENTA debe tener solo dígitos",IF(ISERROR(FIND(LEFT(C1667,1),"567")),"ERROR: CUENTA fuera de las clases de costo",IF(NOT(ISNUMBER(E1667)),"ERROR: VALOR debe ser numérico",IF(E1667=0,"AVISO: valor cero (no se carga)",IF(J1667&lt;&gt;"ACTIVO","NO SE CARGA: CECO en estado "&amp;J1667,"OK"))))))))))</f>
        <v/>
      </c>
    </row>
    <row r="1668">
      <c r="A1668" s="5" t="n"/>
      <c r="B1668" s="6" t="n"/>
      <c r="C1668" s="5" t="n"/>
      <c r="D1668" s="6" t="n"/>
      <c r="E1668" s="7" t="n"/>
      <c r="F1668" s="6" t="n"/>
      <c r="G1668" s="8">
        <f>IF(B1668="","",IFERROR(VLOOKUP(--B1668,'CATALOGO CECO'!$A$2:$H$550,2,FALSE),"CECO NO EXISTE"))</f>
        <v/>
      </c>
      <c r="H1668" s="8">
        <f>IF(B1668="","",IFERROR(VLOOKUP(--B1668,'CATALOGO CECO'!$A$2:$H$550,3,FALSE),""))</f>
        <v/>
      </c>
      <c r="I1668" s="8">
        <f>IF(B1668="","",IFERROR(VLOOKUP(--B1668,'CATALOGO CECO'!$A$2:$H$550,5,FALSE),""))</f>
        <v/>
      </c>
      <c r="J1668" s="8">
        <f>IF(B1668="","",IFERROR(VLOOKUP(--B1668,'CATALOGO CECO'!$A$2:$H$550,8,FALSE),""))</f>
        <v/>
      </c>
      <c r="K1668" s="8">
        <f>IF(COUNTA(A1668:F1668)=0,"",IF(OR(LEN(A1668)&lt;&gt;7,MID(A1668,5,1)&lt;&gt;"-",ISERROR(--LEFT(A1668,4)),ISERROR(--RIGHT(A1668,2))),"ERROR: PERIODO debe ser AAAA-MM",IF(B1668="","ERROR: falta CODIGO CECO",IF(G1668="CECO NO EXISTE","ERROR: CECO no existe en el catálogo",IF(C1668="","ERROR: falta CUENTA",IF(ISERROR(--C1668),"ERROR: CUENTA debe tener solo dígitos",IF(ISERROR(FIND(LEFT(C1668,1),"567")),"ERROR: CUENTA fuera de las clases de costo",IF(NOT(ISNUMBER(E1668)),"ERROR: VALOR debe ser numérico",IF(E1668=0,"AVISO: valor cero (no se carga)",IF(J1668&lt;&gt;"ACTIVO","NO SE CARGA: CECO en estado "&amp;J1668,"OK"))))))))))</f>
        <v/>
      </c>
    </row>
    <row r="1669">
      <c r="A1669" s="5" t="n"/>
      <c r="B1669" s="6" t="n"/>
      <c r="C1669" s="5" t="n"/>
      <c r="D1669" s="6" t="n"/>
      <c r="E1669" s="7" t="n"/>
      <c r="F1669" s="6" t="n"/>
      <c r="G1669" s="8">
        <f>IF(B1669="","",IFERROR(VLOOKUP(--B1669,'CATALOGO CECO'!$A$2:$H$550,2,FALSE),"CECO NO EXISTE"))</f>
        <v/>
      </c>
      <c r="H1669" s="8">
        <f>IF(B1669="","",IFERROR(VLOOKUP(--B1669,'CATALOGO CECO'!$A$2:$H$550,3,FALSE),""))</f>
        <v/>
      </c>
      <c r="I1669" s="8">
        <f>IF(B1669="","",IFERROR(VLOOKUP(--B1669,'CATALOGO CECO'!$A$2:$H$550,5,FALSE),""))</f>
        <v/>
      </c>
      <c r="J1669" s="8">
        <f>IF(B1669="","",IFERROR(VLOOKUP(--B1669,'CATALOGO CECO'!$A$2:$H$550,8,FALSE),""))</f>
        <v/>
      </c>
      <c r="K1669" s="8">
        <f>IF(COUNTA(A1669:F1669)=0,"",IF(OR(LEN(A1669)&lt;&gt;7,MID(A1669,5,1)&lt;&gt;"-",ISERROR(--LEFT(A1669,4)),ISERROR(--RIGHT(A1669,2))),"ERROR: PERIODO debe ser AAAA-MM",IF(B1669="","ERROR: falta CODIGO CECO",IF(G1669="CECO NO EXISTE","ERROR: CECO no existe en el catálogo",IF(C1669="","ERROR: falta CUENTA",IF(ISERROR(--C1669),"ERROR: CUENTA debe tener solo dígitos",IF(ISERROR(FIND(LEFT(C1669,1),"567")),"ERROR: CUENTA fuera de las clases de costo",IF(NOT(ISNUMBER(E1669)),"ERROR: VALOR debe ser numérico",IF(E1669=0,"AVISO: valor cero (no se carga)",IF(J1669&lt;&gt;"ACTIVO","NO SE CARGA: CECO en estado "&amp;J1669,"OK"))))))))))</f>
        <v/>
      </c>
    </row>
    <row r="1670">
      <c r="A1670" s="5" t="n"/>
      <c r="B1670" s="6" t="n"/>
      <c r="C1670" s="5" t="n"/>
      <c r="D1670" s="6" t="n"/>
      <c r="E1670" s="7" t="n"/>
      <c r="F1670" s="6" t="n"/>
      <c r="G1670" s="8">
        <f>IF(B1670="","",IFERROR(VLOOKUP(--B1670,'CATALOGO CECO'!$A$2:$H$550,2,FALSE),"CECO NO EXISTE"))</f>
        <v/>
      </c>
      <c r="H1670" s="8">
        <f>IF(B1670="","",IFERROR(VLOOKUP(--B1670,'CATALOGO CECO'!$A$2:$H$550,3,FALSE),""))</f>
        <v/>
      </c>
      <c r="I1670" s="8">
        <f>IF(B1670="","",IFERROR(VLOOKUP(--B1670,'CATALOGO CECO'!$A$2:$H$550,5,FALSE),""))</f>
        <v/>
      </c>
      <c r="J1670" s="8">
        <f>IF(B1670="","",IFERROR(VLOOKUP(--B1670,'CATALOGO CECO'!$A$2:$H$550,8,FALSE),""))</f>
        <v/>
      </c>
      <c r="K1670" s="8">
        <f>IF(COUNTA(A1670:F1670)=0,"",IF(OR(LEN(A1670)&lt;&gt;7,MID(A1670,5,1)&lt;&gt;"-",ISERROR(--LEFT(A1670,4)),ISERROR(--RIGHT(A1670,2))),"ERROR: PERIODO debe ser AAAA-MM",IF(B1670="","ERROR: falta CODIGO CECO",IF(G1670="CECO NO EXISTE","ERROR: CECO no existe en el catálogo",IF(C1670="","ERROR: falta CUENTA",IF(ISERROR(--C1670),"ERROR: CUENTA debe tener solo dígitos",IF(ISERROR(FIND(LEFT(C1670,1),"567")),"ERROR: CUENTA fuera de las clases de costo",IF(NOT(ISNUMBER(E1670)),"ERROR: VALOR debe ser numérico",IF(E1670=0,"AVISO: valor cero (no se carga)",IF(J1670&lt;&gt;"ACTIVO","NO SE CARGA: CECO en estado "&amp;J1670,"OK"))))))))))</f>
        <v/>
      </c>
    </row>
    <row r="1671">
      <c r="A1671" s="5" t="n"/>
      <c r="B1671" s="6" t="n"/>
      <c r="C1671" s="5" t="n"/>
      <c r="D1671" s="6" t="n"/>
      <c r="E1671" s="7" t="n"/>
      <c r="F1671" s="6" t="n"/>
      <c r="G1671" s="8">
        <f>IF(B1671="","",IFERROR(VLOOKUP(--B1671,'CATALOGO CECO'!$A$2:$H$550,2,FALSE),"CECO NO EXISTE"))</f>
        <v/>
      </c>
      <c r="H1671" s="8">
        <f>IF(B1671="","",IFERROR(VLOOKUP(--B1671,'CATALOGO CECO'!$A$2:$H$550,3,FALSE),""))</f>
        <v/>
      </c>
      <c r="I1671" s="8">
        <f>IF(B1671="","",IFERROR(VLOOKUP(--B1671,'CATALOGO CECO'!$A$2:$H$550,5,FALSE),""))</f>
        <v/>
      </c>
      <c r="J1671" s="8">
        <f>IF(B1671="","",IFERROR(VLOOKUP(--B1671,'CATALOGO CECO'!$A$2:$H$550,8,FALSE),""))</f>
        <v/>
      </c>
      <c r="K1671" s="8">
        <f>IF(COUNTA(A1671:F1671)=0,"",IF(OR(LEN(A1671)&lt;&gt;7,MID(A1671,5,1)&lt;&gt;"-",ISERROR(--LEFT(A1671,4)),ISERROR(--RIGHT(A1671,2))),"ERROR: PERIODO debe ser AAAA-MM",IF(B1671="","ERROR: falta CODIGO CECO",IF(G1671="CECO NO EXISTE","ERROR: CECO no existe en el catálogo",IF(C1671="","ERROR: falta CUENTA",IF(ISERROR(--C1671),"ERROR: CUENTA debe tener solo dígitos",IF(ISERROR(FIND(LEFT(C1671,1),"567")),"ERROR: CUENTA fuera de las clases de costo",IF(NOT(ISNUMBER(E1671)),"ERROR: VALOR debe ser numérico",IF(E1671=0,"AVISO: valor cero (no se carga)",IF(J1671&lt;&gt;"ACTIVO","NO SE CARGA: CECO en estado "&amp;J1671,"OK"))))))))))</f>
        <v/>
      </c>
    </row>
    <row r="1672">
      <c r="A1672" s="5" t="n"/>
      <c r="B1672" s="6" t="n"/>
      <c r="C1672" s="5" t="n"/>
      <c r="D1672" s="6" t="n"/>
      <c r="E1672" s="7" t="n"/>
      <c r="F1672" s="6" t="n"/>
      <c r="G1672" s="8">
        <f>IF(B1672="","",IFERROR(VLOOKUP(--B1672,'CATALOGO CECO'!$A$2:$H$550,2,FALSE),"CECO NO EXISTE"))</f>
        <v/>
      </c>
      <c r="H1672" s="8">
        <f>IF(B1672="","",IFERROR(VLOOKUP(--B1672,'CATALOGO CECO'!$A$2:$H$550,3,FALSE),""))</f>
        <v/>
      </c>
      <c r="I1672" s="8">
        <f>IF(B1672="","",IFERROR(VLOOKUP(--B1672,'CATALOGO CECO'!$A$2:$H$550,5,FALSE),""))</f>
        <v/>
      </c>
      <c r="J1672" s="8">
        <f>IF(B1672="","",IFERROR(VLOOKUP(--B1672,'CATALOGO CECO'!$A$2:$H$550,8,FALSE),""))</f>
        <v/>
      </c>
      <c r="K1672" s="8">
        <f>IF(COUNTA(A1672:F1672)=0,"",IF(OR(LEN(A1672)&lt;&gt;7,MID(A1672,5,1)&lt;&gt;"-",ISERROR(--LEFT(A1672,4)),ISERROR(--RIGHT(A1672,2))),"ERROR: PERIODO debe ser AAAA-MM",IF(B1672="","ERROR: falta CODIGO CECO",IF(G1672="CECO NO EXISTE","ERROR: CECO no existe en el catálogo",IF(C1672="","ERROR: falta CUENTA",IF(ISERROR(--C1672),"ERROR: CUENTA debe tener solo dígitos",IF(ISERROR(FIND(LEFT(C1672,1),"567")),"ERROR: CUENTA fuera de las clases de costo",IF(NOT(ISNUMBER(E1672)),"ERROR: VALOR debe ser numérico",IF(E1672=0,"AVISO: valor cero (no se carga)",IF(J1672&lt;&gt;"ACTIVO","NO SE CARGA: CECO en estado "&amp;J1672,"OK"))))))))))</f>
        <v/>
      </c>
    </row>
    <row r="1673">
      <c r="A1673" s="5" t="n"/>
      <c r="B1673" s="6" t="n"/>
      <c r="C1673" s="5" t="n"/>
      <c r="D1673" s="6" t="n"/>
      <c r="E1673" s="7" t="n"/>
      <c r="F1673" s="6" t="n"/>
      <c r="G1673" s="8">
        <f>IF(B1673="","",IFERROR(VLOOKUP(--B1673,'CATALOGO CECO'!$A$2:$H$550,2,FALSE),"CECO NO EXISTE"))</f>
        <v/>
      </c>
      <c r="H1673" s="8">
        <f>IF(B1673="","",IFERROR(VLOOKUP(--B1673,'CATALOGO CECO'!$A$2:$H$550,3,FALSE),""))</f>
        <v/>
      </c>
      <c r="I1673" s="8">
        <f>IF(B1673="","",IFERROR(VLOOKUP(--B1673,'CATALOGO CECO'!$A$2:$H$550,5,FALSE),""))</f>
        <v/>
      </c>
      <c r="J1673" s="8">
        <f>IF(B1673="","",IFERROR(VLOOKUP(--B1673,'CATALOGO CECO'!$A$2:$H$550,8,FALSE),""))</f>
        <v/>
      </c>
      <c r="K1673" s="8">
        <f>IF(COUNTA(A1673:F1673)=0,"",IF(OR(LEN(A1673)&lt;&gt;7,MID(A1673,5,1)&lt;&gt;"-",ISERROR(--LEFT(A1673,4)),ISERROR(--RIGHT(A1673,2))),"ERROR: PERIODO debe ser AAAA-MM",IF(B1673="","ERROR: falta CODIGO CECO",IF(G1673="CECO NO EXISTE","ERROR: CECO no existe en el catálogo",IF(C1673="","ERROR: falta CUENTA",IF(ISERROR(--C1673),"ERROR: CUENTA debe tener solo dígitos",IF(ISERROR(FIND(LEFT(C1673,1),"567")),"ERROR: CUENTA fuera de las clases de costo",IF(NOT(ISNUMBER(E1673)),"ERROR: VALOR debe ser numérico",IF(E1673=0,"AVISO: valor cero (no se carga)",IF(J1673&lt;&gt;"ACTIVO","NO SE CARGA: CECO en estado "&amp;J1673,"OK"))))))))))</f>
        <v/>
      </c>
    </row>
    <row r="1674">
      <c r="A1674" s="5" t="n"/>
      <c r="B1674" s="6" t="n"/>
      <c r="C1674" s="5" t="n"/>
      <c r="D1674" s="6" t="n"/>
      <c r="E1674" s="7" t="n"/>
      <c r="F1674" s="6" t="n"/>
      <c r="G1674" s="8">
        <f>IF(B1674="","",IFERROR(VLOOKUP(--B1674,'CATALOGO CECO'!$A$2:$H$550,2,FALSE),"CECO NO EXISTE"))</f>
        <v/>
      </c>
      <c r="H1674" s="8">
        <f>IF(B1674="","",IFERROR(VLOOKUP(--B1674,'CATALOGO CECO'!$A$2:$H$550,3,FALSE),""))</f>
        <v/>
      </c>
      <c r="I1674" s="8">
        <f>IF(B1674="","",IFERROR(VLOOKUP(--B1674,'CATALOGO CECO'!$A$2:$H$550,5,FALSE),""))</f>
        <v/>
      </c>
      <c r="J1674" s="8">
        <f>IF(B1674="","",IFERROR(VLOOKUP(--B1674,'CATALOGO CECO'!$A$2:$H$550,8,FALSE),""))</f>
        <v/>
      </c>
      <c r="K1674" s="8">
        <f>IF(COUNTA(A1674:F1674)=0,"",IF(OR(LEN(A1674)&lt;&gt;7,MID(A1674,5,1)&lt;&gt;"-",ISERROR(--LEFT(A1674,4)),ISERROR(--RIGHT(A1674,2))),"ERROR: PERIODO debe ser AAAA-MM",IF(B1674="","ERROR: falta CODIGO CECO",IF(G1674="CECO NO EXISTE","ERROR: CECO no existe en el catálogo",IF(C1674="","ERROR: falta CUENTA",IF(ISERROR(--C1674),"ERROR: CUENTA debe tener solo dígitos",IF(ISERROR(FIND(LEFT(C1674,1),"567")),"ERROR: CUENTA fuera de las clases de costo",IF(NOT(ISNUMBER(E1674)),"ERROR: VALOR debe ser numérico",IF(E1674=0,"AVISO: valor cero (no se carga)",IF(J1674&lt;&gt;"ACTIVO","NO SE CARGA: CECO en estado "&amp;J1674,"OK"))))))))))</f>
        <v/>
      </c>
    </row>
    <row r="1675">
      <c r="A1675" s="5" t="n"/>
      <c r="B1675" s="6" t="n"/>
      <c r="C1675" s="5" t="n"/>
      <c r="D1675" s="6" t="n"/>
      <c r="E1675" s="7" t="n"/>
      <c r="F1675" s="6" t="n"/>
      <c r="G1675" s="8">
        <f>IF(B1675="","",IFERROR(VLOOKUP(--B1675,'CATALOGO CECO'!$A$2:$H$550,2,FALSE),"CECO NO EXISTE"))</f>
        <v/>
      </c>
      <c r="H1675" s="8">
        <f>IF(B1675="","",IFERROR(VLOOKUP(--B1675,'CATALOGO CECO'!$A$2:$H$550,3,FALSE),""))</f>
        <v/>
      </c>
      <c r="I1675" s="8">
        <f>IF(B1675="","",IFERROR(VLOOKUP(--B1675,'CATALOGO CECO'!$A$2:$H$550,5,FALSE),""))</f>
        <v/>
      </c>
      <c r="J1675" s="8">
        <f>IF(B1675="","",IFERROR(VLOOKUP(--B1675,'CATALOGO CECO'!$A$2:$H$550,8,FALSE),""))</f>
        <v/>
      </c>
      <c r="K1675" s="8">
        <f>IF(COUNTA(A1675:F1675)=0,"",IF(OR(LEN(A1675)&lt;&gt;7,MID(A1675,5,1)&lt;&gt;"-",ISERROR(--LEFT(A1675,4)),ISERROR(--RIGHT(A1675,2))),"ERROR: PERIODO debe ser AAAA-MM",IF(B1675="","ERROR: falta CODIGO CECO",IF(G1675="CECO NO EXISTE","ERROR: CECO no existe en el catálogo",IF(C1675="","ERROR: falta CUENTA",IF(ISERROR(--C1675),"ERROR: CUENTA debe tener solo dígitos",IF(ISERROR(FIND(LEFT(C1675,1),"567")),"ERROR: CUENTA fuera de las clases de costo",IF(NOT(ISNUMBER(E1675)),"ERROR: VALOR debe ser numérico",IF(E1675=0,"AVISO: valor cero (no se carga)",IF(J1675&lt;&gt;"ACTIVO","NO SE CARGA: CECO en estado "&amp;J1675,"OK"))))))))))</f>
        <v/>
      </c>
    </row>
    <row r="1676">
      <c r="A1676" s="5" t="n"/>
      <c r="B1676" s="6" t="n"/>
      <c r="C1676" s="5" t="n"/>
      <c r="D1676" s="6" t="n"/>
      <c r="E1676" s="7" t="n"/>
      <c r="F1676" s="6" t="n"/>
      <c r="G1676" s="8">
        <f>IF(B1676="","",IFERROR(VLOOKUP(--B1676,'CATALOGO CECO'!$A$2:$H$550,2,FALSE),"CECO NO EXISTE"))</f>
        <v/>
      </c>
      <c r="H1676" s="8">
        <f>IF(B1676="","",IFERROR(VLOOKUP(--B1676,'CATALOGO CECO'!$A$2:$H$550,3,FALSE),""))</f>
        <v/>
      </c>
      <c r="I1676" s="8">
        <f>IF(B1676="","",IFERROR(VLOOKUP(--B1676,'CATALOGO CECO'!$A$2:$H$550,5,FALSE),""))</f>
        <v/>
      </c>
      <c r="J1676" s="8">
        <f>IF(B1676="","",IFERROR(VLOOKUP(--B1676,'CATALOGO CECO'!$A$2:$H$550,8,FALSE),""))</f>
        <v/>
      </c>
      <c r="K1676" s="8">
        <f>IF(COUNTA(A1676:F1676)=0,"",IF(OR(LEN(A1676)&lt;&gt;7,MID(A1676,5,1)&lt;&gt;"-",ISERROR(--LEFT(A1676,4)),ISERROR(--RIGHT(A1676,2))),"ERROR: PERIODO debe ser AAAA-MM",IF(B1676="","ERROR: falta CODIGO CECO",IF(G1676="CECO NO EXISTE","ERROR: CECO no existe en el catálogo",IF(C1676="","ERROR: falta CUENTA",IF(ISERROR(--C1676),"ERROR: CUENTA debe tener solo dígitos",IF(ISERROR(FIND(LEFT(C1676,1),"567")),"ERROR: CUENTA fuera de las clases de costo",IF(NOT(ISNUMBER(E1676)),"ERROR: VALOR debe ser numérico",IF(E1676=0,"AVISO: valor cero (no se carga)",IF(J1676&lt;&gt;"ACTIVO","NO SE CARGA: CECO en estado "&amp;J1676,"OK"))))))))))</f>
        <v/>
      </c>
    </row>
    <row r="1677">
      <c r="A1677" s="5" t="n"/>
      <c r="B1677" s="6" t="n"/>
      <c r="C1677" s="5" t="n"/>
      <c r="D1677" s="6" t="n"/>
      <c r="E1677" s="7" t="n"/>
      <c r="F1677" s="6" t="n"/>
      <c r="G1677" s="8">
        <f>IF(B1677="","",IFERROR(VLOOKUP(--B1677,'CATALOGO CECO'!$A$2:$H$550,2,FALSE),"CECO NO EXISTE"))</f>
        <v/>
      </c>
      <c r="H1677" s="8">
        <f>IF(B1677="","",IFERROR(VLOOKUP(--B1677,'CATALOGO CECO'!$A$2:$H$550,3,FALSE),""))</f>
        <v/>
      </c>
      <c r="I1677" s="8">
        <f>IF(B1677="","",IFERROR(VLOOKUP(--B1677,'CATALOGO CECO'!$A$2:$H$550,5,FALSE),""))</f>
        <v/>
      </c>
      <c r="J1677" s="8">
        <f>IF(B1677="","",IFERROR(VLOOKUP(--B1677,'CATALOGO CECO'!$A$2:$H$550,8,FALSE),""))</f>
        <v/>
      </c>
      <c r="K1677" s="8">
        <f>IF(COUNTA(A1677:F1677)=0,"",IF(OR(LEN(A1677)&lt;&gt;7,MID(A1677,5,1)&lt;&gt;"-",ISERROR(--LEFT(A1677,4)),ISERROR(--RIGHT(A1677,2))),"ERROR: PERIODO debe ser AAAA-MM",IF(B1677="","ERROR: falta CODIGO CECO",IF(G1677="CECO NO EXISTE","ERROR: CECO no existe en el catálogo",IF(C1677="","ERROR: falta CUENTA",IF(ISERROR(--C1677),"ERROR: CUENTA debe tener solo dígitos",IF(ISERROR(FIND(LEFT(C1677,1),"567")),"ERROR: CUENTA fuera de las clases de costo",IF(NOT(ISNUMBER(E1677)),"ERROR: VALOR debe ser numérico",IF(E1677=0,"AVISO: valor cero (no se carga)",IF(J1677&lt;&gt;"ACTIVO","NO SE CARGA: CECO en estado "&amp;J1677,"OK"))))))))))</f>
        <v/>
      </c>
    </row>
    <row r="1678">
      <c r="A1678" s="5" t="n"/>
      <c r="B1678" s="6" t="n"/>
      <c r="C1678" s="5" t="n"/>
      <c r="D1678" s="6" t="n"/>
      <c r="E1678" s="7" t="n"/>
      <c r="F1678" s="6" t="n"/>
      <c r="G1678" s="8">
        <f>IF(B1678="","",IFERROR(VLOOKUP(--B1678,'CATALOGO CECO'!$A$2:$H$550,2,FALSE),"CECO NO EXISTE"))</f>
        <v/>
      </c>
      <c r="H1678" s="8">
        <f>IF(B1678="","",IFERROR(VLOOKUP(--B1678,'CATALOGO CECO'!$A$2:$H$550,3,FALSE),""))</f>
        <v/>
      </c>
      <c r="I1678" s="8">
        <f>IF(B1678="","",IFERROR(VLOOKUP(--B1678,'CATALOGO CECO'!$A$2:$H$550,5,FALSE),""))</f>
        <v/>
      </c>
      <c r="J1678" s="8">
        <f>IF(B1678="","",IFERROR(VLOOKUP(--B1678,'CATALOGO CECO'!$A$2:$H$550,8,FALSE),""))</f>
        <v/>
      </c>
      <c r="K1678" s="8">
        <f>IF(COUNTA(A1678:F1678)=0,"",IF(OR(LEN(A1678)&lt;&gt;7,MID(A1678,5,1)&lt;&gt;"-",ISERROR(--LEFT(A1678,4)),ISERROR(--RIGHT(A1678,2))),"ERROR: PERIODO debe ser AAAA-MM",IF(B1678="","ERROR: falta CODIGO CECO",IF(G1678="CECO NO EXISTE","ERROR: CECO no existe en el catálogo",IF(C1678="","ERROR: falta CUENTA",IF(ISERROR(--C1678),"ERROR: CUENTA debe tener solo dígitos",IF(ISERROR(FIND(LEFT(C1678,1),"567")),"ERROR: CUENTA fuera de las clases de costo",IF(NOT(ISNUMBER(E1678)),"ERROR: VALOR debe ser numérico",IF(E1678=0,"AVISO: valor cero (no se carga)",IF(J1678&lt;&gt;"ACTIVO","NO SE CARGA: CECO en estado "&amp;J1678,"OK"))))))))))</f>
        <v/>
      </c>
    </row>
    <row r="1679">
      <c r="A1679" s="5" t="n"/>
      <c r="B1679" s="6" t="n"/>
      <c r="C1679" s="5" t="n"/>
      <c r="D1679" s="6" t="n"/>
      <c r="E1679" s="7" t="n"/>
      <c r="F1679" s="6" t="n"/>
      <c r="G1679" s="8">
        <f>IF(B1679="","",IFERROR(VLOOKUP(--B1679,'CATALOGO CECO'!$A$2:$H$550,2,FALSE),"CECO NO EXISTE"))</f>
        <v/>
      </c>
      <c r="H1679" s="8">
        <f>IF(B1679="","",IFERROR(VLOOKUP(--B1679,'CATALOGO CECO'!$A$2:$H$550,3,FALSE),""))</f>
        <v/>
      </c>
      <c r="I1679" s="8">
        <f>IF(B1679="","",IFERROR(VLOOKUP(--B1679,'CATALOGO CECO'!$A$2:$H$550,5,FALSE),""))</f>
        <v/>
      </c>
      <c r="J1679" s="8">
        <f>IF(B1679="","",IFERROR(VLOOKUP(--B1679,'CATALOGO CECO'!$A$2:$H$550,8,FALSE),""))</f>
        <v/>
      </c>
      <c r="K1679" s="8">
        <f>IF(COUNTA(A1679:F1679)=0,"",IF(OR(LEN(A1679)&lt;&gt;7,MID(A1679,5,1)&lt;&gt;"-",ISERROR(--LEFT(A1679,4)),ISERROR(--RIGHT(A1679,2))),"ERROR: PERIODO debe ser AAAA-MM",IF(B1679="","ERROR: falta CODIGO CECO",IF(G1679="CECO NO EXISTE","ERROR: CECO no existe en el catálogo",IF(C1679="","ERROR: falta CUENTA",IF(ISERROR(--C1679),"ERROR: CUENTA debe tener solo dígitos",IF(ISERROR(FIND(LEFT(C1679,1),"567")),"ERROR: CUENTA fuera de las clases de costo",IF(NOT(ISNUMBER(E1679)),"ERROR: VALOR debe ser numérico",IF(E1679=0,"AVISO: valor cero (no se carga)",IF(J1679&lt;&gt;"ACTIVO","NO SE CARGA: CECO en estado "&amp;J1679,"OK"))))))))))</f>
        <v/>
      </c>
    </row>
    <row r="1680">
      <c r="A1680" s="5" t="n"/>
      <c r="B1680" s="6" t="n"/>
      <c r="C1680" s="5" t="n"/>
      <c r="D1680" s="6" t="n"/>
      <c r="E1680" s="7" t="n"/>
      <c r="F1680" s="6" t="n"/>
      <c r="G1680" s="8">
        <f>IF(B1680="","",IFERROR(VLOOKUP(--B1680,'CATALOGO CECO'!$A$2:$H$550,2,FALSE),"CECO NO EXISTE"))</f>
        <v/>
      </c>
      <c r="H1680" s="8">
        <f>IF(B1680="","",IFERROR(VLOOKUP(--B1680,'CATALOGO CECO'!$A$2:$H$550,3,FALSE),""))</f>
        <v/>
      </c>
      <c r="I1680" s="8">
        <f>IF(B1680="","",IFERROR(VLOOKUP(--B1680,'CATALOGO CECO'!$A$2:$H$550,5,FALSE),""))</f>
        <v/>
      </c>
      <c r="J1680" s="8">
        <f>IF(B1680="","",IFERROR(VLOOKUP(--B1680,'CATALOGO CECO'!$A$2:$H$550,8,FALSE),""))</f>
        <v/>
      </c>
      <c r="K1680" s="8">
        <f>IF(COUNTA(A1680:F1680)=0,"",IF(OR(LEN(A1680)&lt;&gt;7,MID(A1680,5,1)&lt;&gt;"-",ISERROR(--LEFT(A1680,4)),ISERROR(--RIGHT(A1680,2))),"ERROR: PERIODO debe ser AAAA-MM",IF(B1680="","ERROR: falta CODIGO CECO",IF(G1680="CECO NO EXISTE","ERROR: CECO no existe en el catálogo",IF(C1680="","ERROR: falta CUENTA",IF(ISERROR(--C1680),"ERROR: CUENTA debe tener solo dígitos",IF(ISERROR(FIND(LEFT(C1680,1),"567")),"ERROR: CUENTA fuera de las clases de costo",IF(NOT(ISNUMBER(E1680)),"ERROR: VALOR debe ser numérico",IF(E1680=0,"AVISO: valor cero (no se carga)",IF(J1680&lt;&gt;"ACTIVO","NO SE CARGA: CECO en estado "&amp;J1680,"OK"))))))))))</f>
        <v/>
      </c>
    </row>
    <row r="1681">
      <c r="A1681" s="5" t="n"/>
      <c r="B1681" s="6" t="n"/>
      <c r="C1681" s="5" t="n"/>
      <c r="D1681" s="6" t="n"/>
      <c r="E1681" s="7" t="n"/>
      <c r="F1681" s="6" t="n"/>
      <c r="G1681" s="8">
        <f>IF(B1681="","",IFERROR(VLOOKUP(--B1681,'CATALOGO CECO'!$A$2:$H$550,2,FALSE),"CECO NO EXISTE"))</f>
        <v/>
      </c>
      <c r="H1681" s="8">
        <f>IF(B1681="","",IFERROR(VLOOKUP(--B1681,'CATALOGO CECO'!$A$2:$H$550,3,FALSE),""))</f>
        <v/>
      </c>
      <c r="I1681" s="8">
        <f>IF(B1681="","",IFERROR(VLOOKUP(--B1681,'CATALOGO CECO'!$A$2:$H$550,5,FALSE),""))</f>
        <v/>
      </c>
      <c r="J1681" s="8">
        <f>IF(B1681="","",IFERROR(VLOOKUP(--B1681,'CATALOGO CECO'!$A$2:$H$550,8,FALSE),""))</f>
        <v/>
      </c>
      <c r="K1681" s="8">
        <f>IF(COUNTA(A1681:F1681)=0,"",IF(OR(LEN(A1681)&lt;&gt;7,MID(A1681,5,1)&lt;&gt;"-",ISERROR(--LEFT(A1681,4)),ISERROR(--RIGHT(A1681,2))),"ERROR: PERIODO debe ser AAAA-MM",IF(B1681="","ERROR: falta CODIGO CECO",IF(G1681="CECO NO EXISTE","ERROR: CECO no existe en el catálogo",IF(C1681="","ERROR: falta CUENTA",IF(ISERROR(--C1681),"ERROR: CUENTA debe tener solo dígitos",IF(ISERROR(FIND(LEFT(C1681,1),"567")),"ERROR: CUENTA fuera de las clases de costo",IF(NOT(ISNUMBER(E1681)),"ERROR: VALOR debe ser numérico",IF(E1681=0,"AVISO: valor cero (no se carga)",IF(J1681&lt;&gt;"ACTIVO","NO SE CARGA: CECO en estado "&amp;J1681,"OK"))))))))))</f>
        <v/>
      </c>
    </row>
    <row r="1682">
      <c r="A1682" s="5" t="n"/>
      <c r="B1682" s="6" t="n"/>
      <c r="C1682" s="5" t="n"/>
      <c r="D1682" s="6" t="n"/>
      <c r="E1682" s="7" t="n"/>
      <c r="F1682" s="6" t="n"/>
      <c r="G1682" s="8">
        <f>IF(B1682="","",IFERROR(VLOOKUP(--B1682,'CATALOGO CECO'!$A$2:$H$550,2,FALSE),"CECO NO EXISTE"))</f>
        <v/>
      </c>
      <c r="H1682" s="8">
        <f>IF(B1682="","",IFERROR(VLOOKUP(--B1682,'CATALOGO CECO'!$A$2:$H$550,3,FALSE),""))</f>
        <v/>
      </c>
      <c r="I1682" s="8">
        <f>IF(B1682="","",IFERROR(VLOOKUP(--B1682,'CATALOGO CECO'!$A$2:$H$550,5,FALSE),""))</f>
        <v/>
      </c>
      <c r="J1682" s="8">
        <f>IF(B1682="","",IFERROR(VLOOKUP(--B1682,'CATALOGO CECO'!$A$2:$H$550,8,FALSE),""))</f>
        <v/>
      </c>
      <c r="K1682" s="8">
        <f>IF(COUNTA(A1682:F1682)=0,"",IF(OR(LEN(A1682)&lt;&gt;7,MID(A1682,5,1)&lt;&gt;"-",ISERROR(--LEFT(A1682,4)),ISERROR(--RIGHT(A1682,2))),"ERROR: PERIODO debe ser AAAA-MM",IF(B1682="","ERROR: falta CODIGO CECO",IF(G1682="CECO NO EXISTE","ERROR: CECO no existe en el catálogo",IF(C1682="","ERROR: falta CUENTA",IF(ISERROR(--C1682),"ERROR: CUENTA debe tener solo dígitos",IF(ISERROR(FIND(LEFT(C1682,1),"567")),"ERROR: CUENTA fuera de las clases de costo",IF(NOT(ISNUMBER(E1682)),"ERROR: VALOR debe ser numérico",IF(E1682=0,"AVISO: valor cero (no se carga)",IF(J1682&lt;&gt;"ACTIVO","NO SE CARGA: CECO en estado "&amp;J1682,"OK"))))))))))</f>
        <v/>
      </c>
    </row>
    <row r="1683">
      <c r="A1683" s="5" t="n"/>
      <c r="B1683" s="6" t="n"/>
      <c r="C1683" s="5" t="n"/>
      <c r="D1683" s="6" t="n"/>
      <c r="E1683" s="7" t="n"/>
      <c r="F1683" s="6" t="n"/>
      <c r="G1683" s="8">
        <f>IF(B1683="","",IFERROR(VLOOKUP(--B1683,'CATALOGO CECO'!$A$2:$H$550,2,FALSE),"CECO NO EXISTE"))</f>
        <v/>
      </c>
      <c r="H1683" s="8">
        <f>IF(B1683="","",IFERROR(VLOOKUP(--B1683,'CATALOGO CECO'!$A$2:$H$550,3,FALSE),""))</f>
        <v/>
      </c>
      <c r="I1683" s="8">
        <f>IF(B1683="","",IFERROR(VLOOKUP(--B1683,'CATALOGO CECO'!$A$2:$H$550,5,FALSE),""))</f>
        <v/>
      </c>
      <c r="J1683" s="8">
        <f>IF(B1683="","",IFERROR(VLOOKUP(--B1683,'CATALOGO CECO'!$A$2:$H$550,8,FALSE),""))</f>
        <v/>
      </c>
      <c r="K1683" s="8">
        <f>IF(COUNTA(A1683:F1683)=0,"",IF(OR(LEN(A1683)&lt;&gt;7,MID(A1683,5,1)&lt;&gt;"-",ISERROR(--LEFT(A1683,4)),ISERROR(--RIGHT(A1683,2))),"ERROR: PERIODO debe ser AAAA-MM",IF(B1683="","ERROR: falta CODIGO CECO",IF(G1683="CECO NO EXISTE","ERROR: CECO no existe en el catálogo",IF(C1683="","ERROR: falta CUENTA",IF(ISERROR(--C1683),"ERROR: CUENTA debe tener solo dígitos",IF(ISERROR(FIND(LEFT(C1683,1),"567")),"ERROR: CUENTA fuera de las clases de costo",IF(NOT(ISNUMBER(E1683)),"ERROR: VALOR debe ser numérico",IF(E1683=0,"AVISO: valor cero (no se carga)",IF(J1683&lt;&gt;"ACTIVO","NO SE CARGA: CECO en estado "&amp;J1683,"OK"))))))))))</f>
        <v/>
      </c>
    </row>
    <row r="1684">
      <c r="A1684" s="5" t="n"/>
      <c r="B1684" s="6" t="n"/>
      <c r="C1684" s="5" t="n"/>
      <c r="D1684" s="6" t="n"/>
      <c r="E1684" s="7" t="n"/>
      <c r="F1684" s="6" t="n"/>
      <c r="G1684" s="8">
        <f>IF(B1684="","",IFERROR(VLOOKUP(--B1684,'CATALOGO CECO'!$A$2:$H$550,2,FALSE),"CECO NO EXISTE"))</f>
        <v/>
      </c>
      <c r="H1684" s="8">
        <f>IF(B1684="","",IFERROR(VLOOKUP(--B1684,'CATALOGO CECO'!$A$2:$H$550,3,FALSE),""))</f>
        <v/>
      </c>
      <c r="I1684" s="8">
        <f>IF(B1684="","",IFERROR(VLOOKUP(--B1684,'CATALOGO CECO'!$A$2:$H$550,5,FALSE),""))</f>
        <v/>
      </c>
      <c r="J1684" s="8">
        <f>IF(B1684="","",IFERROR(VLOOKUP(--B1684,'CATALOGO CECO'!$A$2:$H$550,8,FALSE),""))</f>
        <v/>
      </c>
      <c r="K1684" s="8">
        <f>IF(COUNTA(A1684:F1684)=0,"",IF(OR(LEN(A1684)&lt;&gt;7,MID(A1684,5,1)&lt;&gt;"-",ISERROR(--LEFT(A1684,4)),ISERROR(--RIGHT(A1684,2))),"ERROR: PERIODO debe ser AAAA-MM",IF(B1684="","ERROR: falta CODIGO CECO",IF(G1684="CECO NO EXISTE","ERROR: CECO no existe en el catálogo",IF(C1684="","ERROR: falta CUENTA",IF(ISERROR(--C1684),"ERROR: CUENTA debe tener solo dígitos",IF(ISERROR(FIND(LEFT(C1684,1),"567")),"ERROR: CUENTA fuera de las clases de costo",IF(NOT(ISNUMBER(E1684)),"ERROR: VALOR debe ser numérico",IF(E1684=0,"AVISO: valor cero (no se carga)",IF(J1684&lt;&gt;"ACTIVO","NO SE CARGA: CECO en estado "&amp;J1684,"OK"))))))))))</f>
        <v/>
      </c>
    </row>
    <row r="1685">
      <c r="A1685" s="5" t="n"/>
      <c r="B1685" s="6" t="n"/>
      <c r="C1685" s="5" t="n"/>
      <c r="D1685" s="6" t="n"/>
      <c r="E1685" s="7" t="n"/>
      <c r="F1685" s="6" t="n"/>
      <c r="G1685" s="8">
        <f>IF(B1685="","",IFERROR(VLOOKUP(--B1685,'CATALOGO CECO'!$A$2:$H$550,2,FALSE),"CECO NO EXISTE"))</f>
        <v/>
      </c>
      <c r="H1685" s="8">
        <f>IF(B1685="","",IFERROR(VLOOKUP(--B1685,'CATALOGO CECO'!$A$2:$H$550,3,FALSE),""))</f>
        <v/>
      </c>
      <c r="I1685" s="8">
        <f>IF(B1685="","",IFERROR(VLOOKUP(--B1685,'CATALOGO CECO'!$A$2:$H$550,5,FALSE),""))</f>
        <v/>
      </c>
      <c r="J1685" s="8">
        <f>IF(B1685="","",IFERROR(VLOOKUP(--B1685,'CATALOGO CECO'!$A$2:$H$550,8,FALSE),""))</f>
        <v/>
      </c>
      <c r="K1685" s="8">
        <f>IF(COUNTA(A1685:F1685)=0,"",IF(OR(LEN(A1685)&lt;&gt;7,MID(A1685,5,1)&lt;&gt;"-",ISERROR(--LEFT(A1685,4)),ISERROR(--RIGHT(A1685,2))),"ERROR: PERIODO debe ser AAAA-MM",IF(B1685="","ERROR: falta CODIGO CECO",IF(G1685="CECO NO EXISTE","ERROR: CECO no existe en el catálogo",IF(C1685="","ERROR: falta CUENTA",IF(ISERROR(--C1685),"ERROR: CUENTA debe tener solo dígitos",IF(ISERROR(FIND(LEFT(C1685,1),"567")),"ERROR: CUENTA fuera de las clases de costo",IF(NOT(ISNUMBER(E1685)),"ERROR: VALOR debe ser numérico",IF(E1685=0,"AVISO: valor cero (no se carga)",IF(J1685&lt;&gt;"ACTIVO","NO SE CARGA: CECO en estado "&amp;J1685,"OK"))))))))))</f>
        <v/>
      </c>
    </row>
    <row r="1686">
      <c r="A1686" s="5" t="n"/>
      <c r="B1686" s="6" t="n"/>
      <c r="C1686" s="5" t="n"/>
      <c r="D1686" s="6" t="n"/>
      <c r="E1686" s="7" t="n"/>
      <c r="F1686" s="6" t="n"/>
      <c r="G1686" s="8">
        <f>IF(B1686="","",IFERROR(VLOOKUP(--B1686,'CATALOGO CECO'!$A$2:$H$550,2,FALSE),"CECO NO EXISTE"))</f>
        <v/>
      </c>
      <c r="H1686" s="8">
        <f>IF(B1686="","",IFERROR(VLOOKUP(--B1686,'CATALOGO CECO'!$A$2:$H$550,3,FALSE),""))</f>
        <v/>
      </c>
      <c r="I1686" s="8">
        <f>IF(B1686="","",IFERROR(VLOOKUP(--B1686,'CATALOGO CECO'!$A$2:$H$550,5,FALSE),""))</f>
        <v/>
      </c>
      <c r="J1686" s="8">
        <f>IF(B1686="","",IFERROR(VLOOKUP(--B1686,'CATALOGO CECO'!$A$2:$H$550,8,FALSE),""))</f>
        <v/>
      </c>
      <c r="K1686" s="8">
        <f>IF(COUNTA(A1686:F1686)=0,"",IF(OR(LEN(A1686)&lt;&gt;7,MID(A1686,5,1)&lt;&gt;"-",ISERROR(--LEFT(A1686,4)),ISERROR(--RIGHT(A1686,2))),"ERROR: PERIODO debe ser AAAA-MM",IF(B1686="","ERROR: falta CODIGO CECO",IF(G1686="CECO NO EXISTE","ERROR: CECO no existe en el catálogo",IF(C1686="","ERROR: falta CUENTA",IF(ISERROR(--C1686),"ERROR: CUENTA debe tener solo dígitos",IF(ISERROR(FIND(LEFT(C1686,1),"567")),"ERROR: CUENTA fuera de las clases de costo",IF(NOT(ISNUMBER(E1686)),"ERROR: VALOR debe ser numérico",IF(E1686=0,"AVISO: valor cero (no se carga)",IF(J1686&lt;&gt;"ACTIVO","NO SE CARGA: CECO en estado "&amp;J1686,"OK"))))))))))</f>
        <v/>
      </c>
    </row>
    <row r="1687">
      <c r="A1687" s="5" t="n"/>
      <c r="B1687" s="6" t="n"/>
      <c r="C1687" s="5" t="n"/>
      <c r="D1687" s="6" t="n"/>
      <c r="E1687" s="7" t="n"/>
      <c r="F1687" s="6" t="n"/>
      <c r="G1687" s="8">
        <f>IF(B1687="","",IFERROR(VLOOKUP(--B1687,'CATALOGO CECO'!$A$2:$H$550,2,FALSE),"CECO NO EXISTE"))</f>
        <v/>
      </c>
      <c r="H1687" s="8">
        <f>IF(B1687="","",IFERROR(VLOOKUP(--B1687,'CATALOGO CECO'!$A$2:$H$550,3,FALSE),""))</f>
        <v/>
      </c>
      <c r="I1687" s="8">
        <f>IF(B1687="","",IFERROR(VLOOKUP(--B1687,'CATALOGO CECO'!$A$2:$H$550,5,FALSE),""))</f>
        <v/>
      </c>
      <c r="J1687" s="8">
        <f>IF(B1687="","",IFERROR(VLOOKUP(--B1687,'CATALOGO CECO'!$A$2:$H$550,8,FALSE),""))</f>
        <v/>
      </c>
      <c r="K1687" s="8">
        <f>IF(COUNTA(A1687:F1687)=0,"",IF(OR(LEN(A1687)&lt;&gt;7,MID(A1687,5,1)&lt;&gt;"-",ISERROR(--LEFT(A1687,4)),ISERROR(--RIGHT(A1687,2))),"ERROR: PERIODO debe ser AAAA-MM",IF(B1687="","ERROR: falta CODIGO CECO",IF(G1687="CECO NO EXISTE","ERROR: CECO no existe en el catálogo",IF(C1687="","ERROR: falta CUENTA",IF(ISERROR(--C1687),"ERROR: CUENTA debe tener solo dígitos",IF(ISERROR(FIND(LEFT(C1687,1),"567")),"ERROR: CUENTA fuera de las clases de costo",IF(NOT(ISNUMBER(E1687)),"ERROR: VALOR debe ser numérico",IF(E1687=0,"AVISO: valor cero (no se carga)",IF(J1687&lt;&gt;"ACTIVO","NO SE CARGA: CECO en estado "&amp;J1687,"OK"))))))))))</f>
        <v/>
      </c>
    </row>
    <row r="1688">
      <c r="A1688" s="5" t="n"/>
      <c r="B1688" s="6" t="n"/>
      <c r="C1688" s="5" t="n"/>
      <c r="D1688" s="6" t="n"/>
      <c r="E1688" s="7" t="n"/>
      <c r="F1688" s="6" t="n"/>
      <c r="G1688" s="8">
        <f>IF(B1688="","",IFERROR(VLOOKUP(--B1688,'CATALOGO CECO'!$A$2:$H$550,2,FALSE),"CECO NO EXISTE"))</f>
        <v/>
      </c>
      <c r="H1688" s="8">
        <f>IF(B1688="","",IFERROR(VLOOKUP(--B1688,'CATALOGO CECO'!$A$2:$H$550,3,FALSE),""))</f>
        <v/>
      </c>
      <c r="I1688" s="8">
        <f>IF(B1688="","",IFERROR(VLOOKUP(--B1688,'CATALOGO CECO'!$A$2:$H$550,5,FALSE),""))</f>
        <v/>
      </c>
      <c r="J1688" s="8">
        <f>IF(B1688="","",IFERROR(VLOOKUP(--B1688,'CATALOGO CECO'!$A$2:$H$550,8,FALSE),""))</f>
        <v/>
      </c>
      <c r="K1688" s="8">
        <f>IF(COUNTA(A1688:F1688)=0,"",IF(OR(LEN(A1688)&lt;&gt;7,MID(A1688,5,1)&lt;&gt;"-",ISERROR(--LEFT(A1688,4)),ISERROR(--RIGHT(A1688,2))),"ERROR: PERIODO debe ser AAAA-MM",IF(B1688="","ERROR: falta CODIGO CECO",IF(G1688="CECO NO EXISTE","ERROR: CECO no existe en el catálogo",IF(C1688="","ERROR: falta CUENTA",IF(ISERROR(--C1688),"ERROR: CUENTA debe tener solo dígitos",IF(ISERROR(FIND(LEFT(C1688,1),"567")),"ERROR: CUENTA fuera de las clases de costo",IF(NOT(ISNUMBER(E1688)),"ERROR: VALOR debe ser numérico",IF(E1688=0,"AVISO: valor cero (no se carga)",IF(J1688&lt;&gt;"ACTIVO","NO SE CARGA: CECO en estado "&amp;J1688,"OK"))))))))))</f>
        <v/>
      </c>
    </row>
    <row r="1689">
      <c r="A1689" s="5" t="n"/>
      <c r="B1689" s="6" t="n"/>
      <c r="C1689" s="5" t="n"/>
      <c r="D1689" s="6" t="n"/>
      <c r="E1689" s="7" t="n"/>
      <c r="F1689" s="6" t="n"/>
      <c r="G1689" s="8">
        <f>IF(B1689="","",IFERROR(VLOOKUP(--B1689,'CATALOGO CECO'!$A$2:$H$550,2,FALSE),"CECO NO EXISTE"))</f>
        <v/>
      </c>
      <c r="H1689" s="8">
        <f>IF(B1689="","",IFERROR(VLOOKUP(--B1689,'CATALOGO CECO'!$A$2:$H$550,3,FALSE),""))</f>
        <v/>
      </c>
      <c r="I1689" s="8">
        <f>IF(B1689="","",IFERROR(VLOOKUP(--B1689,'CATALOGO CECO'!$A$2:$H$550,5,FALSE),""))</f>
        <v/>
      </c>
      <c r="J1689" s="8">
        <f>IF(B1689="","",IFERROR(VLOOKUP(--B1689,'CATALOGO CECO'!$A$2:$H$550,8,FALSE),""))</f>
        <v/>
      </c>
      <c r="K1689" s="8">
        <f>IF(COUNTA(A1689:F1689)=0,"",IF(OR(LEN(A1689)&lt;&gt;7,MID(A1689,5,1)&lt;&gt;"-",ISERROR(--LEFT(A1689,4)),ISERROR(--RIGHT(A1689,2))),"ERROR: PERIODO debe ser AAAA-MM",IF(B1689="","ERROR: falta CODIGO CECO",IF(G1689="CECO NO EXISTE","ERROR: CECO no existe en el catálogo",IF(C1689="","ERROR: falta CUENTA",IF(ISERROR(--C1689),"ERROR: CUENTA debe tener solo dígitos",IF(ISERROR(FIND(LEFT(C1689,1),"567")),"ERROR: CUENTA fuera de las clases de costo",IF(NOT(ISNUMBER(E1689)),"ERROR: VALOR debe ser numérico",IF(E1689=0,"AVISO: valor cero (no se carga)",IF(J1689&lt;&gt;"ACTIVO","NO SE CARGA: CECO en estado "&amp;J1689,"OK"))))))))))</f>
        <v/>
      </c>
    </row>
    <row r="1690">
      <c r="A1690" s="5" t="n"/>
      <c r="B1690" s="6" t="n"/>
      <c r="C1690" s="5" t="n"/>
      <c r="D1690" s="6" t="n"/>
      <c r="E1690" s="7" t="n"/>
      <c r="F1690" s="6" t="n"/>
      <c r="G1690" s="8">
        <f>IF(B1690="","",IFERROR(VLOOKUP(--B1690,'CATALOGO CECO'!$A$2:$H$550,2,FALSE),"CECO NO EXISTE"))</f>
        <v/>
      </c>
      <c r="H1690" s="8">
        <f>IF(B1690="","",IFERROR(VLOOKUP(--B1690,'CATALOGO CECO'!$A$2:$H$550,3,FALSE),""))</f>
        <v/>
      </c>
      <c r="I1690" s="8">
        <f>IF(B1690="","",IFERROR(VLOOKUP(--B1690,'CATALOGO CECO'!$A$2:$H$550,5,FALSE),""))</f>
        <v/>
      </c>
      <c r="J1690" s="8">
        <f>IF(B1690="","",IFERROR(VLOOKUP(--B1690,'CATALOGO CECO'!$A$2:$H$550,8,FALSE),""))</f>
        <v/>
      </c>
      <c r="K1690" s="8">
        <f>IF(COUNTA(A1690:F1690)=0,"",IF(OR(LEN(A1690)&lt;&gt;7,MID(A1690,5,1)&lt;&gt;"-",ISERROR(--LEFT(A1690,4)),ISERROR(--RIGHT(A1690,2))),"ERROR: PERIODO debe ser AAAA-MM",IF(B1690="","ERROR: falta CODIGO CECO",IF(G1690="CECO NO EXISTE","ERROR: CECO no existe en el catálogo",IF(C1690="","ERROR: falta CUENTA",IF(ISERROR(--C1690),"ERROR: CUENTA debe tener solo dígitos",IF(ISERROR(FIND(LEFT(C1690,1),"567")),"ERROR: CUENTA fuera de las clases de costo",IF(NOT(ISNUMBER(E1690)),"ERROR: VALOR debe ser numérico",IF(E1690=0,"AVISO: valor cero (no se carga)",IF(J1690&lt;&gt;"ACTIVO","NO SE CARGA: CECO en estado "&amp;J1690,"OK"))))))))))</f>
        <v/>
      </c>
    </row>
    <row r="1691">
      <c r="A1691" s="5" t="n"/>
      <c r="B1691" s="6" t="n"/>
      <c r="C1691" s="5" t="n"/>
      <c r="D1691" s="6" t="n"/>
      <c r="E1691" s="7" t="n"/>
      <c r="F1691" s="6" t="n"/>
      <c r="G1691" s="8">
        <f>IF(B1691="","",IFERROR(VLOOKUP(--B1691,'CATALOGO CECO'!$A$2:$H$550,2,FALSE),"CECO NO EXISTE"))</f>
        <v/>
      </c>
      <c r="H1691" s="8">
        <f>IF(B1691="","",IFERROR(VLOOKUP(--B1691,'CATALOGO CECO'!$A$2:$H$550,3,FALSE),""))</f>
        <v/>
      </c>
      <c r="I1691" s="8">
        <f>IF(B1691="","",IFERROR(VLOOKUP(--B1691,'CATALOGO CECO'!$A$2:$H$550,5,FALSE),""))</f>
        <v/>
      </c>
      <c r="J1691" s="8">
        <f>IF(B1691="","",IFERROR(VLOOKUP(--B1691,'CATALOGO CECO'!$A$2:$H$550,8,FALSE),""))</f>
        <v/>
      </c>
      <c r="K1691" s="8">
        <f>IF(COUNTA(A1691:F1691)=0,"",IF(OR(LEN(A1691)&lt;&gt;7,MID(A1691,5,1)&lt;&gt;"-",ISERROR(--LEFT(A1691,4)),ISERROR(--RIGHT(A1691,2))),"ERROR: PERIODO debe ser AAAA-MM",IF(B1691="","ERROR: falta CODIGO CECO",IF(G1691="CECO NO EXISTE","ERROR: CECO no existe en el catálogo",IF(C1691="","ERROR: falta CUENTA",IF(ISERROR(--C1691),"ERROR: CUENTA debe tener solo dígitos",IF(ISERROR(FIND(LEFT(C1691,1),"567")),"ERROR: CUENTA fuera de las clases de costo",IF(NOT(ISNUMBER(E1691)),"ERROR: VALOR debe ser numérico",IF(E1691=0,"AVISO: valor cero (no se carga)",IF(J1691&lt;&gt;"ACTIVO","NO SE CARGA: CECO en estado "&amp;J1691,"OK"))))))))))</f>
        <v/>
      </c>
    </row>
    <row r="1692">
      <c r="A1692" s="5" t="n"/>
      <c r="B1692" s="6" t="n"/>
      <c r="C1692" s="5" t="n"/>
      <c r="D1692" s="6" t="n"/>
      <c r="E1692" s="7" t="n"/>
      <c r="F1692" s="6" t="n"/>
      <c r="G1692" s="8">
        <f>IF(B1692="","",IFERROR(VLOOKUP(--B1692,'CATALOGO CECO'!$A$2:$H$550,2,FALSE),"CECO NO EXISTE"))</f>
        <v/>
      </c>
      <c r="H1692" s="8">
        <f>IF(B1692="","",IFERROR(VLOOKUP(--B1692,'CATALOGO CECO'!$A$2:$H$550,3,FALSE),""))</f>
        <v/>
      </c>
      <c r="I1692" s="8">
        <f>IF(B1692="","",IFERROR(VLOOKUP(--B1692,'CATALOGO CECO'!$A$2:$H$550,5,FALSE),""))</f>
        <v/>
      </c>
      <c r="J1692" s="8">
        <f>IF(B1692="","",IFERROR(VLOOKUP(--B1692,'CATALOGO CECO'!$A$2:$H$550,8,FALSE),""))</f>
        <v/>
      </c>
      <c r="K1692" s="8">
        <f>IF(COUNTA(A1692:F1692)=0,"",IF(OR(LEN(A1692)&lt;&gt;7,MID(A1692,5,1)&lt;&gt;"-",ISERROR(--LEFT(A1692,4)),ISERROR(--RIGHT(A1692,2))),"ERROR: PERIODO debe ser AAAA-MM",IF(B1692="","ERROR: falta CODIGO CECO",IF(G1692="CECO NO EXISTE","ERROR: CECO no existe en el catálogo",IF(C1692="","ERROR: falta CUENTA",IF(ISERROR(--C1692),"ERROR: CUENTA debe tener solo dígitos",IF(ISERROR(FIND(LEFT(C1692,1),"567")),"ERROR: CUENTA fuera de las clases de costo",IF(NOT(ISNUMBER(E1692)),"ERROR: VALOR debe ser numérico",IF(E1692=0,"AVISO: valor cero (no se carga)",IF(J1692&lt;&gt;"ACTIVO","NO SE CARGA: CECO en estado "&amp;J1692,"OK"))))))))))</f>
        <v/>
      </c>
    </row>
    <row r="1693">
      <c r="A1693" s="5" t="n"/>
      <c r="B1693" s="6" t="n"/>
      <c r="C1693" s="5" t="n"/>
      <c r="D1693" s="6" t="n"/>
      <c r="E1693" s="7" t="n"/>
      <c r="F1693" s="6" t="n"/>
      <c r="G1693" s="8">
        <f>IF(B1693="","",IFERROR(VLOOKUP(--B1693,'CATALOGO CECO'!$A$2:$H$550,2,FALSE),"CECO NO EXISTE"))</f>
        <v/>
      </c>
      <c r="H1693" s="8">
        <f>IF(B1693="","",IFERROR(VLOOKUP(--B1693,'CATALOGO CECO'!$A$2:$H$550,3,FALSE),""))</f>
        <v/>
      </c>
      <c r="I1693" s="8">
        <f>IF(B1693="","",IFERROR(VLOOKUP(--B1693,'CATALOGO CECO'!$A$2:$H$550,5,FALSE),""))</f>
        <v/>
      </c>
      <c r="J1693" s="8">
        <f>IF(B1693="","",IFERROR(VLOOKUP(--B1693,'CATALOGO CECO'!$A$2:$H$550,8,FALSE),""))</f>
        <v/>
      </c>
      <c r="K1693" s="8">
        <f>IF(COUNTA(A1693:F1693)=0,"",IF(OR(LEN(A1693)&lt;&gt;7,MID(A1693,5,1)&lt;&gt;"-",ISERROR(--LEFT(A1693,4)),ISERROR(--RIGHT(A1693,2))),"ERROR: PERIODO debe ser AAAA-MM",IF(B1693="","ERROR: falta CODIGO CECO",IF(G1693="CECO NO EXISTE","ERROR: CECO no existe en el catálogo",IF(C1693="","ERROR: falta CUENTA",IF(ISERROR(--C1693),"ERROR: CUENTA debe tener solo dígitos",IF(ISERROR(FIND(LEFT(C1693,1),"567")),"ERROR: CUENTA fuera de las clases de costo",IF(NOT(ISNUMBER(E1693)),"ERROR: VALOR debe ser numérico",IF(E1693=0,"AVISO: valor cero (no se carga)",IF(J1693&lt;&gt;"ACTIVO","NO SE CARGA: CECO en estado "&amp;J1693,"OK"))))))))))</f>
        <v/>
      </c>
    </row>
    <row r="1694">
      <c r="A1694" s="5" t="n"/>
      <c r="B1694" s="6" t="n"/>
      <c r="C1694" s="5" t="n"/>
      <c r="D1694" s="6" t="n"/>
      <c r="E1694" s="7" t="n"/>
      <c r="F1694" s="6" t="n"/>
      <c r="G1694" s="8">
        <f>IF(B1694="","",IFERROR(VLOOKUP(--B1694,'CATALOGO CECO'!$A$2:$H$550,2,FALSE),"CECO NO EXISTE"))</f>
        <v/>
      </c>
      <c r="H1694" s="8">
        <f>IF(B1694="","",IFERROR(VLOOKUP(--B1694,'CATALOGO CECO'!$A$2:$H$550,3,FALSE),""))</f>
        <v/>
      </c>
      <c r="I1694" s="8">
        <f>IF(B1694="","",IFERROR(VLOOKUP(--B1694,'CATALOGO CECO'!$A$2:$H$550,5,FALSE),""))</f>
        <v/>
      </c>
      <c r="J1694" s="8">
        <f>IF(B1694="","",IFERROR(VLOOKUP(--B1694,'CATALOGO CECO'!$A$2:$H$550,8,FALSE),""))</f>
        <v/>
      </c>
      <c r="K1694" s="8">
        <f>IF(COUNTA(A1694:F1694)=0,"",IF(OR(LEN(A1694)&lt;&gt;7,MID(A1694,5,1)&lt;&gt;"-",ISERROR(--LEFT(A1694,4)),ISERROR(--RIGHT(A1694,2))),"ERROR: PERIODO debe ser AAAA-MM",IF(B1694="","ERROR: falta CODIGO CECO",IF(G1694="CECO NO EXISTE","ERROR: CECO no existe en el catálogo",IF(C1694="","ERROR: falta CUENTA",IF(ISERROR(--C1694),"ERROR: CUENTA debe tener solo dígitos",IF(ISERROR(FIND(LEFT(C1694,1),"567")),"ERROR: CUENTA fuera de las clases de costo",IF(NOT(ISNUMBER(E1694)),"ERROR: VALOR debe ser numérico",IF(E1694=0,"AVISO: valor cero (no se carga)",IF(J1694&lt;&gt;"ACTIVO","NO SE CARGA: CECO en estado "&amp;J1694,"OK"))))))))))</f>
        <v/>
      </c>
    </row>
    <row r="1695">
      <c r="A1695" s="5" t="n"/>
      <c r="B1695" s="6" t="n"/>
      <c r="C1695" s="5" t="n"/>
      <c r="D1695" s="6" t="n"/>
      <c r="E1695" s="7" t="n"/>
      <c r="F1695" s="6" t="n"/>
      <c r="G1695" s="8">
        <f>IF(B1695="","",IFERROR(VLOOKUP(--B1695,'CATALOGO CECO'!$A$2:$H$550,2,FALSE),"CECO NO EXISTE"))</f>
        <v/>
      </c>
      <c r="H1695" s="8">
        <f>IF(B1695="","",IFERROR(VLOOKUP(--B1695,'CATALOGO CECO'!$A$2:$H$550,3,FALSE),""))</f>
        <v/>
      </c>
      <c r="I1695" s="8">
        <f>IF(B1695="","",IFERROR(VLOOKUP(--B1695,'CATALOGO CECO'!$A$2:$H$550,5,FALSE),""))</f>
        <v/>
      </c>
      <c r="J1695" s="8">
        <f>IF(B1695="","",IFERROR(VLOOKUP(--B1695,'CATALOGO CECO'!$A$2:$H$550,8,FALSE),""))</f>
        <v/>
      </c>
      <c r="K1695" s="8">
        <f>IF(COUNTA(A1695:F1695)=0,"",IF(OR(LEN(A1695)&lt;&gt;7,MID(A1695,5,1)&lt;&gt;"-",ISERROR(--LEFT(A1695,4)),ISERROR(--RIGHT(A1695,2))),"ERROR: PERIODO debe ser AAAA-MM",IF(B1695="","ERROR: falta CODIGO CECO",IF(G1695="CECO NO EXISTE","ERROR: CECO no existe en el catálogo",IF(C1695="","ERROR: falta CUENTA",IF(ISERROR(--C1695),"ERROR: CUENTA debe tener solo dígitos",IF(ISERROR(FIND(LEFT(C1695,1),"567")),"ERROR: CUENTA fuera de las clases de costo",IF(NOT(ISNUMBER(E1695)),"ERROR: VALOR debe ser numérico",IF(E1695=0,"AVISO: valor cero (no se carga)",IF(J1695&lt;&gt;"ACTIVO","NO SE CARGA: CECO en estado "&amp;J1695,"OK"))))))))))</f>
        <v/>
      </c>
    </row>
    <row r="1696">
      <c r="A1696" s="5" t="n"/>
      <c r="B1696" s="6" t="n"/>
      <c r="C1696" s="5" t="n"/>
      <c r="D1696" s="6" t="n"/>
      <c r="E1696" s="7" t="n"/>
      <c r="F1696" s="6" t="n"/>
      <c r="G1696" s="8">
        <f>IF(B1696="","",IFERROR(VLOOKUP(--B1696,'CATALOGO CECO'!$A$2:$H$550,2,FALSE),"CECO NO EXISTE"))</f>
        <v/>
      </c>
      <c r="H1696" s="8">
        <f>IF(B1696="","",IFERROR(VLOOKUP(--B1696,'CATALOGO CECO'!$A$2:$H$550,3,FALSE),""))</f>
        <v/>
      </c>
      <c r="I1696" s="8">
        <f>IF(B1696="","",IFERROR(VLOOKUP(--B1696,'CATALOGO CECO'!$A$2:$H$550,5,FALSE),""))</f>
        <v/>
      </c>
      <c r="J1696" s="8">
        <f>IF(B1696="","",IFERROR(VLOOKUP(--B1696,'CATALOGO CECO'!$A$2:$H$550,8,FALSE),""))</f>
        <v/>
      </c>
      <c r="K1696" s="8">
        <f>IF(COUNTA(A1696:F1696)=0,"",IF(OR(LEN(A1696)&lt;&gt;7,MID(A1696,5,1)&lt;&gt;"-",ISERROR(--LEFT(A1696,4)),ISERROR(--RIGHT(A1696,2))),"ERROR: PERIODO debe ser AAAA-MM",IF(B1696="","ERROR: falta CODIGO CECO",IF(G1696="CECO NO EXISTE","ERROR: CECO no existe en el catálogo",IF(C1696="","ERROR: falta CUENTA",IF(ISERROR(--C1696),"ERROR: CUENTA debe tener solo dígitos",IF(ISERROR(FIND(LEFT(C1696,1),"567")),"ERROR: CUENTA fuera de las clases de costo",IF(NOT(ISNUMBER(E1696)),"ERROR: VALOR debe ser numérico",IF(E1696=0,"AVISO: valor cero (no se carga)",IF(J1696&lt;&gt;"ACTIVO","NO SE CARGA: CECO en estado "&amp;J1696,"OK"))))))))))</f>
        <v/>
      </c>
    </row>
    <row r="1697">
      <c r="A1697" s="5" t="n"/>
      <c r="B1697" s="6" t="n"/>
      <c r="C1697" s="5" t="n"/>
      <c r="D1697" s="6" t="n"/>
      <c r="E1697" s="7" t="n"/>
      <c r="F1697" s="6" t="n"/>
      <c r="G1697" s="8">
        <f>IF(B1697="","",IFERROR(VLOOKUP(--B1697,'CATALOGO CECO'!$A$2:$H$550,2,FALSE),"CECO NO EXISTE"))</f>
        <v/>
      </c>
      <c r="H1697" s="8">
        <f>IF(B1697="","",IFERROR(VLOOKUP(--B1697,'CATALOGO CECO'!$A$2:$H$550,3,FALSE),""))</f>
        <v/>
      </c>
      <c r="I1697" s="8">
        <f>IF(B1697="","",IFERROR(VLOOKUP(--B1697,'CATALOGO CECO'!$A$2:$H$550,5,FALSE),""))</f>
        <v/>
      </c>
      <c r="J1697" s="8">
        <f>IF(B1697="","",IFERROR(VLOOKUP(--B1697,'CATALOGO CECO'!$A$2:$H$550,8,FALSE),""))</f>
        <v/>
      </c>
      <c r="K1697" s="8">
        <f>IF(COUNTA(A1697:F1697)=0,"",IF(OR(LEN(A1697)&lt;&gt;7,MID(A1697,5,1)&lt;&gt;"-",ISERROR(--LEFT(A1697,4)),ISERROR(--RIGHT(A1697,2))),"ERROR: PERIODO debe ser AAAA-MM",IF(B1697="","ERROR: falta CODIGO CECO",IF(G1697="CECO NO EXISTE","ERROR: CECO no existe en el catálogo",IF(C1697="","ERROR: falta CUENTA",IF(ISERROR(--C1697),"ERROR: CUENTA debe tener solo dígitos",IF(ISERROR(FIND(LEFT(C1697,1),"567")),"ERROR: CUENTA fuera de las clases de costo",IF(NOT(ISNUMBER(E1697)),"ERROR: VALOR debe ser numérico",IF(E1697=0,"AVISO: valor cero (no se carga)",IF(J1697&lt;&gt;"ACTIVO","NO SE CARGA: CECO en estado "&amp;J1697,"OK"))))))))))</f>
        <v/>
      </c>
    </row>
    <row r="1698">
      <c r="A1698" s="5" t="n"/>
      <c r="B1698" s="6" t="n"/>
      <c r="C1698" s="5" t="n"/>
      <c r="D1698" s="6" t="n"/>
      <c r="E1698" s="7" t="n"/>
      <c r="F1698" s="6" t="n"/>
      <c r="G1698" s="8">
        <f>IF(B1698="","",IFERROR(VLOOKUP(--B1698,'CATALOGO CECO'!$A$2:$H$550,2,FALSE),"CECO NO EXISTE"))</f>
        <v/>
      </c>
      <c r="H1698" s="8">
        <f>IF(B1698="","",IFERROR(VLOOKUP(--B1698,'CATALOGO CECO'!$A$2:$H$550,3,FALSE),""))</f>
        <v/>
      </c>
      <c r="I1698" s="8">
        <f>IF(B1698="","",IFERROR(VLOOKUP(--B1698,'CATALOGO CECO'!$A$2:$H$550,5,FALSE),""))</f>
        <v/>
      </c>
      <c r="J1698" s="8">
        <f>IF(B1698="","",IFERROR(VLOOKUP(--B1698,'CATALOGO CECO'!$A$2:$H$550,8,FALSE),""))</f>
        <v/>
      </c>
      <c r="K1698" s="8">
        <f>IF(COUNTA(A1698:F1698)=0,"",IF(OR(LEN(A1698)&lt;&gt;7,MID(A1698,5,1)&lt;&gt;"-",ISERROR(--LEFT(A1698,4)),ISERROR(--RIGHT(A1698,2))),"ERROR: PERIODO debe ser AAAA-MM",IF(B1698="","ERROR: falta CODIGO CECO",IF(G1698="CECO NO EXISTE","ERROR: CECO no existe en el catálogo",IF(C1698="","ERROR: falta CUENTA",IF(ISERROR(--C1698),"ERROR: CUENTA debe tener solo dígitos",IF(ISERROR(FIND(LEFT(C1698,1),"567")),"ERROR: CUENTA fuera de las clases de costo",IF(NOT(ISNUMBER(E1698)),"ERROR: VALOR debe ser numérico",IF(E1698=0,"AVISO: valor cero (no se carga)",IF(J1698&lt;&gt;"ACTIVO","NO SE CARGA: CECO en estado "&amp;J1698,"OK"))))))))))</f>
        <v/>
      </c>
    </row>
    <row r="1699">
      <c r="A1699" s="5" t="n"/>
      <c r="B1699" s="6" t="n"/>
      <c r="C1699" s="5" t="n"/>
      <c r="D1699" s="6" t="n"/>
      <c r="E1699" s="7" t="n"/>
      <c r="F1699" s="6" t="n"/>
      <c r="G1699" s="8">
        <f>IF(B1699="","",IFERROR(VLOOKUP(--B1699,'CATALOGO CECO'!$A$2:$H$550,2,FALSE),"CECO NO EXISTE"))</f>
        <v/>
      </c>
      <c r="H1699" s="8">
        <f>IF(B1699="","",IFERROR(VLOOKUP(--B1699,'CATALOGO CECO'!$A$2:$H$550,3,FALSE),""))</f>
        <v/>
      </c>
      <c r="I1699" s="8">
        <f>IF(B1699="","",IFERROR(VLOOKUP(--B1699,'CATALOGO CECO'!$A$2:$H$550,5,FALSE),""))</f>
        <v/>
      </c>
      <c r="J1699" s="8">
        <f>IF(B1699="","",IFERROR(VLOOKUP(--B1699,'CATALOGO CECO'!$A$2:$H$550,8,FALSE),""))</f>
        <v/>
      </c>
      <c r="K1699" s="8">
        <f>IF(COUNTA(A1699:F1699)=0,"",IF(OR(LEN(A1699)&lt;&gt;7,MID(A1699,5,1)&lt;&gt;"-",ISERROR(--LEFT(A1699,4)),ISERROR(--RIGHT(A1699,2))),"ERROR: PERIODO debe ser AAAA-MM",IF(B1699="","ERROR: falta CODIGO CECO",IF(G1699="CECO NO EXISTE","ERROR: CECO no existe en el catálogo",IF(C1699="","ERROR: falta CUENTA",IF(ISERROR(--C1699),"ERROR: CUENTA debe tener solo dígitos",IF(ISERROR(FIND(LEFT(C1699,1),"567")),"ERROR: CUENTA fuera de las clases de costo",IF(NOT(ISNUMBER(E1699)),"ERROR: VALOR debe ser numérico",IF(E1699=0,"AVISO: valor cero (no se carga)",IF(J1699&lt;&gt;"ACTIVO","NO SE CARGA: CECO en estado "&amp;J1699,"OK"))))))))))</f>
        <v/>
      </c>
    </row>
    <row r="1700">
      <c r="A1700" s="5" t="n"/>
      <c r="B1700" s="6" t="n"/>
      <c r="C1700" s="5" t="n"/>
      <c r="D1700" s="6" t="n"/>
      <c r="E1700" s="7" t="n"/>
      <c r="F1700" s="6" t="n"/>
      <c r="G1700" s="8">
        <f>IF(B1700="","",IFERROR(VLOOKUP(--B1700,'CATALOGO CECO'!$A$2:$H$550,2,FALSE),"CECO NO EXISTE"))</f>
        <v/>
      </c>
      <c r="H1700" s="8">
        <f>IF(B1700="","",IFERROR(VLOOKUP(--B1700,'CATALOGO CECO'!$A$2:$H$550,3,FALSE),""))</f>
        <v/>
      </c>
      <c r="I1700" s="8">
        <f>IF(B1700="","",IFERROR(VLOOKUP(--B1700,'CATALOGO CECO'!$A$2:$H$550,5,FALSE),""))</f>
        <v/>
      </c>
      <c r="J1700" s="8">
        <f>IF(B1700="","",IFERROR(VLOOKUP(--B1700,'CATALOGO CECO'!$A$2:$H$550,8,FALSE),""))</f>
        <v/>
      </c>
      <c r="K1700" s="8">
        <f>IF(COUNTA(A1700:F1700)=0,"",IF(OR(LEN(A1700)&lt;&gt;7,MID(A1700,5,1)&lt;&gt;"-",ISERROR(--LEFT(A1700,4)),ISERROR(--RIGHT(A1700,2))),"ERROR: PERIODO debe ser AAAA-MM",IF(B1700="","ERROR: falta CODIGO CECO",IF(G1700="CECO NO EXISTE","ERROR: CECO no existe en el catálogo",IF(C1700="","ERROR: falta CUENTA",IF(ISERROR(--C1700),"ERROR: CUENTA debe tener solo dígitos",IF(ISERROR(FIND(LEFT(C1700,1),"567")),"ERROR: CUENTA fuera de las clases de costo",IF(NOT(ISNUMBER(E1700)),"ERROR: VALOR debe ser numérico",IF(E1700=0,"AVISO: valor cero (no se carga)",IF(J1700&lt;&gt;"ACTIVO","NO SE CARGA: CECO en estado "&amp;J1700,"OK"))))))))))</f>
        <v/>
      </c>
    </row>
    <row r="1701">
      <c r="A1701" s="5" t="n"/>
      <c r="B1701" s="6" t="n"/>
      <c r="C1701" s="5" t="n"/>
      <c r="D1701" s="6" t="n"/>
      <c r="E1701" s="7" t="n"/>
      <c r="F1701" s="6" t="n"/>
      <c r="G1701" s="8">
        <f>IF(B1701="","",IFERROR(VLOOKUP(--B1701,'CATALOGO CECO'!$A$2:$H$550,2,FALSE),"CECO NO EXISTE"))</f>
        <v/>
      </c>
      <c r="H1701" s="8">
        <f>IF(B1701="","",IFERROR(VLOOKUP(--B1701,'CATALOGO CECO'!$A$2:$H$550,3,FALSE),""))</f>
        <v/>
      </c>
      <c r="I1701" s="8">
        <f>IF(B1701="","",IFERROR(VLOOKUP(--B1701,'CATALOGO CECO'!$A$2:$H$550,5,FALSE),""))</f>
        <v/>
      </c>
      <c r="J1701" s="8">
        <f>IF(B1701="","",IFERROR(VLOOKUP(--B1701,'CATALOGO CECO'!$A$2:$H$550,8,FALSE),""))</f>
        <v/>
      </c>
      <c r="K1701" s="8">
        <f>IF(COUNTA(A1701:F1701)=0,"",IF(OR(LEN(A1701)&lt;&gt;7,MID(A1701,5,1)&lt;&gt;"-",ISERROR(--LEFT(A1701,4)),ISERROR(--RIGHT(A1701,2))),"ERROR: PERIODO debe ser AAAA-MM",IF(B1701="","ERROR: falta CODIGO CECO",IF(G1701="CECO NO EXISTE","ERROR: CECO no existe en el catálogo",IF(C1701="","ERROR: falta CUENTA",IF(ISERROR(--C1701),"ERROR: CUENTA debe tener solo dígitos",IF(ISERROR(FIND(LEFT(C1701,1),"567")),"ERROR: CUENTA fuera de las clases de costo",IF(NOT(ISNUMBER(E1701)),"ERROR: VALOR debe ser numérico",IF(E1701=0,"AVISO: valor cero (no se carga)",IF(J1701&lt;&gt;"ACTIVO","NO SE CARGA: CECO en estado "&amp;J1701,"OK"))))))))))</f>
        <v/>
      </c>
    </row>
    <row r="1702">
      <c r="A1702" s="5" t="n"/>
      <c r="B1702" s="6" t="n"/>
      <c r="C1702" s="5" t="n"/>
      <c r="D1702" s="6" t="n"/>
      <c r="E1702" s="7" t="n"/>
      <c r="F1702" s="6" t="n"/>
      <c r="G1702" s="8">
        <f>IF(B1702="","",IFERROR(VLOOKUP(--B1702,'CATALOGO CECO'!$A$2:$H$550,2,FALSE),"CECO NO EXISTE"))</f>
        <v/>
      </c>
      <c r="H1702" s="8">
        <f>IF(B1702="","",IFERROR(VLOOKUP(--B1702,'CATALOGO CECO'!$A$2:$H$550,3,FALSE),""))</f>
        <v/>
      </c>
      <c r="I1702" s="8">
        <f>IF(B1702="","",IFERROR(VLOOKUP(--B1702,'CATALOGO CECO'!$A$2:$H$550,5,FALSE),""))</f>
        <v/>
      </c>
      <c r="J1702" s="8">
        <f>IF(B1702="","",IFERROR(VLOOKUP(--B1702,'CATALOGO CECO'!$A$2:$H$550,8,FALSE),""))</f>
        <v/>
      </c>
      <c r="K1702" s="8">
        <f>IF(COUNTA(A1702:F1702)=0,"",IF(OR(LEN(A1702)&lt;&gt;7,MID(A1702,5,1)&lt;&gt;"-",ISERROR(--LEFT(A1702,4)),ISERROR(--RIGHT(A1702,2))),"ERROR: PERIODO debe ser AAAA-MM",IF(B1702="","ERROR: falta CODIGO CECO",IF(G1702="CECO NO EXISTE","ERROR: CECO no existe en el catálogo",IF(C1702="","ERROR: falta CUENTA",IF(ISERROR(--C1702),"ERROR: CUENTA debe tener solo dígitos",IF(ISERROR(FIND(LEFT(C1702,1),"567")),"ERROR: CUENTA fuera de las clases de costo",IF(NOT(ISNUMBER(E1702)),"ERROR: VALOR debe ser numérico",IF(E1702=0,"AVISO: valor cero (no se carga)",IF(J1702&lt;&gt;"ACTIVO","NO SE CARGA: CECO en estado "&amp;J1702,"OK"))))))))))</f>
        <v/>
      </c>
    </row>
    <row r="1703">
      <c r="A1703" s="5" t="n"/>
      <c r="B1703" s="6" t="n"/>
      <c r="C1703" s="5" t="n"/>
      <c r="D1703" s="6" t="n"/>
      <c r="E1703" s="7" t="n"/>
      <c r="F1703" s="6" t="n"/>
      <c r="G1703" s="8">
        <f>IF(B1703="","",IFERROR(VLOOKUP(--B1703,'CATALOGO CECO'!$A$2:$H$550,2,FALSE),"CECO NO EXISTE"))</f>
        <v/>
      </c>
      <c r="H1703" s="8">
        <f>IF(B1703="","",IFERROR(VLOOKUP(--B1703,'CATALOGO CECO'!$A$2:$H$550,3,FALSE),""))</f>
        <v/>
      </c>
      <c r="I1703" s="8">
        <f>IF(B1703="","",IFERROR(VLOOKUP(--B1703,'CATALOGO CECO'!$A$2:$H$550,5,FALSE),""))</f>
        <v/>
      </c>
      <c r="J1703" s="8">
        <f>IF(B1703="","",IFERROR(VLOOKUP(--B1703,'CATALOGO CECO'!$A$2:$H$550,8,FALSE),""))</f>
        <v/>
      </c>
      <c r="K1703" s="8">
        <f>IF(COUNTA(A1703:F1703)=0,"",IF(OR(LEN(A1703)&lt;&gt;7,MID(A1703,5,1)&lt;&gt;"-",ISERROR(--LEFT(A1703,4)),ISERROR(--RIGHT(A1703,2))),"ERROR: PERIODO debe ser AAAA-MM",IF(B1703="","ERROR: falta CODIGO CECO",IF(G1703="CECO NO EXISTE","ERROR: CECO no existe en el catálogo",IF(C1703="","ERROR: falta CUENTA",IF(ISERROR(--C1703),"ERROR: CUENTA debe tener solo dígitos",IF(ISERROR(FIND(LEFT(C1703,1),"567")),"ERROR: CUENTA fuera de las clases de costo",IF(NOT(ISNUMBER(E1703)),"ERROR: VALOR debe ser numérico",IF(E1703=0,"AVISO: valor cero (no se carga)",IF(J1703&lt;&gt;"ACTIVO","NO SE CARGA: CECO en estado "&amp;J1703,"OK"))))))))))</f>
        <v/>
      </c>
    </row>
    <row r="1704">
      <c r="A1704" s="5" t="n"/>
      <c r="B1704" s="6" t="n"/>
      <c r="C1704" s="5" t="n"/>
      <c r="D1704" s="6" t="n"/>
      <c r="E1704" s="7" t="n"/>
      <c r="F1704" s="6" t="n"/>
      <c r="G1704" s="8">
        <f>IF(B1704="","",IFERROR(VLOOKUP(--B1704,'CATALOGO CECO'!$A$2:$H$550,2,FALSE),"CECO NO EXISTE"))</f>
        <v/>
      </c>
      <c r="H1704" s="8">
        <f>IF(B1704="","",IFERROR(VLOOKUP(--B1704,'CATALOGO CECO'!$A$2:$H$550,3,FALSE),""))</f>
        <v/>
      </c>
      <c r="I1704" s="8">
        <f>IF(B1704="","",IFERROR(VLOOKUP(--B1704,'CATALOGO CECO'!$A$2:$H$550,5,FALSE),""))</f>
        <v/>
      </c>
      <c r="J1704" s="8">
        <f>IF(B1704="","",IFERROR(VLOOKUP(--B1704,'CATALOGO CECO'!$A$2:$H$550,8,FALSE),""))</f>
        <v/>
      </c>
      <c r="K1704" s="8">
        <f>IF(COUNTA(A1704:F1704)=0,"",IF(OR(LEN(A1704)&lt;&gt;7,MID(A1704,5,1)&lt;&gt;"-",ISERROR(--LEFT(A1704,4)),ISERROR(--RIGHT(A1704,2))),"ERROR: PERIODO debe ser AAAA-MM",IF(B1704="","ERROR: falta CODIGO CECO",IF(G1704="CECO NO EXISTE","ERROR: CECO no existe en el catálogo",IF(C1704="","ERROR: falta CUENTA",IF(ISERROR(--C1704),"ERROR: CUENTA debe tener solo dígitos",IF(ISERROR(FIND(LEFT(C1704,1),"567")),"ERROR: CUENTA fuera de las clases de costo",IF(NOT(ISNUMBER(E1704)),"ERROR: VALOR debe ser numérico",IF(E1704=0,"AVISO: valor cero (no se carga)",IF(J1704&lt;&gt;"ACTIVO","NO SE CARGA: CECO en estado "&amp;J1704,"OK"))))))))))</f>
        <v/>
      </c>
    </row>
    <row r="1705">
      <c r="A1705" s="5" t="n"/>
      <c r="B1705" s="6" t="n"/>
      <c r="C1705" s="5" t="n"/>
      <c r="D1705" s="6" t="n"/>
      <c r="E1705" s="7" t="n"/>
      <c r="F1705" s="6" t="n"/>
      <c r="G1705" s="8">
        <f>IF(B1705="","",IFERROR(VLOOKUP(--B1705,'CATALOGO CECO'!$A$2:$H$550,2,FALSE),"CECO NO EXISTE"))</f>
        <v/>
      </c>
      <c r="H1705" s="8">
        <f>IF(B1705="","",IFERROR(VLOOKUP(--B1705,'CATALOGO CECO'!$A$2:$H$550,3,FALSE),""))</f>
        <v/>
      </c>
      <c r="I1705" s="8">
        <f>IF(B1705="","",IFERROR(VLOOKUP(--B1705,'CATALOGO CECO'!$A$2:$H$550,5,FALSE),""))</f>
        <v/>
      </c>
      <c r="J1705" s="8">
        <f>IF(B1705="","",IFERROR(VLOOKUP(--B1705,'CATALOGO CECO'!$A$2:$H$550,8,FALSE),""))</f>
        <v/>
      </c>
      <c r="K1705" s="8">
        <f>IF(COUNTA(A1705:F1705)=0,"",IF(OR(LEN(A1705)&lt;&gt;7,MID(A1705,5,1)&lt;&gt;"-",ISERROR(--LEFT(A1705,4)),ISERROR(--RIGHT(A1705,2))),"ERROR: PERIODO debe ser AAAA-MM",IF(B1705="","ERROR: falta CODIGO CECO",IF(G1705="CECO NO EXISTE","ERROR: CECO no existe en el catálogo",IF(C1705="","ERROR: falta CUENTA",IF(ISERROR(--C1705),"ERROR: CUENTA debe tener solo dígitos",IF(ISERROR(FIND(LEFT(C1705,1),"567")),"ERROR: CUENTA fuera de las clases de costo",IF(NOT(ISNUMBER(E1705)),"ERROR: VALOR debe ser numérico",IF(E1705=0,"AVISO: valor cero (no se carga)",IF(J1705&lt;&gt;"ACTIVO","NO SE CARGA: CECO en estado "&amp;J1705,"OK"))))))))))</f>
        <v/>
      </c>
    </row>
    <row r="1706">
      <c r="A1706" s="5" t="n"/>
      <c r="B1706" s="6" t="n"/>
      <c r="C1706" s="5" t="n"/>
      <c r="D1706" s="6" t="n"/>
      <c r="E1706" s="7" t="n"/>
      <c r="F1706" s="6" t="n"/>
      <c r="G1706" s="8">
        <f>IF(B1706="","",IFERROR(VLOOKUP(--B1706,'CATALOGO CECO'!$A$2:$H$550,2,FALSE),"CECO NO EXISTE"))</f>
        <v/>
      </c>
      <c r="H1706" s="8">
        <f>IF(B1706="","",IFERROR(VLOOKUP(--B1706,'CATALOGO CECO'!$A$2:$H$550,3,FALSE),""))</f>
        <v/>
      </c>
      <c r="I1706" s="8">
        <f>IF(B1706="","",IFERROR(VLOOKUP(--B1706,'CATALOGO CECO'!$A$2:$H$550,5,FALSE),""))</f>
        <v/>
      </c>
      <c r="J1706" s="8">
        <f>IF(B1706="","",IFERROR(VLOOKUP(--B1706,'CATALOGO CECO'!$A$2:$H$550,8,FALSE),""))</f>
        <v/>
      </c>
      <c r="K1706" s="8">
        <f>IF(COUNTA(A1706:F1706)=0,"",IF(OR(LEN(A1706)&lt;&gt;7,MID(A1706,5,1)&lt;&gt;"-",ISERROR(--LEFT(A1706,4)),ISERROR(--RIGHT(A1706,2))),"ERROR: PERIODO debe ser AAAA-MM",IF(B1706="","ERROR: falta CODIGO CECO",IF(G1706="CECO NO EXISTE","ERROR: CECO no existe en el catálogo",IF(C1706="","ERROR: falta CUENTA",IF(ISERROR(--C1706),"ERROR: CUENTA debe tener solo dígitos",IF(ISERROR(FIND(LEFT(C1706,1),"567")),"ERROR: CUENTA fuera de las clases de costo",IF(NOT(ISNUMBER(E1706)),"ERROR: VALOR debe ser numérico",IF(E1706=0,"AVISO: valor cero (no se carga)",IF(J1706&lt;&gt;"ACTIVO","NO SE CARGA: CECO en estado "&amp;J1706,"OK"))))))))))</f>
        <v/>
      </c>
    </row>
    <row r="1707">
      <c r="A1707" s="5" t="n"/>
      <c r="B1707" s="6" t="n"/>
      <c r="C1707" s="5" t="n"/>
      <c r="D1707" s="6" t="n"/>
      <c r="E1707" s="7" t="n"/>
      <c r="F1707" s="6" t="n"/>
      <c r="G1707" s="8">
        <f>IF(B1707="","",IFERROR(VLOOKUP(--B1707,'CATALOGO CECO'!$A$2:$H$550,2,FALSE),"CECO NO EXISTE"))</f>
        <v/>
      </c>
      <c r="H1707" s="8">
        <f>IF(B1707="","",IFERROR(VLOOKUP(--B1707,'CATALOGO CECO'!$A$2:$H$550,3,FALSE),""))</f>
        <v/>
      </c>
      <c r="I1707" s="8">
        <f>IF(B1707="","",IFERROR(VLOOKUP(--B1707,'CATALOGO CECO'!$A$2:$H$550,5,FALSE),""))</f>
        <v/>
      </c>
      <c r="J1707" s="8">
        <f>IF(B1707="","",IFERROR(VLOOKUP(--B1707,'CATALOGO CECO'!$A$2:$H$550,8,FALSE),""))</f>
        <v/>
      </c>
      <c r="K1707" s="8">
        <f>IF(COUNTA(A1707:F1707)=0,"",IF(OR(LEN(A1707)&lt;&gt;7,MID(A1707,5,1)&lt;&gt;"-",ISERROR(--LEFT(A1707,4)),ISERROR(--RIGHT(A1707,2))),"ERROR: PERIODO debe ser AAAA-MM",IF(B1707="","ERROR: falta CODIGO CECO",IF(G1707="CECO NO EXISTE","ERROR: CECO no existe en el catálogo",IF(C1707="","ERROR: falta CUENTA",IF(ISERROR(--C1707),"ERROR: CUENTA debe tener solo dígitos",IF(ISERROR(FIND(LEFT(C1707,1),"567")),"ERROR: CUENTA fuera de las clases de costo",IF(NOT(ISNUMBER(E1707)),"ERROR: VALOR debe ser numérico",IF(E1707=0,"AVISO: valor cero (no se carga)",IF(J1707&lt;&gt;"ACTIVO","NO SE CARGA: CECO en estado "&amp;J1707,"OK"))))))))))</f>
        <v/>
      </c>
    </row>
    <row r="1708">
      <c r="A1708" s="5" t="n"/>
      <c r="B1708" s="6" t="n"/>
      <c r="C1708" s="5" t="n"/>
      <c r="D1708" s="6" t="n"/>
      <c r="E1708" s="7" t="n"/>
      <c r="F1708" s="6" t="n"/>
      <c r="G1708" s="8">
        <f>IF(B1708="","",IFERROR(VLOOKUP(--B1708,'CATALOGO CECO'!$A$2:$H$550,2,FALSE),"CECO NO EXISTE"))</f>
        <v/>
      </c>
      <c r="H1708" s="8">
        <f>IF(B1708="","",IFERROR(VLOOKUP(--B1708,'CATALOGO CECO'!$A$2:$H$550,3,FALSE),""))</f>
        <v/>
      </c>
      <c r="I1708" s="8">
        <f>IF(B1708="","",IFERROR(VLOOKUP(--B1708,'CATALOGO CECO'!$A$2:$H$550,5,FALSE),""))</f>
        <v/>
      </c>
      <c r="J1708" s="8">
        <f>IF(B1708="","",IFERROR(VLOOKUP(--B1708,'CATALOGO CECO'!$A$2:$H$550,8,FALSE),""))</f>
        <v/>
      </c>
      <c r="K1708" s="8">
        <f>IF(COUNTA(A1708:F1708)=0,"",IF(OR(LEN(A1708)&lt;&gt;7,MID(A1708,5,1)&lt;&gt;"-",ISERROR(--LEFT(A1708,4)),ISERROR(--RIGHT(A1708,2))),"ERROR: PERIODO debe ser AAAA-MM",IF(B1708="","ERROR: falta CODIGO CECO",IF(G1708="CECO NO EXISTE","ERROR: CECO no existe en el catálogo",IF(C1708="","ERROR: falta CUENTA",IF(ISERROR(--C1708),"ERROR: CUENTA debe tener solo dígitos",IF(ISERROR(FIND(LEFT(C1708,1),"567")),"ERROR: CUENTA fuera de las clases de costo",IF(NOT(ISNUMBER(E1708)),"ERROR: VALOR debe ser numérico",IF(E1708=0,"AVISO: valor cero (no se carga)",IF(J1708&lt;&gt;"ACTIVO","NO SE CARGA: CECO en estado "&amp;J1708,"OK"))))))))))</f>
        <v/>
      </c>
    </row>
    <row r="1709">
      <c r="A1709" s="5" t="n"/>
      <c r="B1709" s="6" t="n"/>
      <c r="C1709" s="5" t="n"/>
      <c r="D1709" s="6" t="n"/>
      <c r="E1709" s="7" t="n"/>
      <c r="F1709" s="6" t="n"/>
      <c r="G1709" s="8">
        <f>IF(B1709="","",IFERROR(VLOOKUP(--B1709,'CATALOGO CECO'!$A$2:$H$550,2,FALSE),"CECO NO EXISTE"))</f>
        <v/>
      </c>
      <c r="H1709" s="8">
        <f>IF(B1709="","",IFERROR(VLOOKUP(--B1709,'CATALOGO CECO'!$A$2:$H$550,3,FALSE),""))</f>
        <v/>
      </c>
      <c r="I1709" s="8">
        <f>IF(B1709="","",IFERROR(VLOOKUP(--B1709,'CATALOGO CECO'!$A$2:$H$550,5,FALSE),""))</f>
        <v/>
      </c>
      <c r="J1709" s="8">
        <f>IF(B1709="","",IFERROR(VLOOKUP(--B1709,'CATALOGO CECO'!$A$2:$H$550,8,FALSE),""))</f>
        <v/>
      </c>
      <c r="K1709" s="8">
        <f>IF(COUNTA(A1709:F1709)=0,"",IF(OR(LEN(A1709)&lt;&gt;7,MID(A1709,5,1)&lt;&gt;"-",ISERROR(--LEFT(A1709,4)),ISERROR(--RIGHT(A1709,2))),"ERROR: PERIODO debe ser AAAA-MM",IF(B1709="","ERROR: falta CODIGO CECO",IF(G1709="CECO NO EXISTE","ERROR: CECO no existe en el catálogo",IF(C1709="","ERROR: falta CUENTA",IF(ISERROR(--C1709),"ERROR: CUENTA debe tener solo dígitos",IF(ISERROR(FIND(LEFT(C1709,1),"567")),"ERROR: CUENTA fuera de las clases de costo",IF(NOT(ISNUMBER(E1709)),"ERROR: VALOR debe ser numérico",IF(E1709=0,"AVISO: valor cero (no se carga)",IF(J1709&lt;&gt;"ACTIVO","NO SE CARGA: CECO en estado "&amp;J1709,"OK"))))))))))</f>
        <v/>
      </c>
    </row>
    <row r="1710">
      <c r="A1710" s="5" t="n"/>
      <c r="B1710" s="6" t="n"/>
      <c r="C1710" s="5" t="n"/>
      <c r="D1710" s="6" t="n"/>
      <c r="E1710" s="7" t="n"/>
      <c r="F1710" s="6" t="n"/>
      <c r="G1710" s="8">
        <f>IF(B1710="","",IFERROR(VLOOKUP(--B1710,'CATALOGO CECO'!$A$2:$H$550,2,FALSE),"CECO NO EXISTE"))</f>
        <v/>
      </c>
      <c r="H1710" s="8">
        <f>IF(B1710="","",IFERROR(VLOOKUP(--B1710,'CATALOGO CECO'!$A$2:$H$550,3,FALSE),""))</f>
        <v/>
      </c>
      <c r="I1710" s="8">
        <f>IF(B1710="","",IFERROR(VLOOKUP(--B1710,'CATALOGO CECO'!$A$2:$H$550,5,FALSE),""))</f>
        <v/>
      </c>
      <c r="J1710" s="8">
        <f>IF(B1710="","",IFERROR(VLOOKUP(--B1710,'CATALOGO CECO'!$A$2:$H$550,8,FALSE),""))</f>
        <v/>
      </c>
      <c r="K1710" s="8">
        <f>IF(COUNTA(A1710:F1710)=0,"",IF(OR(LEN(A1710)&lt;&gt;7,MID(A1710,5,1)&lt;&gt;"-",ISERROR(--LEFT(A1710,4)),ISERROR(--RIGHT(A1710,2))),"ERROR: PERIODO debe ser AAAA-MM",IF(B1710="","ERROR: falta CODIGO CECO",IF(G1710="CECO NO EXISTE","ERROR: CECO no existe en el catálogo",IF(C1710="","ERROR: falta CUENTA",IF(ISERROR(--C1710),"ERROR: CUENTA debe tener solo dígitos",IF(ISERROR(FIND(LEFT(C1710,1),"567")),"ERROR: CUENTA fuera de las clases de costo",IF(NOT(ISNUMBER(E1710)),"ERROR: VALOR debe ser numérico",IF(E1710=0,"AVISO: valor cero (no se carga)",IF(J1710&lt;&gt;"ACTIVO","NO SE CARGA: CECO en estado "&amp;J1710,"OK"))))))))))</f>
        <v/>
      </c>
    </row>
    <row r="1711">
      <c r="A1711" s="5" t="n"/>
      <c r="B1711" s="6" t="n"/>
      <c r="C1711" s="5" t="n"/>
      <c r="D1711" s="6" t="n"/>
      <c r="E1711" s="7" t="n"/>
      <c r="F1711" s="6" t="n"/>
      <c r="G1711" s="8">
        <f>IF(B1711="","",IFERROR(VLOOKUP(--B1711,'CATALOGO CECO'!$A$2:$H$550,2,FALSE),"CECO NO EXISTE"))</f>
        <v/>
      </c>
      <c r="H1711" s="8">
        <f>IF(B1711="","",IFERROR(VLOOKUP(--B1711,'CATALOGO CECO'!$A$2:$H$550,3,FALSE),""))</f>
        <v/>
      </c>
      <c r="I1711" s="8">
        <f>IF(B1711="","",IFERROR(VLOOKUP(--B1711,'CATALOGO CECO'!$A$2:$H$550,5,FALSE),""))</f>
        <v/>
      </c>
      <c r="J1711" s="8">
        <f>IF(B1711="","",IFERROR(VLOOKUP(--B1711,'CATALOGO CECO'!$A$2:$H$550,8,FALSE),""))</f>
        <v/>
      </c>
      <c r="K1711" s="8">
        <f>IF(COUNTA(A1711:F1711)=0,"",IF(OR(LEN(A1711)&lt;&gt;7,MID(A1711,5,1)&lt;&gt;"-",ISERROR(--LEFT(A1711,4)),ISERROR(--RIGHT(A1711,2))),"ERROR: PERIODO debe ser AAAA-MM",IF(B1711="","ERROR: falta CODIGO CECO",IF(G1711="CECO NO EXISTE","ERROR: CECO no existe en el catálogo",IF(C1711="","ERROR: falta CUENTA",IF(ISERROR(--C1711),"ERROR: CUENTA debe tener solo dígitos",IF(ISERROR(FIND(LEFT(C1711,1),"567")),"ERROR: CUENTA fuera de las clases de costo",IF(NOT(ISNUMBER(E1711)),"ERROR: VALOR debe ser numérico",IF(E1711=0,"AVISO: valor cero (no se carga)",IF(J1711&lt;&gt;"ACTIVO","NO SE CARGA: CECO en estado "&amp;J1711,"OK"))))))))))</f>
        <v/>
      </c>
    </row>
    <row r="1712">
      <c r="A1712" s="5" t="n"/>
      <c r="B1712" s="6" t="n"/>
      <c r="C1712" s="5" t="n"/>
      <c r="D1712" s="6" t="n"/>
      <c r="E1712" s="7" t="n"/>
      <c r="F1712" s="6" t="n"/>
      <c r="G1712" s="8">
        <f>IF(B1712="","",IFERROR(VLOOKUP(--B1712,'CATALOGO CECO'!$A$2:$H$550,2,FALSE),"CECO NO EXISTE"))</f>
        <v/>
      </c>
      <c r="H1712" s="8">
        <f>IF(B1712="","",IFERROR(VLOOKUP(--B1712,'CATALOGO CECO'!$A$2:$H$550,3,FALSE),""))</f>
        <v/>
      </c>
      <c r="I1712" s="8">
        <f>IF(B1712="","",IFERROR(VLOOKUP(--B1712,'CATALOGO CECO'!$A$2:$H$550,5,FALSE),""))</f>
        <v/>
      </c>
      <c r="J1712" s="8">
        <f>IF(B1712="","",IFERROR(VLOOKUP(--B1712,'CATALOGO CECO'!$A$2:$H$550,8,FALSE),""))</f>
        <v/>
      </c>
      <c r="K1712" s="8">
        <f>IF(COUNTA(A1712:F1712)=0,"",IF(OR(LEN(A1712)&lt;&gt;7,MID(A1712,5,1)&lt;&gt;"-",ISERROR(--LEFT(A1712,4)),ISERROR(--RIGHT(A1712,2))),"ERROR: PERIODO debe ser AAAA-MM",IF(B1712="","ERROR: falta CODIGO CECO",IF(G1712="CECO NO EXISTE","ERROR: CECO no existe en el catálogo",IF(C1712="","ERROR: falta CUENTA",IF(ISERROR(--C1712),"ERROR: CUENTA debe tener solo dígitos",IF(ISERROR(FIND(LEFT(C1712,1),"567")),"ERROR: CUENTA fuera de las clases de costo",IF(NOT(ISNUMBER(E1712)),"ERROR: VALOR debe ser numérico",IF(E1712=0,"AVISO: valor cero (no se carga)",IF(J1712&lt;&gt;"ACTIVO","NO SE CARGA: CECO en estado "&amp;J1712,"OK"))))))))))</f>
        <v/>
      </c>
    </row>
    <row r="1713">
      <c r="A1713" s="5" t="n"/>
      <c r="B1713" s="6" t="n"/>
      <c r="C1713" s="5" t="n"/>
      <c r="D1713" s="6" t="n"/>
      <c r="E1713" s="7" t="n"/>
      <c r="F1713" s="6" t="n"/>
      <c r="G1713" s="8">
        <f>IF(B1713="","",IFERROR(VLOOKUP(--B1713,'CATALOGO CECO'!$A$2:$H$550,2,FALSE),"CECO NO EXISTE"))</f>
        <v/>
      </c>
      <c r="H1713" s="8">
        <f>IF(B1713="","",IFERROR(VLOOKUP(--B1713,'CATALOGO CECO'!$A$2:$H$550,3,FALSE),""))</f>
        <v/>
      </c>
      <c r="I1713" s="8">
        <f>IF(B1713="","",IFERROR(VLOOKUP(--B1713,'CATALOGO CECO'!$A$2:$H$550,5,FALSE),""))</f>
        <v/>
      </c>
      <c r="J1713" s="8">
        <f>IF(B1713="","",IFERROR(VLOOKUP(--B1713,'CATALOGO CECO'!$A$2:$H$550,8,FALSE),""))</f>
        <v/>
      </c>
      <c r="K1713" s="8">
        <f>IF(COUNTA(A1713:F1713)=0,"",IF(OR(LEN(A1713)&lt;&gt;7,MID(A1713,5,1)&lt;&gt;"-",ISERROR(--LEFT(A1713,4)),ISERROR(--RIGHT(A1713,2))),"ERROR: PERIODO debe ser AAAA-MM",IF(B1713="","ERROR: falta CODIGO CECO",IF(G1713="CECO NO EXISTE","ERROR: CECO no existe en el catálogo",IF(C1713="","ERROR: falta CUENTA",IF(ISERROR(--C1713),"ERROR: CUENTA debe tener solo dígitos",IF(ISERROR(FIND(LEFT(C1713,1),"567")),"ERROR: CUENTA fuera de las clases de costo",IF(NOT(ISNUMBER(E1713)),"ERROR: VALOR debe ser numérico",IF(E1713=0,"AVISO: valor cero (no se carga)",IF(J1713&lt;&gt;"ACTIVO","NO SE CARGA: CECO en estado "&amp;J1713,"OK"))))))))))</f>
        <v/>
      </c>
    </row>
    <row r="1714">
      <c r="A1714" s="5" t="n"/>
      <c r="B1714" s="6" t="n"/>
      <c r="C1714" s="5" t="n"/>
      <c r="D1714" s="6" t="n"/>
      <c r="E1714" s="7" t="n"/>
      <c r="F1714" s="6" t="n"/>
      <c r="G1714" s="8">
        <f>IF(B1714="","",IFERROR(VLOOKUP(--B1714,'CATALOGO CECO'!$A$2:$H$550,2,FALSE),"CECO NO EXISTE"))</f>
        <v/>
      </c>
      <c r="H1714" s="8">
        <f>IF(B1714="","",IFERROR(VLOOKUP(--B1714,'CATALOGO CECO'!$A$2:$H$550,3,FALSE),""))</f>
        <v/>
      </c>
      <c r="I1714" s="8">
        <f>IF(B1714="","",IFERROR(VLOOKUP(--B1714,'CATALOGO CECO'!$A$2:$H$550,5,FALSE),""))</f>
        <v/>
      </c>
      <c r="J1714" s="8">
        <f>IF(B1714="","",IFERROR(VLOOKUP(--B1714,'CATALOGO CECO'!$A$2:$H$550,8,FALSE),""))</f>
        <v/>
      </c>
      <c r="K1714" s="8">
        <f>IF(COUNTA(A1714:F1714)=0,"",IF(OR(LEN(A1714)&lt;&gt;7,MID(A1714,5,1)&lt;&gt;"-",ISERROR(--LEFT(A1714,4)),ISERROR(--RIGHT(A1714,2))),"ERROR: PERIODO debe ser AAAA-MM",IF(B1714="","ERROR: falta CODIGO CECO",IF(G1714="CECO NO EXISTE","ERROR: CECO no existe en el catálogo",IF(C1714="","ERROR: falta CUENTA",IF(ISERROR(--C1714),"ERROR: CUENTA debe tener solo dígitos",IF(ISERROR(FIND(LEFT(C1714,1),"567")),"ERROR: CUENTA fuera de las clases de costo",IF(NOT(ISNUMBER(E1714)),"ERROR: VALOR debe ser numérico",IF(E1714=0,"AVISO: valor cero (no se carga)",IF(J1714&lt;&gt;"ACTIVO","NO SE CARGA: CECO en estado "&amp;J1714,"OK"))))))))))</f>
        <v/>
      </c>
    </row>
    <row r="1715">
      <c r="A1715" s="5" t="n"/>
      <c r="B1715" s="6" t="n"/>
      <c r="C1715" s="5" t="n"/>
      <c r="D1715" s="6" t="n"/>
      <c r="E1715" s="7" t="n"/>
      <c r="F1715" s="6" t="n"/>
      <c r="G1715" s="8">
        <f>IF(B1715="","",IFERROR(VLOOKUP(--B1715,'CATALOGO CECO'!$A$2:$H$550,2,FALSE),"CECO NO EXISTE"))</f>
        <v/>
      </c>
      <c r="H1715" s="8">
        <f>IF(B1715="","",IFERROR(VLOOKUP(--B1715,'CATALOGO CECO'!$A$2:$H$550,3,FALSE),""))</f>
        <v/>
      </c>
      <c r="I1715" s="8">
        <f>IF(B1715="","",IFERROR(VLOOKUP(--B1715,'CATALOGO CECO'!$A$2:$H$550,5,FALSE),""))</f>
        <v/>
      </c>
      <c r="J1715" s="8">
        <f>IF(B1715="","",IFERROR(VLOOKUP(--B1715,'CATALOGO CECO'!$A$2:$H$550,8,FALSE),""))</f>
        <v/>
      </c>
      <c r="K1715" s="8">
        <f>IF(COUNTA(A1715:F1715)=0,"",IF(OR(LEN(A1715)&lt;&gt;7,MID(A1715,5,1)&lt;&gt;"-",ISERROR(--LEFT(A1715,4)),ISERROR(--RIGHT(A1715,2))),"ERROR: PERIODO debe ser AAAA-MM",IF(B1715="","ERROR: falta CODIGO CECO",IF(G1715="CECO NO EXISTE","ERROR: CECO no existe en el catálogo",IF(C1715="","ERROR: falta CUENTA",IF(ISERROR(--C1715),"ERROR: CUENTA debe tener solo dígitos",IF(ISERROR(FIND(LEFT(C1715,1),"567")),"ERROR: CUENTA fuera de las clases de costo",IF(NOT(ISNUMBER(E1715)),"ERROR: VALOR debe ser numérico",IF(E1715=0,"AVISO: valor cero (no se carga)",IF(J1715&lt;&gt;"ACTIVO","NO SE CARGA: CECO en estado "&amp;J1715,"OK"))))))))))</f>
        <v/>
      </c>
    </row>
    <row r="1716">
      <c r="A1716" s="5" t="n"/>
      <c r="B1716" s="6" t="n"/>
      <c r="C1716" s="5" t="n"/>
      <c r="D1716" s="6" t="n"/>
      <c r="E1716" s="7" t="n"/>
      <c r="F1716" s="6" t="n"/>
      <c r="G1716" s="8">
        <f>IF(B1716="","",IFERROR(VLOOKUP(--B1716,'CATALOGO CECO'!$A$2:$H$550,2,FALSE),"CECO NO EXISTE"))</f>
        <v/>
      </c>
      <c r="H1716" s="8">
        <f>IF(B1716="","",IFERROR(VLOOKUP(--B1716,'CATALOGO CECO'!$A$2:$H$550,3,FALSE),""))</f>
        <v/>
      </c>
      <c r="I1716" s="8">
        <f>IF(B1716="","",IFERROR(VLOOKUP(--B1716,'CATALOGO CECO'!$A$2:$H$550,5,FALSE),""))</f>
        <v/>
      </c>
      <c r="J1716" s="8">
        <f>IF(B1716="","",IFERROR(VLOOKUP(--B1716,'CATALOGO CECO'!$A$2:$H$550,8,FALSE),""))</f>
        <v/>
      </c>
      <c r="K1716" s="8">
        <f>IF(COUNTA(A1716:F1716)=0,"",IF(OR(LEN(A1716)&lt;&gt;7,MID(A1716,5,1)&lt;&gt;"-",ISERROR(--LEFT(A1716,4)),ISERROR(--RIGHT(A1716,2))),"ERROR: PERIODO debe ser AAAA-MM",IF(B1716="","ERROR: falta CODIGO CECO",IF(G1716="CECO NO EXISTE","ERROR: CECO no existe en el catálogo",IF(C1716="","ERROR: falta CUENTA",IF(ISERROR(--C1716),"ERROR: CUENTA debe tener solo dígitos",IF(ISERROR(FIND(LEFT(C1716,1),"567")),"ERROR: CUENTA fuera de las clases de costo",IF(NOT(ISNUMBER(E1716)),"ERROR: VALOR debe ser numérico",IF(E1716=0,"AVISO: valor cero (no se carga)",IF(J1716&lt;&gt;"ACTIVO","NO SE CARGA: CECO en estado "&amp;J1716,"OK"))))))))))</f>
        <v/>
      </c>
    </row>
    <row r="1717">
      <c r="A1717" s="5" t="n"/>
      <c r="B1717" s="6" t="n"/>
      <c r="C1717" s="5" t="n"/>
      <c r="D1717" s="6" t="n"/>
      <c r="E1717" s="7" t="n"/>
      <c r="F1717" s="6" t="n"/>
      <c r="G1717" s="8">
        <f>IF(B1717="","",IFERROR(VLOOKUP(--B1717,'CATALOGO CECO'!$A$2:$H$550,2,FALSE),"CECO NO EXISTE"))</f>
        <v/>
      </c>
      <c r="H1717" s="8">
        <f>IF(B1717="","",IFERROR(VLOOKUP(--B1717,'CATALOGO CECO'!$A$2:$H$550,3,FALSE),""))</f>
        <v/>
      </c>
      <c r="I1717" s="8">
        <f>IF(B1717="","",IFERROR(VLOOKUP(--B1717,'CATALOGO CECO'!$A$2:$H$550,5,FALSE),""))</f>
        <v/>
      </c>
      <c r="J1717" s="8">
        <f>IF(B1717="","",IFERROR(VLOOKUP(--B1717,'CATALOGO CECO'!$A$2:$H$550,8,FALSE),""))</f>
        <v/>
      </c>
      <c r="K1717" s="8">
        <f>IF(COUNTA(A1717:F1717)=0,"",IF(OR(LEN(A1717)&lt;&gt;7,MID(A1717,5,1)&lt;&gt;"-",ISERROR(--LEFT(A1717,4)),ISERROR(--RIGHT(A1717,2))),"ERROR: PERIODO debe ser AAAA-MM",IF(B1717="","ERROR: falta CODIGO CECO",IF(G1717="CECO NO EXISTE","ERROR: CECO no existe en el catálogo",IF(C1717="","ERROR: falta CUENTA",IF(ISERROR(--C1717),"ERROR: CUENTA debe tener solo dígitos",IF(ISERROR(FIND(LEFT(C1717,1),"567")),"ERROR: CUENTA fuera de las clases de costo",IF(NOT(ISNUMBER(E1717)),"ERROR: VALOR debe ser numérico",IF(E1717=0,"AVISO: valor cero (no se carga)",IF(J1717&lt;&gt;"ACTIVO","NO SE CARGA: CECO en estado "&amp;J1717,"OK"))))))))))</f>
        <v/>
      </c>
    </row>
    <row r="1718">
      <c r="A1718" s="5" t="n"/>
      <c r="B1718" s="6" t="n"/>
      <c r="C1718" s="5" t="n"/>
      <c r="D1718" s="6" t="n"/>
      <c r="E1718" s="7" t="n"/>
      <c r="F1718" s="6" t="n"/>
      <c r="G1718" s="8">
        <f>IF(B1718="","",IFERROR(VLOOKUP(--B1718,'CATALOGO CECO'!$A$2:$H$550,2,FALSE),"CECO NO EXISTE"))</f>
        <v/>
      </c>
      <c r="H1718" s="8">
        <f>IF(B1718="","",IFERROR(VLOOKUP(--B1718,'CATALOGO CECO'!$A$2:$H$550,3,FALSE),""))</f>
        <v/>
      </c>
      <c r="I1718" s="8">
        <f>IF(B1718="","",IFERROR(VLOOKUP(--B1718,'CATALOGO CECO'!$A$2:$H$550,5,FALSE),""))</f>
        <v/>
      </c>
      <c r="J1718" s="8">
        <f>IF(B1718="","",IFERROR(VLOOKUP(--B1718,'CATALOGO CECO'!$A$2:$H$550,8,FALSE),""))</f>
        <v/>
      </c>
      <c r="K1718" s="8">
        <f>IF(COUNTA(A1718:F1718)=0,"",IF(OR(LEN(A1718)&lt;&gt;7,MID(A1718,5,1)&lt;&gt;"-",ISERROR(--LEFT(A1718,4)),ISERROR(--RIGHT(A1718,2))),"ERROR: PERIODO debe ser AAAA-MM",IF(B1718="","ERROR: falta CODIGO CECO",IF(G1718="CECO NO EXISTE","ERROR: CECO no existe en el catálogo",IF(C1718="","ERROR: falta CUENTA",IF(ISERROR(--C1718),"ERROR: CUENTA debe tener solo dígitos",IF(ISERROR(FIND(LEFT(C1718,1),"567")),"ERROR: CUENTA fuera de las clases de costo",IF(NOT(ISNUMBER(E1718)),"ERROR: VALOR debe ser numérico",IF(E1718=0,"AVISO: valor cero (no se carga)",IF(J1718&lt;&gt;"ACTIVO","NO SE CARGA: CECO en estado "&amp;J1718,"OK"))))))))))</f>
        <v/>
      </c>
    </row>
    <row r="1719">
      <c r="A1719" s="5" t="n"/>
      <c r="B1719" s="6" t="n"/>
      <c r="C1719" s="5" t="n"/>
      <c r="D1719" s="6" t="n"/>
      <c r="E1719" s="7" t="n"/>
      <c r="F1719" s="6" t="n"/>
      <c r="G1719" s="8">
        <f>IF(B1719="","",IFERROR(VLOOKUP(--B1719,'CATALOGO CECO'!$A$2:$H$550,2,FALSE),"CECO NO EXISTE"))</f>
        <v/>
      </c>
      <c r="H1719" s="8">
        <f>IF(B1719="","",IFERROR(VLOOKUP(--B1719,'CATALOGO CECO'!$A$2:$H$550,3,FALSE),""))</f>
        <v/>
      </c>
      <c r="I1719" s="8">
        <f>IF(B1719="","",IFERROR(VLOOKUP(--B1719,'CATALOGO CECO'!$A$2:$H$550,5,FALSE),""))</f>
        <v/>
      </c>
      <c r="J1719" s="8">
        <f>IF(B1719="","",IFERROR(VLOOKUP(--B1719,'CATALOGO CECO'!$A$2:$H$550,8,FALSE),""))</f>
        <v/>
      </c>
      <c r="K1719" s="8">
        <f>IF(COUNTA(A1719:F1719)=0,"",IF(OR(LEN(A1719)&lt;&gt;7,MID(A1719,5,1)&lt;&gt;"-",ISERROR(--LEFT(A1719,4)),ISERROR(--RIGHT(A1719,2))),"ERROR: PERIODO debe ser AAAA-MM",IF(B1719="","ERROR: falta CODIGO CECO",IF(G1719="CECO NO EXISTE","ERROR: CECO no existe en el catálogo",IF(C1719="","ERROR: falta CUENTA",IF(ISERROR(--C1719),"ERROR: CUENTA debe tener solo dígitos",IF(ISERROR(FIND(LEFT(C1719,1),"567")),"ERROR: CUENTA fuera de las clases de costo",IF(NOT(ISNUMBER(E1719)),"ERROR: VALOR debe ser numérico",IF(E1719=0,"AVISO: valor cero (no se carga)",IF(J1719&lt;&gt;"ACTIVO","NO SE CARGA: CECO en estado "&amp;J1719,"OK"))))))))))</f>
        <v/>
      </c>
    </row>
    <row r="1720">
      <c r="A1720" s="5" t="n"/>
      <c r="B1720" s="6" t="n"/>
      <c r="C1720" s="5" t="n"/>
      <c r="D1720" s="6" t="n"/>
      <c r="E1720" s="7" t="n"/>
      <c r="F1720" s="6" t="n"/>
      <c r="G1720" s="8">
        <f>IF(B1720="","",IFERROR(VLOOKUP(--B1720,'CATALOGO CECO'!$A$2:$H$550,2,FALSE),"CECO NO EXISTE"))</f>
        <v/>
      </c>
      <c r="H1720" s="8">
        <f>IF(B1720="","",IFERROR(VLOOKUP(--B1720,'CATALOGO CECO'!$A$2:$H$550,3,FALSE),""))</f>
        <v/>
      </c>
      <c r="I1720" s="8">
        <f>IF(B1720="","",IFERROR(VLOOKUP(--B1720,'CATALOGO CECO'!$A$2:$H$550,5,FALSE),""))</f>
        <v/>
      </c>
      <c r="J1720" s="8">
        <f>IF(B1720="","",IFERROR(VLOOKUP(--B1720,'CATALOGO CECO'!$A$2:$H$550,8,FALSE),""))</f>
        <v/>
      </c>
      <c r="K1720" s="8">
        <f>IF(COUNTA(A1720:F1720)=0,"",IF(OR(LEN(A1720)&lt;&gt;7,MID(A1720,5,1)&lt;&gt;"-",ISERROR(--LEFT(A1720,4)),ISERROR(--RIGHT(A1720,2))),"ERROR: PERIODO debe ser AAAA-MM",IF(B1720="","ERROR: falta CODIGO CECO",IF(G1720="CECO NO EXISTE","ERROR: CECO no existe en el catálogo",IF(C1720="","ERROR: falta CUENTA",IF(ISERROR(--C1720),"ERROR: CUENTA debe tener solo dígitos",IF(ISERROR(FIND(LEFT(C1720,1),"567")),"ERROR: CUENTA fuera de las clases de costo",IF(NOT(ISNUMBER(E1720)),"ERROR: VALOR debe ser numérico",IF(E1720=0,"AVISO: valor cero (no se carga)",IF(J1720&lt;&gt;"ACTIVO","NO SE CARGA: CECO en estado "&amp;J1720,"OK"))))))))))</f>
        <v/>
      </c>
    </row>
    <row r="1721">
      <c r="A1721" s="5" t="n"/>
      <c r="B1721" s="6" t="n"/>
      <c r="C1721" s="5" t="n"/>
      <c r="D1721" s="6" t="n"/>
      <c r="E1721" s="7" t="n"/>
      <c r="F1721" s="6" t="n"/>
      <c r="G1721" s="8">
        <f>IF(B1721="","",IFERROR(VLOOKUP(--B1721,'CATALOGO CECO'!$A$2:$H$550,2,FALSE),"CECO NO EXISTE"))</f>
        <v/>
      </c>
      <c r="H1721" s="8">
        <f>IF(B1721="","",IFERROR(VLOOKUP(--B1721,'CATALOGO CECO'!$A$2:$H$550,3,FALSE),""))</f>
        <v/>
      </c>
      <c r="I1721" s="8">
        <f>IF(B1721="","",IFERROR(VLOOKUP(--B1721,'CATALOGO CECO'!$A$2:$H$550,5,FALSE),""))</f>
        <v/>
      </c>
      <c r="J1721" s="8">
        <f>IF(B1721="","",IFERROR(VLOOKUP(--B1721,'CATALOGO CECO'!$A$2:$H$550,8,FALSE),""))</f>
        <v/>
      </c>
      <c r="K1721" s="8">
        <f>IF(COUNTA(A1721:F1721)=0,"",IF(OR(LEN(A1721)&lt;&gt;7,MID(A1721,5,1)&lt;&gt;"-",ISERROR(--LEFT(A1721,4)),ISERROR(--RIGHT(A1721,2))),"ERROR: PERIODO debe ser AAAA-MM",IF(B1721="","ERROR: falta CODIGO CECO",IF(G1721="CECO NO EXISTE","ERROR: CECO no existe en el catálogo",IF(C1721="","ERROR: falta CUENTA",IF(ISERROR(--C1721),"ERROR: CUENTA debe tener solo dígitos",IF(ISERROR(FIND(LEFT(C1721,1),"567")),"ERROR: CUENTA fuera de las clases de costo",IF(NOT(ISNUMBER(E1721)),"ERROR: VALOR debe ser numérico",IF(E1721=0,"AVISO: valor cero (no se carga)",IF(J1721&lt;&gt;"ACTIVO","NO SE CARGA: CECO en estado "&amp;J1721,"OK"))))))))))</f>
        <v/>
      </c>
    </row>
    <row r="1722">
      <c r="A1722" s="5" t="n"/>
      <c r="B1722" s="6" t="n"/>
      <c r="C1722" s="5" t="n"/>
      <c r="D1722" s="6" t="n"/>
      <c r="E1722" s="7" t="n"/>
      <c r="F1722" s="6" t="n"/>
      <c r="G1722" s="8">
        <f>IF(B1722="","",IFERROR(VLOOKUP(--B1722,'CATALOGO CECO'!$A$2:$H$550,2,FALSE),"CECO NO EXISTE"))</f>
        <v/>
      </c>
      <c r="H1722" s="8">
        <f>IF(B1722="","",IFERROR(VLOOKUP(--B1722,'CATALOGO CECO'!$A$2:$H$550,3,FALSE),""))</f>
        <v/>
      </c>
      <c r="I1722" s="8">
        <f>IF(B1722="","",IFERROR(VLOOKUP(--B1722,'CATALOGO CECO'!$A$2:$H$550,5,FALSE),""))</f>
        <v/>
      </c>
      <c r="J1722" s="8">
        <f>IF(B1722="","",IFERROR(VLOOKUP(--B1722,'CATALOGO CECO'!$A$2:$H$550,8,FALSE),""))</f>
        <v/>
      </c>
      <c r="K1722" s="8">
        <f>IF(COUNTA(A1722:F1722)=0,"",IF(OR(LEN(A1722)&lt;&gt;7,MID(A1722,5,1)&lt;&gt;"-",ISERROR(--LEFT(A1722,4)),ISERROR(--RIGHT(A1722,2))),"ERROR: PERIODO debe ser AAAA-MM",IF(B1722="","ERROR: falta CODIGO CECO",IF(G1722="CECO NO EXISTE","ERROR: CECO no existe en el catálogo",IF(C1722="","ERROR: falta CUENTA",IF(ISERROR(--C1722),"ERROR: CUENTA debe tener solo dígitos",IF(ISERROR(FIND(LEFT(C1722,1),"567")),"ERROR: CUENTA fuera de las clases de costo",IF(NOT(ISNUMBER(E1722)),"ERROR: VALOR debe ser numérico",IF(E1722=0,"AVISO: valor cero (no se carga)",IF(J1722&lt;&gt;"ACTIVO","NO SE CARGA: CECO en estado "&amp;J1722,"OK"))))))))))</f>
        <v/>
      </c>
    </row>
    <row r="1723">
      <c r="A1723" s="5" t="n"/>
      <c r="B1723" s="6" t="n"/>
      <c r="C1723" s="5" t="n"/>
      <c r="D1723" s="6" t="n"/>
      <c r="E1723" s="7" t="n"/>
      <c r="F1723" s="6" t="n"/>
      <c r="G1723" s="8">
        <f>IF(B1723="","",IFERROR(VLOOKUP(--B1723,'CATALOGO CECO'!$A$2:$H$550,2,FALSE),"CECO NO EXISTE"))</f>
        <v/>
      </c>
      <c r="H1723" s="8">
        <f>IF(B1723="","",IFERROR(VLOOKUP(--B1723,'CATALOGO CECO'!$A$2:$H$550,3,FALSE),""))</f>
        <v/>
      </c>
      <c r="I1723" s="8">
        <f>IF(B1723="","",IFERROR(VLOOKUP(--B1723,'CATALOGO CECO'!$A$2:$H$550,5,FALSE),""))</f>
        <v/>
      </c>
      <c r="J1723" s="8">
        <f>IF(B1723="","",IFERROR(VLOOKUP(--B1723,'CATALOGO CECO'!$A$2:$H$550,8,FALSE),""))</f>
        <v/>
      </c>
      <c r="K1723" s="8">
        <f>IF(COUNTA(A1723:F1723)=0,"",IF(OR(LEN(A1723)&lt;&gt;7,MID(A1723,5,1)&lt;&gt;"-",ISERROR(--LEFT(A1723,4)),ISERROR(--RIGHT(A1723,2))),"ERROR: PERIODO debe ser AAAA-MM",IF(B1723="","ERROR: falta CODIGO CECO",IF(G1723="CECO NO EXISTE","ERROR: CECO no existe en el catálogo",IF(C1723="","ERROR: falta CUENTA",IF(ISERROR(--C1723),"ERROR: CUENTA debe tener solo dígitos",IF(ISERROR(FIND(LEFT(C1723,1),"567")),"ERROR: CUENTA fuera de las clases de costo",IF(NOT(ISNUMBER(E1723)),"ERROR: VALOR debe ser numérico",IF(E1723=0,"AVISO: valor cero (no se carga)",IF(J1723&lt;&gt;"ACTIVO","NO SE CARGA: CECO en estado "&amp;J1723,"OK"))))))))))</f>
        <v/>
      </c>
    </row>
    <row r="1724">
      <c r="A1724" s="5" t="n"/>
      <c r="B1724" s="6" t="n"/>
      <c r="C1724" s="5" t="n"/>
      <c r="D1724" s="6" t="n"/>
      <c r="E1724" s="7" t="n"/>
      <c r="F1724" s="6" t="n"/>
      <c r="G1724" s="8">
        <f>IF(B1724="","",IFERROR(VLOOKUP(--B1724,'CATALOGO CECO'!$A$2:$H$550,2,FALSE),"CECO NO EXISTE"))</f>
        <v/>
      </c>
      <c r="H1724" s="8">
        <f>IF(B1724="","",IFERROR(VLOOKUP(--B1724,'CATALOGO CECO'!$A$2:$H$550,3,FALSE),""))</f>
        <v/>
      </c>
      <c r="I1724" s="8">
        <f>IF(B1724="","",IFERROR(VLOOKUP(--B1724,'CATALOGO CECO'!$A$2:$H$550,5,FALSE),""))</f>
        <v/>
      </c>
      <c r="J1724" s="8">
        <f>IF(B1724="","",IFERROR(VLOOKUP(--B1724,'CATALOGO CECO'!$A$2:$H$550,8,FALSE),""))</f>
        <v/>
      </c>
      <c r="K1724" s="8">
        <f>IF(COUNTA(A1724:F1724)=0,"",IF(OR(LEN(A1724)&lt;&gt;7,MID(A1724,5,1)&lt;&gt;"-",ISERROR(--LEFT(A1724,4)),ISERROR(--RIGHT(A1724,2))),"ERROR: PERIODO debe ser AAAA-MM",IF(B1724="","ERROR: falta CODIGO CECO",IF(G1724="CECO NO EXISTE","ERROR: CECO no existe en el catálogo",IF(C1724="","ERROR: falta CUENTA",IF(ISERROR(--C1724),"ERROR: CUENTA debe tener solo dígitos",IF(ISERROR(FIND(LEFT(C1724,1),"567")),"ERROR: CUENTA fuera de las clases de costo",IF(NOT(ISNUMBER(E1724)),"ERROR: VALOR debe ser numérico",IF(E1724=0,"AVISO: valor cero (no se carga)",IF(J1724&lt;&gt;"ACTIVO","NO SE CARGA: CECO en estado "&amp;J1724,"OK"))))))))))</f>
        <v/>
      </c>
    </row>
    <row r="1725">
      <c r="A1725" s="5" t="n"/>
      <c r="B1725" s="6" t="n"/>
      <c r="C1725" s="5" t="n"/>
      <c r="D1725" s="6" t="n"/>
      <c r="E1725" s="7" t="n"/>
      <c r="F1725" s="6" t="n"/>
      <c r="G1725" s="8">
        <f>IF(B1725="","",IFERROR(VLOOKUP(--B1725,'CATALOGO CECO'!$A$2:$H$550,2,FALSE),"CECO NO EXISTE"))</f>
        <v/>
      </c>
      <c r="H1725" s="8">
        <f>IF(B1725="","",IFERROR(VLOOKUP(--B1725,'CATALOGO CECO'!$A$2:$H$550,3,FALSE),""))</f>
        <v/>
      </c>
      <c r="I1725" s="8">
        <f>IF(B1725="","",IFERROR(VLOOKUP(--B1725,'CATALOGO CECO'!$A$2:$H$550,5,FALSE),""))</f>
        <v/>
      </c>
      <c r="J1725" s="8">
        <f>IF(B1725="","",IFERROR(VLOOKUP(--B1725,'CATALOGO CECO'!$A$2:$H$550,8,FALSE),""))</f>
        <v/>
      </c>
      <c r="K1725" s="8">
        <f>IF(COUNTA(A1725:F1725)=0,"",IF(OR(LEN(A1725)&lt;&gt;7,MID(A1725,5,1)&lt;&gt;"-",ISERROR(--LEFT(A1725,4)),ISERROR(--RIGHT(A1725,2))),"ERROR: PERIODO debe ser AAAA-MM",IF(B1725="","ERROR: falta CODIGO CECO",IF(G1725="CECO NO EXISTE","ERROR: CECO no existe en el catálogo",IF(C1725="","ERROR: falta CUENTA",IF(ISERROR(--C1725),"ERROR: CUENTA debe tener solo dígitos",IF(ISERROR(FIND(LEFT(C1725,1),"567")),"ERROR: CUENTA fuera de las clases de costo",IF(NOT(ISNUMBER(E1725)),"ERROR: VALOR debe ser numérico",IF(E1725=0,"AVISO: valor cero (no se carga)",IF(J1725&lt;&gt;"ACTIVO","NO SE CARGA: CECO en estado "&amp;J1725,"OK"))))))))))</f>
        <v/>
      </c>
    </row>
    <row r="1726">
      <c r="A1726" s="5" t="n"/>
      <c r="B1726" s="6" t="n"/>
      <c r="C1726" s="5" t="n"/>
      <c r="D1726" s="6" t="n"/>
      <c r="E1726" s="7" t="n"/>
      <c r="F1726" s="6" t="n"/>
      <c r="G1726" s="8">
        <f>IF(B1726="","",IFERROR(VLOOKUP(--B1726,'CATALOGO CECO'!$A$2:$H$550,2,FALSE),"CECO NO EXISTE"))</f>
        <v/>
      </c>
      <c r="H1726" s="8">
        <f>IF(B1726="","",IFERROR(VLOOKUP(--B1726,'CATALOGO CECO'!$A$2:$H$550,3,FALSE),""))</f>
        <v/>
      </c>
      <c r="I1726" s="8">
        <f>IF(B1726="","",IFERROR(VLOOKUP(--B1726,'CATALOGO CECO'!$A$2:$H$550,5,FALSE),""))</f>
        <v/>
      </c>
      <c r="J1726" s="8">
        <f>IF(B1726="","",IFERROR(VLOOKUP(--B1726,'CATALOGO CECO'!$A$2:$H$550,8,FALSE),""))</f>
        <v/>
      </c>
      <c r="K1726" s="8">
        <f>IF(COUNTA(A1726:F1726)=0,"",IF(OR(LEN(A1726)&lt;&gt;7,MID(A1726,5,1)&lt;&gt;"-",ISERROR(--LEFT(A1726,4)),ISERROR(--RIGHT(A1726,2))),"ERROR: PERIODO debe ser AAAA-MM",IF(B1726="","ERROR: falta CODIGO CECO",IF(G1726="CECO NO EXISTE","ERROR: CECO no existe en el catálogo",IF(C1726="","ERROR: falta CUENTA",IF(ISERROR(--C1726),"ERROR: CUENTA debe tener solo dígitos",IF(ISERROR(FIND(LEFT(C1726,1),"567")),"ERROR: CUENTA fuera de las clases de costo",IF(NOT(ISNUMBER(E1726)),"ERROR: VALOR debe ser numérico",IF(E1726=0,"AVISO: valor cero (no se carga)",IF(J1726&lt;&gt;"ACTIVO","NO SE CARGA: CECO en estado "&amp;J1726,"OK"))))))))))</f>
        <v/>
      </c>
    </row>
    <row r="1727">
      <c r="A1727" s="5" t="n"/>
      <c r="B1727" s="6" t="n"/>
      <c r="C1727" s="5" t="n"/>
      <c r="D1727" s="6" t="n"/>
      <c r="E1727" s="7" t="n"/>
      <c r="F1727" s="6" t="n"/>
      <c r="G1727" s="8">
        <f>IF(B1727="","",IFERROR(VLOOKUP(--B1727,'CATALOGO CECO'!$A$2:$H$550,2,FALSE),"CECO NO EXISTE"))</f>
        <v/>
      </c>
      <c r="H1727" s="8">
        <f>IF(B1727="","",IFERROR(VLOOKUP(--B1727,'CATALOGO CECO'!$A$2:$H$550,3,FALSE),""))</f>
        <v/>
      </c>
      <c r="I1727" s="8">
        <f>IF(B1727="","",IFERROR(VLOOKUP(--B1727,'CATALOGO CECO'!$A$2:$H$550,5,FALSE),""))</f>
        <v/>
      </c>
      <c r="J1727" s="8">
        <f>IF(B1727="","",IFERROR(VLOOKUP(--B1727,'CATALOGO CECO'!$A$2:$H$550,8,FALSE),""))</f>
        <v/>
      </c>
      <c r="K1727" s="8">
        <f>IF(COUNTA(A1727:F1727)=0,"",IF(OR(LEN(A1727)&lt;&gt;7,MID(A1727,5,1)&lt;&gt;"-",ISERROR(--LEFT(A1727,4)),ISERROR(--RIGHT(A1727,2))),"ERROR: PERIODO debe ser AAAA-MM",IF(B1727="","ERROR: falta CODIGO CECO",IF(G1727="CECO NO EXISTE","ERROR: CECO no existe en el catálogo",IF(C1727="","ERROR: falta CUENTA",IF(ISERROR(--C1727),"ERROR: CUENTA debe tener solo dígitos",IF(ISERROR(FIND(LEFT(C1727,1),"567")),"ERROR: CUENTA fuera de las clases de costo",IF(NOT(ISNUMBER(E1727)),"ERROR: VALOR debe ser numérico",IF(E1727=0,"AVISO: valor cero (no se carga)",IF(J1727&lt;&gt;"ACTIVO","NO SE CARGA: CECO en estado "&amp;J1727,"OK"))))))))))</f>
        <v/>
      </c>
    </row>
    <row r="1728">
      <c r="A1728" s="5" t="n"/>
      <c r="B1728" s="6" t="n"/>
      <c r="C1728" s="5" t="n"/>
      <c r="D1728" s="6" t="n"/>
      <c r="E1728" s="7" t="n"/>
      <c r="F1728" s="6" t="n"/>
      <c r="G1728" s="8">
        <f>IF(B1728="","",IFERROR(VLOOKUP(--B1728,'CATALOGO CECO'!$A$2:$H$550,2,FALSE),"CECO NO EXISTE"))</f>
        <v/>
      </c>
      <c r="H1728" s="8">
        <f>IF(B1728="","",IFERROR(VLOOKUP(--B1728,'CATALOGO CECO'!$A$2:$H$550,3,FALSE),""))</f>
        <v/>
      </c>
      <c r="I1728" s="8">
        <f>IF(B1728="","",IFERROR(VLOOKUP(--B1728,'CATALOGO CECO'!$A$2:$H$550,5,FALSE),""))</f>
        <v/>
      </c>
      <c r="J1728" s="8">
        <f>IF(B1728="","",IFERROR(VLOOKUP(--B1728,'CATALOGO CECO'!$A$2:$H$550,8,FALSE),""))</f>
        <v/>
      </c>
      <c r="K1728" s="8">
        <f>IF(COUNTA(A1728:F1728)=0,"",IF(OR(LEN(A1728)&lt;&gt;7,MID(A1728,5,1)&lt;&gt;"-",ISERROR(--LEFT(A1728,4)),ISERROR(--RIGHT(A1728,2))),"ERROR: PERIODO debe ser AAAA-MM",IF(B1728="","ERROR: falta CODIGO CECO",IF(G1728="CECO NO EXISTE","ERROR: CECO no existe en el catálogo",IF(C1728="","ERROR: falta CUENTA",IF(ISERROR(--C1728),"ERROR: CUENTA debe tener solo dígitos",IF(ISERROR(FIND(LEFT(C1728,1),"567")),"ERROR: CUENTA fuera de las clases de costo",IF(NOT(ISNUMBER(E1728)),"ERROR: VALOR debe ser numérico",IF(E1728=0,"AVISO: valor cero (no se carga)",IF(J1728&lt;&gt;"ACTIVO","NO SE CARGA: CECO en estado "&amp;J1728,"OK"))))))))))</f>
        <v/>
      </c>
    </row>
    <row r="1729">
      <c r="A1729" s="5" t="n"/>
      <c r="B1729" s="6" t="n"/>
      <c r="C1729" s="5" t="n"/>
      <c r="D1729" s="6" t="n"/>
      <c r="E1729" s="7" t="n"/>
      <c r="F1729" s="6" t="n"/>
      <c r="G1729" s="8">
        <f>IF(B1729="","",IFERROR(VLOOKUP(--B1729,'CATALOGO CECO'!$A$2:$H$550,2,FALSE),"CECO NO EXISTE"))</f>
        <v/>
      </c>
      <c r="H1729" s="8">
        <f>IF(B1729="","",IFERROR(VLOOKUP(--B1729,'CATALOGO CECO'!$A$2:$H$550,3,FALSE),""))</f>
        <v/>
      </c>
      <c r="I1729" s="8">
        <f>IF(B1729="","",IFERROR(VLOOKUP(--B1729,'CATALOGO CECO'!$A$2:$H$550,5,FALSE),""))</f>
        <v/>
      </c>
      <c r="J1729" s="8">
        <f>IF(B1729="","",IFERROR(VLOOKUP(--B1729,'CATALOGO CECO'!$A$2:$H$550,8,FALSE),""))</f>
        <v/>
      </c>
      <c r="K1729" s="8">
        <f>IF(COUNTA(A1729:F1729)=0,"",IF(OR(LEN(A1729)&lt;&gt;7,MID(A1729,5,1)&lt;&gt;"-",ISERROR(--LEFT(A1729,4)),ISERROR(--RIGHT(A1729,2))),"ERROR: PERIODO debe ser AAAA-MM",IF(B1729="","ERROR: falta CODIGO CECO",IF(G1729="CECO NO EXISTE","ERROR: CECO no existe en el catálogo",IF(C1729="","ERROR: falta CUENTA",IF(ISERROR(--C1729),"ERROR: CUENTA debe tener solo dígitos",IF(ISERROR(FIND(LEFT(C1729,1),"567")),"ERROR: CUENTA fuera de las clases de costo",IF(NOT(ISNUMBER(E1729)),"ERROR: VALOR debe ser numérico",IF(E1729=0,"AVISO: valor cero (no se carga)",IF(J1729&lt;&gt;"ACTIVO","NO SE CARGA: CECO en estado "&amp;J1729,"OK"))))))))))</f>
        <v/>
      </c>
    </row>
    <row r="1730">
      <c r="A1730" s="5" t="n"/>
      <c r="B1730" s="6" t="n"/>
      <c r="C1730" s="5" t="n"/>
      <c r="D1730" s="6" t="n"/>
      <c r="E1730" s="7" t="n"/>
      <c r="F1730" s="6" t="n"/>
      <c r="G1730" s="8">
        <f>IF(B1730="","",IFERROR(VLOOKUP(--B1730,'CATALOGO CECO'!$A$2:$H$550,2,FALSE),"CECO NO EXISTE"))</f>
        <v/>
      </c>
      <c r="H1730" s="8">
        <f>IF(B1730="","",IFERROR(VLOOKUP(--B1730,'CATALOGO CECO'!$A$2:$H$550,3,FALSE),""))</f>
        <v/>
      </c>
      <c r="I1730" s="8">
        <f>IF(B1730="","",IFERROR(VLOOKUP(--B1730,'CATALOGO CECO'!$A$2:$H$550,5,FALSE),""))</f>
        <v/>
      </c>
      <c r="J1730" s="8">
        <f>IF(B1730="","",IFERROR(VLOOKUP(--B1730,'CATALOGO CECO'!$A$2:$H$550,8,FALSE),""))</f>
        <v/>
      </c>
      <c r="K1730" s="8">
        <f>IF(COUNTA(A1730:F1730)=0,"",IF(OR(LEN(A1730)&lt;&gt;7,MID(A1730,5,1)&lt;&gt;"-",ISERROR(--LEFT(A1730,4)),ISERROR(--RIGHT(A1730,2))),"ERROR: PERIODO debe ser AAAA-MM",IF(B1730="","ERROR: falta CODIGO CECO",IF(G1730="CECO NO EXISTE","ERROR: CECO no existe en el catálogo",IF(C1730="","ERROR: falta CUENTA",IF(ISERROR(--C1730),"ERROR: CUENTA debe tener solo dígitos",IF(ISERROR(FIND(LEFT(C1730,1),"567")),"ERROR: CUENTA fuera de las clases de costo",IF(NOT(ISNUMBER(E1730)),"ERROR: VALOR debe ser numérico",IF(E1730=0,"AVISO: valor cero (no se carga)",IF(J1730&lt;&gt;"ACTIVO","NO SE CARGA: CECO en estado "&amp;J1730,"OK"))))))))))</f>
        <v/>
      </c>
    </row>
    <row r="1731">
      <c r="A1731" s="5" t="n"/>
      <c r="B1731" s="6" t="n"/>
      <c r="C1731" s="5" t="n"/>
      <c r="D1731" s="6" t="n"/>
      <c r="E1731" s="7" t="n"/>
      <c r="F1731" s="6" t="n"/>
      <c r="G1731" s="8">
        <f>IF(B1731="","",IFERROR(VLOOKUP(--B1731,'CATALOGO CECO'!$A$2:$H$550,2,FALSE),"CECO NO EXISTE"))</f>
        <v/>
      </c>
      <c r="H1731" s="8">
        <f>IF(B1731="","",IFERROR(VLOOKUP(--B1731,'CATALOGO CECO'!$A$2:$H$550,3,FALSE),""))</f>
        <v/>
      </c>
      <c r="I1731" s="8">
        <f>IF(B1731="","",IFERROR(VLOOKUP(--B1731,'CATALOGO CECO'!$A$2:$H$550,5,FALSE),""))</f>
        <v/>
      </c>
      <c r="J1731" s="8">
        <f>IF(B1731="","",IFERROR(VLOOKUP(--B1731,'CATALOGO CECO'!$A$2:$H$550,8,FALSE),""))</f>
        <v/>
      </c>
      <c r="K1731" s="8">
        <f>IF(COUNTA(A1731:F1731)=0,"",IF(OR(LEN(A1731)&lt;&gt;7,MID(A1731,5,1)&lt;&gt;"-",ISERROR(--LEFT(A1731,4)),ISERROR(--RIGHT(A1731,2))),"ERROR: PERIODO debe ser AAAA-MM",IF(B1731="","ERROR: falta CODIGO CECO",IF(G1731="CECO NO EXISTE","ERROR: CECO no existe en el catálogo",IF(C1731="","ERROR: falta CUENTA",IF(ISERROR(--C1731),"ERROR: CUENTA debe tener solo dígitos",IF(ISERROR(FIND(LEFT(C1731,1),"567")),"ERROR: CUENTA fuera de las clases de costo",IF(NOT(ISNUMBER(E1731)),"ERROR: VALOR debe ser numérico",IF(E1731=0,"AVISO: valor cero (no se carga)",IF(J1731&lt;&gt;"ACTIVO","NO SE CARGA: CECO en estado "&amp;J1731,"OK"))))))))))</f>
        <v/>
      </c>
    </row>
    <row r="1732">
      <c r="A1732" s="5" t="n"/>
      <c r="B1732" s="6" t="n"/>
      <c r="C1732" s="5" t="n"/>
      <c r="D1732" s="6" t="n"/>
      <c r="E1732" s="7" t="n"/>
      <c r="F1732" s="6" t="n"/>
      <c r="G1732" s="8">
        <f>IF(B1732="","",IFERROR(VLOOKUP(--B1732,'CATALOGO CECO'!$A$2:$H$550,2,FALSE),"CECO NO EXISTE"))</f>
        <v/>
      </c>
      <c r="H1732" s="8">
        <f>IF(B1732="","",IFERROR(VLOOKUP(--B1732,'CATALOGO CECO'!$A$2:$H$550,3,FALSE),""))</f>
        <v/>
      </c>
      <c r="I1732" s="8">
        <f>IF(B1732="","",IFERROR(VLOOKUP(--B1732,'CATALOGO CECO'!$A$2:$H$550,5,FALSE),""))</f>
        <v/>
      </c>
      <c r="J1732" s="8">
        <f>IF(B1732="","",IFERROR(VLOOKUP(--B1732,'CATALOGO CECO'!$A$2:$H$550,8,FALSE),""))</f>
        <v/>
      </c>
      <c r="K1732" s="8">
        <f>IF(COUNTA(A1732:F1732)=0,"",IF(OR(LEN(A1732)&lt;&gt;7,MID(A1732,5,1)&lt;&gt;"-",ISERROR(--LEFT(A1732,4)),ISERROR(--RIGHT(A1732,2))),"ERROR: PERIODO debe ser AAAA-MM",IF(B1732="","ERROR: falta CODIGO CECO",IF(G1732="CECO NO EXISTE","ERROR: CECO no existe en el catálogo",IF(C1732="","ERROR: falta CUENTA",IF(ISERROR(--C1732),"ERROR: CUENTA debe tener solo dígitos",IF(ISERROR(FIND(LEFT(C1732,1),"567")),"ERROR: CUENTA fuera de las clases de costo",IF(NOT(ISNUMBER(E1732)),"ERROR: VALOR debe ser numérico",IF(E1732=0,"AVISO: valor cero (no se carga)",IF(J1732&lt;&gt;"ACTIVO","NO SE CARGA: CECO en estado "&amp;J1732,"OK"))))))))))</f>
        <v/>
      </c>
    </row>
    <row r="1733">
      <c r="A1733" s="5" t="n"/>
      <c r="B1733" s="6" t="n"/>
      <c r="C1733" s="5" t="n"/>
      <c r="D1733" s="6" t="n"/>
      <c r="E1733" s="7" t="n"/>
      <c r="F1733" s="6" t="n"/>
      <c r="G1733" s="8">
        <f>IF(B1733="","",IFERROR(VLOOKUP(--B1733,'CATALOGO CECO'!$A$2:$H$550,2,FALSE),"CECO NO EXISTE"))</f>
        <v/>
      </c>
      <c r="H1733" s="8">
        <f>IF(B1733="","",IFERROR(VLOOKUP(--B1733,'CATALOGO CECO'!$A$2:$H$550,3,FALSE),""))</f>
        <v/>
      </c>
      <c r="I1733" s="8">
        <f>IF(B1733="","",IFERROR(VLOOKUP(--B1733,'CATALOGO CECO'!$A$2:$H$550,5,FALSE),""))</f>
        <v/>
      </c>
      <c r="J1733" s="8">
        <f>IF(B1733="","",IFERROR(VLOOKUP(--B1733,'CATALOGO CECO'!$A$2:$H$550,8,FALSE),""))</f>
        <v/>
      </c>
      <c r="K1733" s="8">
        <f>IF(COUNTA(A1733:F1733)=0,"",IF(OR(LEN(A1733)&lt;&gt;7,MID(A1733,5,1)&lt;&gt;"-",ISERROR(--LEFT(A1733,4)),ISERROR(--RIGHT(A1733,2))),"ERROR: PERIODO debe ser AAAA-MM",IF(B1733="","ERROR: falta CODIGO CECO",IF(G1733="CECO NO EXISTE","ERROR: CECO no existe en el catálogo",IF(C1733="","ERROR: falta CUENTA",IF(ISERROR(--C1733),"ERROR: CUENTA debe tener solo dígitos",IF(ISERROR(FIND(LEFT(C1733,1),"567")),"ERROR: CUENTA fuera de las clases de costo",IF(NOT(ISNUMBER(E1733)),"ERROR: VALOR debe ser numérico",IF(E1733=0,"AVISO: valor cero (no se carga)",IF(J1733&lt;&gt;"ACTIVO","NO SE CARGA: CECO en estado "&amp;J1733,"OK"))))))))))</f>
        <v/>
      </c>
    </row>
    <row r="1734">
      <c r="A1734" s="5" t="n"/>
      <c r="B1734" s="6" t="n"/>
      <c r="C1734" s="5" t="n"/>
      <c r="D1734" s="6" t="n"/>
      <c r="E1734" s="7" t="n"/>
      <c r="F1734" s="6" t="n"/>
      <c r="G1734" s="8">
        <f>IF(B1734="","",IFERROR(VLOOKUP(--B1734,'CATALOGO CECO'!$A$2:$H$550,2,FALSE),"CECO NO EXISTE"))</f>
        <v/>
      </c>
      <c r="H1734" s="8">
        <f>IF(B1734="","",IFERROR(VLOOKUP(--B1734,'CATALOGO CECO'!$A$2:$H$550,3,FALSE),""))</f>
        <v/>
      </c>
      <c r="I1734" s="8">
        <f>IF(B1734="","",IFERROR(VLOOKUP(--B1734,'CATALOGO CECO'!$A$2:$H$550,5,FALSE),""))</f>
        <v/>
      </c>
      <c r="J1734" s="8">
        <f>IF(B1734="","",IFERROR(VLOOKUP(--B1734,'CATALOGO CECO'!$A$2:$H$550,8,FALSE),""))</f>
        <v/>
      </c>
      <c r="K1734" s="8">
        <f>IF(COUNTA(A1734:F1734)=0,"",IF(OR(LEN(A1734)&lt;&gt;7,MID(A1734,5,1)&lt;&gt;"-",ISERROR(--LEFT(A1734,4)),ISERROR(--RIGHT(A1734,2))),"ERROR: PERIODO debe ser AAAA-MM",IF(B1734="","ERROR: falta CODIGO CECO",IF(G1734="CECO NO EXISTE","ERROR: CECO no existe en el catálogo",IF(C1734="","ERROR: falta CUENTA",IF(ISERROR(--C1734),"ERROR: CUENTA debe tener solo dígitos",IF(ISERROR(FIND(LEFT(C1734,1),"567")),"ERROR: CUENTA fuera de las clases de costo",IF(NOT(ISNUMBER(E1734)),"ERROR: VALOR debe ser numérico",IF(E1734=0,"AVISO: valor cero (no se carga)",IF(J1734&lt;&gt;"ACTIVO","NO SE CARGA: CECO en estado "&amp;J1734,"OK"))))))))))</f>
        <v/>
      </c>
    </row>
    <row r="1735">
      <c r="A1735" s="5" t="n"/>
      <c r="B1735" s="6" t="n"/>
      <c r="C1735" s="5" t="n"/>
      <c r="D1735" s="6" t="n"/>
      <c r="E1735" s="7" t="n"/>
      <c r="F1735" s="6" t="n"/>
      <c r="G1735" s="8">
        <f>IF(B1735="","",IFERROR(VLOOKUP(--B1735,'CATALOGO CECO'!$A$2:$H$550,2,FALSE),"CECO NO EXISTE"))</f>
        <v/>
      </c>
      <c r="H1735" s="8">
        <f>IF(B1735="","",IFERROR(VLOOKUP(--B1735,'CATALOGO CECO'!$A$2:$H$550,3,FALSE),""))</f>
        <v/>
      </c>
      <c r="I1735" s="8">
        <f>IF(B1735="","",IFERROR(VLOOKUP(--B1735,'CATALOGO CECO'!$A$2:$H$550,5,FALSE),""))</f>
        <v/>
      </c>
      <c r="J1735" s="8">
        <f>IF(B1735="","",IFERROR(VLOOKUP(--B1735,'CATALOGO CECO'!$A$2:$H$550,8,FALSE),""))</f>
        <v/>
      </c>
      <c r="K1735" s="8">
        <f>IF(COUNTA(A1735:F1735)=0,"",IF(OR(LEN(A1735)&lt;&gt;7,MID(A1735,5,1)&lt;&gt;"-",ISERROR(--LEFT(A1735,4)),ISERROR(--RIGHT(A1735,2))),"ERROR: PERIODO debe ser AAAA-MM",IF(B1735="","ERROR: falta CODIGO CECO",IF(G1735="CECO NO EXISTE","ERROR: CECO no existe en el catálogo",IF(C1735="","ERROR: falta CUENTA",IF(ISERROR(--C1735),"ERROR: CUENTA debe tener solo dígitos",IF(ISERROR(FIND(LEFT(C1735,1),"567")),"ERROR: CUENTA fuera de las clases de costo",IF(NOT(ISNUMBER(E1735)),"ERROR: VALOR debe ser numérico",IF(E1735=0,"AVISO: valor cero (no se carga)",IF(J1735&lt;&gt;"ACTIVO","NO SE CARGA: CECO en estado "&amp;J1735,"OK"))))))))))</f>
        <v/>
      </c>
    </row>
    <row r="1736">
      <c r="A1736" s="5" t="n"/>
      <c r="B1736" s="6" t="n"/>
      <c r="C1736" s="5" t="n"/>
      <c r="D1736" s="6" t="n"/>
      <c r="E1736" s="7" t="n"/>
      <c r="F1736" s="6" t="n"/>
      <c r="G1736" s="8">
        <f>IF(B1736="","",IFERROR(VLOOKUP(--B1736,'CATALOGO CECO'!$A$2:$H$550,2,FALSE),"CECO NO EXISTE"))</f>
        <v/>
      </c>
      <c r="H1736" s="8">
        <f>IF(B1736="","",IFERROR(VLOOKUP(--B1736,'CATALOGO CECO'!$A$2:$H$550,3,FALSE),""))</f>
        <v/>
      </c>
      <c r="I1736" s="8">
        <f>IF(B1736="","",IFERROR(VLOOKUP(--B1736,'CATALOGO CECO'!$A$2:$H$550,5,FALSE),""))</f>
        <v/>
      </c>
      <c r="J1736" s="8">
        <f>IF(B1736="","",IFERROR(VLOOKUP(--B1736,'CATALOGO CECO'!$A$2:$H$550,8,FALSE),""))</f>
        <v/>
      </c>
      <c r="K1736" s="8">
        <f>IF(COUNTA(A1736:F1736)=0,"",IF(OR(LEN(A1736)&lt;&gt;7,MID(A1736,5,1)&lt;&gt;"-",ISERROR(--LEFT(A1736,4)),ISERROR(--RIGHT(A1736,2))),"ERROR: PERIODO debe ser AAAA-MM",IF(B1736="","ERROR: falta CODIGO CECO",IF(G1736="CECO NO EXISTE","ERROR: CECO no existe en el catálogo",IF(C1736="","ERROR: falta CUENTA",IF(ISERROR(--C1736),"ERROR: CUENTA debe tener solo dígitos",IF(ISERROR(FIND(LEFT(C1736,1),"567")),"ERROR: CUENTA fuera de las clases de costo",IF(NOT(ISNUMBER(E1736)),"ERROR: VALOR debe ser numérico",IF(E1736=0,"AVISO: valor cero (no se carga)",IF(J1736&lt;&gt;"ACTIVO","NO SE CARGA: CECO en estado "&amp;J1736,"OK"))))))))))</f>
        <v/>
      </c>
    </row>
    <row r="1737">
      <c r="A1737" s="5" t="n"/>
      <c r="B1737" s="6" t="n"/>
      <c r="C1737" s="5" t="n"/>
      <c r="D1737" s="6" t="n"/>
      <c r="E1737" s="7" t="n"/>
      <c r="F1737" s="6" t="n"/>
      <c r="G1737" s="8">
        <f>IF(B1737="","",IFERROR(VLOOKUP(--B1737,'CATALOGO CECO'!$A$2:$H$550,2,FALSE),"CECO NO EXISTE"))</f>
        <v/>
      </c>
      <c r="H1737" s="8">
        <f>IF(B1737="","",IFERROR(VLOOKUP(--B1737,'CATALOGO CECO'!$A$2:$H$550,3,FALSE),""))</f>
        <v/>
      </c>
      <c r="I1737" s="8">
        <f>IF(B1737="","",IFERROR(VLOOKUP(--B1737,'CATALOGO CECO'!$A$2:$H$550,5,FALSE),""))</f>
        <v/>
      </c>
      <c r="J1737" s="8">
        <f>IF(B1737="","",IFERROR(VLOOKUP(--B1737,'CATALOGO CECO'!$A$2:$H$550,8,FALSE),""))</f>
        <v/>
      </c>
      <c r="K1737" s="8">
        <f>IF(COUNTA(A1737:F1737)=0,"",IF(OR(LEN(A1737)&lt;&gt;7,MID(A1737,5,1)&lt;&gt;"-",ISERROR(--LEFT(A1737,4)),ISERROR(--RIGHT(A1737,2))),"ERROR: PERIODO debe ser AAAA-MM",IF(B1737="","ERROR: falta CODIGO CECO",IF(G1737="CECO NO EXISTE","ERROR: CECO no existe en el catálogo",IF(C1737="","ERROR: falta CUENTA",IF(ISERROR(--C1737),"ERROR: CUENTA debe tener solo dígitos",IF(ISERROR(FIND(LEFT(C1737,1),"567")),"ERROR: CUENTA fuera de las clases de costo",IF(NOT(ISNUMBER(E1737)),"ERROR: VALOR debe ser numérico",IF(E1737=0,"AVISO: valor cero (no se carga)",IF(J1737&lt;&gt;"ACTIVO","NO SE CARGA: CECO en estado "&amp;J1737,"OK"))))))))))</f>
        <v/>
      </c>
    </row>
    <row r="1738">
      <c r="A1738" s="5" t="n"/>
      <c r="B1738" s="6" t="n"/>
      <c r="C1738" s="5" t="n"/>
      <c r="D1738" s="6" t="n"/>
      <c r="E1738" s="7" t="n"/>
      <c r="F1738" s="6" t="n"/>
      <c r="G1738" s="8">
        <f>IF(B1738="","",IFERROR(VLOOKUP(--B1738,'CATALOGO CECO'!$A$2:$H$550,2,FALSE),"CECO NO EXISTE"))</f>
        <v/>
      </c>
      <c r="H1738" s="8">
        <f>IF(B1738="","",IFERROR(VLOOKUP(--B1738,'CATALOGO CECO'!$A$2:$H$550,3,FALSE),""))</f>
        <v/>
      </c>
      <c r="I1738" s="8">
        <f>IF(B1738="","",IFERROR(VLOOKUP(--B1738,'CATALOGO CECO'!$A$2:$H$550,5,FALSE),""))</f>
        <v/>
      </c>
      <c r="J1738" s="8">
        <f>IF(B1738="","",IFERROR(VLOOKUP(--B1738,'CATALOGO CECO'!$A$2:$H$550,8,FALSE),""))</f>
        <v/>
      </c>
      <c r="K1738" s="8">
        <f>IF(COUNTA(A1738:F1738)=0,"",IF(OR(LEN(A1738)&lt;&gt;7,MID(A1738,5,1)&lt;&gt;"-",ISERROR(--LEFT(A1738,4)),ISERROR(--RIGHT(A1738,2))),"ERROR: PERIODO debe ser AAAA-MM",IF(B1738="","ERROR: falta CODIGO CECO",IF(G1738="CECO NO EXISTE","ERROR: CECO no existe en el catálogo",IF(C1738="","ERROR: falta CUENTA",IF(ISERROR(--C1738),"ERROR: CUENTA debe tener solo dígitos",IF(ISERROR(FIND(LEFT(C1738,1),"567")),"ERROR: CUENTA fuera de las clases de costo",IF(NOT(ISNUMBER(E1738)),"ERROR: VALOR debe ser numérico",IF(E1738=0,"AVISO: valor cero (no se carga)",IF(J1738&lt;&gt;"ACTIVO","NO SE CARGA: CECO en estado "&amp;J1738,"OK"))))))))))</f>
        <v/>
      </c>
    </row>
    <row r="1739">
      <c r="A1739" s="5" t="n"/>
      <c r="B1739" s="6" t="n"/>
      <c r="C1739" s="5" t="n"/>
      <c r="D1739" s="6" t="n"/>
      <c r="E1739" s="7" t="n"/>
      <c r="F1739" s="6" t="n"/>
      <c r="G1739" s="8">
        <f>IF(B1739="","",IFERROR(VLOOKUP(--B1739,'CATALOGO CECO'!$A$2:$H$550,2,FALSE),"CECO NO EXISTE"))</f>
        <v/>
      </c>
      <c r="H1739" s="8">
        <f>IF(B1739="","",IFERROR(VLOOKUP(--B1739,'CATALOGO CECO'!$A$2:$H$550,3,FALSE),""))</f>
        <v/>
      </c>
      <c r="I1739" s="8">
        <f>IF(B1739="","",IFERROR(VLOOKUP(--B1739,'CATALOGO CECO'!$A$2:$H$550,5,FALSE),""))</f>
        <v/>
      </c>
      <c r="J1739" s="8">
        <f>IF(B1739="","",IFERROR(VLOOKUP(--B1739,'CATALOGO CECO'!$A$2:$H$550,8,FALSE),""))</f>
        <v/>
      </c>
      <c r="K1739" s="8">
        <f>IF(COUNTA(A1739:F1739)=0,"",IF(OR(LEN(A1739)&lt;&gt;7,MID(A1739,5,1)&lt;&gt;"-",ISERROR(--LEFT(A1739,4)),ISERROR(--RIGHT(A1739,2))),"ERROR: PERIODO debe ser AAAA-MM",IF(B1739="","ERROR: falta CODIGO CECO",IF(G1739="CECO NO EXISTE","ERROR: CECO no existe en el catálogo",IF(C1739="","ERROR: falta CUENTA",IF(ISERROR(--C1739),"ERROR: CUENTA debe tener solo dígitos",IF(ISERROR(FIND(LEFT(C1739,1),"567")),"ERROR: CUENTA fuera de las clases de costo",IF(NOT(ISNUMBER(E1739)),"ERROR: VALOR debe ser numérico",IF(E1739=0,"AVISO: valor cero (no se carga)",IF(J1739&lt;&gt;"ACTIVO","NO SE CARGA: CECO en estado "&amp;J1739,"OK"))))))))))</f>
        <v/>
      </c>
    </row>
    <row r="1740">
      <c r="A1740" s="5" t="n"/>
      <c r="B1740" s="6" t="n"/>
      <c r="C1740" s="5" t="n"/>
      <c r="D1740" s="6" t="n"/>
      <c r="E1740" s="7" t="n"/>
      <c r="F1740" s="6" t="n"/>
      <c r="G1740" s="8">
        <f>IF(B1740="","",IFERROR(VLOOKUP(--B1740,'CATALOGO CECO'!$A$2:$H$550,2,FALSE),"CECO NO EXISTE"))</f>
        <v/>
      </c>
      <c r="H1740" s="8">
        <f>IF(B1740="","",IFERROR(VLOOKUP(--B1740,'CATALOGO CECO'!$A$2:$H$550,3,FALSE),""))</f>
        <v/>
      </c>
      <c r="I1740" s="8">
        <f>IF(B1740="","",IFERROR(VLOOKUP(--B1740,'CATALOGO CECO'!$A$2:$H$550,5,FALSE),""))</f>
        <v/>
      </c>
      <c r="J1740" s="8">
        <f>IF(B1740="","",IFERROR(VLOOKUP(--B1740,'CATALOGO CECO'!$A$2:$H$550,8,FALSE),""))</f>
        <v/>
      </c>
      <c r="K1740" s="8">
        <f>IF(COUNTA(A1740:F1740)=0,"",IF(OR(LEN(A1740)&lt;&gt;7,MID(A1740,5,1)&lt;&gt;"-",ISERROR(--LEFT(A1740,4)),ISERROR(--RIGHT(A1740,2))),"ERROR: PERIODO debe ser AAAA-MM",IF(B1740="","ERROR: falta CODIGO CECO",IF(G1740="CECO NO EXISTE","ERROR: CECO no existe en el catálogo",IF(C1740="","ERROR: falta CUENTA",IF(ISERROR(--C1740),"ERROR: CUENTA debe tener solo dígitos",IF(ISERROR(FIND(LEFT(C1740,1),"567")),"ERROR: CUENTA fuera de las clases de costo",IF(NOT(ISNUMBER(E1740)),"ERROR: VALOR debe ser numérico",IF(E1740=0,"AVISO: valor cero (no se carga)",IF(J1740&lt;&gt;"ACTIVO","NO SE CARGA: CECO en estado "&amp;J1740,"OK"))))))))))</f>
        <v/>
      </c>
    </row>
    <row r="1741">
      <c r="A1741" s="5" t="n"/>
      <c r="B1741" s="6" t="n"/>
      <c r="C1741" s="5" t="n"/>
      <c r="D1741" s="6" t="n"/>
      <c r="E1741" s="7" t="n"/>
      <c r="F1741" s="6" t="n"/>
      <c r="G1741" s="8">
        <f>IF(B1741="","",IFERROR(VLOOKUP(--B1741,'CATALOGO CECO'!$A$2:$H$550,2,FALSE),"CECO NO EXISTE"))</f>
        <v/>
      </c>
      <c r="H1741" s="8">
        <f>IF(B1741="","",IFERROR(VLOOKUP(--B1741,'CATALOGO CECO'!$A$2:$H$550,3,FALSE),""))</f>
        <v/>
      </c>
      <c r="I1741" s="8">
        <f>IF(B1741="","",IFERROR(VLOOKUP(--B1741,'CATALOGO CECO'!$A$2:$H$550,5,FALSE),""))</f>
        <v/>
      </c>
      <c r="J1741" s="8">
        <f>IF(B1741="","",IFERROR(VLOOKUP(--B1741,'CATALOGO CECO'!$A$2:$H$550,8,FALSE),""))</f>
        <v/>
      </c>
      <c r="K1741" s="8">
        <f>IF(COUNTA(A1741:F1741)=0,"",IF(OR(LEN(A1741)&lt;&gt;7,MID(A1741,5,1)&lt;&gt;"-",ISERROR(--LEFT(A1741,4)),ISERROR(--RIGHT(A1741,2))),"ERROR: PERIODO debe ser AAAA-MM",IF(B1741="","ERROR: falta CODIGO CECO",IF(G1741="CECO NO EXISTE","ERROR: CECO no existe en el catálogo",IF(C1741="","ERROR: falta CUENTA",IF(ISERROR(--C1741),"ERROR: CUENTA debe tener solo dígitos",IF(ISERROR(FIND(LEFT(C1741,1),"567")),"ERROR: CUENTA fuera de las clases de costo",IF(NOT(ISNUMBER(E1741)),"ERROR: VALOR debe ser numérico",IF(E1741=0,"AVISO: valor cero (no se carga)",IF(J1741&lt;&gt;"ACTIVO","NO SE CARGA: CECO en estado "&amp;J1741,"OK"))))))))))</f>
        <v/>
      </c>
    </row>
    <row r="1742">
      <c r="A1742" s="5" t="n"/>
      <c r="B1742" s="6" t="n"/>
      <c r="C1742" s="5" t="n"/>
      <c r="D1742" s="6" t="n"/>
      <c r="E1742" s="7" t="n"/>
      <c r="F1742" s="6" t="n"/>
      <c r="G1742" s="8">
        <f>IF(B1742="","",IFERROR(VLOOKUP(--B1742,'CATALOGO CECO'!$A$2:$H$550,2,FALSE),"CECO NO EXISTE"))</f>
        <v/>
      </c>
      <c r="H1742" s="8">
        <f>IF(B1742="","",IFERROR(VLOOKUP(--B1742,'CATALOGO CECO'!$A$2:$H$550,3,FALSE),""))</f>
        <v/>
      </c>
      <c r="I1742" s="8">
        <f>IF(B1742="","",IFERROR(VLOOKUP(--B1742,'CATALOGO CECO'!$A$2:$H$550,5,FALSE),""))</f>
        <v/>
      </c>
      <c r="J1742" s="8">
        <f>IF(B1742="","",IFERROR(VLOOKUP(--B1742,'CATALOGO CECO'!$A$2:$H$550,8,FALSE),""))</f>
        <v/>
      </c>
      <c r="K1742" s="8">
        <f>IF(COUNTA(A1742:F1742)=0,"",IF(OR(LEN(A1742)&lt;&gt;7,MID(A1742,5,1)&lt;&gt;"-",ISERROR(--LEFT(A1742,4)),ISERROR(--RIGHT(A1742,2))),"ERROR: PERIODO debe ser AAAA-MM",IF(B1742="","ERROR: falta CODIGO CECO",IF(G1742="CECO NO EXISTE","ERROR: CECO no existe en el catálogo",IF(C1742="","ERROR: falta CUENTA",IF(ISERROR(--C1742),"ERROR: CUENTA debe tener solo dígitos",IF(ISERROR(FIND(LEFT(C1742,1),"567")),"ERROR: CUENTA fuera de las clases de costo",IF(NOT(ISNUMBER(E1742)),"ERROR: VALOR debe ser numérico",IF(E1742=0,"AVISO: valor cero (no se carga)",IF(J1742&lt;&gt;"ACTIVO","NO SE CARGA: CECO en estado "&amp;J1742,"OK"))))))))))</f>
        <v/>
      </c>
    </row>
    <row r="1743">
      <c r="A1743" s="5" t="n"/>
      <c r="B1743" s="6" t="n"/>
      <c r="C1743" s="5" t="n"/>
      <c r="D1743" s="6" t="n"/>
      <c r="E1743" s="7" t="n"/>
      <c r="F1743" s="6" t="n"/>
      <c r="G1743" s="8">
        <f>IF(B1743="","",IFERROR(VLOOKUP(--B1743,'CATALOGO CECO'!$A$2:$H$550,2,FALSE),"CECO NO EXISTE"))</f>
        <v/>
      </c>
      <c r="H1743" s="8">
        <f>IF(B1743="","",IFERROR(VLOOKUP(--B1743,'CATALOGO CECO'!$A$2:$H$550,3,FALSE),""))</f>
        <v/>
      </c>
      <c r="I1743" s="8">
        <f>IF(B1743="","",IFERROR(VLOOKUP(--B1743,'CATALOGO CECO'!$A$2:$H$550,5,FALSE),""))</f>
        <v/>
      </c>
      <c r="J1743" s="8">
        <f>IF(B1743="","",IFERROR(VLOOKUP(--B1743,'CATALOGO CECO'!$A$2:$H$550,8,FALSE),""))</f>
        <v/>
      </c>
      <c r="K1743" s="8">
        <f>IF(COUNTA(A1743:F1743)=0,"",IF(OR(LEN(A1743)&lt;&gt;7,MID(A1743,5,1)&lt;&gt;"-",ISERROR(--LEFT(A1743,4)),ISERROR(--RIGHT(A1743,2))),"ERROR: PERIODO debe ser AAAA-MM",IF(B1743="","ERROR: falta CODIGO CECO",IF(G1743="CECO NO EXISTE","ERROR: CECO no existe en el catálogo",IF(C1743="","ERROR: falta CUENTA",IF(ISERROR(--C1743),"ERROR: CUENTA debe tener solo dígitos",IF(ISERROR(FIND(LEFT(C1743,1),"567")),"ERROR: CUENTA fuera de las clases de costo",IF(NOT(ISNUMBER(E1743)),"ERROR: VALOR debe ser numérico",IF(E1743=0,"AVISO: valor cero (no se carga)",IF(J1743&lt;&gt;"ACTIVO","NO SE CARGA: CECO en estado "&amp;J1743,"OK"))))))))))</f>
        <v/>
      </c>
    </row>
    <row r="1744">
      <c r="A1744" s="5" t="n"/>
      <c r="B1744" s="6" t="n"/>
      <c r="C1744" s="5" t="n"/>
      <c r="D1744" s="6" t="n"/>
      <c r="E1744" s="7" t="n"/>
      <c r="F1744" s="6" t="n"/>
      <c r="G1744" s="8">
        <f>IF(B1744="","",IFERROR(VLOOKUP(--B1744,'CATALOGO CECO'!$A$2:$H$550,2,FALSE),"CECO NO EXISTE"))</f>
        <v/>
      </c>
      <c r="H1744" s="8">
        <f>IF(B1744="","",IFERROR(VLOOKUP(--B1744,'CATALOGO CECO'!$A$2:$H$550,3,FALSE),""))</f>
        <v/>
      </c>
      <c r="I1744" s="8">
        <f>IF(B1744="","",IFERROR(VLOOKUP(--B1744,'CATALOGO CECO'!$A$2:$H$550,5,FALSE),""))</f>
        <v/>
      </c>
      <c r="J1744" s="8">
        <f>IF(B1744="","",IFERROR(VLOOKUP(--B1744,'CATALOGO CECO'!$A$2:$H$550,8,FALSE),""))</f>
        <v/>
      </c>
      <c r="K1744" s="8">
        <f>IF(COUNTA(A1744:F1744)=0,"",IF(OR(LEN(A1744)&lt;&gt;7,MID(A1744,5,1)&lt;&gt;"-",ISERROR(--LEFT(A1744,4)),ISERROR(--RIGHT(A1744,2))),"ERROR: PERIODO debe ser AAAA-MM",IF(B1744="","ERROR: falta CODIGO CECO",IF(G1744="CECO NO EXISTE","ERROR: CECO no existe en el catálogo",IF(C1744="","ERROR: falta CUENTA",IF(ISERROR(--C1744),"ERROR: CUENTA debe tener solo dígitos",IF(ISERROR(FIND(LEFT(C1744,1),"567")),"ERROR: CUENTA fuera de las clases de costo",IF(NOT(ISNUMBER(E1744)),"ERROR: VALOR debe ser numérico",IF(E1744=0,"AVISO: valor cero (no se carga)",IF(J1744&lt;&gt;"ACTIVO","NO SE CARGA: CECO en estado "&amp;J1744,"OK"))))))))))</f>
        <v/>
      </c>
    </row>
    <row r="1745">
      <c r="A1745" s="5" t="n"/>
      <c r="B1745" s="6" t="n"/>
      <c r="C1745" s="5" t="n"/>
      <c r="D1745" s="6" t="n"/>
      <c r="E1745" s="7" t="n"/>
      <c r="F1745" s="6" t="n"/>
      <c r="G1745" s="8">
        <f>IF(B1745="","",IFERROR(VLOOKUP(--B1745,'CATALOGO CECO'!$A$2:$H$550,2,FALSE),"CECO NO EXISTE"))</f>
        <v/>
      </c>
      <c r="H1745" s="8">
        <f>IF(B1745="","",IFERROR(VLOOKUP(--B1745,'CATALOGO CECO'!$A$2:$H$550,3,FALSE),""))</f>
        <v/>
      </c>
      <c r="I1745" s="8">
        <f>IF(B1745="","",IFERROR(VLOOKUP(--B1745,'CATALOGO CECO'!$A$2:$H$550,5,FALSE),""))</f>
        <v/>
      </c>
      <c r="J1745" s="8">
        <f>IF(B1745="","",IFERROR(VLOOKUP(--B1745,'CATALOGO CECO'!$A$2:$H$550,8,FALSE),""))</f>
        <v/>
      </c>
      <c r="K1745" s="8">
        <f>IF(COUNTA(A1745:F1745)=0,"",IF(OR(LEN(A1745)&lt;&gt;7,MID(A1745,5,1)&lt;&gt;"-",ISERROR(--LEFT(A1745,4)),ISERROR(--RIGHT(A1745,2))),"ERROR: PERIODO debe ser AAAA-MM",IF(B1745="","ERROR: falta CODIGO CECO",IF(G1745="CECO NO EXISTE","ERROR: CECO no existe en el catálogo",IF(C1745="","ERROR: falta CUENTA",IF(ISERROR(--C1745),"ERROR: CUENTA debe tener solo dígitos",IF(ISERROR(FIND(LEFT(C1745,1),"567")),"ERROR: CUENTA fuera de las clases de costo",IF(NOT(ISNUMBER(E1745)),"ERROR: VALOR debe ser numérico",IF(E1745=0,"AVISO: valor cero (no se carga)",IF(J1745&lt;&gt;"ACTIVO","NO SE CARGA: CECO en estado "&amp;J1745,"OK"))))))))))</f>
        <v/>
      </c>
    </row>
    <row r="1746">
      <c r="A1746" s="5" t="n"/>
      <c r="B1746" s="6" t="n"/>
      <c r="C1746" s="5" t="n"/>
      <c r="D1746" s="6" t="n"/>
      <c r="E1746" s="7" t="n"/>
      <c r="F1746" s="6" t="n"/>
      <c r="G1746" s="8">
        <f>IF(B1746="","",IFERROR(VLOOKUP(--B1746,'CATALOGO CECO'!$A$2:$H$550,2,FALSE),"CECO NO EXISTE"))</f>
        <v/>
      </c>
      <c r="H1746" s="8">
        <f>IF(B1746="","",IFERROR(VLOOKUP(--B1746,'CATALOGO CECO'!$A$2:$H$550,3,FALSE),""))</f>
        <v/>
      </c>
      <c r="I1746" s="8">
        <f>IF(B1746="","",IFERROR(VLOOKUP(--B1746,'CATALOGO CECO'!$A$2:$H$550,5,FALSE),""))</f>
        <v/>
      </c>
      <c r="J1746" s="8">
        <f>IF(B1746="","",IFERROR(VLOOKUP(--B1746,'CATALOGO CECO'!$A$2:$H$550,8,FALSE),""))</f>
        <v/>
      </c>
      <c r="K1746" s="8">
        <f>IF(COUNTA(A1746:F1746)=0,"",IF(OR(LEN(A1746)&lt;&gt;7,MID(A1746,5,1)&lt;&gt;"-",ISERROR(--LEFT(A1746,4)),ISERROR(--RIGHT(A1746,2))),"ERROR: PERIODO debe ser AAAA-MM",IF(B1746="","ERROR: falta CODIGO CECO",IF(G1746="CECO NO EXISTE","ERROR: CECO no existe en el catálogo",IF(C1746="","ERROR: falta CUENTA",IF(ISERROR(--C1746),"ERROR: CUENTA debe tener solo dígitos",IF(ISERROR(FIND(LEFT(C1746,1),"567")),"ERROR: CUENTA fuera de las clases de costo",IF(NOT(ISNUMBER(E1746)),"ERROR: VALOR debe ser numérico",IF(E1746=0,"AVISO: valor cero (no se carga)",IF(J1746&lt;&gt;"ACTIVO","NO SE CARGA: CECO en estado "&amp;J1746,"OK"))))))))))</f>
        <v/>
      </c>
    </row>
    <row r="1747">
      <c r="A1747" s="5" t="n"/>
      <c r="B1747" s="6" t="n"/>
      <c r="C1747" s="5" t="n"/>
      <c r="D1747" s="6" t="n"/>
      <c r="E1747" s="7" t="n"/>
      <c r="F1747" s="6" t="n"/>
      <c r="G1747" s="8">
        <f>IF(B1747="","",IFERROR(VLOOKUP(--B1747,'CATALOGO CECO'!$A$2:$H$550,2,FALSE),"CECO NO EXISTE"))</f>
        <v/>
      </c>
      <c r="H1747" s="8">
        <f>IF(B1747="","",IFERROR(VLOOKUP(--B1747,'CATALOGO CECO'!$A$2:$H$550,3,FALSE),""))</f>
        <v/>
      </c>
      <c r="I1747" s="8">
        <f>IF(B1747="","",IFERROR(VLOOKUP(--B1747,'CATALOGO CECO'!$A$2:$H$550,5,FALSE),""))</f>
        <v/>
      </c>
      <c r="J1747" s="8">
        <f>IF(B1747="","",IFERROR(VLOOKUP(--B1747,'CATALOGO CECO'!$A$2:$H$550,8,FALSE),""))</f>
        <v/>
      </c>
      <c r="K1747" s="8">
        <f>IF(COUNTA(A1747:F1747)=0,"",IF(OR(LEN(A1747)&lt;&gt;7,MID(A1747,5,1)&lt;&gt;"-",ISERROR(--LEFT(A1747,4)),ISERROR(--RIGHT(A1747,2))),"ERROR: PERIODO debe ser AAAA-MM",IF(B1747="","ERROR: falta CODIGO CECO",IF(G1747="CECO NO EXISTE","ERROR: CECO no existe en el catálogo",IF(C1747="","ERROR: falta CUENTA",IF(ISERROR(--C1747),"ERROR: CUENTA debe tener solo dígitos",IF(ISERROR(FIND(LEFT(C1747,1),"567")),"ERROR: CUENTA fuera de las clases de costo",IF(NOT(ISNUMBER(E1747)),"ERROR: VALOR debe ser numérico",IF(E1747=0,"AVISO: valor cero (no se carga)",IF(J1747&lt;&gt;"ACTIVO","NO SE CARGA: CECO en estado "&amp;J1747,"OK"))))))))))</f>
        <v/>
      </c>
    </row>
    <row r="1748">
      <c r="A1748" s="5" t="n"/>
      <c r="B1748" s="6" t="n"/>
      <c r="C1748" s="5" t="n"/>
      <c r="D1748" s="6" t="n"/>
      <c r="E1748" s="7" t="n"/>
      <c r="F1748" s="6" t="n"/>
      <c r="G1748" s="8">
        <f>IF(B1748="","",IFERROR(VLOOKUP(--B1748,'CATALOGO CECO'!$A$2:$H$550,2,FALSE),"CECO NO EXISTE"))</f>
        <v/>
      </c>
      <c r="H1748" s="8">
        <f>IF(B1748="","",IFERROR(VLOOKUP(--B1748,'CATALOGO CECO'!$A$2:$H$550,3,FALSE),""))</f>
        <v/>
      </c>
      <c r="I1748" s="8">
        <f>IF(B1748="","",IFERROR(VLOOKUP(--B1748,'CATALOGO CECO'!$A$2:$H$550,5,FALSE),""))</f>
        <v/>
      </c>
      <c r="J1748" s="8">
        <f>IF(B1748="","",IFERROR(VLOOKUP(--B1748,'CATALOGO CECO'!$A$2:$H$550,8,FALSE),""))</f>
        <v/>
      </c>
      <c r="K1748" s="8">
        <f>IF(COUNTA(A1748:F1748)=0,"",IF(OR(LEN(A1748)&lt;&gt;7,MID(A1748,5,1)&lt;&gt;"-",ISERROR(--LEFT(A1748,4)),ISERROR(--RIGHT(A1748,2))),"ERROR: PERIODO debe ser AAAA-MM",IF(B1748="","ERROR: falta CODIGO CECO",IF(G1748="CECO NO EXISTE","ERROR: CECO no existe en el catálogo",IF(C1748="","ERROR: falta CUENTA",IF(ISERROR(--C1748),"ERROR: CUENTA debe tener solo dígitos",IF(ISERROR(FIND(LEFT(C1748,1),"567")),"ERROR: CUENTA fuera de las clases de costo",IF(NOT(ISNUMBER(E1748)),"ERROR: VALOR debe ser numérico",IF(E1748=0,"AVISO: valor cero (no se carga)",IF(J1748&lt;&gt;"ACTIVO","NO SE CARGA: CECO en estado "&amp;J1748,"OK"))))))))))</f>
        <v/>
      </c>
    </row>
    <row r="1749">
      <c r="A1749" s="5" t="n"/>
      <c r="B1749" s="6" t="n"/>
      <c r="C1749" s="5" t="n"/>
      <c r="D1749" s="6" t="n"/>
      <c r="E1749" s="7" t="n"/>
      <c r="F1749" s="6" t="n"/>
      <c r="G1749" s="8">
        <f>IF(B1749="","",IFERROR(VLOOKUP(--B1749,'CATALOGO CECO'!$A$2:$H$550,2,FALSE),"CECO NO EXISTE"))</f>
        <v/>
      </c>
      <c r="H1749" s="8">
        <f>IF(B1749="","",IFERROR(VLOOKUP(--B1749,'CATALOGO CECO'!$A$2:$H$550,3,FALSE),""))</f>
        <v/>
      </c>
      <c r="I1749" s="8">
        <f>IF(B1749="","",IFERROR(VLOOKUP(--B1749,'CATALOGO CECO'!$A$2:$H$550,5,FALSE),""))</f>
        <v/>
      </c>
      <c r="J1749" s="8">
        <f>IF(B1749="","",IFERROR(VLOOKUP(--B1749,'CATALOGO CECO'!$A$2:$H$550,8,FALSE),""))</f>
        <v/>
      </c>
      <c r="K1749" s="8">
        <f>IF(COUNTA(A1749:F1749)=0,"",IF(OR(LEN(A1749)&lt;&gt;7,MID(A1749,5,1)&lt;&gt;"-",ISERROR(--LEFT(A1749,4)),ISERROR(--RIGHT(A1749,2))),"ERROR: PERIODO debe ser AAAA-MM",IF(B1749="","ERROR: falta CODIGO CECO",IF(G1749="CECO NO EXISTE","ERROR: CECO no existe en el catálogo",IF(C1749="","ERROR: falta CUENTA",IF(ISERROR(--C1749),"ERROR: CUENTA debe tener solo dígitos",IF(ISERROR(FIND(LEFT(C1749,1),"567")),"ERROR: CUENTA fuera de las clases de costo",IF(NOT(ISNUMBER(E1749)),"ERROR: VALOR debe ser numérico",IF(E1749=0,"AVISO: valor cero (no se carga)",IF(J1749&lt;&gt;"ACTIVO","NO SE CARGA: CECO en estado "&amp;J1749,"OK"))))))))))</f>
        <v/>
      </c>
    </row>
    <row r="1750">
      <c r="A1750" s="5" t="n"/>
      <c r="B1750" s="6" t="n"/>
      <c r="C1750" s="5" t="n"/>
      <c r="D1750" s="6" t="n"/>
      <c r="E1750" s="7" t="n"/>
      <c r="F1750" s="6" t="n"/>
      <c r="G1750" s="8">
        <f>IF(B1750="","",IFERROR(VLOOKUP(--B1750,'CATALOGO CECO'!$A$2:$H$550,2,FALSE),"CECO NO EXISTE"))</f>
        <v/>
      </c>
      <c r="H1750" s="8">
        <f>IF(B1750="","",IFERROR(VLOOKUP(--B1750,'CATALOGO CECO'!$A$2:$H$550,3,FALSE),""))</f>
        <v/>
      </c>
      <c r="I1750" s="8">
        <f>IF(B1750="","",IFERROR(VLOOKUP(--B1750,'CATALOGO CECO'!$A$2:$H$550,5,FALSE),""))</f>
        <v/>
      </c>
      <c r="J1750" s="8">
        <f>IF(B1750="","",IFERROR(VLOOKUP(--B1750,'CATALOGO CECO'!$A$2:$H$550,8,FALSE),""))</f>
        <v/>
      </c>
      <c r="K1750" s="8">
        <f>IF(COUNTA(A1750:F1750)=0,"",IF(OR(LEN(A1750)&lt;&gt;7,MID(A1750,5,1)&lt;&gt;"-",ISERROR(--LEFT(A1750,4)),ISERROR(--RIGHT(A1750,2))),"ERROR: PERIODO debe ser AAAA-MM",IF(B1750="","ERROR: falta CODIGO CECO",IF(G1750="CECO NO EXISTE","ERROR: CECO no existe en el catálogo",IF(C1750="","ERROR: falta CUENTA",IF(ISERROR(--C1750),"ERROR: CUENTA debe tener solo dígitos",IF(ISERROR(FIND(LEFT(C1750,1),"567")),"ERROR: CUENTA fuera de las clases de costo",IF(NOT(ISNUMBER(E1750)),"ERROR: VALOR debe ser numérico",IF(E1750=0,"AVISO: valor cero (no se carga)",IF(J1750&lt;&gt;"ACTIVO","NO SE CARGA: CECO en estado "&amp;J1750,"OK"))))))))))</f>
        <v/>
      </c>
    </row>
    <row r="1751">
      <c r="A1751" s="5" t="n"/>
      <c r="B1751" s="6" t="n"/>
      <c r="C1751" s="5" t="n"/>
      <c r="D1751" s="6" t="n"/>
      <c r="E1751" s="7" t="n"/>
      <c r="F1751" s="6" t="n"/>
      <c r="G1751" s="8">
        <f>IF(B1751="","",IFERROR(VLOOKUP(--B1751,'CATALOGO CECO'!$A$2:$H$550,2,FALSE),"CECO NO EXISTE"))</f>
        <v/>
      </c>
      <c r="H1751" s="8">
        <f>IF(B1751="","",IFERROR(VLOOKUP(--B1751,'CATALOGO CECO'!$A$2:$H$550,3,FALSE),""))</f>
        <v/>
      </c>
      <c r="I1751" s="8">
        <f>IF(B1751="","",IFERROR(VLOOKUP(--B1751,'CATALOGO CECO'!$A$2:$H$550,5,FALSE),""))</f>
        <v/>
      </c>
      <c r="J1751" s="8">
        <f>IF(B1751="","",IFERROR(VLOOKUP(--B1751,'CATALOGO CECO'!$A$2:$H$550,8,FALSE),""))</f>
        <v/>
      </c>
      <c r="K1751" s="8">
        <f>IF(COUNTA(A1751:F1751)=0,"",IF(OR(LEN(A1751)&lt;&gt;7,MID(A1751,5,1)&lt;&gt;"-",ISERROR(--LEFT(A1751,4)),ISERROR(--RIGHT(A1751,2))),"ERROR: PERIODO debe ser AAAA-MM",IF(B1751="","ERROR: falta CODIGO CECO",IF(G1751="CECO NO EXISTE","ERROR: CECO no existe en el catálogo",IF(C1751="","ERROR: falta CUENTA",IF(ISERROR(--C1751),"ERROR: CUENTA debe tener solo dígitos",IF(ISERROR(FIND(LEFT(C1751,1),"567")),"ERROR: CUENTA fuera de las clases de costo",IF(NOT(ISNUMBER(E1751)),"ERROR: VALOR debe ser numérico",IF(E1751=0,"AVISO: valor cero (no se carga)",IF(J1751&lt;&gt;"ACTIVO","NO SE CARGA: CECO en estado "&amp;J1751,"OK"))))))))))</f>
        <v/>
      </c>
    </row>
    <row r="1752">
      <c r="A1752" s="5" t="n"/>
      <c r="B1752" s="6" t="n"/>
      <c r="C1752" s="5" t="n"/>
      <c r="D1752" s="6" t="n"/>
      <c r="E1752" s="7" t="n"/>
      <c r="F1752" s="6" t="n"/>
      <c r="G1752" s="8">
        <f>IF(B1752="","",IFERROR(VLOOKUP(--B1752,'CATALOGO CECO'!$A$2:$H$550,2,FALSE),"CECO NO EXISTE"))</f>
        <v/>
      </c>
      <c r="H1752" s="8">
        <f>IF(B1752="","",IFERROR(VLOOKUP(--B1752,'CATALOGO CECO'!$A$2:$H$550,3,FALSE),""))</f>
        <v/>
      </c>
      <c r="I1752" s="8">
        <f>IF(B1752="","",IFERROR(VLOOKUP(--B1752,'CATALOGO CECO'!$A$2:$H$550,5,FALSE),""))</f>
        <v/>
      </c>
      <c r="J1752" s="8">
        <f>IF(B1752="","",IFERROR(VLOOKUP(--B1752,'CATALOGO CECO'!$A$2:$H$550,8,FALSE),""))</f>
        <v/>
      </c>
      <c r="K1752" s="8">
        <f>IF(COUNTA(A1752:F1752)=0,"",IF(OR(LEN(A1752)&lt;&gt;7,MID(A1752,5,1)&lt;&gt;"-",ISERROR(--LEFT(A1752,4)),ISERROR(--RIGHT(A1752,2))),"ERROR: PERIODO debe ser AAAA-MM",IF(B1752="","ERROR: falta CODIGO CECO",IF(G1752="CECO NO EXISTE","ERROR: CECO no existe en el catálogo",IF(C1752="","ERROR: falta CUENTA",IF(ISERROR(--C1752),"ERROR: CUENTA debe tener solo dígitos",IF(ISERROR(FIND(LEFT(C1752,1),"567")),"ERROR: CUENTA fuera de las clases de costo",IF(NOT(ISNUMBER(E1752)),"ERROR: VALOR debe ser numérico",IF(E1752=0,"AVISO: valor cero (no se carga)",IF(J1752&lt;&gt;"ACTIVO","NO SE CARGA: CECO en estado "&amp;J1752,"OK"))))))))))</f>
        <v/>
      </c>
    </row>
    <row r="1753">
      <c r="A1753" s="5" t="n"/>
      <c r="B1753" s="6" t="n"/>
      <c r="C1753" s="5" t="n"/>
      <c r="D1753" s="6" t="n"/>
      <c r="E1753" s="7" t="n"/>
      <c r="F1753" s="6" t="n"/>
      <c r="G1753" s="8">
        <f>IF(B1753="","",IFERROR(VLOOKUP(--B1753,'CATALOGO CECO'!$A$2:$H$550,2,FALSE),"CECO NO EXISTE"))</f>
        <v/>
      </c>
      <c r="H1753" s="8">
        <f>IF(B1753="","",IFERROR(VLOOKUP(--B1753,'CATALOGO CECO'!$A$2:$H$550,3,FALSE),""))</f>
        <v/>
      </c>
      <c r="I1753" s="8">
        <f>IF(B1753="","",IFERROR(VLOOKUP(--B1753,'CATALOGO CECO'!$A$2:$H$550,5,FALSE),""))</f>
        <v/>
      </c>
      <c r="J1753" s="8">
        <f>IF(B1753="","",IFERROR(VLOOKUP(--B1753,'CATALOGO CECO'!$A$2:$H$550,8,FALSE),""))</f>
        <v/>
      </c>
      <c r="K1753" s="8">
        <f>IF(COUNTA(A1753:F1753)=0,"",IF(OR(LEN(A1753)&lt;&gt;7,MID(A1753,5,1)&lt;&gt;"-",ISERROR(--LEFT(A1753,4)),ISERROR(--RIGHT(A1753,2))),"ERROR: PERIODO debe ser AAAA-MM",IF(B1753="","ERROR: falta CODIGO CECO",IF(G1753="CECO NO EXISTE","ERROR: CECO no existe en el catálogo",IF(C1753="","ERROR: falta CUENTA",IF(ISERROR(--C1753),"ERROR: CUENTA debe tener solo dígitos",IF(ISERROR(FIND(LEFT(C1753,1),"567")),"ERROR: CUENTA fuera de las clases de costo",IF(NOT(ISNUMBER(E1753)),"ERROR: VALOR debe ser numérico",IF(E1753=0,"AVISO: valor cero (no se carga)",IF(J1753&lt;&gt;"ACTIVO","NO SE CARGA: CECO en estado "&amp;J1753,"OK"))))))))))</f>
        <v/>
      </c>
    </row>
    <row r="1754">
      <c r="A1754" s="5" t="n"/>
      <c r="B1754" s="6" t="n"/>
      <c r="C1754" s="5" t="n"/>
      <c r="D1754" s="6" t="n"/>
      <c r="E1754" s="7" t="n"/>
      <c r="F1754" s="6" t="n"/>
      <c r="G1754" s="8">
        <f>IF(B1754="","",IFERROR(VLOOKUP(--B1754,'CATALOGO CECO'!$A$2:$H$550,2,FALSE),"CECO NO EXISTE"))</f>
        <v/>
      </c>
      <c r="H1754" s="8">
        <f>IF(B1754="","",IFERROR(VLOOKUP(--B1754,'CATALOGO CECO'!$A$2:$H$550,3,FALSE),""))</f>
        <v/>
      </c>
      <c r="I1754" s="8">
        <f>IF(B1754="","",IFERROR(VLOOKUP(--B1754,'CATALOGO CECO'!$A$2:$H$550,5,FALSE),""))</f>
        <v/>
      </c>
      <c r="J1754" s="8">
        <f>IF(B1754="","",IFERROR(VLOOKUP(--B1754,'CATALOGO CECO'!$A$2:$H$550,8,FALSE),""))</f>
        <v/>
      </c>
      <c r="K1754" s="8">
        <f>IF(COUNTA(A1754:F1754)=0,"",IF(OR(LEN(A1754)&lt;&gt;7,MID(A1754,5,1)&lt;&gt;"-",ISERROR(--LEFT(A1754,4)),ISERROR(--RIGHT(A1754,2))),"ERROR: PERIODO debe ser AAAA-MM",IF(B1754="","ERROR: falta CODIGO CECO",IF(G1754="CECO NO EXISTE","ERROR: CECO no existe en el catálogo",IF(C1754="","ERROR: falta CUENTA",IF(ISERROR(--C1754),"ERROR: CUENTA debe tener solo dígitos",IF(ISERROR(FIND(LEFT(C1754,1),"567")),"ERROR: CUENTA fuera de las clases de costo",IF(NOT(ISNUMBER(E1754)),"ERROR: VALOR debe ser numérico",IF(E1754=0,"AVISO: valor cero (no se carga)",IF(J1754&lt;&gt;"ACTIVO","NO SE CARGA: CECO en estado "&amp;J1754,"OK"))))))))))</f>
        <v/>
      </c>
    </row>
    <row r="1755">
      <c r="A1755" s="5" t="n"/>
      <c r="B1755" s="6" t="n"/>
      <c r="C1755" s="5" t="n"/>
      <c r="D1755" s="6" t="n"/>
      <c r="E1755" s="7" t="n"/>
      <c r="F1755" s="6" t="n"/>
      <c r="G1755" s="8">
        <f>IF(B1755="","",IFERROR(VLOOKUP(--B1755,'CATALOGO CECO'!$A$2:$H$550,2,FALSE),"CECO NO EXISTE"))</f>
        <v/>
      </c>
      <c r="H1755" s="8">
        <f>IF(B1755="","",IFERROR(VLOOKUP(--B1755,'CATALOGO CECO'!$A$2:$H$550,3,FALSE),""))</f>
        <v/>
      </c>
      <c r="I1755" s="8">
        <f>IF(B1755="","",IFERROR(VLOOKUP(--B1755,'CATALOGO CECO'!$A$2:$H$550,5,FALSE),""))</f>
        <v/>
      </c>
      <c r="J1755" s="8">
        <f>IF(B1755="","",IFERROR(VLOOKUP(--B1755,'CATALOGO CECO'!$A$2:$H$550,8,FALSE),""))</f>
        <v/>
      </c>
      <c r="K1755" s="8">
        <f>IF(COUNTA(A1755:F1755)=0,"",IF(OR(LEN(A1755)&lt;&gt;7,MID(A1755,5,1)&lt;&gt;"-",ISERROR(--LEFT(A1755,4)),ISERROR(--RIGHT(A1755,2))),"ERROR: PERIODO debe ser AAAA-MM",IF(B1755="","ERROR: falta CODIGO CECO",IF(G1755="CECO NO EXISTE","ERROR: CECO no existe en el catálogo",IF(C1755="","ERROR: falta CUENTA",IF(ISERROR(--C1755),"ERROR: CUENTA debe tener solo dígitos",IF(ISERROR(FIND(LEFT(C1755,1),"567")),"ERROR: CUENTA fuera de las clases de costo",IF(NOT(ISNUMBER(E1755)),"ERROR: VALOR debe ser numérico",IF(E1755=0,"AVISO: valor cero (no se carga)",IF(J1755&lt;&gt;"ACTIVO","NO SE CARGA: CECO en estado "&amp;J1755,"OK"))))))))))</f>
        <v/>
      </c>
    </row>
    <row r="1756">
      <c r="A1756" s="5" t="n"/>
      <c r="B1756" s="6" t="n"/>
      <c r="C1756" s="5" t="n"/>
      <c r="D1756" s="6" t="n"/>
      <c r="E1756" s="7" t="n"/>
      <c r="F1756" s="6" t="n"/>
      <c r="G1756" s="8">
        <f>IF(B1756="","",IFERROR(VLOOKUP(--B1756,'CATALOGO CECO'!$A$2:$H$550,2,FALSE),"CECO NO EXISTE"))</f>
        <v/>
      </c>
      <c r="H1756" s="8">
        <f>IF(B1756="","",IFERROR(VLOOKUP(--B1756,'CATALOGO CECO'!$A$2:$H$550,3,FALSE),""))</f>
        <v/>
      </c>
      <c r="I1756" s="8">
        <f>IF(B1756="","",IFERROR(VLOOKUP(--B1756,'CATALOGO CECO'!$A$2:$H$550,5,FALSE),""))</f>
        <v/>
      </c>
      <c r="J1756" s="8">
        <f>IF(B1756="","",IFERROR(VLOOKUP(--B1756,'CATALOGO CECO'!$A$2:$H$550,8,FALSE),""))</f>
        <v/>
      </c>
      <c r="K1756" s="8">
        <f>IF(COUNTA(A1756:F1756)=0,"",IF(OR(LEN(A1756)&lt;&gt;7,MID(A1756,5,1)&lt;&gt;"-",ISERROR(--LEFT(A1756,4)),ISERROR(--RIGHT(A1756,2))),"ERROR: PERIODO debe ser AAAA-MM",IF(B1756="","ERROR: falta CODIGO CECO",IF(G1756="CECO NO EXISTE","ERROR: CECO no existe en el catálogo",IF(C1756="","ERROR: falta CUENTA",IF(ISERROR(--C1756),"ERROR: CUENTA debe tener solo dígitos",IF(ISERROR(FIND(LEFT(C1756,1),"567")),"ERROR: CUENTA fuera de las clases de costo",IF(NOT(ISNUMBER(E1756)),"ERROR: VALOR debe ser numérico",IF(E1756=0,"AVISO: valor cero (no se carga)",IF(J1756&lt;&gt;"ACTIVO","NO SE CARGA: CECO en estado "&amp;J1756,"OK"))))))))))</f>
        <v/>
      </c>
    </row>
    <row r="1757">
      <c r="A1757" s="5" t="n"/>
      <c r="B1757" s="6" t="n"/>
      <c r="C1757" s="5" t="n"/>
      <c r="D1757" s="6" t="n"/>
      <c r="E1757" s="7" t="n"/>
      <c r="F1757" s="6" t="n"/>
      <c r="G1757" s="8">
        <f>IF(B1757="","",IFERROR(VLOOKUP(--B1757,'CATALOGO CECO'!$A$2:$H$550,2,FALSE),"CECO NO EXISTE"))</f>
        <v/>
      </c>
      <c r="H1757" s="8">
        <f>IF(B1757="","",IFERROR(VLOOKUP(--B1757,'CATALOGO CECO'!$A$2:$H$550,3,FALSE),""))</f>
        <v/>
      </c>
      <c r="I1757" s="8">
        <f>IF(B1757="","",IFERROR(VLOOKUP(--B1757,'CATALOGO CECO'!$A$2:$H$550,5,FALSE),""))</f>
        <v/>
      </c>
      <c r="J1757" s="8">
        <f>IF(B1757="","",IFERROR(VLOOKUP(--B1757,'CATALOGO CECO'!$A$2:$H$550,8,FALSE),""))</f>
        <v/>
      </c>
      <c r="K1757" s="8">
        <f>IF(COUNTA(A1757:F1757)=0,"",IF(OR(LEN(A1757)&lt;&gt;7,MID(A1757,5,1)&lt;&gt;"-",ISERROR(--LEFT(A1757,4)),ISERROR(--RIGHT(A1757,2))),"ERROR: PERIODO debe ser AAAA-MM",IF(B1757="","ERROR: falta CODIGO CECO",IF(G1757="CECO NO EXISTE","ERROR: CECO no existe en el catálogo",IF(C1757="","ERROR: falta CUENTA",IF(ISERROR(--C1757),"ERROR: CUENTA debe tener solo dígitos",IF(ISERROR(FIND(LEFT(C1757,1),"567")),"ERROR: CUENTA fuera de las clases de costo",IF(NOT(ISNUMBER(E1757)),"ERROR: VALOR debe ser numérico",IF(E1757=0,"AVISO: valor cero (no se carga)",IF(J1757&lt;&gt;"ACTIVO","NO SE CARGA: CECO en estado "&amp;J1757,"OK"))))))))))</f>
        <v/>
      </c>
    </row>
    <row r="1758">
      <c r="A1758" s="5" t="n"/>
      <c r="B1758" s="6" t="n"/>
      <c r="C1758" s="5" t="n"/>
      <c r="D1758" s="6" t="n"/>
      <c r="E1758" s="7" t="n"/>
      <c r="F1758" s="6" t="n"/>
      <c r="G1758" s="8">
        <f>IF(B1758="","",IFERROR(VLOOKUP(--B1758,'CATALOGO CECO'!$A$2:$H$550,2,FALSE),"CECO NO EXISTE"))</f>
        <v/>
      </c>
      <c r="H1758" s="8">
        <f>IF(B1758="","",IFERROR(VLOOKUP(--B1758,'CATALOGO CECO'!$A$2:$H$550,3,FALSE),""))</f>
        <v/>
      </c>
      <c r="I1758" s="8">
        <f>IF(B1758="","",IFERROR(VLOOKUP(--B1758,'CATALOGO CECO'!$A$2:$H$550,5,FALSE),""))</f>
        <v/>
      </c>
      <c r="J1758" s="8">
        <f>IF(B1758="","",IFERROR(VLOOKUP(--B1758,'CATALOGO CECO'!$A$2:$H$550,8,FALSE),""))</f>
        <v/>
      </c>
      <c r="K1758" s="8">
        <f>IF(COUNTA(A1758:F1758)=0,"",IF(OR(LEN(A1758)&lt;&gt;7,MID(A1758,5,1)&lt;&gt;"-",ISERROR(--LEFT(A1758,4)),ISERROR(--RIGHT(A1758,2))),"ERROR: PERIODO debe ser AAAA-MM",IF(B1758="","ERROR: falta CODIGO CECO",IF(G1758="CECO NO EXISTE","ERROR: CECO no existe en el catálogo",IF(C1758="","ERROR: falta CUENTA",IF(ISERROR(--C1758),"ERROR: CUENTA debe tener solo dígitos",IF(ISERROR(FIND(LEFT(C1758,1),"567")),"ERROR: CUENTA fuera de las clases de costo",IF(NOT(ISNUMBER(E1758)),"ERROR: VALOR debe ser numérico",IF(E1758=0,"AVISO: valor cero (no se carga)",IF(J1758&lt;&gt;"ACTIVO","NO SE CARGA: CECO en estado "&amp;J1758,"OK"))))))))))</f>
        <v/>
      </c>
    </row>
    <row r="1759">
      <c r="A1759" s="5" t="n"/>
      <c r="B1759" s="6" t="n"/>
      <c r="C1759" s="5" t="n"/>
      <c r="D1759" s="6" t="n"/>
      <c r="E1759" s="7" t="n"/>
      <c r="F1759" s="6" t="n"/>
      <c r="G1759" s="8">
        <f>IF(B1759="","",IFERROR(VLOOKUP(--B1759,'CATALOGO CECO'!$A$2:$H$550,2,FALSE),"CECO NO EXISTE"))</f>
        <v/>
      </c>
      <c r="H1759" s="8">
        <f>IF(B1759="","",IFERROR(VLOOKUP(--B1759,'CATALOGO CECO'!$A$2:$H$550,3,FALSE),""))</f>
        <v/>
      </c>
      <c r="I1759" s="8">
        <f>IF(B1759="","",IFERROR(VLOOKUP(--B1759,'CATALOGO CECO'!$A$2:$H$550,5,FALSE),""))</f>
        <v/>
      </c>
      <c r="J1759" s="8">
        <f>IF(B1759="","",IFERROR(VLOOKUP(--B1759,'CATALOGO CECO'!$A$2:$H$550,8,FALSE),""))</f>
        <v/>
      </c>
      <c r="K1759" s="8">
        <f>IF(COUNTA(A1759:F1759)=0,"",IF(OR(LEN(A1759)&lt;&gt;7,MID(A1759,5,1)&lt;&gt;"-",ISERROR(--LEFT(A1759,4)),ISERROR(--RIGHT(A1759,2))),"ERROR: PERIODO debe ser AAAA-MM",IF(B1759="","ERROR: falta CODIGO CECO",IF(G1759="CECO NO EXISTE","ERROR: CECO no existe en el catálogo",IF(C1759="","ERROR: falta CUENTA",IF(ISERROR(--C1759),"ERROR: CUENTA debe tener solo dígitos",IF(ISERROR(FIND(LEFT(C1759,1),"567")),"ERROR: CUENTA fuera de las clases de costo",IF(NOT(ISNUMBER(E1759)),"ERROR: VALOR debe ser numérico",IF(E1759=0,"AVISO: valor cero (no se carga)",IF(J1759&lt;&gt;"ACTIVO","NO SE CARGA: CECO en estado "&amp;J1759,"OK"))))))))))</f>
        <v/>
      </c>
    </row>
    <row r="1760">
      <c r="A1760" s="5" t="n"/>
      <c r="B1760" s="6" t="n"/>
      <c r="C1760" s="5" t="n"/>
      <c r="D1760" s="6" t="n"/>
      <c r="E1760" s="7" t="n"/>
      <c r="F1760" s="6" t="n"/>
      <c r="G1760" s="8">
        <f>IF(B1760="","",IFERROR(VLOOKUP(--B1760,'CATALOGO CECO'!$A$2:$H$550,2,FALSE),"CECO NO EXISTE"))</f>
        <v/>
      </c>
      <c r="H1760" s="8">
        <f>IF(B1760="","",IFERROR(VLOOKUP(--B1760,'CATALOGO CECO'!$A$2:$H$550,3,FALSE),""))</f>
        <v/>
      </c>
      <c r="I1760" s="8">
        <f>IF(B1760="","",IFERROR(VLOOKUP(--B1760,'CATALOGO CECO'!$A$2:$H$550,5,FALSE),""))</f>
        <v/>
      </c>
      <c r="J1760" s="8">
        <f>IF(B1760="","",IFERROR(VLOOKUP(--B1760,'CATALOGO CECO'!$A$2:$H$550,8,FALSE),""))</f>
        <v/>
      </c>
      <c r="K1760" s="8">
        <f>IF(COUNTA(A1760:F1760)=0,"",IF(OR(LEN(A1760)&lt;&gt;7,MID(A1760,5,1)&lt;&gt;"-",ISERROR(--LEFT(A1760,4)),ISERROR(--RIGHT(A1760,2))),"ERROR: PERIODO debe ser AAAA-MM",IF(B1760="","ERROR: falta CODIGO CECO",IF(G1760="CECO NO EXISTE","ERROR: CECO no existe en el catálogo",IF(C1760="","ERROR: falta CUENTA",IF(ISERROR(--C1760),"ERROR: CUENTA debe tener solo dígitos",IF(ISERROR(FIND(LEFT(C1760,1),"567")),"ERROR: CUENTA fuera de las clases de costo",IF(NOT(ISNUMBER(E1760)),"ERROR: VALOR debe ser numérico",IF(E1760=0,"AVISO: valor cero (no se carga)",IF(J1760&lt;&gt;"ACTIVO","NO SE CARGA: CECO en estado "&amp;J1760,"OK"))))))))))</f>
        <v/>
      </c>
    </row>
    <row r="1761">
      <c r="A1761" s="5" t="n"/>
      <c r="B1761" s="6" t="n"/>
      <c r="C1761" s="5" t="n"/>
      <c r="D1761" s="6" t="n"/>
      <c r="E1761" s="7" t="n"/>
      <c r="F1761" s="6" t="n"/>
      <c r="G1761" s="8">
        <f>IF(B1761="","",IFERROR(VLOOKUP(--B1761,'CATALOGO CECO'!$A$2:$H$550,2,FALSE),"CECO NO EXISTE"))</f>
        <v/>
      </c>
      <c r="H1761" s="8">
        <f>IF(B1761="","",IFERROR(VLOOKUP(--B1761,'CATALOGO CECO'!$A$2:$H$550,3,FALSE),""))</f>
        <v/>
      </c>
      <c r="I1761" s="8">
        <f>IF(B1761="","",IFERROR(VLOOKUP(--B1761,'CATALOGO CECO'!$A$2:$H$550,5,FALSE),""))</f>
        <v/>
      </c>
      <c r="J1761" s="8">
        <f>IF(B1761="","",IFERROR(VLOOKUP(--B1761,'CATALOGO CECO'!$A$2:$H$550,8,FALSE),""))</f>
        <v/>
      </c>
      <c r="K1761" s="8">
        <f>IF(COUNTA(A1761:F1761)=0,"",IF(OR(LEN(A1761)&lt;&gt;7,MID(A1761,5,1)&lt;&gt;"-",ISERROR(--LEFT(A1761,4)),ISERROR(--RIGHT(A1761,2))),"ERROR: PERIODO debe ser AAAA-MM",IF(B1761="","ERROR: falta CODIGO CECO",IF(G1761="CECO NO EXISTE","ERROR: CECO no existe en el catálogo",IF(C1761="","ERROR: falta CUENTA",IF(ISERROR(--C1761),"ERROR: CUENTA debe tener solo dígitos",IF(ISERROR(FIND(LEFT(C1761,1),"567")),"ERROR: CUENTA fuera de las clases de costo",IF(NOT(ISNUMBER(E1761)),"ERROR: VALOR debe ser numérico",IF(E1761=0,"AVISO: valor cero (no se carga)",IF(J1761&lt;&gt;"ACTIVO","NO SE CARGA: CECO en estado "&amp;J1761,"OK"))))))))))</f>
        <v/>
      </c>
    </row>
    <row r="1762">
      <c r="A1762" s="5" t="n"/>
      <c r="B1762" s="6" t="n"/>
      <c r="C1762" s="5" t="n"/>
      <c r="D1762" s="6" t="n"/>
      <c r="E1762" s="7" t="n"/>
      <c r="F1762" s="6" t="n"/>
      <c r="G1762" s="8">
        <f>IF(B1762="","",IFERROR(VLOOKUP(--B1762,'CATALOGO CECO'!$A$2:$H$550,2,FALSE),"CECO NO EXISTE"))</f>
        <v/>
      </c>
      <c r="H1762" s="8">
        <f>IF(B1762="","",IFERROR(VLOOKUP(--B1762,'CATALOGO CECO'!$A$2:$H$550,3,FALSE),""))</f>
        <v/>
      </c>
      <c r="I1762" s="8">
        <f>IF(B1762="","",IFERROR(VLOOKUP(--B1762,'CATALOGO CECO'!$A$2:$H$550,5,FALSE),""))</f>
        <v/>
      </c>
      <c r="J1762" s="8">
        <f>IF(B1762="","",IFERROR(VLOOKUP(--B1762,'CATALOGO CECO'!$A$2:$H$550,8,FALSE),""))</f>
        <v/>
      </c>
      <c r="K1762" s="8">
        <f>IF(COUNTA(A1762:F1762)=0,"",IF(OR(LEN(A1762)&lt;&gt;7,MID(A1762,5,1)&lt;&gt;"-",ISERROR(--LEFT(A1762,4)),ISERROR(--RIGHT(A1762,2))),"ERROR: PERIODO debe ser AAAA-MM",IF(B1762="","ERROR: falta CODIGO CECO",IF(G1762="CECO NO EXISTE","ERROR: CECO no existe en el catálogo",IF(C1762="","ERROR: falta CUENTA",IF(ISERROR(--C1762),"ERROR: CUENTA debe tener solo dígitos",IF(ISERROR(FIND(LEFT(C1762,1),"567")),"ERROR: CUENTA fuera de las clases de costo",IF(NOT(ISNUMBER(E1762)),"ERROR: VALOR debe ser numérico",IF(E1762=0,"AVISO: valor cero (no se carga)",IF(J1762&lt;&gt;"ACTIVO","NO SE CARGA: CECO en estado "&amp;J1762,"OK"))))))))))</f>
        <v/>
      </c>
    </row>
    <row r="1763">
      <c r="A1763" s="5" t="n"/>
      <c r="B1763" s="6" t="n"/>
      <c r="C1763" s="5" t="n"/>
      <c r="D1763" s="6" t="n"/>
      <c r="E1763" s="7" t="n"/>
      <c r="F1763" s="6" t="n"/>
      <c r="G1763" s="8">
        <f>IF(B1763="","",IFERROR(VLOOKUP(--B1763,'CATALOGO CECO'!$A$2:$H$550,2,FALSE),"CECO NO EXISTE"))</f>
        <v/>
      </c>
      <c r="H1763" s="8">
        <f>IF(B1763="","",IFERROR(VLOOKUP(--B1763,'CATALOGO CECO'!$A$2:$H$550,3,FALSE),""))</f>
        <v/>
      </c>
      <c r="I1763" s="8">
        <f>IF(B1763="","",IFERROR(VLOOKUP(--B1763,'CATALOGO CECO'!$A$2:$H$550,5,FALSE),""))</f>
        <v/>
      </c>
      <c r="J1763" s="8">
        <f>IF(B1763="","",IFERROR(VLOOKUP(--B1763,'CATALOGO CECO'!$A$2:$H$550,8,FALSE),""))</f>
        <v/>
      </c>
      <c r="K1763" s="8">
        <f>IF(COUNTA(A1763:F1763)=0,"",IF(OR(LEN(A1763)&lt;&gt;7,MID(A1763,5,1)&lt;&gt;"-",ISERROR(--LEFT(A1763,4)),ISERROR(--RIGHT(A1763,2))),"ERROR: PERIODO debe ser AAAA-MM",IF(B1763="","ERROR: falta CODIGO CECO",IF(G1763="CECO NO EXISTE","ERROR: CECO no existe en el catálogo",IF(C1763="","ERROR: falta CUENTA",IF(ISERROR(--C1763),"ERROR: CUENTA debe tener solo dígitos",IF(ISERROR(FIND(LEFT(C1763,1),"567")),"ERROR: CUENTA fuera de las clases de costo",IF(NOT(ISNUMBER(E1763)),"ERROR: VALOR debe ser numérico",IF(E1763=0,"AVISO: valor cero (no se carga)",IF(J1763&lt;&gt;"ACTIVO","NO SE CARGA: CECO en estado "&amp;J1763,"OK"))))))))))</f>
        <v/>
      </c>
    </row>
    <row r="1764">
      <c r="A1764" s="5" t="n"/>
      <c r="B1764" s="6" t="n"/>
      <c r="C1764" s="5" t="n"/>
      <c r="D1764" s="6" t="n"/>
      <c r="E1764" s="7" t="n"/>
      <c r="F1764" s="6" t="n"/>
      <c r="G1764" s="8">
        <f>IF(B1764="","",IFERROR(VLOOKUP(--B1764,'CATALOGO CECO'!$A$2:$H$550,2,FALSE),"CECO NO EXISTE"))</f>
        <v/>
      </c>
      <c r="H1764" s="8">
        <f>IF(B1764="","",IFERROR(VLOOKUP(--B1764,'CATALOGO CECO'!$A$2:$H$550,3,FALSE),""))</f>
        <v/>
      </c>
      <c r="I1764" s="8">
        <f>IF(B1764="","",IFERROR(VLOOKUP(--B1764,'CATALOGO CECO'!$A$2:$H$550,5,FALSE),""))</f>
        <v/>
      </c>
      <c r="J1764" s="8">
        <f>IF(B1764="","",IFERROR(VLOOKUP(--B1764,'CATALOGO CECO'!$A$2:$H$550,8,FALSE),""))</f>
        <v/>
      </c>
      <c r="K1764" s="8">
        <f>IF(COUNTA(A1764:F1764)=0,"",IF(OR(LEN(A1764)&lt;&gt;7,MID(A1764,5,1)&lt;&gt;"-",ISERROR(--LEFT(A1764,4)),ISERROR(--RIGHT(A1764,2))),"ERROR: PERIODO debe ser AAAA-MM",IF(B1764="","ERROR: falta CODIGO CECO",IF(G1764="CECO NO EXISTE","ERROR: CECO no existe en el catálogo",IF(C1764="","ERROR: falta CUENTA",IF(ISERROR(--C1764),"ERROR: CUENTA debe tener solo dígitos",IF(ISERROR(FIND(LEFT(C1764,1),"567")),"ERROR: CUENTA fuera de las clases de costo",IF(NOT(ISNUMBER(E1764)),"ERROR: VALOR debe ser numérico",IF(E1764=0,"AVISO: valor cero (no se carga)",IF(J1764&lt;&gt;"ACTIVO","NO SE CARGA: CECO en estado "&amp;J1764,"OK"))))))))))</f>
        <v/>
      </c>
    </row>
    <row r="1765">
      <c r="A1765" s="5" t="n"/>
      <c r="B1765" s="6" t="n"/>
      <c r="C1765" s="5" t="n"/>
      <c r="D1765" s="6" t="n"/>
      <c r="E1765" s="7" t="n"/>
      <c r="F1765" s="6" t="n"/>
      <c r="G1765" s="8">
        <f>IF(B1765="","",IFERROR(VLOOKUP(--B1765,'CATALOGO CECO'!$A$2:$H$550,2,FALSE),"CECO NO EXISTE"))</f>
        <v/>
      </c>
      <c r="H1765" s="8">
        <f>IF(B1765="","",IFERROR(VLOOKUP(--B1765,'CATALOGO CECO'!$A$2:$H$550,3,FALSE),""))</f>
        <v/>
      </c>
      <c r="I1765" s="8">
        <f>IF(B1765="","",IFERROR(VLOOKUP(--B1765,'CATALOGO CECO'!$A$2:$H$550,5,FALSE),""))</f>
        <v/>
      </c>
      <c r="J1765" s="8">
        <f>IF(B1765="","",IFERROR(VLOOKUP(--B1765,'CATALOGO CECO'!$A$2:$H$550,8,FALSE),""))</f>
        <v/>
      </c>
      <c r="K1765" s="8">
        <f>IF(COUNTA(A1765:F1765)=0,"",IF(OR(LEN(A1765)&lt;&gt;7,MID(A1765,5,1)&lt;&gt;"-",ISERROR(--LEFT(A1765,4)),ISERROR(--RIGHT(A1765,2))),"ERROR: PERIODO debe ser AAAA-MM",IF(B1765="","ERROR: falta CODIGO CECO",IF(G1765="CECO NO EXISTE","ERROR: CECO no existe en el catálogo",IF(C1765="","ERROR: falta CUENTA",IF(ISERROR(--C1765),"ERROR: CUENTA debe tener solo dígitos",IF(ISERROR(FIND(LEFT(C1765,1),"567")),"ERROR: CUENTA fuera de las clases de costo",IF(NOT(ISNUMBER(E1765)),"ERROR: VALOR debe ser numérico",IF(E1765=0,"AVISO: valor cero (no se carga)",IF(J1765&lt;&gt;"ACTIVO","NO SE CARGA: CECO en estado "&amp;J1765,"OK"))))))))))</f>
        <v/>
      </c>
    </row>
    <row r="1766">
      <c r="A1766" s="5" t="n"/>
      <c r="B1766" s="6" t="n"/>
      <c r="C1766" s="5" t="n"/>
      <c r="D1766" s="6" t="n"/>
      <c r="E1766" s="7" t="n"/>
      <c r="F1766" s="6" t="n"/>
      <c r="G1766" s="8">
        <f>IF(B1766="","",IFERROR(VLOOKUP(--B1766,'CATALOGO CECO'!$A$2:$H$550,2,FALSE),"CECO NO EXISTE"))</f>
        <v/>
      </c>
      <c r="H1766" s="8">
        <f>IF(B1766="","",IFERROR(VLOOKUP(--B1766,'CATALOGO CECO'!$A$2:$H$550,3,FALSE),""))</f>
        <v/>
      </c>
      <c r="I1766" s="8">
        <f>IF(B1766="","",IFERROR(VLOOKUP(--B1766,'CATALOGO CECO'!$A$2:$H$550,5,FALSE),""))</f>
        <v/>
      </c>
      <c r="J1766" s="8">
        <f>IF(B1766="","",IFERROR(VLOOKUP(--B1766,'CATALOGO CECO'!$A$2:$H$550,8,FALSE),""))</f>
        <v/>
      </c>
      <c r="K1766" s="8">
        <f>IF(COUNTA(A1766:F1766)=0,"",IF(OR(LEN(A1766)&lt;&gt;7,MID(A1766,5,1)&lt;&gt;"-",ISERROR(--LEFT(A1766,4)),ISERROR(--RIGHT(A1766,2))),"ERROR: PERIODO debe ser AAAA-MM",IF(B1766="","ERROR: falta CODIGO CECO",IF(G1766="CECO NO EXISTE","ERROR: CECO no existe en el catálogo",IF(C1766="","ERROR: falta CUENTA",IF(ISERROR(--C1766),"ERROR: CUENTA debe tener solo dígitos",IF(ISERROR(FIND(LEFT(C1766,1),"567")),"ERROR: CUENTA fuera de las clases de costo",IF(NOT(ISNUMBER(E1766)),"ERROR: VALOR debe ser numérico",IF(E1766=0,"AVISO: valor cero (no se carga)",IF(J1766&lt;&gt;"ACTIVO","NO SE CARGA: CECO en estado "&amp;J1766,"OK"))))))))))</f>
        <v/>
      </c>
    </row>
    <row r="1767">
      <c r="A1767" s="5" t="n"/>
      <c r="B1767" s="6" t="n"/>
      <c r="C1767" s="5" t="n"/>
      <c r="D1767" s="6" t="n"/>
      <c r="E1767" s="7" t="n"/>
      <c r="F1767" s="6" t="n"/>
      <c r="G1767" s="8">
        <f>IF(B1767="","",IFERROR(VLOOKUP(--B1767,'CATALOGO CECO'!$A$2:$H$550,2,FALSE),"CECO NO EXISTE"))</f>
        <v/>
      </c>
      <c r="H1767" s="8">
        <f>IF(B1767="","",IFERROR(VLOOKUP(--B1767,'CATALOGO CECO'!$A$2:$H$550,3,FALSE),""))</f>
        <v/>
      </c>
      <c r="I1767" s="8">
        <f>IF(B1767="","",IFERROR(VLOOKUP(--B1767,'CATALOGO CECO'!$A$2:$H$550,5,FALSE),""))</f>
        <v/>
      </c>
      <c r="J1767" s="8">
        <f>IF(B1767="","",IFERROR(VLOOKUP(--B1767,'CATALOGO CECO'!$A$2:$H$550,8,FALSE),""))</f>
        <v/>
      </c>
      <c r="K1767" s="8">
        <f>IF(COUNTA(A1767:F1767)=0,"",IF(OR(LEN(A1767)&lt;&gt;7,MID(A1767,5,1)&lt;&gt;"-",ISERROR(--LEFT(A1767,4)),ISERROR(--RIGHT(A1767,2))),"ERROR: PERIODO debe ser AAAA-MM",IF(B1767="","ERROR: falta CODIGO CECO",IF(G1767="CECO NO EXISTE","ERROR: CECO no existe en el catálogo",IF(C1767="","ERROR: falta CUENTA",IF(ISERROR(--C1767),"ERROR: CUENTA debe tener solo dígitos",IF(ISERROR(FIND(LEFT(C1767,1),"567")),"ERROR: CUENTA fuera de las clases de costo",IF(NOT(ISNUMBER(E1767)),"ERROR: VALOR debe ser numérico",IF(E1767=0,"AVISO: valor cero (no se carga)",IF(J1767&lt;&gt;"ACTIVO","NO SE CARGA: CECO en estado "&amp;J1767,"OK"))))))))))</f>
        <v/>
      </c>
    </row>
    <row r="1768">
      <c r="A1768" s="5" t="n"/>
      <c r="B1768" s="6" t="n"/>
      <c r="C1768" s="5" t="n"/>
      <c r="D1768" s="6" t="n"/>
      <c r="E1768" s="7" t="n"/>
      <c r="F1768" s="6" t="n"/>
      <c r="G1768" s="8">
        <f>IF(B1768="","",IFERROR(VLOOKUP(--B1768,'CATALOGO CECO'!$A$2:$H$550,2,FALSE),"CECO NO EXISTE"))</f>
        <v/>
      </c>
      <c r="H1768" s="8">
        <f>IF(B1768="","",IFERROR(VLOOKUP(--B1768,'CATALOGO CECO'!$A$2:$H$550,3,FALSE),""))</f>
        <v/>
      </c>
      <c r="I1768" s="8">
        <f>IF(B1768="","",IFERROR(VLOOKUP(--B1768,'CATALOGO CECO'!$A$2:$H$550,5,FALSE),""))</f>
        <v/>
      </c>
      <c r="J1768" s="8">
        <f>IF(B1768="","",IFERROR(VLOOKUP(--B1768,'CATALOGO CECO'!$A$2:$H$550,8,FALSE),""))</f>
        <v/>
      </c>
      <c r="K1768" s="8">
        <f>IF(COUNTA(A1768:F1768)=0,"",IF(OR(LEN(A1768)&lt;&gt;7,MID(A1768,5,1)&lt;&gt;"-",ISERROR(--LEFT(A1768,4)),ISERROR(--RIGHT(A1768,2))),"ERROR: PERIODO debe ser AAAA-MM",IF(B1768="","ERROR: falta CODIGO CECO",IF(G1768="CECO NO EXISTE","ERROR: CECO no existe en el catálogo",IF(C1768="","ERROR: falta CUENTA",IF(ISERROR(--C1768),"ERROR: CUENTA debe tener solo dígitos",IF(ISERROR(FIND(LEFT(C1768,1),"567")),"ERROR: CUENTA fuera de las clases de costo",IF(NOT(ISNUMBER(E1768)),"ERROR: VALOR debe ser numérico",IF(E1768=0,"AVISO: valor cero (no se carga)",IF(J1768&lt;&gt;"ACTIVO","NO SE CARGA: CECO en estado "&amp;J1768,"OK"))))))))))</f>
        <v/>
      </c>
    </row>
    <row r="1769">
      <c r="A1769" s="5" t="n"/>
      <c r="B1769" s="6" t="n"/>
      <c r="C1769" s="5" t="n"/>
      <c r="D1769" s="6" t="n"/>
      <c r="E1769" s="7" t="n"/>
      <c r="F1769" s="6" t="n"/>
      <c r="G1769" s="8">
        <f>IF(B1769="","",IFERROR(VLOOKUP(--B1769,'CATALOGO CECO'!$A$2:$H$550,2,FALSE),"CECO NO EXISTE"))</f>
        <v/>
      </c>
      <c r="H1769" s="8">
        <f>IF(B1769="","",IFERROR(VLOOKUP(--B1769,'CATALOGO CECO'!$A$2:$H$550,3,FALSE),""))</f>
        <v/>
      </c>
      <c r="I1769" s="8">
        <f>IF(B1769="","",IFERROR(VLOOKUP(--B1769,'CATALOGO CECO'!$A$2:$H$550,5,FALSE),""))</f>
        <v/>
      </c>
      <c r="J1769" s="8">
        <f>IF(B1769="","",IFERROR(VLOOKUP(--B1769,'CATALOGO CECO'!$A$2:$H$550,8,FALSE),""))</f>
        <v/>
      </c>
      <c r="K1769" s="8">
        <f>IF(COUNTA(A1769:F1769)=0,"",IF(OR(LEN(A1769)&lt;&gt;7,MID(A1769,5,1)&lt;&gt;"-",ISERROR(--LEFT(A1769,4)),ISERROR(--RIGHT(A1769,2))),"ERROR: PERIODO debe ser AAAA-MM",IF(B1769="","ERROR: falta CODIGO CECO",IF(G1769="CECO NO EXISTE","ERROR: CECO no existe en el catálogo",IF(C1769="","ERROR: falta CUENTA",IF(ISERROR(--C1769),"ERROR: CUENTA debe tener solo dígitos",IF(ISERROR(FIND(LEFT(C1769,1),"567")),"ERROR: CUENTA fuera de las clases de costo",IF(NOT(ISNUMBER(E1769)),"ERROR: VALOR debe ser numérico",IF(E1769=0,"AVISO: valor cero (no se carga)",IF(J1769&lt;&gt;"ACTIVO","NO SE CARGA: CECO en estado "&amp;J1769,"OK"))))))))))</f>
        <v/>
      </c>
    </row>
    <row r="1770">
      <c r="A1770" s="5" t="n"/>
      <c r="B1770" s="6" t="n"/>
      <c r="C1770" s="5" t="n"/>
      <c r="D1770" s="6" t="n"/>
      <c r="E1770" s="7" t="n"/>
      <c r="F1770" s="6" t="n"/>
      <c r="G1770" s="8">
        <f>IF(B1770="","",IFERROR(VLOOKUP(--B1770,'CATALOGO CECO'!$A$2:$H$550,2,FALSE),"CECO NO EXISTE"))</f>
        <v/>
      </c>
      <c r="H1770" s="8">
        <f>IF(B1770="","",IFERROR(VLOOKUP(--B1770,'CATALOGO CECO'!$A$2:$H$550,3,FALSE),""))</f>
        <v/>
      </c>
      <c r="I1770" s="8">
        <f>IF(B1770="","",IFERROR(VLOOKUP(--B1770,'CATALOGO CECO'!$A$2:$H$550,5,FALSE),""))</f>
        <v/>
      </c>
      <c r="J1770" s="8">
        <f>IF(B1770="","",IFERROR(VLOOKUP(--B1770,'CATALOGO CECO'!$A$2:$H$550,8,FALSE),""))</f>
        <v/>
      </c>
      <c r="K1770" s="8">
        <f>IF(COUNTA(A1770:F1770)=0,"",IF(OR(LEN(A1770)&lt;&gt;7,MID(A1770,5,1)&lt;&gt;"-",ISERROR(--LEFT(A1770,4)),ISERROR(--RIGHT(A1770,2))),"ERROR: PERIODO debe ser AAAA-MM",IF(B1770="","ERROR: falta CODIGO CECO",IF(G1770="CECO NO EXISTE","ERROR: CECO no existe en el catálogo",IF(C1770="","ERROR: falta CUENTA",IF(ISERROR(--C1770),"ERROR: CUENTA debe tener solo dígitos",IF(ISERROR(FIND(LEFT(C1770,1),"567")),"ERROR: CUENTA fuera de las clases de costo",IF(NOT(ISNUMBER(E1770)),"ERROR: VALOR debe ser numérico",IF(E1770=0,"AVISO: valor cero (no se carga)",IF(J1770&lt;&gt;"ACTIVO","NO SE CARGA: CECO en estado "&amp;J1770,"OK"))))))))))</f>
        <v/>
      </c>
    </row>
    <row r="1771">
      <c r="A1771" s="5" t="n"/>
      <c r="B1771" s="6" t="n"/>
      <c r="C1771" s="5" t="n"/>
      <c r="D1771" s="6" t="n"/>
      <c r="E1771" s="7" t="n"/>
      <c r="F1771" s="6" t="n"/>
      <c r="G1771" s="8">
        <f>IF(B1771="","",IFERROR(VLOOKUP(--B1771,'CATALOGO CECO'!$A$2:$H$550,2,FALSE),"CECO NO EXISTE"))</f>
        <v/>
      </c>
      <c r="H1771" s="8">
        <f>IF(B1771="","",IFERROR(VLOOKUP(--B1771,'CATALOGO CECO'!$A$2:$H$550,3,FALSE),""))</f>
        <v/>
      </c>
      <c r="I1771" s="8">
        <f>IF(B1771="","",IFERROR(VLOOKUP(--B1771,'CATALOGO CECO'!$A$2:$H$550,5,FALSE),""))</f>
        <v/>
      </c>
      <c r="J1771" s="8">
        <f>IF(B1771="","",IFERROR(VLOOKUP(--B1771,'CATALOGO CECO'!$A$2:$H$550,8,FALSE),""))</f>
        <v/>
      </c>
      <c r="K1771" s="8">
        <f>IF(COUNTA(A1771:F1771)=0,"",IF(OR(LEN(A1771)&lt;&gt;7,MID(A1771,5,1)&lt;&gt;"-",ISERROR(--LEFT(A1771,4)),ISERROR(--RIGHT(A1771,2))),"ERROR: PERIODO debe ser AAAA-MM",IF(B1771="","ERROR: falta CODIGO CECO",IF(G1771="CECO NO EXISTE","ERROR: CECO no existe en el catálogo",IF(C1771="","ERROR: falta CUENTA",IF(ISERROR(--C1771),"ERROR: CUENTA debe tener solo dígitos",IF(ISERROR(FIND(LEFT(C1771,1),"567")),"ERROR: CUENTA fuera de las clases de costo",IF(NOT(ISNUMBER(E1771)),"ERROR: VALOR debe ser numérico",IF(E1771=0,"AVISO: valor cero (no se carga)",IF(J1771&lt;&gt;"ACTIVO","NO SE CARGA: CECO en estado "&amp;J1771,"OK"))))))))))</f>
        <v/>
      </c>
    </row>
    <row r="1772">
      <c r="A1772" s="5" t="n"/>
      <c r="B1772" s="6" t="n"/>
      <c r="C1772" s="5" t="n"/>
      <c r="D1772" s="6" t="n"/>
      <c r="E1772" s="7" t="n"/>
      <c r="F1772" s="6" t="n"/>
      <c r="G1772" s="8">
        <f>IF(B1772="","",IFERROR(VLOOKUP(--B1772,'CATALOGO CECO'!$A$2:$H$550,2,FALSE),"CECO NO EXISTE"))</f>
        <v/>
      </c>
      <c r="H1772" s="8">
        <f>IF(B1772="","",IFERROR(VLOOKUP(--B1772,'CATALOGO CECO'!$A$2:$H$550,3,FALSE),""))</f>
        <v/>
      </c>
      <c r="I1772" s="8">
        <f>IF(B1772="","",IFERROR(VLOOKUP(--B1772,'CATALOGO CECO'!$A$2:$H$550,5,FALSE),""))</f>
        <v/>
      </c>
      <c r="J1772" s="8">
        <f>IF(B1772="","",IFERROR(VLOOKUP(--B1772,'CATALOGO CECO'!$A$2:$H$550,8,FALSE),""))</f>
        <v/>
      </c>
      <c r="K1772" s="8">
        <f>IF(COUNTA(A1772:F1772)=0,"",IF(OR(LEN(A1772)&lt;&gt;7,MID(A1772,5,1)&lt;&gt;"-",ISERROR(--LEFT(A1772,4)),ISERROR(--RIGHT(A1772,2))),"ERROR: PERIODO debe ser AAAA-MM",IF(B1772="","ERROR: falta CODIGO CECO",IF(G1772="CECO NO EXISTE","ERROR: CECO no existe en el catálogo",IF(C1772="","ERROR: falta CUENTA",IF(ISERROR(--C1772),"ERROR: CUENTA debe tener solo dígitos",IF(ISERROR(FIND(LEFT(C1772,1),"567")),"ERROR: CUENTA fuera de las clases de costo",IF(NOT(ISNUMBER(E1772)),"ERROR: VALOR debe ser numérico",IF(E1772=0,"AVISO: valor cero (no se carga)",IF(J1772&lt;&gt;"ACTIVO","NO SE CARGA: CECO en estado "&amp;J1772,"OK"))))))))))</f>
        <v/>
      </c>
    </row>
    <row r="1773">
      <c r="A1773" s="5" t="n"/>
      <c r="B1773" s="6" t="n"/>
      <c r="C1773" s="5" t="n"/>
      <c r="D1773" s="6" t="n"/>
      <c r="E1773" s="7" t="n"/>
      <c r="F1773" s="6" t="n"/>
      <c r="G1773" s="8">
        <f>IF(B1773="","",IFERROR(VLOOKUP(--B1773,'CATALOGO CECO'!$A$2:$H$550,2,FALSE),"CECO NO EXISTE"))</f>
        <v/>
      </c>
      <c r="H1773" s="8">
        <f>IF(B1773="","",IFERROR(VLOOKUP(--B1773,'CATALOGO CECO'!$A$2:$H$550,3,FALSE),""))</f>
        <v/>
      </c>
      <c r="I1773" s="8">
        <f>IF(B1773="","",IFERROR(VLOOKUP(--B1773,'CATALOGO CECO'!$A$2:$H$550,5,FALSE),""))</f>
        <v/>
      </c>
      <c r="J1773" s="8">
        <f>IF(B1773="","",IFERROR(VLOOKUP(--B1773,'CATALOGO CECO'!$A$2:$H$550,8,FALSE),""))</f>
        <v/>
      </c>
      <c r="K1773" s="8">
        <f>IF(COUNTA(A1773:F1773)=0,"",IF(OR(LEN(A1773)&lt;&gt;7,MID(A1773,5,1)&lt;&gt;"-",ISERROR(--LEFT(A1773,4)),ISERROR(--RIGHT(A1773,2))),"ERROR: PERIODO debe ser AAAA-MM",IF(B1773="","ERROR: falta CODIGO CECO",IF(G1773="CECO NO EXISTE","ERROR: CECO no existe en el catálogo",IF(C1773="","ERROR: falta CUENTA",IF(ISERROR(--C1773),"ERROR: CUENTA debe tener solo dígitos",IF(ISERROR(FIND(LEFT(C1773,1),"567")),"ERROR: CUENTA fuera de las clases de costo",IF(NOT(ISNUMBER(E1773)),"ERROR: VALOR debe ser numérico",IF(E1773=0,"AVISO: valor cero (no se carga)",IF(J1773&lt;&gt;"ACTIVO","NO SE CARGA: CECO en estado "&amp;J1773,"OK"))))))))))</f>
        <v/>
      </c>
    </row>
    <row r="1774">
      <c r="A1774" s="5" t="n"/>
      <c r="B1774" s="6" t="n"/>
      <c r="C1774" s="5" t="n"/>
      <c r="D1774" s="6" t="n"/>
      <c r="E1774" s="7" t="n"/>
      <c r="F1774" s="6" t="n"/>
      <c r="G1774" s="8">
        <f>IF(B1774="","",IFERROR(VLOOKUP(--B1774,'CATALOGO CECO'!$A$2:$H$550,2,FALSE),"CECO NO EXISTE"))</f>
        <v/>
      </c>
      <c r="H1774" s="8">
        <f>IF(B1774="","",IFERROR(VLOOKUP(--B1774,'CATALOGO CECO'!$A$2:$H$550,3,FALSE),""))</f>
        <v/>
      </c>
      <c r="I1774" s="8">
        <f>IF(B1774="","",IFERROR(VLOOKUP(--B1774,'CATALOGO CECO'!$A$2:$H$550,5,FALSE),""))</f>
        <v/>
      </c>
      <c r="J1774" s="8">
        <f>IF(B1774="","",IFERROR(VLOOKUP(--B1774,'CATALOGO CECO'!$A$2:$H$550,8,FALSE),""))</f>
        <v/>
      </c>
      <c r="K1774" s="8">
        <f>IF(COUNTA(A1774:F1774)=0,"",IF(OR(LEN(A1774)&lt;&gt;7,MID(A1774,5,1)&lt;&gt;"-",ISERROR(--LEFT(A1774,4)),ISERROR(--RIGHT(A1774,2))),"ERROR: PERIODO debe ser AAAA-MM",IF(B1774="","ERROR: falta CODIGO CECO",IF(G1774="CECO NO EXISTE","ERROR: CECO no existe en el catálogo",IF(C1774="","ERROR: falta CUENTA",IF(ISERROR(--C1774),"ERROR: CUENTA debe tener solo dígitos",IF(ISERROR(FIND(LEFT(C1774,1),"567")),"ERROR: CUENTA fuera de las clases de costo",IF(NOT(ISNUMBER(E1774)),"ERROR: VALOR debe ser numérico",IF(E1774=0,"AVISO: valor cero (no se carga)",IF(J1774&lt;&gt;"ACTIVO","NO SE CARGA: CECO en estado "&amp;J1774,"OK"))))))))))</f>
        <v/>
      </c>
    </row>
    <row r="1775">
      <c r="A1775" s="5" t="n"/>
      <c r="B1775" s="6" t="n"/>
      <c r="C1775" s="5" t="n"/>
      <c r="D1775" s="6" t="n"/>
      <c r="E1775" s="7" t="n"/>
      <c r="F1775" s="6" t="n"/>
      <c r="G1775" s="8">
        <f>IF(B1775="","",IFERROR(VLOOKUP(--B1775,'CATALOGO CECO'!$A$2:$H$550,2,FALSE),"CECO NO EXISTE"))</f>
        <v/>
      </c>
      <c r="H1775" s="8">
        <f>IF(B1775="","",IFERROR(VLOOKUP(--B1775,'CATALOGO CECO'!$A$2:$H$550,3,FALSE),""))</f>
        <v/>
      </c>
      <c r="I1775" s="8">
        <f>IF(B1775="","",IFERROR(VLOOKUP(--B1775,'CATALOGO CECO'!$A$2:$H$550,5,FALSE),""))</f>
        <v/>
      </c>
      <c r="J1775" s="8">
        <f>IF(B1775="","",IFERROR(VLOOKUP(--B1775,'CATALOGO CECO'!$A$2:$H$550,8,FALSE),""))</f>
        <v/>
      </c>
      <c r="K1775" s="8">
        <f>IF(COUNTA(A1775:F1775)=0,"",IF(OR(LEN(A1775)&lt;&gt;7,MID(A1775,5,1)&lt;&gt;"-",ISERROR(--LEFT(A1775,4)),ISERROR(--RIGHT(A1775,2))),"ERROR: PERIODO debe ser AAAA-MM",IF(B1775="","ERROR: falta CODIGO CECO",IF(G1775="CECO NO EXISTE","ERROR: CECO no existe en el catálogo",IF(C1775="","ERROR: falta CUENTA",IF(ISERROR(--C1775),"ERROR: CUENTA debe tener solo dígitos",IF(ISERROR(FIND(LEFT(C1775,1),"567")),"ERROR: CUENTA fuera de las clases de costo",IF(NOT(ISNUMBER(E1775)),"ERROR: VALOR debe ser numérico",IF(E1775=0,"AVISO: valor cero (no se carga)",IF(J1775&lt;&gt;"ACTIVO","NO SE CARGA: CECO en estado "&amp;J1775,"OK"))))))))))</f>
        <v/>
      </c>
    </row>
    <row r="1776">
      <c r="A1776" s="5" t="n"/>
      <c r="B1776" s="6" t="n"/>
      <c r="C1776" s="5" t="n"/>
      <c r="D1776" s="6" t="n"/>
      <c r="E1776" s="7" t="n"/>
      <c r="F1776" s="6" t="n"/>
      <c r="G1776" s="8">
        <f>IF(B1776="","",IFERROR(VLOOKUP(--B1776,'CATALOGO CECO'!$A$2:$H$550,2,FALSE),"CECO NO EXISTE"))</f>
        <v/>
      </c>
      <c r="H1776" s="8">
        <f>IF(B1776="","",IFERROR(VLOOKUP(--B1776,'CATALOGO CECO'!$A$2:$H$550,3,FALSE),""))</f>
        <v/>
      </c>
      <c r="I1776" s="8">
        <f>IF(B1776="","",IFERROR(VLOOKUP(--B1776,'CATALOGO CECO'!$A$2:$H$550,5,FALSE),""))</f>
        <v/>
      </c>
      <c r="J1776" s="8">
        <f>IF(B1776="","",IFERROR(VLOOKUP(--B1776,'CATALOGO CECO'!$A$2:$H$550,8,FALSE),""))</f>
        <v/>
      </c>
      <c r="K1776" s="8">
        <f>IF(COUNTA(A1776:F1776)=0,"",IF(OR(LEN(A1776)&lt;&gt;7,MID(A1776,5,1)&lt;&gt;"-",ISERROR(--LEFT(A1776,4)),ISERROR(--RIGHT(A1776,2))),"ERROR: PERIODO debe ser AAAA-MM",IF(B1776="","ERROR: falta CODIGO CECO",IF(G1776="CECO NO EXISTE","ERROR: CECO no existe en el catálogo",IF(C1776="","ERROR: falta CUENTA",IF(ISERROR(--C1776),"ERROR: CUENTA debe tener solo dígitos",IF(ISERROR(FIND(LEFT(C1776,1),"567")),"ERROR: CUENTA fuera de las clases de costo",IF(NOT(ISNUMBER(E1776)),"ERROR: VALOR debe ser numérico",IF(E1776=0,"AVISO: valor cero (no se carga)",IF(J1776&lt;&gt;"ACTIVO","NO SE CARGA: CECO en estado "&amp;J1776,"OK"))))))))))</f>
        <v/>
      </c>
    </row>
    <row r="1777">
      <c r="A1777" s="5" t="n"/>
      <c r="B1777" s="6" t="n"/>
      <c r="C1777" s="5" t="n"/>
      <c r="D1777" s="6" t="n"/>
      <c r="E1777" s="7" t="n"/>
      <c r="F1777" s="6" t="n"/>
      <c r="G1777" s="8">
        <f>IF(B1777="","",IFERROR(VLOOKUP(--B1777,'CATALOGO CECO'!$A$2:$H$550,2,FALSE),"CECO NO EXISTE"))</f>
        <v/>
      </c>
      <c r="H1777" s="8">
        <f>IF(B1777="","",IFERROR(VLOOKUP(--B1777,'CATALOGO CECO'!$A$2:$H$550,3,FALSE),""))</f>
        <v/>
      </c>
      <c r="I1777" s="8">
        <f>IF(B1777="","",IFERROR(VLOOKUP(--B1777,'CATALOGO CECO'!$A$2:$H$550,5,FALSE),""))</f>
        <v/>
      </c>
      <c r="J1777" s="8">
        <f>IF(B1777="","",IFERROR(VLOOKUP(--B1777,'CATALOGO CECO'!$A$2:$H$550,8,FALSE),""))</f>
        <v/>
      </c>
      <c r="K1777" s="8">
        <f>IF(COUNTA(A1777:F1777)=0,"",IF(OR(LEN(A1777)&lt;&gt;7,MID(A1777,5,1)&lt;&gt;"-",ISERROR(--LEFT(A1777,4)),ISERROR(--RIGHT(A1777,2))),"ERROR: PERIODO debe ser AAAA-MM",IF(B1777="","ERROR: falta CODIGO CECO",IF(G1777="CECO NO EXISTE","ERROR: CECO no existe en el catálogo",IF(C1777="","ERROR: falta CUENTA",IF(ISERROR(--C1777),"ERROR: CUENTA debe tener solo dígitos",IF(ISERROR(FIND(LEFT(C1777,1),"567")),"ERROR: CUENTA fuera de las clases de costo",IF(NOT(ISNUMBER(E1777)),"ERROR: VALOR debe ser numérico",IF(E1777=0,"AVISO: valor cero (no se carga)",IF(J1777&lt;&gt;"ACTIVO","NO SE CARGA: CECO en estado "&amp;J1777,"OK"))))))))))</f>
        <v/>
      </c>
    </row>
    <row r="1778">
      <c r="A1778" s="5" t="n"/>
      <c r="B1778" s="6" t="n"/>
      <c r="C1778" s="5" t="n"/>
      <c r="D1778" s="6" t="n"/>
      <c r="E1778" s="7" t="n"/>
      <c r="F1778" s="6" t="n"/>
      <c r="G1778" s="8">
        <f>IF(B1778="","",IFERROR(VLOOKUP(--B1778,'CATALOGO CECO'!$A$2:$H$550,2,FALSE),"CECO NO EXISTE"))</f>
        <v/>
      </c>
      <c r="H1778" s="8">
        <f>IF(B1778="","",IFERROR(VLOOKUP(--B1778,'CATALOGO CECO'!$A$2:$H$550,3,FALSE),""))</f>
        <v/>
      </c>
      <c r="I1778" s="8">
        <f>IF(B1778="","",IFERROR(VLOOKUP(--B1778,'CATALOGO CECO'!$A$2:$H$550,5,FALSE),""))</f>
        <v/>
      </c>
      <c r="J1778" s="8">
        <f>IF(B1778="","",IFERROR(VLOOKUP(--B1778,'CATALOGO CECO'!$A$2:$H$550,8,FALSE),""))</f>
        <v/>
      </c>
      <c r="K1778" s="8">
        <f>IF(COUNTA(A1778:F1778)=0,"",IF(OR(LEN(A1778)&lt;&gt;7,MID(A1778,5,1)&lt;&gt;"-",ISERROR(--LEFT(A1778,4)),ISERROR(--RIGHT(A1778,2))),"ERROR: PERIODO debe ser AAAA-MM",IF(B1778="","ERROR: falta CODIGO CECO",IF(G1778="CECO NO EXISTE","ERROR: CECO no existe en el catálogo",IF(C1778="","ERROR: falta CUENTA",IF(ISERROR(--C1778),"ERROR: CUENTA debe tener solo dígitos",IF(ISERROR(FIND(LEFT(C1778,1),"567")),"ERROR: CUENTA fuera de las clases de costo",IF(NOT(ISNUMBER(E1778)),"ERROR: VALOR debe ser numérico",IF(E1778=0,"AVISO: valor cero (no se carga)",IF(J1778&lt;&gt;"ACTIVO","NO SE CARGA: CECO en estado "&amp;J1778,"OK"))))))))))</f>
        <v/>
      </c>
    </row>
    <row r="1779">
      <c r="A1779" s="5" t="n"/>
      <c r="B1779" s="6" t="n"/>
      <c r="C1779" s="5" t="n"/>
      <c r="D1779" s="6" t="n"/>
      <c r="E1779" s="7" t="n"/>
      <c r="F1779" s="6" t="n"/>
      <c r="G1779" s="8">
        <f>IF(B1779="","",IFERROR(VLOOKUP(--B1779,'CATALOGO CECO'!$A$2:$H$550,2,FALSE),"CECO NO EXISTE"))</f>
        <v/>
      </c>
      <c r="H1779" s="8">
        <f>IF(B1779="","",IFERROR(VLOOKUP(--B1779,'CATALOGO CECO'!$A$2:$H$550,3,FALSE),""))</f>
        <v/>
      </c>
      <c r="I1779" s="8">
        <f>IF(B1779="","",IFERROR(VLOOKUP(--B1779,'CATALOGO CECO'!$A$2:$H$550,5,FALSE),""))</f>
        <v/>
      </c>
      <c r="J1779" s="8">
        <f>IF(B1779="","",IFERROR(VLOOKUP(--B1779,'CATALOGO CECO'!$A$2:$H$550,8,FALSE),""))</f>
        <v/>
      </c>
      <c r="K1779" s="8">
        <f>IF(COUNTA(A1779:F1779)=0,"",IF(OR(LEN(A1779)&lt;&gt;7,MID(A1779,5,1)&lt;&gt;"-",ISERROR(--LEFT(A1779,4)),ISERROR(--RIGHT(A1779,2))),"ERROR: PERIODO debe ser AAAA-MM",IF(B1779="","ERROR: falta CODIGO CECO",IF(G1779="CECO NO EXISTE","ERROR: CECO no existe en el catálogo",IF(C1779="","ERROR: falta CUENTA",IF(ISERROR(--C1779),"ERROR: CUENTA debe tener solo dígitos",IF(ISERROR(FIND(LEFT(C1779,1),"567")),"ERROR: CUENTA fuera de las clases de costo",IF(NOT(ISNUMBER(E1779)),"ERROR: VALOR debe ser numérico",IF(E1779=0,"AVISO: valor cero (no se carga)",IF(J1779&lt;&gt;"ACTIVO","NO SE CARGA: CECO en estado "&amp;J1779,"OK"))))))))))</f>
        <v/>
      </c>
    </row>
    <row r="1780">
      <c r="A1780" s="5" t="n"/>
      <c r="B1780" s="6" t="n"/>
      <c r="C1780" s="5" t="n"/>
      <c r="D1780" s="6" t="n"/>
      <c r="E1780" s="7" t="n"/>
      <c r="F1780" s="6" t="n"/>
      <c r="G1780" s="8">
        <f>IF(B1780="","",IFERROR(VLOOKUP(--B1780,'CATALOGO CECO'!$A$2:$H$550,2,FALSE),"CECO NO EXISTE"))</f>
        <v/>
      </c>
      <c r="H1780" s="8">
        <f>IF(B1780="","",IFERROR(VLOOKUP(--B1780,'CATALOGO CECO'!$A$2:$H$550,3,FALSE),""))</f>
        <v/>
      </c>
      <c r="I1780" s="8">
        <f>IF(B1780="","",IFERROR(VLOOKUP(--B1780,'CATALOGO CECO'!$A$2:$H$550,5,FALSE),""))</f>
        <v/>
      </c>
      <c r="J1780" s="8">
        <f>IF(B1780="","",IFERROR(VLOOKUP(--B1780,'CATALOGO CECO'!$A$2:$H$550,8,FALSE),""))</f>
        <v/>
      </c>
      <c r="K1780" s="8">
        <f>IF(COUNTA(A1780:F1780)=0,"",IF(OR(LEN(A1780)&lt;&gt;7,MID(A1780,5,1)&lt;&gt;"-",ISERROR(--LEFT(A1780,4)),ISERROR(--RIGHT(A1780,2))),"ERROR: PERIODO debe ser AAAA-MM",IF(B1780="","ERROR: falta CODIGO CECO",IF(G1780="CECO NO EXISTE","ERROR: CECO no existe en el catálogo",IF(C1780="","ERROR: falta CUENTA",IF(ISERROR(--C1780),"ERROR: CUENTA debe tener solo dígitos",IF(ISERROR(FIND(LEFT(C1780,1),"567")),"ERROR: CUENTA fuera de las clases de costo",IF(NOT(ISNUMBER(E1780)),"ERROR: VALOR debe ser numérico",IF(E1780=0,"AVISO: valor cero (no se carga)",IF(J1780&lt;&gt;"ACTIVO","NO SE CARGA: CECO en estado "&amp;J1780,"OK"))))))))))</f>
        <v/>
      </c>
    </row>
    <row r="1781">
      <c r="A1781" s="5" t="n"/>
      <c r="B1781" s="6" t="n"/>
      <c r="C1781" s="5" t="n"/>
      <c r="D1781" s="6" t="n"/>
      <c r="E1781" s="7" t="n"/>
      <c r="F1781" s="6" t="n"/>
      <c r="G1781" s="8">
        <f>IF(B1781="","",IFERROR(VLOOKUP(--B1781,'CATALOGO CECO'!$A$2:$H$550,2,FALSE),"CECO NO EXISTE"))</f>
        <v/>
      </c>
      <c r="H1781" s="8">
        <f>IF(B1781="","",IFERROR(VLOOKUP(--B1781,'CATALOGO CECO'!$A$2:$H$550,3,FALSE),""))</f>
        <v/>
      </c>
      <c r="I1781" s="8">
        <f>IF(B1781="","",IFERROR(VLOOKUP(--B1781,'CATALOGO CECO'!$A$2:$H$550,5,FALSE),""))</f>
        <v/>
      </c>
      <c r="J1781" s="8">
        <f>IF(B1781="","",IFERROR(VLOOKUP(--B1781,'CATALOGO CECO'!$A$2:$H$550,8,FALSE),""))</f>
        <v/>
      </c>
      <c r="K1781" s="8">
        <f>IF(COUNTA(A1781:F1781)=0,"",IF(OR(LEN(A1781)&lt;&gt;7,MID(A1781,5,1)&lt;&gt;"-",ISERROR(--LEFT(A1781,4)),ISERROR(--RIGHT(A1781,2))),"ERROR: PERIODO debe ser AAAA-MM",IF(B1781="","ERROR: falta CODIGO CECO",IF(G1781="CECO NO EXISTE","ERROR: CECO no existe en el catálogo",IF(C1781="","ERROR: falta CUENTA",IF(ISERROR(--C1781),"ERROR: CUENTA debe tener solo dígitos",IF(ISERROR(FIND(LEFT(C1781,1),"567")),"ERROR: CUENTA fuera de las clases de costo",IF(NOT(ISNUMBER(E1781)),"ERROR: VALOR debe ser numérico",IF(E1781=0,"AVISO: valor cero (no se carga)",IF(J1781&lt;&gt;"ACTIVO","NO SE CARGA: CECO en estado "&amp;J1781,"OK"))))))))))</f>
        <v/>
      </c>
    </row>
    <row r="1782">
      <c r="A1782" s="5" t="n"/>
      <c r="B1782" s="6" t="n"/>
      <c r="C1782" s="5" t="n"/>
      <c r="D1782" s="6" t="n"/>
      <c r="E1782" s="7" t="n"/>
      <c r="F1782" s="6" t="n"/>
      <c r="G1782" s="8">
        <f>IF(B1782="","",IFERROR(VLOOKUP(--B1782,'CATALOGO CECO'!$A$2:$H$550,2,FALSE),"CECO NO EXISTE"))</f>
        <v/>
      </c>
      <c r="H1782" s="8">
        <f>IF(B1782="","",IFERROR(VLOOKUP(--B1782,'CATALOGO CECO'!$A$2:$H$550,3,FALSE),""))</f>
        <v/>
      </c>
      <c r="I1782" s="8">
        <f>IF(B1782="","",IFERROR(VLOOKUP(--B1782,'CATALOGO CECO'!$A$2:$H$550,5,FALSE),""))</f>
        <v/>
      </c>
      <c r="J1782" s="8">
        <f>IF(B1782="","",IFERROR(VLOOKUP(--B1782,'CATALOGO CECO'!$A$2:$H$550,8,FALSE),""))</f>
        <v/>
      </c>
      <c r="K1782" s="8">
        <f>IF(COUNTA(A1782:F1782)=0,"",IF(OR(LEN(A1782)&lt;&gt;7,MID(A1782,5,1)&lt;&gt;"-",ISERROR(--LEFT(A1782,4)),ISERROR(--RIGHT(A1782,2))),"ERROR: PERIODO debe ser AAAA-MM",IF(B1782="","ERROR: falta CODIGO CECO",IF(G1782="CECO NO EXISTE","ERROR: CECO no existe en el catálogo",IF(C1782="","ERROR: falta CUENTA",IF(ISERROR(--C1782),"ERROR: CUENTA debe tener solo dígitos",IF(ISERROR(FIND(LEFT(C1782,1),"567")),"ERROR: CUENTA fuera de las clases de costo",IF(NOT(ISNUMBER(E1782)),"ERROR: VALOR debe ser numérico",IF(E1782=0,"AVISO: valor cero (no se carga)",IF(J1782&lt;&gt;"ACTIVO","NO SE CARGA: CECO en estado "&amp;J1782,"OK"))))))))))</f>
        <v/>
      </c>
    </row>
    <row r="1783">
      <c r="A1783" s="5" t="n"/>
      <c r="B1783" s="6" t="n"/>
      <c r="C1783" s="5" t="n"/>
      <c r="D1783" s="6" t="n"/>
      <c r="E1783" s="7" t="n"/>
      <c r="F1783" s="6" t="n"/>
      <c r="G1783" s="8">
        <f>IF(B1783="","",IFERROR(VLOOKUP(--B1783,'CATALOGO CECO'!$A$2:$H$550,2,FALSE),"CECO NO EXISTE"))</f>
        <v/>
      </c>
      <c r="H1783" s="8">
        <f>IF(B1783="","",IFERROR(VLOOKUP(--B1783,'CATALOGO CECO'!$A$2:$H$550,3,FALSE),""))</f>
        <v/>
      </c>
      <c r="I1783" s="8">
        <f>IF(B1783="","",IFERROR(VLOOKUP(--B1783,'CATALOGO CECO'!$A$2:$H$550,5,FALSE),""))</f>
        <v/>
      </c>
      <c r="J1783" s="8">
        <f>IF(B1783="","",IFERROR(VLOOKUP(--B1783,'CATALOGO CECO'!$A$2:$H$550,8,FALSE),""))</f>
        <v/>
      </c>
      <c r="K1783" s="8">
        <f>IF(COUNTA(A1783:F1783)=0,"",IF(OR(LEN(A1783)&lt;&gt;7,MID(A1783,5,1)&lt;&gt;"-",ISERROR(--LEFT(A1783,4)),ISERROR(--RIGHT(A1783,2))),"ERROR: PERIODO debe ser AAAA-MM",IF(B1783="","ERROR: falta CODIGO CECO",IF(G1783="CECO NO EXISTE","ERROR: CECO no existe en el catálogo",IF(C1783="","ERROR: falta CUENTA",IF(ISERROR(--C1783),"ERROR: CUENTA debe tener solo dígitos",IF(ISERROR(FIND(LEFT(C1783,1),"567")),"ERROR: CUENTA fuera de las clases de costo",IF(NOT(ISNUMBER(E1783)),"ERROR: VALOR debe ser numérico",IF(E1783=0,"AVISO: valor cero (no se carga)",IF(J1783&lt;&gt;"ACTIVO","NO SE CARGA: CECO en estado "&amp;J1783,"OK"))))))))))</f>
        <v/>
      </c>
    </row>
    <row r="1784">
      <c r="A1784" s="5" t="n"/>
      <c r="B1784" s="6" t="n"/>
      <c r="C1784" s="5" t="n"/>
      <c r="D1784" s="6" t="n"/>
      <c r="E1784" s="7" t="n"/>
      <c r="F1784" s="6" t="n"/>
      <c r="G1784" s="8">
        <f>IF(B1784="","",IFERROR(VLOOKUP(--B1784,'CATALOGO CECO'!$A$2:$H$550,2,FALSE),"CECO NO EXISTE"))</f>
        <v/>
      </c>
      <c r="H1784" s="8">
        <f>IF(B1784="","",IFERROR(VLOOKUP(--B1784,'CATALOGO CECO'!$A$2:$H$550,3,FALSE),""))</f>
        <v/>
      </c>
      <c r="I1784" s="8">
        <f>IF(B1784="","",IFERROR(VLOOKUP(--B1784,'CATALOGO CECO'!$A$2:$H$550,5,FALSE),""))</f>
        <v/>
      </c>
      <c r="J1784" s="8">
        <f>IF(B1784="","",IFERROR(VLOOKUP(--B1784,'CATALOGO CECO'!$A$2:$H$550,8,FALSE),""))</f>
        <v/>
      </c>
      <c r="K1784" s="8">
        <f>IF(COUNTA(A1784:F1784)=0,"",IF(OR(LEN(A1784)&lt;&gt;7,MID(A1784,5,1)&lt;&gt;"-",ISERROR(--LEFT(A1784,4)),ISERROR(--RIGHT(A1784,2))),"ERROR: PERIODO debe ser AAAA-MM",IF(B1784="","ERROR: falta CODIGO CECO",IF(G1784="CECO NO EXISTE","ERROR: CECO no existe en el catálogo",IF(C1784="","ERROR: falta CUENTA",IF(ISERROR(--C1784),"ERROR: CUENTA debe tener solo dígitos",IF(ISERROR(FIND(LEFT(C1784,1),"567")),"ERROR: CUENTA fuera de las clases de costo",IF(NOT(ISNUMBER(E1784)),"ERROR: VALOR debe ser numérico",IF(E1784=0,"AVISO: valor cero (no se carga)",IF(J1784&lt;&gt;"ACTIVO","NO SE CARGA: CECO en estado "&amp;J1784,"OK"))))))))))</f>
        <v/>
      </c>
    </row>
    <row r="1785">
      <c r="A1785" s="5" t="n"/>
      <c r="B1785" s="6" t="n"/>
      <c r="C1785" s="5" t="n"/>
      <c r="D1785" s="6" t="n"/>
      <c r="E1785" s="7" t="n"/>
      <c r="F1785" s="6" t="n"/>
      <c r="G1785" s="8">
        <f>IF(B1785="","",IFERROR(VLOOKUP(--B1785,'CATALOGO CECO'!$A$2:$H$550,2,FALSE),"CECO NO EXISTE"))</f>
        <v/>
      </c>
      <c r="H1785" s="8">
        <f>IF(B1785="","",IFERROR(VLOOKUP(--B1785,'CATALOGO CECO'!$A$2:$H$550,3,FALSE),""))</f>
        <v/>
      </c>
      <c r="I1785" s="8">
        <f>IF(B1785="","",IFERROR(VLOOKUP(--B1785,'CATALOGO CECO'!$A$2:$H$550,5,FALSE),""))</f>
        <v/>
      </c>
      <c r="J1785" s="8">
        <f>IF(B1785="","",IFERROR(VLOOKUP(--B1785,'CATALOGO CECO'!$A$2:$H$550,8,FALSE),""))</f>
        <v/>
      </c>
      <c r="K1785" s="8">
        <f>IF(COUNTA(A1785:F1785)=0,"",IF(OR(LEN(A1785)&lt;&gt;7,MID(A1785,5,1)&lt;&gt;"-",ISERROR(--LEFT(A1785,4)),ISERROR(--RIGHT(A1785,2))),"ERROR: PERIODO debe ser AAAA-MM",IF(B1785="","ERROR: falta CODIGO CECO",IF(G1785="CECO NO EXISTE","ERROR: CECO no existe en el catálogo",IF(C1785="","ERROR: falta CUENTA",IF(ISERROR(--C1785),"ERROR: CUENTA debe tener solo dígitos",IF(ISERROR(FIND(LEFT(C1785,1),"567")),"ERROR: CUENTA fuera de las clases de costo",IF(NOT(ISNUMBER(E1785)),"ERROR: VALOR debe ser numérico",IF(E1785=0,"AVISO: valor cero (no se carga)",IF(J1785&lt;&gt;"ACTIVO","NO SE CARGA: CECO en estado "&amp;J1785,"OK"))))))))))</f>
        <v/>
      </c>
    </row>
    <row r="1786">
      <c r="A1786" s="5" t="n"/>
      <c r="B1786" s="6" t="n"/>
      <c r="C1786" s="5" t="n"/>
      <c r="D1786" s="6" t="n"/>
      <c r="E1786" s="7" t="n"/>
      <c r="F1786" s="6" t="n"/>
      <c r="G1786" s="8">
        <f>IF(B1786="","",IFERROR(VLOOKUP(--B1786,'CATALOGO CECO'!$A$2:$H$550,2,FALSE),"CECO NO EXISTE"))</f>
        <v/>
      </c>
      <c r="H1786" s="8">
        <f>IF(B1786="","",IFERROR(VLOOKUP(--B1786,'CATALOGO CECO'!$A$2:$H$550,3,FALSE),""))</f>
        <v/>
      </c>
      <c r="I1786" s="8">
        <f>IF(B1786="","",IFERROR(VLOOKUP(--B1786,'CATALOGO CECO'!$A$2:$H$550,5,FALSE),""))</f>
        <v/>
      </c>
      <c r="J1786" s="8">
        <f>IF(B1786="","",IFERROR(VLOOKUP(--B1786,'CATALOGO CECO'!$A$2:$H$550,8,FALSE),""))</f>
        <v/>
      </c>
      <c r="K1786" s="8">
        <f>IF(COUNTA(A1786:F1786)=0,"",IF(OR(LEN(A1786)&lt;&gt;7,MID(A1786,5,1)&lt;&gt;"-",ISERROR(--LEFT(A1786,4)),ISERROR(--RIGHT(A1786,2))),"ERROR: PERIODO debe ser AAAA-MM",IF(B1786="","ERROR: falta CODIGO CECO",IF(G1786="CECO NO EXISTE","ERROR: CECO no existe en el catálogo",IF(C1786="","ERROR: falta CUENTA",IF(ISERROR(--C1786),"ERROR: CUENTA debe tener solo dígitos",IF(ISERROR(FIND(LEFT(C1786,1),"567")),"ERROR: CUENTA fuera de las clases de costo",IF(NOT(ISNUMBER(E1786)),"ERROR: VALOR debe ser numérico",IF(E1786=0,"AVISO: valor cero (no se carga)",IF(J1786&lt;&gt;"ACTIVO","NO SE CARGA: CECO en estado "&amp;J1786,"OK"))))))))))</f>
        <v/>
      </c>
    </row>
    <row r="1787">
      <c r="A1787" s="5" t="n"/>
      <c r="B1787" s="6" t="n"/>
      <c r="C1787" s="5" t="n"/>
      <c r="D1787" s="6" t="n"/>
      <c r="E1787" s="7" t="n"/>
      <c r="F1787" s="6" t="n"/>
      <c r="G1787" s="8">
        <f>IF(B1787="","",IFERROR(VLOOKUP(--B1787,'CATALOGO CECO'!$A$2:$H$550,2,FALSE),"CECO NO EXISTE"))</f>
        <v/>
      </c>
      <c r="H1787" s="8">
        <f>IF(B1787="","",IFERROR(VLOOKUP(--B1787,'CATALOGO CECO'!$A$2:$H$550,3,FALSE),""))</f>
        <v/>
      </c>
      <c r="I1787" s="8">
        <f>IF(B1787="","",IFERROR(VLOOKUP(--B1787,'CATALOGO CECO'!$A$2:$H$550,5,FALSE),""))</f>
        <v/>
      </c>
      <c r="J1787" s="8">
        <f>IF(B1787="","",IFERROR(VLOOKUP(--B1787,'CATALOGO CECO'!$A$2:$H$550,8,FALSE),""))</f>
        <v/>
      </c>
      <c r="K1787" s="8">
        <f>IF(COUNTA(A1787:F1787)=0,"",IF(OR(LEN(A1787)&lt;&gt;7,MID(A1787,5,1)&lt;&gt;"-",ISERROR(--LEFT(A1787,4)),ISERROR(--RIGHT(A1787,2))),"ERROR: PERIODO debe ser AAAA-MM",IF(B1787="","ERROR: falta CODIGO CECO",IF(G1787="CECO NO EXISTE","ERROR: CECO no existe en el catálogo",IF(C1787="","ERROR: falta CUENTA",IF(ISERROR(--C1787),"ERROR: CUENTA debe tener solo dígitos",IF(ISERROR(FIND(LEFT(C1787,1),"567")),"ERROR: CUENTA fuera de las clases de costo",IF(NOT(ISNUMBER(E1787)),"ERROR: VALOR debe ser numérico",IF(E1787=0,"AVISO: valor cero (no se carga)",IF(J1787&lt;&gt;"ACTIVO","NO SE CARGA: CECO en estado "&amp;J1787,"OK"))))))))))</f>
        <v/>
      </c>
    </row>
    <row r="1788">
      <c r="A1788" s="5" t="n"/>
      <c r="B1788" s="6" t="n"/>
      <c r="C1788" s="5" t="n"/>
      <c r="D1788" s="6" t="n"/>
      <c r="E1788" s="7" t="n"/>
      <c r="F1788" s="6" t="n"/>
      <c r="G1788" s="8">
        <f>IF(B1788="","",IFERROR(VLOOKUP(--B1788,'CATALOGO CECO'!$A$2:$H$550,2,FALSE),"CECO NO EXISTE"))</f>
        <v/>
      </c>
      <c r="H1788" s="8">
        <f>IF(B1788="","",IFERROR(VLOOKUP(--B1788,'CATALOGO CECO'!$A$2:$H$550,3,FALSE),""))</f>
        <v/>
      </c>
      <c r="I1788" s="8">
        <f>IF(B1788="","",IFERROR(VLOOKUP(--B1788,'CATALOGO CECO'!$A$2:$H$550,5,FALSE),""))</f>
        <v/>
      </c>
      <c r="J1788" s="8">
        <f>IF(B1788="","",IFERROR(VLOOKUP(--B1788,'CATALOGO CECO'!$A$2:$H$550,8,FALSE),""))</f>
        <v/>
      </c>
      <c r="K1788" s="8">
        <f>IF(COUNTA(A1788:F1788)=0,"",IF(OR(LEN(A1788)&lt;&gt;7,MID(A1788,5,1)&lt;&gt;"-",ISERROR(--LEFT(A1788,4)),ISERROR(--RIGHT(A1788,2))),"ERROR: PERIODO debe ser AAAA-MM",IF(B1788="","ERROR: falta CODIGO CECO",IF(G1788="CECO NO EXISTE","ERROR: CECO no existe en el catálogo",IF(C1788="","ERROR: falta CUENTA",IF(ISERROR(--C1788),"ERROR: CUENTA debe tener solo dígitos",IF(ISERROR(FIND(LEFT(C1788,1),"567")),"ERROR: CUENTA fuera de las clases de costo",IF(NOT(ISNUMBER(E1788)),"ERROR: VALOR debe ser numérico",IF(E1788=0,"AVISO: valor cero (no se carga)",IF(J1788&lt;&gt;"ACTIVO","NO SE CARGA: CECO en estado "&amp;J1788,"OK"))))))))))</f>
        <v/>
      </c>
    </row>
    <row r="1789">
      <c r="A1789" s="5" t="n"/>
      <c r="B1789" s="6" t="n"/>
      <c r="C1789" s="5" t="n"/>
      <c r="D1789" s="6" t="n"/>
      <c r="E1789" s="7" t="n"/>
      <c r="F1789" s="6" t="n"/>
      <c r="G1789" s="8">
        <f>IF(B1789="","",IFERROR(VLOOKUP(--B1789,'CATALOGO CECO'!$A$2:$H$550,2,FALSE),"CECO NO EXISTE"))</f>
        <v/>
      </c>
      <c r="H1789" s="8">
        <f>IF(B1789="","",IFERROR(VLOOKUP(--B1789,'CATALOGO CECO'!$A$2:$H$550,3,FALSE),""))</f>
        <v/>
      </c>
      <c r="I1789" s="8">
        <f>IF(B1789="","",IFERROR(VLOOKUP(--B1789,'CATALOGO CECO'!$A$2:$H$550,5,FALSE),""))</f>
        <v/>
      </c>
      <c r="J1789" s="8">
        <f>IF(B1789="","",IFERROR(VLOOKUP(--B1789,'CATALOGO CECO'!$A$2:$H$550,8,FALSE),""))</f>
        <v/>
      </c>
      <c r="K1789" s="8">
        <f>IF(COUNTA(A1789:F1789)=0,"",IF(OR(LEN(A1789)&lt;&gt;7,MID(A1789,5,1)&lt;&gt;"-",ISERROR(--LEFT(A1789,4)),ISERROR(--RIGHT(A1789,2))),"ERROR: PERIODO debe ser AAAA-MM",IF(B1789="","ERROR: falta CODIGO CECO",IF(G1789="CECO NO EXISTE","ERROR: CECO no existe en el catálogo",IF(C1789="","ERROR: falta CUENTA",IF(ISERROR(--C1789),"ERROR: CUENTA debe tener solo dígitos",IF(ISERROR(FIND(LEFT(C1789,1),"567")),"ERROR: CUENTA fuera de las clases de costo",IF(NOT(ISNUMBER(E1789)),"ERROR: VALOR debe ser numérico",IF(E1789=0,"AVISO: valor cero (no se carga)",IF(J1789&lt;&gt;"ACTIVO","NO SE CARGA: CECO en estado "&amp;J1789,"OK"))))))))))</f>
        <v/>
      </c>
    </row>
    <row r="1790">
      <c r="A1790" s="5" t="n"/>
      <c r="B1790" s="6" t="n"/>
      <c r="C1790" s="5" t="n"/>
      <c r="D1790" s="6" t="n"/>
      <c r="E1790" s="7" t="n"/>
      <c r="F1790" s="6" t="n"/>
      <c r="G1790" s="8">
        <f>IF(B1790="","",IFERROR(VLOOKUP(--B1790,'CATALOGO CECO'!$A$2:$H$550,2,FALSE),"CECO NO EXISTE"))</f>
        <v/>
      </c>
      <c r="H1790" s="8">
        <f>IF(B1790="","",IFERROR(VLOOKUP(--B1790,'CATALOGO CECO'!$A$2:$H$550,3,FALSE),""))</f>
        <v/>
      </c>
      <c r="I1790" s="8">
        <f>IF(B1790="","",IFERROR(VLOOKUP(--B1790,'CATALOGO CECO'!$A$2:$H$550,5,FALSE),""))</f>
        <v/>
      </c>
      <c r="J1790" s="8">
        <f>IF(B1790="","",IFERROR(VLOOKUP(--B1790,'CATALOGO CECO'!$A$2:$H$550,8,FALSE),""))</f>
        <v/>
      </c>
      <c r="K1790" s="8">
        <f>IF(COUNTA(A1790:F1790)=0,"",IF(OR(LEN(A1790)&lt;&gt;7,MID(A1790,5,1)&lt;&gt;"-",ISERROR(--LEFT(A1790,4)),ISERROR(--RIGHT(A1790,2))),"ERROR: PERIODO debe ser AAAA-MM",IF(B1790="","ERROR: falta CODIGO CECO",IF(G1790="CECO NO EXISTE","ERROR: CECO no existe en el catálogo",IF(C1790="","ERROR: falta CUENTA",IF(ISERROR(--C1790),"ERROR: CUENTA debe tener solo dígitos",IF(ISERROR(FIND(LEFT(C1790,1),"567")),"ERROR: CUENTA fuera de las clases de costo",IF(NOT(ISNUMBER(E1790)),"ERROR: VALOR debe ser numérico",IF(E1790=0,"AVISO: valor cero (no se carga)",IF(J1790&lt;&gt;"ACTIVO","NO SE CARGA: CECO en estado "&amp;J1790,"OK"))))))))))</f>
        <v/>
      </c>
    </row>
    <row r="1791">
      <c r="A1791" s="5" t="n"/>
      <c r="B1791" s="6" t="n"/>
      <c r="C1791" s="5" t="n"/>
      <c r="D1791" s="6" t="n"/>
      <c r="E1791" s="7" t="n"/>
      <c r="F1791" s="6" t="n"/>
      <c r="G1791" s="8">
        <f>IF(B1791="","",IFERROR(VLOOKUP(--B1791,'CATALOGO CECO'!$A$2:$H$550,2,FALSE),"CECO NO EXISTE"))</f>
        <v/>
      </c>
      <c r="H1791" s="8">
        <f>IF(B1791="","",IFERROR(VLOOKUP(--B1791,'CATALOGO CECO'!$A$2:$H$550,3,FALSE),""))</f>
        <v/>
      </c>
      <c r="I1791" s="8">
        <f>IF(B1791="","",IFERROR(VLOOKUP(--B1791,'CATALOGO CECO'!$A$2:$H$550,5,FALSE),""))</f>
        <v/>
      </c>
      <c r="J1791" s="8">
        <f>IF(B1791="","",IFERROR(VLOOKUP(--B1791,'CATALOGO CECO'!$A$2:$H$550,8,FALSE),""))</f>
        <v/>
      </c>
      <c r="K1791" s="8">
        <f>IF(COUNTA(A1791:F1791)=0,"",IF(OR(LEN(A1791)&lt;&gt;7,MID(A1791,5,1)&lt;&gt;"-",ISERROR(--LEFT(A1791,4)),ISERROR(--RIGHT(A1791,2))),"ERROR: PERIODO debe ser AAAA-MM",IF(B1791="","ERROR: falta CODIGO CECO",IF(G1791="CECO NO EXISTE","ERROR: CECO no existe en el catálogo",IF(C1791="","ERROR: falta CUENTA",IF(ISERROR(--C1791),"ERROR: CUENTA debe tener solo dígitos",IF(ISERROR(FIND(LEFT(C1791,1),"567")),"ERROR: CUENTA fuera de las clases de costo",IF(NOT(ISNUMBER(E1791)),"ERROR: VALOR debe ser numérico",IF(E1791=0,"AVISO: valor cero (no se carga)",IF(J1791&lt;&gt;"ACTIVO","NO SE CARGA: CECO en estado "&amp;J1791,"OK"))))))))))</f>
        <v/>
      </c>
    </row>
    <row r="1792">
      <c r="A1792" s="5" t="n"/>
      <c r="B1792" s="6" t="n"/>
      <c r="C1792" s="5" t="n"/>
      <c r="D1792" s="6" t="n"/>
      <c r="E1792" s="7" t="n"/>
      <c r="F1792" s="6" t="n"/>
      <c r="G1792" s="8">
        <f>IF(B1792="","",IFERROR(VLOOKUP(--B1792,'CATALOGO CECO'!$A$2:$H$550,2,FALSE),"CECO NO EXISTE"))</f>
        <v/>
      </c>
      <c r="H1792" s="8">
        <f>IF(B1792="","",IFERROR(VLOOKUP(--B1792,'CATALOGO CECO'!$A$2:$H$550,3,FALSE),""))</f>
        <v/>
      </c>
      <c r="I1792" s="8">
        <f>IF(B1792="","",IFERROR(VLOOKUP(--B1792,'CATALOGO CECO'!$A$2:$H$550,5,FALSE),""))</f>
        <v/>
      </c>
      <c r="J1792" s="8">
        <f>IF(B1792="","",IFERROR(VLOOKUP(--B1792,'CATALOGO CECO'!$A$2:$H$550,8,FALSE),""))</f>
        <v/>
      </c>
      <c r="K1792" s="8">
        <f>IF(COUNTA(A1792:F1792)=0,"",IF(OR(LEN(A1792)&lt;&gt;7,MID(A1792,5,1)&lt;&gt;"-",ISERROR(--LEFT(A1792,4)),ISERROR(--RIGHT(A1792,2))),"ERROR: PERIODO debe ser AAAA-MM",IF(B1792="","ERROR: falta CODIGO CECO",IF(G1792="CECO NO EXISTE","ERROR: CECO no existe en el catálogo",IF(C1792="","ERROR: falta CUENTA",IF(ISERROR(--C1792),"ERROR: CUENTA debe tener solo dígitos",IF(ISERROR(FIND(LEFT(C1792,1),"567")),"ERROR: CUENTA fuera de las clases de costo",IF(NOT(ISNUMBER(E1792)),"ERROR: VALOR debe ser numérico",IF(E1792=0,"AVISO: valor cero (no se carga)",IF(J1792&lt;&gt;"ACTIVO","NO SE CARGA: CECO en estado "&amp;J1792,"OK"))))))))))</f>
        <v/>
      </c>
    </row>
    <row r="1793">
      <c r="A1793" s="5" t="n"/>
      <c r="B1793" s="6" t="n"/>
      <c r="C1793" s="5" t="n"/>
      <c r="D1793" s="6" t="n"/>
      <c r="E1793" s="7" t="n"/>
      <c r="F1793" s="6" t="n"/>
      <c r="G1793" s="8">
        <f>IF(B1793="","",IFERROR(VLOOKUP(--B1793,'CATALOGO CECO'!$A$2:$H$550,2,FALSE),"CECO NO EXISTE"))</f>
        <v/>
      </c>
      <c r="H1793" s="8">
        <f>IF(B1793="","",IFERROR(VLOOKUP(--B1793,'CATALOGO CECO'!$A$2:$H$550,3,FALSE),""))</f>
        <v/>
      </c>
      <c r="I1793" s="8">
        <f>IF(B1793="","",IFERROR(VLOOKUP(--B1793,'CATALOGO CECO'!$A$2:$H$550,5,FALSE),""))</f>
        <v/>
      </c>
      <c r="J1793" s="8">
        <f>IF(B1793="","",IFERROR(VLOOKUP(--B1793,'CATALOGO CECO'!$A$2:$H$550,8,FALSE),""))</f>
        <v/>
      </c>
      <c r="K1793" s="8">
        <f>IF(COUNTA(A1793:F1793)=0,"",IF(OR(LEN(A1793)&lt;&gt;7,MID(A1793,5,1)&lt;&gt;"-",ISERROR(--LEFT(A1793,4)),ISERROR(--RIGHT(A1793,2))),"ERROR: PERIODO debe ser AAAA-MM",IF(B1793="","ERROR: falta CODIGO CECO",IF(G1793="CECO NO EXISTE","ERROR: CECO no existe en el catálogo",IF(C1793="","ERROR: falta CUENTA",IF(ISERROR(--C1793),"ERROR: CUENTA debe tener solo dígitos",IF(ISERROR(FIND(LEFT(C1793,1),"567")),"ERROR: CUENTA fuera de las clases de costo",IF(NOT(ISNUMBER(E1793)),"ERROR: VALOR debe ser numérico",IF(E1793=0,"AVISO: valor cero (no se carga)",IF(J1793&lt;&gt;"ACTIVO","NO SE CARGA: CECO en estado "&amp;J1793,"OK"))))))))))</f>
        <v/>
      </c>
    </row>
    <row r="1794">
      <c r="A1794" s="5" t="n"/>
      <c r="B1794" s="6" t="n"/>
      <c r="C1794" s="5" t="n"/>
      <c r="D1794" s="6" t="n"/>
      <c r="E1794" s="7" t="n"/>
      <c r="F1794" s="6" t="n"/>
      <c r="G1794" s="8">
        <f>IF(B1794="","",IFERROR(VLOOKUP(--B1794,'CATALOGO CECO'!$A$2:$H$550,2,FALSE),"CECO NO EXISTE"))</f>
        <v/>
      </c>
      <c r="H1794" s="8">
        <f>IF(B1794="","",IFERROR(VLOOKUP(--B1794,'CATALOGO CECO'!$A$2:$H$550,3,FALSE),""))</f>
        <v/>
      </c>
      <c r="I1794" s="8">
        <f>IF(B1794="","",IFERROR(VLOOKUP(--B1794,'CATALOGO CECO'!$A$2:$H$550,5,FALSE),""))</f>
        <v/>
      </c>
      <c r="J1794" s="8">
        <f>IF(B1794="","",IFERROR(VLOOKUP(--B1794,'CATALOGO CECO'!$A$2:$H$550,8,FALSE),""))</f>
        <v/>
      </c>
      <c r="K1794" s="8">
        <f>IF(COUNTA(A1794:F1794)=0,"",IF(OR(LEN(A1794)&lt;&gt;7,MID(A1794,5,1)&lt;&gt;"-",ISERROR(--LEFT(A1794,4)),ISERROR(--RIGHT(A1794,2))),"ERROR: PERIODO debe ser AAAA-MM",IF(B1794="","ERROR: falta CODIGO CECO",IF(G1794="CECO NO EXISTE","ERROR: CECO no existe en el catálogo",IF(C1794="","ERROR: falta CUENTA",IF(ISERROR(--C1794),"ERROR: CUENTA debe tener solo dígitos",IF(ISERROR(FIND(LEFT(C1794,1),"567")),"ERROR: CUENTA fuera de las clases de costo",IF(NOT(ISNUMBER(E1794)),"ERROR: VALOR debe ser numérico",IF(E1794=0,"AVISO: valor cero (no se carga)",IF(J1794&lt;&gt;"ACTIVO","NO SE CARGA: CECO en estado "&amp;J1794,"OK"))))))))))</f>
        <v/>
      </c>
    </row>
    <row r="1795">
      <c r="A1795" s="5" t="n"/>
      <c r="B1795" s="6" t="n"/>
      <c r="C1795" s="5" t="n"/>
      <c r="D1795" s="6" t="n"/>
      <c r="E1795" s="7" t="n"/>
      <c r="F1795" s="6" t="n"/>
      <c r="G1795" s="8">
        <f>IF(B1795="","",IFERROR(VLOOKUP(--B1795,'CATALOGO CECO'!$A$2:$H$550,2,FALSE),"CECO NO EXISTE"))</f>
        <v/>
      </c>
      <c r="H1795" s="8">
        <f>IF(B1795="","",IFERROR(VLOOKUP(--B1795,'CATALOGO CECO'!$A$2:$H$550,3,FALSE),""))</f>
        <v/>
      </c>
      <c r="I1795" s="8">
        <f>IF(B1795="","",IFERROR(VLOOKUP(--B1795,'CATALOGO CECO'!$A$2:$H$550,5,FALSE),""))</f>
        <v/>
      </c>
      <c r="J1795" s="8">
        <f>IF(B1795="","",IFERROR(VLOOKUP(--B1795,'CATALOGO CECO'!$A$2:$H$550,8,FALSE),""))</f>
        <v/>
      </c>
      <c r="K1795" s="8">
        <f>IF(COUNTA(A1795:F1795)=0,"",IF(OR(LEN(A1795)&lt;&gt;7,MID(A1795,5,1)&lt;&gt;"-",ISERROR(--LEFT(A1795,4)),ISERROR(--RIGHT(A1795,2))),"ERROR: PERIODO debe ser AAAA-MM",IF(B1795="","ERROR: falta CODIGO CECO",IF(G1795="CECO NO EXISTE","ERROR: CECO no existe en el catálogo",IF(C1795="","ERROR: falta CUENTA",IF(ISERROR(--C1795),"ERROR: CUENTA debe tener solo dígitos",IF(ISERROR(FIND(LEFT(C1795,1),"567")),"ERROR: CUENTA fuera de las clases de costo",IF(NOT(ISNUMBER(E1795)),"ERROR: VALOR debe ser numérico",IF(E1795=0,"AVISO: valor cero (no se carga)",IF(J1795&lt;&gt;"ACTIVO","NO SE CARGA: CECO en estado "&amp;J1795,"OK"))))))))))</f>
        <v/>
      </c>
    </row>
    <row r="1796">
      <c r="A1796" s="5" t="n"/>
      <c r="B1796" s="6" t="n"/>
      <c r="C1796" s="5" t="n"/>
      <c r="D1796" s="6" t="n"/>
      <c r="E1796" s="7" t="n"/>
      <c r="F1796" s="6" t="n"/>
      <c r="G1796" s="8">
        <f>IF(B1796="","",IFERROR(VLOOKUP(--B1796,'CATALOGO CECO'!$A$2:$H$550,2,FALSE),"CECO NO EXISTE"))</f>
        <v/>
      </c>
      <c r="H1796" s="8">
        <f>IF(B1796="","",IFERROR(VLOOKUP(--B1796,'CATALOGO CECO'!$A$2:$H$550,3,FALSE),""))</f>
        <v/>
      </c>
      <c r="I1796" s="8">
        <f>IF(B1796="","",IFERROR(VLOOKUP(--B1796,'CATALOGO CECO'!$A$2:$H$550,5,FALSE),""))</f>
        <v/>
      </c>
      <c r="J1796" s="8">
        <f>IF(B1796="","",IFERROR(VLOOKUP(--B1796,'CATALOGO CECO'!$A$2:$H$550,8,FALSE),""))</f>
        <v/>
      </c>
      <c r="K1796" s="8">
        <f>IF(COUNTA(A1796:F1796)=0,"",IF(OR(LEN(A1796)&lt;&gt;7,MID(A1796,5,1)&lt;&gt;"-",ISERROR(--LEFT(A1796,4)),ISERROR(--RIGHT(A1796,2))),"ERROR: PERIODO debe ser AAAA-MM",IF(B1796="","ERROR: falta CODIGO CECO",IF(G1796="CECO NO EXISTE","ERROR: CECO no existe en el catálogo",IF(C1796="","ERROR: falta CUENTA",IF(ISERROR(--C1796),"ERROR: CUENTA debe tener solo dígitos",IF(ISERROR(FIND(LEFT(C1796,1),"567")),"ERROR: CUENTA fuera de las clases de costo",IF(NOT(ISNUMBER(E1796)),"ERROR: VALOR debe ser numérico",IF(E1796=0,"AVISO: valor cero (no se carga)",IF(J1796&lt;&gt;"ACTIVO","NO SE CARGA: CECO en estado "&amp;J1796,"OK"))))))))))</f>
        <v/>
      </c>
    </row>
    <row r="1797">
      <c r="A1797" s="5" t="n"/>
      <c r="B1797" s="6" t="n"/>
      <c r="C1797" s="5" t="n"/>
      <c r="D1797" s="6" t="n"/>
      <c r="E1797" s="7" t="n"/>
      <c r="F1797" s="6" t="n"/>
      <c r="G1797" s="8">
        <f>IF(B1797="","",IFERROR(VLOOKUP(--B1797,'CATALOGO CECO'!$A$2:$H$550,2,FALSE),"CECO NO EXISTE"))</f>
        <v/>
      </c>
      <c r="H1797" s="8">
        <f>IF(B1797="","",IFERROR(VLOOKUP(--B1797,'CATALOGO CECO'!$A$2:$H$550,3,FALSE),""))</f>
        <v/>
      </c>
      <c r="I1797" s="8">
        <f>IF(B1797="","",IFERROR(VLOOKUP(--B1797,'CATALOGO CECO'!$A$2:$H$550,5,FALSE),""))</f>
        <v/>
      </c>
      <c r="J1797" s="8">
        <f>IF(B1797="","",IFERROR(VLOOKUP(--B1797,'CATALOGO CECO'!$A$2:$H$550,8,FALSE),""))</f>
        <v/>
      </c>
      <c r="K1797" s="8">
        <f>IF(COUNTA(A1797:F1797)=0,"",IF(OR(LEN(A1797)&lt;&gt;7,MID(A1797,5,1)&lt;&gt;"-",ISERROR(--LEFT(A1797,4)),ISERROR(--RIGHT(A1797,2))),"ERROR: PERIODO debe ser AAAA-MM",IF(B1797="","ERROR: falta CODIGO CECO",IF(G1797="CECO NO EXISTE","ERROR: CECO no existe en el catálogo",IF(C1797="","ERROR: falta CUENTA",IF(ISERROR(--C1797),"ERROR: CUENTA debe tener solo dígitos",IF(ISERROR(FIND(LEFT(C1797,1),"567")),"ERROR: CUENTA fuera de las clases de costo",IF(NOT(ISNUMBER(E1797)),"ERROR: VALOR debe ser numérico",IF(E1797=0,"AVISO: valor cero (no se carga)",IF(J1797&lt;&gt;"ACTIVO","NO SE CARGA: CECO en estado "&amp;J1797,"OK"))))))))))</f>
        <v/>
      </c>
    </row>
    <row r="1798">
      <c r="A1798" s="5" t="n"/>
      <c r="B1798" s="6" t="n"/>
      <c r="C1798" s="5" t="n"/>
      <c r="D1798" s="6" t="n"/>
      <c r="E1798" s="7" t="n"/>
      <c r="F1798" s="6" t="n"/>
      <c r="G1798" s="8">
        <f>IF(B1798="","",IFERROR(VLOOKUP(--B1798,'CATALOGO CECO'!$A$2:$H$550,2,FALSE),"CECO NO EXISTE"))</f>
        <v/>
      </c>
      <c r="H1798" s="8">
        <f>IF(B1798="","",IFERROR(VLOOKUP(--B1798,'CATALOGO CECO'!$A$2:$H$550,3,FALSE),""))</f>
        <v/>
      </c>
      <c r="I1798" s="8">
        <f>IF(B1798="","",IFERROR(VLOOKUP(--B1798,'CATALOGO CECO'!$A$2:$H$550,5,FALSE),""))</f>
        <v/>
      </c>
      <c r="J1798" s="8">
        <f>IF(B1798="","",IFERROR(VLOOKUP(--B1798,'CATALOGO CECO'!$A$2:$H$550,8,FALSE),""))</f>
        <v/>
      </c>
      <c r="K1798" s="8">
        <f>IF(COUNTA(A1798:F1798)=0,"",IF(OR(LEN(A1798)&lt;&gt;7,MID(A1798,5,1)&lt;&gt;"-",ISERROR(--LEFT(A1798,4)),ISERROR(--RIGHT(A1798,2))),"ERROR: PERIODO debe ser AAAA-MM",IF(B1798="","ERROR: falta CODIGO CECO",IF(G1798="CECO NO EXISTE","ERROR: CECO no existe en el catálogo",IF(C1798="","ERROR: falta CUENTA",IF(ISERROR(--C1798),"ERROR: CUENTA debe tener solo dígitos",IF(ISERROR(FIND(LEFT(C1798,1),"567")),"ERROR: CUENTA fuera de las clases de costo",IF(NOT(ISNUMBER(E1798)),"ERROR: VALOR debe ser numérico",IF(E1798=0,"AVISO: valor cero (no se carga)",IF(J1798&lt;&gt;"ACTIVO","NO SE CARGA: CECO en estado "&amp;J1798,"OK"))))))))))</f>
        <v/>
      </c>
    </row>
    <row r="1799">
      <c r="A1799" s="5" t="n"/>
      <c r="B1799" s="6" t="n"/>
      <c r="C1799" s="5" t="n"/>
      <c r="D1799" s="6" t="n"/>
      <c r="E1799" s="7" t="n"/>
      <c r="F1799" s="6" t="n"/>
      <c r="G1799" s="8">
        <f>IF(B1799="","",IFERROR(VLOOKUP(--B1799,'CATALOGO CECO'!$A$2:$H$550,2,FALSE),"CECO NO EXISTE"))</f>
        <v/>
      </c>
      <c r="H1799" s="8">
        <f>IF(B1799="","",IFERROR(VLOOKUP(--B1799,'CATALOGO CECO'!$A$2:$H$550,3,FALSE),""))</f>
        <v/>
      </c>
      <c r="I1799" s="8">
        <f>IF(B1799="","",IFERROR(VLOOKUP(--B1799,'CATALOGO CECO'!$A$2:$H$550,5,FALSE),""))</f>
        <v/>
      </c>
      <c r="J1799" s="8">
        <f>IF(B1799="","",IFERROR(VLOOKUP(--B1799,'CATALOGO CECO'!$A$2:$H$550,8,FALSE),""))</f>
        <v/>
      </c>
      <c r="K1799" s="8">
        <f>IF(COUNTA(A1799:F1799)=0,"",IF(OR(LEN(A1799)&lt;&gt;7,MID(A1799,5,1)&lt;&gt;"-",ISERROR(--LEFT(A1799,4)),ISERROR(--RIGHT(A1799,2))),"ERROR: PERIODO debe ser AAAA-MM",IF(B1799="","ERROR: falta CODIGO CECO",IF(G1799="CECO NO EXISTE","ERROR: CECO no existe en el catálogo",IF(C1799="","ERROR: falta CUENTA",IF(ISERROR(--C1799),"ERROR: CUENTA debe tener solo dígitos",IF(ISERROR(FIND(LEFT(C1799,1),"567")),"ERROR: CUENTA fuera de las clases de costo",IF(NOT(ISNUMBER(E1799)),"ERROR: VALOR debe ser numérico",IF(E1799=0,"AVISO: valor cero (no se carga)",IF(J1799&lt;&gt;"ACTIVO","NO SE CARGA: CECO en estado "&amp;J1799,"OK"))))))))))</f>
        <v/>
      </c>
    </row>
    <row r="1800">
      <c r="A1800" s="5" t="n"/>
      <c r="B1800" s="6" t="n"/>
      <c r="C1800" s="5" t="n"/>
      <c r="D1800" s="6" t="n"/>
      <c r="E1800" s="7" t="n"/>
      <c r="F1800" s="6" t="n"/>
      <c r="G1800" s="8">
        <f>IF(B1800="","",IFERROR(VLOOKUP(--B1800,'CATALOGO CECO'!$A$2:$H$550,2,FALSE),"CECO NO EXISTE"))</f>
        <v/>
      </c>
      <c r="H1800" s="8">
        <f>IF(B1800="","",IFERROR(VLOOKUP(--B1800,'CATALOGO CECO'!$A$2:$H$550,3,FALSE),""))</f>
        <v/>
      </c>
      <c r="I1800" s="8">
        <f>IF(B1800="","",IFERROR(VLOOKUP(--B1800,'CATALOGO CECO'!$A$2:$H$550,5,FALSE),""))</f>
        <v/>
      </c>
      <c r="J1800" s="8">
        <f>IF(B1800="","",IFERROR(VLOOKUP(--B1800,'CATALOGO CECO'!$A$2:$H$550,8,FALSE),""))</f>
        <v/>
      </c>
      <c r="K1800" s="8">
        <f>IF(COUNTA(A1800:F1800)=0,"",IF(OR(LEN(A1800)&lt;&gt;7,MID(A1800,5,1)&lt;&gt;"-",ISERROR(--LEFT(A1800,4)),ISERROR(--RIGHT(A1800,2))),"ERROR: PERIODO debe ser AAAA-MM",IF(B1800="","ERROR: falta CODIGO CECO",IF(G1800="CECO NO EXISTE","ERROR: CECO no existe en el catálogo",IF(C1800="","ERROR: falta CUENTA",IF(ISERROR(--C1800),"ERROR: CUENTA debe tener solo dígitos",IF(ISERROR(FIND(LEFT(C1800,1),"567")),"ERROR: CUENTA fuera de las clases de costo",IF(NOT(ISNUMBER(E1800)),"ERROR: VALOR debe ser numérico",IF(E1800=0,"AVISO: valor cero (no se carga)",IF(J1800&lt;&gt;"ACTIVO","NO SE CARGA: CECO en estado "&amp;J1800,"OK"))))))))))</f>
        <v/>
      </c>
    </row>
    <row r="1801">
      <c r="A1801" s="5" t="n"/>
      <c r="B1801" s="6" t="n"/>
      <c r="C1801" s="5" t="n"/>
      <c r="D1801" s="6" t="n"/>
      <c r="E1801" s="7" t="n"/>
      <c r="F1801" s="6" t="n"/>
      <c r="G1801" s="8">
        <f>IF(B1801="","",IFERROR(VLOOKUP(--B1801,'CATALOGO CECO'!$A$2:$H$550,2,FALSE),"CECO NO EXISTE"))</f>
        <v/>
      </c>
      <c r="H1801" s="8">
        <f>IF(B1801="","",IFERROR(VLOOKUP(--B1801,'CATALOGO CECO'!$A$2:$H$550,3,FALSE),""))</f>
        <v/>
      </c>
      <c r="I1801" s="8">
        <f>IF(B1801="","",IFERROR(VLOOKUP(--B1801,'CATALOGO CECO'!$A$2:$H$550,5,FALSE),""))</f>
        <v/>
      </c>
      <c r="J1801" s="8">
        <f>IF(B1801="","",IFERROR(VLOOKUP(--B1801,'CATALOGO CECO'!$A$2:$H$550,8,FALSE),""))</f>
        <v/>
      </c>
      <c r="K1801" s="8">
        <f>IF(COUNTA(A1801:F1801)=0,"",IF(OR(LEN(A1801)&lt;&gt;7,MID(A1801,5,1)&lt;&gt;"-",ISERROR(--LEFT(A1801,4)),ISERROR(--RIGHT(A1801,2))),"ERROR: PERIODO debe ser AAAA-MM",IF(B1801="","ERROR: falta CODIGO CECO",IF(G1801="CECO NO EXISTE","ERROR: CECO no existe en el catálogo",IF(C1801="","ERROR: falta CUENTA",IF(ISERROR(--C1801),"ERROR: CUENTA debe tener solo dígitos",IF(ISERROR(FIND(LEFT(C1801,1),"567")),"ERROR: CUENTA fuera de las clases de costo",IF(NOT(ISNUMBER(E1801)),"ERROR: VALOR debe ser numérico",IF(E1801=0,"AVISO: valor cero (no se carga)",IF(J1801&lt;&gt;"ACTIVO","NO SE CARGA: CECO en estado "&amp;J1801,"OK"))))))))))</f>
        <v/>
      </c>
    </row>
    <row r="1802">
      <c r="A1802" s="5" t="n"/>
      <c r="B1802" s="6" t="n"/>
      <c r="C1802" s="5" t="n"/>
      <c r="D1802" s="6" t="n"/>
      <c r="E1802" s="7" t="n"/>
      <c r="F1802" s="6" t="n"/>
      <c r="G1802" s="8">
        <f>IF(B1802="","",IFERROR(VLOOKUP(--B1802,'CATALOGO CECO'!$A$2:$H$550,2,FALSE),"CECO NO EXISTE"))</f>
        <v/>
      </c>
      <c r="H1802" s="8">
        <f>IF(B1802="","",IFERROR(VLOOKUP(--B1802,'CATALOGO CECO'!$A$2:$H$550,3,FALSE),""))</f>
        <v/>
      </c>
      <c r="I1802" s="8">
        <f>IF(B1802="","",IFERROR(VLOOKUP(--B1802,'CATALOGO CECO'!$A$2:$H$550,5,FALSE),""))</f>
        <v/>
      </c>
      <c r="J1802" s="8">
        <f>IF(B1802="","",IFERROR(VLOOKUP(--B1802,'CATALOGO CECO'!$A$2:$H$550,8,FALSE),""))</f>
        <v/>
      </c>
      <c r="K1802" s="8">
        <f>IF(COUNTA(A1802:F1802)=0,"",IF(OR(LEN(A1802)&lt;&gt;7,MID(A1802,5,1)&lt;&gt;"-",ISERROR(--LEFT(A1802,4)),ISERROR(--RIGHT(A1802,2))),"ERROR: PERIODO debe ser AAAA-MM",IF(B1802="","ERROR: falta CODIGO CECO",IF(G1802="CECO NO EXISTE","ERROR: CECO no existe en el catálogo",IF(C1802="","ERROR: falta CUENTA",IF(ISERROR(--C1802),"ERROR: CUENTA debe tener solo dígitos",IF(ISERROR(FIND(LEFT(C1802,1),"567")),"ERROR: CUENTA fuera de las clases de costo",IF(NOT(ISNUMBER(E1802)),"ERROR: VALOR debe ser numérico",IF(E1802=0,"AVISO: valor cero (no se carga)",IF(J1802&lt;&gt;"ACTIVO","NO SE CARGA: CECO en estado "&amp;J1802,"OK"))))))))))</f>
        <v/>
      </c>
    </row>
    <row r="1803">
      <c r="A1803" s="5" t="n"/>
      <c r="B1803" s="6" t="n"/>
      <c r="C1803" s="5" t="n"/>
      <c r="D1803" s="6" t="n"/>
      <c r="E1803" s="7" t="n"/>
      <c r="F1803" s="6" t="n"/>
      <c r="G1803" s="8">
        <f>IF(B1803="","",IFERROR(VLOOKUP(--B1803,'CATALOGO CECO'!$A$2:$H$550,2,FALSE),"CECO NO EXISTE"))</f>
        <v/>
      </c>
      <c r="H1803" s="8">
        <f>IF(B1803="","",IFERROR(VLOOKUP(--B1803,'CATALOGO CECO'!$A$2:$H$550,3,FALSE),""))</f>
        <v/>
      </c>
      <c r="I1803" s="8">
        <f>IF(B1803="","",IFERROR(VLOOKUP(--B1803,'CATALOGO CECO'!$A$2:$H$550,5,FALSE),""))</f>
        <v/>
      </c>
      <c r="J1803" s="8">
        <f>IF(B1803="","",IFERROR(VLOOKUP(--B1803,'CATALOGO CECO'!$A$2:$H$550,8,FALSE),""))</f>
        <v/>
      </c>
      <c r="K1803" s="8">
        <f>IF(COUNTA(A1803:F1803)=0,"",IF(OR(LEN(A1803)&lt;&gt;7,MID(A1803,5,1)&lt;&gt;"-",ISERROR(--LEFT(A1803,4)),ISERROR(--RIGHT(A1803,2))),"ERROR: PERIODO debe ser AAAA-MM",IF(B1803="","ERROR: falta CODIGO CECO",IF(G1803="CECO NO EXISTE","ERROR: CECO no existe en el catálogo",IF(C1803="","ERROR: falta CUENTA",IF(ISERROR(--C1803),"ERROR: CUENTA debe tener solo dígitos",IF(ISERROR(FIND(LEFT(C1803,1),"567")),"ERROR: CUENTA fuera de las clases de costo",IF(NOT(ISNUMBER(E1803)),"ERROR: VALOR debe ser numérico",IF(E1803=0,"AVISO: valor cero (no se carga)",IF(J1803&lt;&gt;"ACTIVO","NO SE CARGA: CECO en estado "&amp;J1803,"OK"))))))))))</f>
        <v/>
      </c>
    </row>
    <row r="1804">
      <c r="A1804" s="5" t="n"/>
      <c r="B1804" s="6" t="n"/>
      <c r="C1804" s="5" t="n"/>
      <c r="D1804" s="6" t="n"/>
      <c r="E1804" s="7" t="n"/>
      <c r="F1804" s="6" t="n"/>
      <c r="G1804" s="8">
        <f>IF(B1804="","",IFERROR(VLOOKUP(--B1804,'CATALOGO CECO'!$A$2:$H$550,2,FALSE),"CECO NO EXISTE"))</f>
        <v/>
      </c>
      <c r="H1804" s="8">
        <f>IF(B1804="","",IFERROR(VLOOKUP(--B1804,'CATALOGO CECO'!$A$2:$H$550,3,FALSE),""))</f>
        <v/>
      </c>
      <c r="I1804" s="8">
        <f>IF(B1804="","",IFERROR(VLOOKUP(--B1804,'CATALOGO CECO'!$A$2:$H$550,5,FALSE),""))</f>
        <v/>
      </c>
      <c r="J1804" s="8">
        <f>IF(B1804="","",IFERROR(VLOOKUP(--B1804,'CATALOGO CECO'!$A$2:$H$550,8,FALSE),""))</f>
        <v/>
      </c>
      <c r="K1804" s="8">
        <f>IF(COUNTA(A1804:F1804)=0,"",IF(OR(LEN(A1804)&lt;&gt;7,MID(A1804,5,1)&lt;&gt;"-",ISERROR(--LEFT(A1804,4)),ISERROR(--RIGHT(A1804,2))),"ERROR: PERIODO debe ser AAAA-MM",IF(B1804="","ERROR: falta CODIGO CECO",IF(G1804="CECO NO EXISTE","ERROR: CECO no existe en el catálogo",IF(C1804="","ERROR: falta CUENTA",IF(ISERROR(--C1804),"ERROR: CUENTA debe tener solo dígitos",IF(ISERROR(FIND(LEFT(C1804,1),"567")),"ERROR: CUENTA fuera de las clases de costo",IF(NOT(ISNUMBER(E1804)),"ERROR: VALOR debe ser numérico",IF(E1804=0,"AVISO: valor cero (no se carga)",IF(J1804&lt;&gt;"ACTIVO","NO SE CARGA: CECO en estado "&amp;J1804,"OK"))))))))))</f>
        <v/>
      </c>
    </row>
    <row r="1805">
      <c r="A1805" s="5" t="n"/>
      <c r="B1805" s="6" t="n"/>
      <c r="C1805" s="5" t="n"/>
      <c r="D1805" s="6" t="n"/>
      <c r="E1805" s="7" t="n"/>
      <c r="F1805" s="6" t="n"/>
      <c r="G1805" s="8">
        <f>IF(B1805="","",IFERROR(VLOOKUP(--B1805,'CATALOGO CECO'!$A$2:$H$550,2,FALSE),"CECO NO EXISTE"))</f>
        <v/>
      </c>
      <c r="H1805" s="8">
        <f>IF(B1805="","",IFERROR(VLOOKUP(--B1805,'CATALOGO CECO'!$A$2:$H$550,3,FALSE),""))</f>
        <v/>
      </c>
      <c r="I1805" s="8">
        <f>IF(B1805="","",IFERROR(VLOOKUP(--B1805,'CATALOGO CECO'!$A$2:$H$550,5,FALSE),""))</f>
        <v/>
      </c>
      <c r="J1805" s="8">
        <f>IF(B1805="","",IFERROR(VLOOKUP(--B1805,'CATALOGO CECO'!$A$2:$H$550,8,FALSE),""))</f>
        <v/>
      </c>
      <c r="K1805" s="8">
        <f>IF(COUNTA(A1805:F1805)=0,"",IF(OR(LEN(A1805)&lt;&gt;7,MID(A1805,5,1)&lt;&gt;"-",ISERROR(--LEFT(A1805,4)),ISERROR(--RIGHT(A1805,2))),"ERROR: PERIODO debe ser AAAA-MM",IF(B1805="","ERROR: falta CODIGO CECO",IF(G1805="CECO NO EXISTE","ERROR: CECO no existe en el catálogo",IF(C1805="","ERROR: falta CUENTA",IF(ISERROR(--C1805),"ERROR: CUENTA debe tener solo dígitos",IF(ISERROR(FIND(LEFT(C1805,1),"567")),"ERROR: CUENTA fuera de las clases de costo",IF(NOT(ISNUMBER(E1805)),"ERROR: VALOR debe ser numérico",IF(E1805=0,"AVISO: valor cero (no se carga)",IF(J1805&lt;&gt;"ACTIVO","NO SE CARGA: CECO en estado "&amp;J1805,"OK"))))))))))</f>
        <v/>
      </c>
    </row>
    <row r="1806">
      <c r="A1806" s="5" t="n"/>
      <c r="B1806" s="6" t="n"/>
      <c r="C1806" s="5" t="n"/>
      <c r="D1806" s="6" t="n"/>
      <c r="E1806" s="7" t="n"/>
      <c r="F1806" s="6" t="n"/>
      <c r="G1806" s="8">
        <f>IF(B1806="","",IFERROR(VLOOKUP(--B1806,'CATALOGO CECO'!$A$2:$H$550,2,FALSE),"CECO NO EXISTE"))</f>
        <v/>
      </c>
      <c r="H1806" s="8">
        <f>IF(B1806="","",IFERROR(VLOOKUP(--B1806,'CATALOGO CECO'!$A$2:$H$550,3,FALSE),""))</f>
        <v/>
      </c>
      <c r="I1806" s="8">
        <f>IF(B1806="","",IFERROR(VLOOKUP(--B1806,'CATALOGO CECO'!$A$2:$H$550,5,FALSE),""))</f>
        <v/>
      </c>
      <c r="J1806" s="8">
        <f>IF(B1806="","",IFERROR(VLOOKUP(--B1806,'CATALOGO CECO'!$A$2:$H$550,8,FALSE),""))</f>
        <v/>
      </c>
      <c r="K1806" s="8">
        <f>IF(COUNTA(A1806:F1806)=0,"",IF(OR(LEN(A1806)&lt;&gt;7,MID(A1806,5,1)&lt;&gt;"-",ISERROR(--LEFT(A1806,4)),ISERROR(--RIGHT(A1806,2))),"ERROR: PERIODO debe ser AAAA-MM",IF(B1806="","ERROR: falta CODIGO CECO",IF(G1806="CECO NO EXISTE","ERROR: CECO no existe en el catálogo",IF(C1806="","ERROR: falta CUENTA",IF(ISERROR(--C1806),"ERROR: CUENTA debe tener solo dígitos",IF(ISERROR(FIND(LEFT(C1806,1),"567")),"ERROR: CUENTA fuera de las clases de costo",IF(NOT(ISNUMBER(E1806)),"ERROR: VALOR debe ser numérico",IF(E1806=0,"AVISO: valor cero (no se carga)",IF(J1806&lt;&gt;"ACTIVO","NO SE CARGA: CECO en estado "&amp;J1806,"OK"))))))))))</f>
        <v/>
      </c>
    </row>
    <row r="1807">
      <c r="A1807" s="5" t="n"/>
      <c r="B1807" s="6" t="n"/>
      <c r="C1807" s="5" t="n"/>
      <c r="D1807" s="6" t="n"/>
      <c r="E1807" s="7" t="n"/>
      <c r="F1807" s="6" t="n"/>
      <c r="G1807" s="8">
        <f>IF(B1807="","",IFERROR(VLOOKUP(--B1807,'CATALOGO CECO'!$A$2:$H$550,2,FALSE),"CECO NO EXISTE"))</f>
        <v/>
      </c>
      <c r="H1807" s="8">
        <f>IF(B1807="","",IFERROR(VLOOKUP(--B1807,'CATALOGO CECO'!$A$2:$H$550,3,FALSE),""))</f>
        <v/>
      </c>
      <c r="I1807" s="8">
        <f>IF(B1807="","",IFERROR(VLOOKUP(--B1807,'CATALOGO CECO'!$A$2:$H$550,5,FALSE),""))</f>
        <v/>
      </c>
      <c r="J1807" s="8">
        <f>IF(B1807="","",IFERROR(VLOOKUP(--B1807,'CATALOGO CECO'!$A$2:$H$550,8,FALSE),""))</f>
        <v/>
      </c>
      <c r="K1807" s="8">
        <f>IF(COUNTA(A1807:F1807)=0,"",IF(OR(LEN(A1807)&lt;&gt;7,MID(A1807,5,1)&lt;&gt;"-",ISERROR(--LEFT(A1807,4)),ISERROR(--RIGHT(A1807,2))),"ERROR: PERIODO debe ser AAAA-MM",IF(B1807="","ERROR: falta CODIGO CECO",IF(G1807="CECO NO EXISTE","ERROR: CECO no existe en el catálogo",IF(C1807="","ERROR: falta CUENTA",IF(ISERROR(--C1807),"ERROR: CUENTA debe tener solo dígitos",IF(ISERROR(FIND(LEFT(C1807,1),"567")),"ERROR: CUENTA fuera de las clases de costo",IF(NOT(ISNUMBER(E1807)),"ERROR: VALOR debe ser numérico",IF(E1807=0,"AVISO: valor cero (no se carga)",IF(J1807&lt;&gt;"ACTIVO","NO SE CARGA: CECO en estado "&amp;J1807,"OK"))))))))))</f>
        <v/>
      </c>
    </row>
    <row r="1808">
      <c r="A1808" s="5" t="n"/>
      <c r="B1808" s="6" t="n"/>
      <c r="C1808" s="5" t="n"/>
      <c r="D1808" s="6" t="n"/>
      <c r="E1808" s="7" t="n"/>
      <c r="F1808" s="6" t="n"/>
      <c r="G1808" s="8">
        <f>IF(B1808="","",IFERROR(VLOOKUP(--B1808,'CATALOGO CECO'!$A$2:$H$550,2,FALSE),"CECO NO EXISTE"))</f>
        <v/>
      </c>
      <c r="H1808" s="8">
        <f>IF(B1808="","",IFERROR(VLOOKUP(--B1808,'CATALOGO CECO'!$A$2:$H$550,3,FALSE),""))</f>
        <v/>
      </c>
      <c r="I1808" s="8">
        <f>IF(B1808="","",IFERROR(VLOOKUP(--B1808,'CATALOGO CECO'!$A$2:$H$550,5,FALSE),""))</f>
        <v/>
      </c>
      <c r="J1808" s="8">
        <f>IF(B1808="","",IFERROR(VLOOKUP(--B1808,'CATALOGO CECO'!$A$2:$H$550,8,FALSE),""))</f>
        <v/>
      </c>
      <c r="K1808" s="8">
        <f>IF(COUNTA(A1808:F1808)=0,"",IF(OR(LEN(A1808)&lt;&gt;7,MID(A1808,5,1)&lt;&gt;"-",ISERROR(--LEFT(A1808,4)),ISERROR(--RIGHT(A1808,2))),"ERROR: PERIODO debe ser AAAA-MM",IF(B1808="","ERROR: falta CODIGO CECO",IF(G1808="CECO NO EXISTE","ERROR: CECO no existe en el catálogo",IF(C1808="","ERROR: falta CUENTA",IF(ISERROR(--C1808),"ERROR: CUENTA debe tener solo dígitos",IF(ISERROR(FIND(LEFT(C1808,1),"567")),"ERROR: CUENTA fuera de las clases de costo",IF(NOT(ISNUMBER(E1808)),"ERROR: VALOR debe ser numérico",IF(E1808=0,"AVISO: valor cero (no se carga)",IF(J1808&lt;&gt;"ACTIVO","NO SE CARGA: CECO en estado "&amp;J1808,"OK"))))))))))</f>
        <v/>
      </c>
    </row>
    <row r="1809">
      <c r="A1809" s="5" t="n"/>
      <c r="B1809" s="6" t="n"/>
      <c r="C1809" s="5" t="n"/>
      <c r="D1809" s="6" t="n"/>
      <c r="E1809" s="7" t="n"/>
      <c r="F1809" s="6" t="n"/>
      <c r="G1809" s="8">
        <f>IF(B1809="","",IFERROR(VLOOKUP(--B1809,'CATALOGO CECO'!$A$2:$H$550,2,FALSE),"CECO NO EXISTE"))</f>
        <v/>
      </c>
      <c r="H1809" s="8">
        <f>IF(B1809="","",IFERROR(VLOOKUP(--B1809,'CATALOGO CECO'!$A$2:$H$550,3,FALSE),""))</f>
        <v/>
      </c>
      <c r="I1809" s="8">
        <f>IF(B1809="","",IFERROR(VLOOKUP(--B1809,'CATALOGO CECO'!$A$2:$H$550,5,FALSE),""))</f>
        <v/>
      </c>
      <c r="J1809" s="8">
        <f>IF(B1809="","",IFERROR(VLOOKUP(--B1809,'CATALOGO CECO'!$A$2:$H$550,8,FALSE),""))</f>
        <v/>
      </c>
      <c r="K1809" s="8">
        <f>IF(COUNTA(A1809:F1809)=0,"",IF(OR(LEN(A1809)&lt;&gt;7,MID(A1809,5,1)&lt;&gt;"-",ISERROR(--LEFT(A1809,4)),ISERROR(--RIGHT(A1809,2))),"ERROR: PERIODO debe ser AAAA-MM",IF(B1809="","ERROR: falta CODIGO CECO",IF(G1809="CECO NO EXISTE","ERROR: CECO no existe en el catálogo",IF(C1809="","ERROR: falta CUENTA",IF(ISERROR(--C1809),"ERROR: CUENTA debe tener solo dígitos",IF(ISERROR(FIND(LEFT(C1809,1),"567")),"ERROR: CUENTA fuera de las clases de costo",IF(NOT(ISNUMBER(E1809)),"ERROR: VALOR debe ser numérico",IF(E1809=0,"AVISO: valor cero (no se carga)",IF(J1809&lt;&gt;"ACTIVO","NO SE CARGA: CECO en estado "&amp;J1809,"OK"))))))))))</f>
        <v/>
      </c>
    </row>
    <row r="1810">
      <c r="A1810" s="5" t="n"/>
      <c r="B1810" s="6" t="n"/>
      <c r="C1810" s="5" t="n"/>
      <c r="D1810" s="6" t="n"/>
      <c r="E1810" s="7" t="n"/>
      <c r="F1810" s="6" t="n"/>
      <c r="G1810" s="8">
        <f>IF(B1810="","",IFERROR(VLOOKUP(--B1810,'CATALOGO CECO'!$A$2:$H$550,2,FALSE),"CECO NO EXISTE"))</f>
        <v/>
      </c>
      <c r="H1810" s="8">
        <f>IF(B1810="","",IFERROR(VLOOKUP(--B1810,'CATALOGO CECO'!$A$2:$H$550,3,FALSE),""))</f>
        <v/>
      </c>
      <c r="I1810" s="8">
        <f>IF(B1810="","",IFERROR(VLOOKUP(--B1810,'CATALOGO CECO'!$A$2:$H$550,5,FALSE),""))</f>
        <v/>
      </c>
      <c r="J1810" s="8">
        <f>IF(B1810="","",IFERROR(VLOOKUP(--B1810,'CATALOGO CECO'!$A$2:$H$550,8,FALSE),""))</f>
        <v/>
      </c>
      <c r="K1810" s="8">
        <f>IF(COUNTA(A1810:F1810)=0,"",IF(OR(LEN(A1810)&lt;&gt;7,MID(A1810,5,1)&lt;&gt;"-",ISERROR(--LEFT(A1810,4)),ISERROR(--RIGHT(A1810,2))),"ERROR: PERIODO debe ser AAAA-MM",IF(B1810="","ERROR: falta CODIGO CECO",IF(G1810="CECO NO EXISTE","ERROR: CECO no existe en el catálogo",IF(C1810="","ERROR: falta CUENTA",IF(ISERROR(--C1810),"ERROR: CUENTA debe tener solo dígitos",IF(ISERROR(FIND(LEFT(C1810,1),"567")),"ERROR: CUENTA fuera de las clases de costo",IF(NOT(ISNUMBER(E1810)),"ERROR: VALOR debe ser numérico",IF(E1810=0,"AVISO: valor cero (no se carga)",IF(J1810&lt;&gt;"ACTIVO","NO SE CARGA: CECO en estado "&amp;J1810,"OK"))))))))))</f>
        <v/>
      </c>
    </row>
    <row r="1811">
      <c r="A1811" s="5" t="n"/>
      <c r="B1811" s="6" t="n"/>
      <c r="C1811" s="5" t="n"/>
      <c r="D1811" s="6" t="n"/>
      <c r="E1811" s="7" t="n"/>
      <c r="F1811" s="6" t="n"/>
      <c r="G1811" s="8">
        <f>IF(B1811="","",IFERROR(VLOOKUP(--B1811,'CATALOGO CECO'!$A$2:$H$550,2,FALSE),"CECO NO EXISTE"))</f>
        <v/>
      </c>
      <c r="H1811" s="8">
        <f>IF(B1811="","",IFERROR(VLOOKUP(--B1811,'CATALOGO CECO'!$A$2:$H$550,3,FALSE),""))</f>
        <v/>
      </c>
      <c r="I1811" s="8">
        <f>IF(B1811="","",IFERROR(VLOOKUP(--B1811,'CATALOGO CECO'!$A$2:$H$550,5,FALSE),""))</f>
        <v/>
      </c>
      <c r="J1811" s="8">
        <f>IF(B1811="","",IFERROR(VLOOKUP(--B1811,'CATALOGO CECO'!$A$2:$H$550,8,FALSE),""))</f>
        <v/>
      </c>
      <c r="K1811" s="8">
        <f>IF(COUNTA(A1811:F1811)=0,"",IF(OR(LEN(A1811)&lt;&gt;7,MID(A1811,5,1)&lt;&gt;"-",ISERROR(--LEFT(A1811,4)),ISERROR(--RIGHT(A1811,2))),"ERROR: PERIODO debe ser AAAA-MM",IF(B1811="","ERROR: falta CODIGO CECO",IF(G1811="CECO NO EXISTE","ERROR: CECO no existe en el catálogo",IF(C1811="","ERROR: falta CUENTA",IF(ISERROR(--C1811),"ERROR: CUENTA debe tener solo dígitos",IF(ISERROR(FIND(LEFT(C1811,1),"567")),"ERROR: CUENTA fuera de las clases de costo",IF(NOT(ISNUMBER(E1811)),"ERROR: VALOR debe ser numérico",IF(E1811=0,"AVISO: valor cero (no se carga)",IF(J1811&lt;&gt;"ACTIVO","NO SE CARGA: CECO en estado "&amp;J1811,"OK"))))))))))</f>
        <v/>
      </c>
    </row>
    <row r="1812">
      <c r="A1812" s="5" t="n"/>
      <c r="B1812" s="6" t="n"/>
      <c r="C1812" s="5" t="n"/>
      <c r="D1812" s="6" t="n"/>
      <c r="E1812" s="7" t="n"/>
      <c r="F1812" s="6" t="n"/>
      <c r="G1812" s="8">
        <f>IF(B1812="","",IFERROR(VLOOKUP(--B1812,'CATALOGO CECO'!$A$2:$H$550,2,FALSE),"CECO NO EXISTE"))</f>
        <v/>
      </c>
      <c r="H1812" s="8">
        <f>IF(B1812="","",IFERROR(VLOOKUP(--B1812,'CATALOGO CECO'!$A$2:$H$550,3,FALSE),""))</f>
        <v/>
      </c>
      <c r="I1812" s="8">
        <f>IF(B1812="","",IFERROR(VLOOKUP(--B1812,'CATALOGO CECO'!$A$2:$H$550,5,FALSE),""))</f>
        <v/>
      </c>
      <c r="J1812" s="8">
        <f>IF(B1812="","",IFERROR(VLOOKUP(--B1812,'CATALOGO CECO'!$A$2:$H$550,8,FALSE),""))</f>
        <v/>
      </c>
      <c r="K1812" s="8">
        <f>IF(COUNTA(A1812:F1812)=0,"",IF(OR(LEN(A1812)&lt;&gt;7,MID(A1812,5,1)&lt;&gt;"-",ISERROR(--LEFT(A1812,4)),ISERROR(--RIGHT(A1812,2))),"ERROR: PERIODO debe ser AAAA-MM",IF(B1812="","ERROR: falta CODIGO CECO",IF(G1812="CECO NO EXISTE","ERROR: CECO no existe en el catálogo",IF(C1812="","ERROR: falta CUENTA",IF(ISERROR(--C1812),"ERROR: CUENTA debe tener solo dígitos",IF(ISERROR(FIND(LEFT(C1812,1),"567")),"ERROR: CUENTA fuera de las clases de costo",IF(NOT(ISNUMBER(E1812)),"ERROR: VALOR debe ser numérico",IF(E1812=0,"AVISO: valor cero (no se carga)",IF(J1812&lt;&gt;"ACTIVO","NO SE CARGA: CECO en estado "&amp;J1812,"OK"))))))))))</f>
        <v/>
      </c>
    </row>
    <row r="1813">
      <c r="A1813" s="5" t="n"/>
      <c r="B1813" s="6" t="n"/>
      <c r="C1813" s="5" t="n"/>
      <c r="D1813" s="6" t="n"/>
      <c r="E1813" s="7" t="n"/>
      <c r="F1813" s="6" t="n"/>
      <c r="G1813" s="8">
        <f>IF(B1813="","",IFERROR(VLOOKUP(--B1813,'CATALOGO CECO'!$A$2:$H$550,2,FALSE),"CECO NO EXISTE"))</f>
        <v/>
      </c>
      <c r="H1813" s="8">
        <f>IF(B1813="","",IFERROR(VLOOKUP(--B1813,'CATALOGO CECO'!$A$2:$H$550,3,FALSE),""))</f>
        <v/>
      </c>
      <c r="I1813" s="8">
        <f>IF(B1813="","",IFERROR(VLOOKUP(--B1813,'CATALOGO CECO'!$A$2:$H$550,5,FALSE),""))</f>
        <v/>
      </c>
      <c r="J1813" s="8">
        <f>IF(B1813="","",IFERROR(VLOOKUP(--B1813,'CATALOGO CECO'!$A$2:$H$550,8,FALSE),""))</f>
        <v/>
      </c>
      <c r="K1813" s="8">
        <f>IF(COUNTA(A1813:F1813)=0,"",IF(OR(LEN(A1813)&lt;&gt;7,MID(A1813,5,1)&lt;&gt;"-",ISERROR(--LEFT(A1813,4)),ISERROR(--RIGHT(A1813,2))),"ERROR: PERIODO debe ser AAAA-MM",IF(B1813="","ERROR: falta CODIGO CECO",IF(G1813="CECO NO EXISTE","ERROR: CECO no existe en el catálogo",IF(C1813="","ERROR: falta CUENTA",IF(ISERROR(--C1813),"ERROR: CUENTA debe tener solo dígitos",IF(ISERROR(FIND(LEFT(C1813,1),"567")),"ERROR: CUENTA fuera de las clases de costo",IF(NOT(ISNUMBER(E1813)),"ERROR: VALOR debe ser numérico",IF(E1813=0,"AVISO: valor cero (no se carga)",IF(J1813&lt;&gt;"ACTIVO","NO SE CARGA: CECO en estado "&amp;J1813,"OK"))))))))))</f>
        <v/>
      </c>
    </row>
    <row r="1814">
      <c r="A1814" s="5" t="n"/>
      <c r="B1814" s="6" t="n"/>
      <c r="C1814" s="5" t="n"/>
      <c r="D1814" s="6" t="n"/>
      <c r="E1814" s="7" t="n"/>
      <c r="F1814" s="6" t="n"/>
      <c r="G1814" s="8">
        <f>IF(B1814="","",IFERROR(VLOOKUP(--B1814,'CATALOGO CECO'!$A$2:$H$550,2,FALSE),"CECO NO EXISTE"))</f>
        <v/>
      </c>
      <c r="H1814" s="8">
        <f>IF(B1814="","",IFERROR(VLOOKUP(--B1814,'CATALOGO CECO'!$A$2:$H$550,3,FALSE),""))</f>
        <v/>
      </c>
      <c r="I1814" s="8">
        <f>IF(B1814="","",IFERROR(VLOOKUP(--B1814,'CATALOGO CECO'!$A$2:$H$550,5,FALSE),""))</f>
        <v/>
      </c>
      <c r="J1814" s="8">
        <f>IF(B1814="","",IFERROR(VLOOKUP(--B1814,'CATALOGO CECO'!$A$2:$H$550,8,FALSE),""))</f>
        <v/>
      </c>
      <c r="K1814" s="8">
        <f>IF(COUNTA(A1814:F1814)=0,"",IF(OR(LEN(A1814)&lt;&gt;7,MID(A1814,5,1)&lt;&gt;"-",ISERROR(--LEFT(A1814,4)),ISERROR(--RIGHT(A1814,2))),"ERROR: PERIODO debe ser AAAA-MM",IF(B1814="","ERROR: falta CODIGO CECO",IF(G1814="CECO NO EXISTE","ERROR: CECO no existe en el catálogo",IF(C1814="","ERROR: falta CUENTA",IF(ISERROR(--C1814),"ERROR: CUENTA debe tener solo dígitos",IF(ISERROR(FIND(LEFT(C1814,1),"567")),"ERROR: CUENTA fuera de las clases de costo",IF(NOT(ISNUMBER(E1814)),"ERROR: VALOR debe ser numérico",IF(E1814=0,"AVISO: valor cero (no se carga)",IF(J1814&lt;&gt;"ACTIVO","NO SE CARGA: CECO en estado "&amp;J1814,"OK"))))))))))</f>
        <v/>
      </c>
    </row>
    <row r="1815">
      <c r="A1815" s="5" t="n"/>
      <c r="B1815" s="6" t="n"/>
      <c r="C1815" s="5" t="n"/>
      <c r="D1815" s="6" t="n"/>
      <c r="E1815" s="7" t="n"/>
      <c r="F1815" s="6" t="n"/>
      <c r="G1815" s="8">
        <f>IF(B1815="","",IFERROR(VLOOKUP(--B1815,'CATALOGO CECO'!$A$2:$H$550,2,FALSE),"CECO NO EXISTE"))</f>
        <v/>
      </c>
      <c r="H1815" s="8">
        <f>IF(B1815="","",IFERROR(VLOOKUP(--B1815,'CATALOGO CECO'!$A$2:$H$550,3,FALSE),""))</f>
        <v/>
      </c>
      <c r="I1815" s="8">
        <f>IF(B1815="","",IFERROR(VLOOKUP(--B1815,'CATALOGO CECO'!$A$2:$H$550,5,FALSE),""))</f>
        <v/>
      </c>
      <c r="J1815" s="8">
        <f>IF(B1815="","",IFERROR(VLOOKUP(--B1815,'CATALOGO CECO'!$A$2:$H$550,8,FALSE),""))</f>
        <v/>
      </c>
      <c r="K1815" s="8">
        <f>IF(COUNTA(A1815:F1815)=0,"",IF(OR(LEN(A1815)&lt;&gt;7,MID(A1815,5,1)&lt;&gt;"-",ISERROR(--LEFT(A1815,4)),ISERROR(--RIGHT(A1815,2))),"ERROR: PERIODO debe ser AAAA-MM",IF(B1815="","ERROR: falta CODIGO CECO",IF(G1815="CECO NO EXISTE","ERROR: CECO no existe en el catálogo",IF(C1815="","ERROR: falta CUENTA",IF(ISERROR(--C1815),"ERROR: CUENTA debe tener solo dígitos",IF(ISERROR(FIND(LEFT(C1815,1),"567")),"ERROR: CUENTA fuera de las clases de costo",IF(NOT(ISNUMBER(E1815)),"ERROR: VALOR debe ser numérico",IF(E1815=0,"AVISO: valor cero (no se carga)",IF(J1815&lt;&gt;"ACTIVO","NO SE CARGA: CECO en estado "&amp;J1815,"OK"))))))))))</f>
        <v/>
      </c>
    </row>
    <row r="1816">
      <c r="A1816" s="5" t="n"/>
      <c r="B1816" s="6" t="n"/>
      <c r="C1816" s="5" t="n"/>
      <c r="D1816" s="6" t="n"/>
      <c r="E1816" s="7" t="n"/>
      <c r="F1816" s="6" t="n"/>
      <c r="G1816" s="8">
        <f>IF(B1816="","",IFERROR(VLOOKUP(--B1816,'CATALOGO CECO'!$A$2:$H$550,2,FALSE),"CECO NO EXISTE"))</f>
        <v/>
      </c>
      <c r="H1816" s="8">
        <f>IF(B1816="","",IFERROR(VLOOKUP(--B1816,'CATALOGO CECO'!$A$2:$H$550,3,FALSE),""))</f>
        <v/>
      </c>
      <c r="I1816" s="8">
        <f>IF(B1816="","",IFERROR(VLOOKUP(--B1816,'CATALOGO CECO'!$A$2:$H$550,5,FALSE),""))</f>
        <v/>
      </c>
      <c r="J1816" s="8">
        <f>IF(B1816="","",IFERROR(VLOOKUP(--B1816,'CATALOGO CECO'!$A$2:$H$550,8,FALSE),""))</f>
        <v/>
      </c>
      <c r="K1816" s="8">
        <f>IF(COUNTA(A1816:F1816)=0,"",IF(OR(LEN(A1816)&lt;&gt;7,MID(A1816,5,1)&lt;&gt;"-",ISERROR(--LEFT(A1816,4)),ISERROR(--RIGHT(A1816,2))),"ERROR: PERIODO debe ser AAAA-MM",IF(B1816="","ERROR: falta CODIGO CECO",IF(G1816="CECO NO EXISTE","ERROR: CECO no existe en el catálogo",IF(C1816="","ERROR: falta CUENTA",IF(ISERROR(--C1816),"ERROR: CUENTA debe tener solo dígitos",IF(ISERROR(FIND(LEFT(C1816,1),"567")),"ERROR: CUENTA fuera de las clases de costo",IF(NOT(ISNUMBER(E1816)),"ERROR: VALOR debe ser numérico",IF(E1816=0,"AVISO: valor cero (no se carga)",IF(J1816&lt;&gt;"ACTIVO","NO SE CARGA: CECO en estado "&amp;J1816,"OK"))))))))))</f>
        <v/>
      </c>
    </row>
    <row r="1817">
      <c r="A1817" s="5" t="n"/>
      <c r="B1817" s="6" t="n"/>
      <c r="C1817" s="5" t="n"/>
      <c r="D1817" s="6" t="n"/>
      <c r="E1817" s="7" t="n"/>
      <c r="F1817" s="6" t="n"/>
      <c r="G1817" s="8">
        <f>IF(B1817="","",IFERROR(VLOOKUP(--B1817,'CATALOGO CECO'!$A$2:$H$550,2,FALSE),"CECO NO EXISTE"))</f>
        <v/>
      </c>
      <c r="H1817" s="8">
        <f>IF(B1817="","",IFERROR(VLOOKUP(--B1817,'CATALOGO CECO'!$A$2:$H$550,3,FALSE),""))</f>
        <v/>
      </c>
      <c r="I1817" s="8">
        <f>IF(B1817="","",IFERROR(VLOOKUP(--B1817,'CATALOGO CECO'!$A$2:$H$550,5,FALSE),""))</f>
        <v/>
      </c>
      <c r="J1817" s="8">
        <f>IF(B1817="","",IFERROR(VLOOKUP(--B1817,'CATALOGO CECO'!$A$2:$H$550,8,FALSE),""))</f>
        <v/>
      </c>
      <c r="K1817" s="8">
        <f>IF(COUNTA(A1817:F1817)=0,"",IF(OR(LEN(A1817)&lt;&gt;7,MID(A1817,5,1)&lt;&gt;"-",ISERROR(--LEFT(A1817,4)),ISERROR(--RIGHT(A1817,2))),"ERROR: PERIODO debe ser AAAA-MM",IF(B1817="","ERROR: falta CODIGO CECO",IF(G1817="CECO NO EXISTE","ERROR: CECO no existe en el catálogo",IF(C1817="","ERROR: falta CUENTA",IF(ISERROR(--C1817),"ERROR: CUENTA debe tener solo dígitos",IF(ISERROR(FIND(LEFT(C1817,1),"567")),"ERROR: CUENTA fuera de las clases de costo",IF(NOT(ISNUMBER(E1817)),"ERROR: VALOR debe ser numérico",IF(E1817=0,"AVISO: valor cero (no se carga)",IF(J1817&lt;&gt;"ACTIVO","NO SE CARGA: CECO en estado "&amp;J1817,"OK"))))))))))</f>
        <v/>
      </c>
    </row>
    <row r="1818">
      <c r="A1818" s="5" t="n"/>
      <c r="B1818" s="6" t="n"/>
      <c r="C1818" s="5" t="n"/>
      <c r="D1818" s="6" t="n"/>
      <c r="E1818" s="7" t="n"/>
      <c r="F1818" s="6" t="n"/>
      <c r="G1818" s="8">
        <f>IF(B1818="","",IFERROR(VLOOKUP(--B1818,'CATALOGO CECO'!$A$2:$H$550,2,FALSE),"CECO NO EXISTE"))</f>
        <v/>
      </c>
      <c r="H1818" s="8">
        <f>IF(B1818="","",IFERROR(VLOOKUP(--B1818,'CATALOGO CECO'!$A$2:$H$550,3,FALSE),""))</f>
        <v/>
      </c>
      <c r="I1818" s="8">
        <f>IF(B1818="","",IFERROR(VLOOKUP(--B1818,'CATALOGO CECO'!$A$2:$H$550,5,FALSE),""))</f>
        <v/>
      </c>
      <c r="J1818" s="8">
        <f>IF(B1818="","",IFERROR(VLOOKUP(--B1818,'CATALOGO CECO'!$A$2:$H$550,8,FALSE),""))</f>
        <v/>
      </c>
      <c r="K1818" s="8">
        <f>IF(COUNTA(A1818:F1818)=0,"",IF(OR(LEN(A1818)&lt;&gt;7,MID(A1818,5,1)&lt;&gt;"-",ISERROR(--LEFT(A1818,4)),ISERROR(--RIGHT(A1818,2))),"ERROR: PERIODO debe ser AAAA-MM",IF(B1818="","ERROR: falta CODIGO CECO",IF(G1818="CECO NO EXISTE","ERROR: CECO no existe en el catálogo",IF(C1818="","ERROR: falta CUENTA",IF(ISERROR(--C1818),"ERROR: CUENTA debe tener solo dígitos",IF(ISERROR(FIND(LEFT(C1818,1),"567")),"ERROR: CUENTA fuera de las clases de costo",IF(NOT(ISNUMBER(E1818)),"ERROR: VALOR debe ser numérico",IF(E1818=0,"AVISO: valor cero (no se carga)",IF(J1818&lt;&gt;"ACTIVO","NO SE CARGA: CECO en estado "&amp;J1818,"OK"))))))))))</f>
        <v/>
      </c>
    </row>
    <row r="1819">
      <c r="A1819" s="5" t="n"/>
      <c r="B1819" s="6" t="n"/>
      <c r="C1819" s="5" t="n"/>
      <c r="D1819" s="6" t="n"/>
      <c r="E1819" s="7" t="n"/>
      <c r="F1819" s="6" t="n"/>
      <c r="G1819" s="8">
        <f>IF(B1819="","",IFERROR(VLOOKUP(--B1819,'CATALOGO CECO'!$A$2:$H$550,2,FALSE),"CECO NO EXISTE"))</f>
        <v/>
      </c>
      <c r="H1819" s="8">
        <f>IF(B1819="","",IFERROR(VLOOKUP(--B1819,'CATALOGO CECO'!$A$2:$H$550,3,FALSE),""))</f>
        <v/>
      </c>
      <c r="I1819" s="8">
        <f>IF(B1819="","",IFERROR(VLOOKUP(--B1819,'CATALOGO CECO'!$A$2:$H$550,5,FALSE),""))</f>
        <v/>
      </c>
      <c r="J1819" s="8">
        <f>IF(B1819="","",IFERROR(VLOOKUP(--B1819,'CATALOGO CECO'!$A$2:$H$550,8,FALSE),""))</f>
        <v/>
      </c>
      <c r="K1819" s="8">
        <f>IF(COUNTA(A1819:F1819)=0,"",IF(OR(LEN(A1819)&lt;&gt;7,MID(A1819,5,1)&lt;&gt;"-",ISERROR(--LEFT(A1819,4)),ISERROR(--RIGHT(A1819,2))),"ERROR: PERIODO debe ser AAAA-MM",IF(B1819="","ERROR: falta CODIGO CECO",IF(G1819="CECO NO EXISTE","ERROR: CECO no existe en el catálogo",IF(C1819="","ERROR: falta CUENTA",IF(ISERROR(--C1819),"ERROR: CUENTA debe tener solo dígitos",IF(ISERROR(FIND(LEFT(C1819,1),"567")),"ERROR: CUENTA fuera de las clases de costo",IF(NOT(ISNUMBER(E1819)),"ERROR: VALOR debe ser numérico",IF(E1819=0,"AVISO: valor cero (no se carga)",IF(J1819&lt;&gt;"ACTIVO","NO SE CARGA: CECO en estado "&amp;J1819,"OK"))))))))))</f>
        <v/>
      </c>
    </row>
    <row r="1820">
      <c r="A1820" s="5" t="n"/>
      <c r="B1820" s="6" t="n"/>
      <c r="C1820" s="5" t="n"/>
      <c r="D1820" s="6" t="n"/>
      <c r="E1820" s="7" t="n"/>
      <c r="F1820" s="6" t="n"/>
      <c r="G1820" s="8">
        <f>IF(B1820="","",IFERROR(VLOOKUP(--B1820,'CATALOGO CECO'!$A$2:$H$550,2,FALSE),"CECO NO EXISTE"))</f>
        <v/>
      </c>
      <c r="H1820" s="8">
        <f>IF(B1820="","",IFERROR(VLOOKUP(--B1820,'CATALOGO CECO'!$A$2:$H$550,3,FALSE),""))</f>
        <v/>
      </c>
      <c r="I1820" s="8">
        <f>IF(B1820="","",IFERROR(VLOOKUP(--B1820,'CATALOGO CECO'!$A$2:$H$550,5,FALSE),""))</f>
        <v/>
      </c>
      <c r="J1820" s="8">
        <f>IF(B1820="","",IFERROR(VLOOKUP(--B1820,'CATALOGO CECO'!$A$2:$H$550,8,FALSE),""))</f>
        <v/>
      </c>
      <c r="K1820" s="8">
        <f>IF(COUNTA(A1820:F1820)=0,"",IF(OR(LEN(A1820)&lt;&gt;7,MID(A1820,5,1)&lt;&gt;"-",ISERROR(--LEFT(A1820,4)),ISERROR(--RIGHT(A1820,2))),"ERROR: PERIODO debe ser AAAA-MM",IF(B1820="","ERROR: falta CODIGO CECO",IF(G1820="CECO NO EXISTE","ERROR: CECO no existe en el catálogo",IF(C1820="","ERROR: falta CUENTA",IF(ISERROR(--C1820),"ERROR: CUENTA debe tener solo dígitos",IF(ISERROR(FIND(LEFT(C1820,1),"567")),"ERROR: CUENTA fuera de las clases de costo",IF(NOT(ISNUMBER(E1820)),"ERROR: VALOR debe ser numérico",IF(E1820=0,"AVISO: valor cero (no se carga)",IF(J1820&lt;&gt;"ACTIVO","NO SE CARGA: CECO en estado "&amp;J1820,"OK"))))))))))</f>
        <v/>
      </c>
    </row>
    <row r="1821">
      <c r="A1821" s="5" t="n"/>
      <c r="B1821" s="6" t="n"/>
      <c r="C1821" s="5" t="n"/>
      <c r="D1821" s="6" t="n"/>
      <c r="E1821" s="7" t="n"/>
      <c r="F1821" s="6" t="n"/>
      <c r="G1821" s="8">
        <f>IF(B1821="","",IFERROR(VLOOKUP(--B1821,'CATALOGO CECO'!$A$2:$H$550,2,FALSE),"CECO NO EXISTE"))</f>
        <v/>
      </c>
      <c r="H1821" s="8">
        <f>IF(B1821="","",IFERROR(VLOOKUP(--B1821,'CATALOGO CECO'!$A$2:$H$550,3,FALSE),""))</f>
        <v/>
      </c>
      <c r="I1821" s="8">
        <f>IF(B1821="","",IFERROR(VLOOKUP(--B1821,'CATALOGO CECO'!$A$2:$H$550,5,FALSE),""))</f>
        <v/>
      </c>
      <c r="J1821" s="8">
        <f>IF(B1821="","",IFERROR(VLOOKUP(--B1821,'CATALOGO CECO'!$A$2:$H$550,8,FALSE),""))</f>
        <v/>
      </c>
      <c r="K1821" s="8">
        <f>IF(COUNTA(A1821:F1821)=0,"",IF(OR(LEN(A1821)&lt;&gt;7,MID(A1821,5,1)&lt;&gt;"-",ISERROR(--LEFT(A1821,4)),ISERROR(--RIGHT(A1821,2))),"ERROR: PERIODO debe ser AAAA-MM",IF(B1821="","ERROR: falta CODIGO CECO",IF(G1821="CECO NO EXISTE","ERROR: CECO no existe en el catálogo",IF(C1821="","ERROR: falta CUENTA",IF(ISERROR(--C1821),"ERROR: CUENTA debe tener solo dígitos",IF(ISERROR(FIND(LEFT(C1821,1),"567")),"ERROR: CUENTA fuera de las clases de costo",IF(NOT(ISNUMBER(E1821)),"ERROR: VALOR debe ser numérico",IF(E1821=0,"AVISO: valor cero (no se carga)",IF(J1821&lt;&gt;"ACTIVO","NO SE CARGA: CECO en estado "&amp;J1821,"OK"))))))))))</f>
        <v/>
      </c>
    </row>
    <row r="1822">
      <c r="A1822" s="5" t="n"/>
      <c r="B1822" s="6" t="n"/>
      <c r="C1822" s="5" t="n"/>
      <c r="D1822" s="6" t="n"/>
      <c r="E1822" s="7" t="n"/>
      <c r="F1822" s="6" t="n"/>
      <c r="G1822" s="8">
        <f>IF(B1822="","",IFERROR(VLOOKUP(--B1822,'CATALOGO CECO'!$A$2:$H$550,2,FALSE),"CECO NO EXISTE"))</f>
        <v/>
      </c>
      <c r="H1822" s="8">
        <f>IF(B1822="","",IFERROR(VLOOKUP(--B1822,'CATALOGO CECO'!$A$2:$H$550,3,FALSE),""))</f>
        <v/>
      </c>
      <c r="I1822" s="8">
        <f>IF(B1822="","",IFERROR(VLOOKUP(--B1822,'CATALOGO CECO'!$A$2:$H$550,5,FALSE),""))</f>
        <v/>
      </c>
      <c r="J1822" s="8">
        <f>IF(B1822="","",IFERROR(VLOOKUP(--B1822,'CATALOGO CECO'!$A$2:$H$550,8,FALSE),""))</f>
        <v/>
      </c>
      <c r="K1822" s="8">
        <f>IF(COUNTA(A1822:F1822)=0,"",IF(OR(LEN(A1822)&lt;&gt;7,MID(A1822,5,1)&lt;&gt;"-",ISERROR(--LEFT(A1822,4)),ISERROR(--RIGHT(A1822,2))),"ERROR: PERIODO debe ser AAAA-MM",IF(B1822="","ERROR: falta CODIGO CECO",IF(G1822="CECO NO EXISTE","ERROR: CECO no existe en el catálogo",IF(C1822="","ERROR: falta CUENTA",IF(ISERROR(--C1822),"ERROR: CUENTA debe tener solo dígitos",IF(ISERROR(FIND(LEFT(C1822,1),"567")),"ERROR: CUENTA fuera de las clases de costo",IF(NOT(ISNUMBER(E1822)),"ERROR: VALOR debe ser numérico",IF(E1822=0,"AVISO: valor cero (no se carga)",IF(J1822&lt;&gt;"ACTIVO","NO SE CARGA: CECO en estado "&amp;J1822,"OK"))))))))))</f>
        <v/>
      </c>
    </row>
    <row r="1823">
      <c r="A1823" s="5" t="n"/>
      <c r="B1823" s="6" t="n"/>
      <c r="C1823" s="5" t="n"/>
      <c r="D1823" s="6" t="n"/>
      <c r="E1823" s="7" t="n"/>
      <c r="F1823" s="6" t="n"/>
      <c r="G1823" s="8">
        <f>IF(B1823="","",IFERROR(VLOOKUP(--B1823,'CATALOGO CECO'!$A$2:$H$550,2,FALSE),"CECO NO EXISTE"))</f>
        <v/>
      </c>
      <c r="H1823" s="8">
        <f>IF(B1823="","",IFERROR(VLOOKUP(--B1823,'CATALOGO CECO'!$A$2:$H$550,3,FALSE),""))</f>
        <v/>
      </c>
      <c r="I1823" s="8">
        <f>IF(B1823="","",IFERROR(VLOOKUP(--B1823,'CATALOGO CECO'!$A$2:$H$550,5,FALSE),""))</f>
        <v/>
      </c>
      <c r="J1823" s="8">
        <f>IF(B1823="","",IFERROR(VLOOKUP(--B1823,'CATALOGO CECO'!$A$2:$H$550,8,FALSE),""))</f>
        <v/>
      </c>
      <c r="K1823" s="8">
        <f>IF(COUNTA(A1823:F1823)=0,"",IF(OR(LEN(A1823)&lt;&gt;7,MID(A1823,5,1)&lt;&gt;"-",ISERROR(--LEFT(A1823,4)),ISERROR(--RIGHT(A1823,2))),"ERROR: PERIODO debe ser AAAA-MM",IF(B1823="","ERROR: falta CODIGO CECO",IF(G1823="CECO NO EXISTE","ERROR: CECO no existe en el catálogo",IF(C1823="","ERROR: falta CUENTA",IF(ISERROR(--C1823),"ERROR: CUENTA debe tener solo dígitos",IF(ISERROR(FIND(LEFT(C1823,1),"567")),"ERROR: CUENTA fuera de las clases de costo",IF(NOT(ISNUMBER(E1823)),"ERROR: VALOR debe ser numérico",IF(E1823=0,"AVISO: valor cero (no se carga)",IF(J1823&lt;&gt;"ACTIVO","NO SE CARGA: CECO en estado "&amp;J1823,"OK"))))))))))</f>
        <v/>
      </c>
    </row>
    <row r="1824">
      <c r="A1824" s="5" t="n"/>
      <c r="B1824" s="6" t="n"/>
      <c r="C1824" s="5" t="n"/>
      <c r="D1824" s="6" t="n"/>
      <c r="E1824" s="7" t="n"/>
      <c r="F1824" s="6" t="n"/>
      <c r="G1824" s="8">
        <f>IF(B1824="","",IFERROR(VLOOKUP(--B1824,'CATALOGO CECO'!$A$2:$H$550,2,FALSE),"CECO NO EXISTE"))</f>
        <v/>
      </c>
      <c r="H1824" s="8">
        <f>IF(B1824="","",IFERROR(VLOOKUP(--B1824,'CATALOGO CECO'!$A$2:$H$550,3,FALSE),""))</f>
        <v/>
      </c>
      <c r="I1824" s="8">
        <f>IF(B1824="","",IFERROR(VLOOKUP(--B1824,'CATALOGO CECO'!$A$2:$H$550,5,FALSE),""))</f>
        <v/>
      </c>
      <c r="J1824" s="8">
        <f>IF(B1824="","",IFERROR(VLOOKUP(--B1824,'CATALOGO CECO'!$A$2:$H$550,8,FALSE),""))</f>
        <v/>
      </c>
      <c r="K1824" s="8">
        <f>IF(COUNTA(A1824:F1824)=0,"",IF(OR(LEN(A1824)&lt;&gt;7,MID(A1824,5,1)&lt;&gt;"-",ISERROR(--LEFT(A1824,4)),ISERROR(--RIGHT(A1824,2))),"ERROR: PERIODO debe ser AAAA-MM",IF(B1824="","ERROR: falta CODIGO CECO",IF(G1824="CECO NO EXISTE","ERROR: CECO no existe en el catálogo",IF(C1824="","ERROR: falta CUENTA",IF(ISERROR(--C1824),"ERROR: CUENTA debe tener solo dígitos",IF(ISERROR(FIND(LEFT(C1824,1),"567")),"ERROR: CUENTA fuera de las clases de costo",IF(NOT(ISNUMBER(E1824)),"ERROR: VALOR debe ser numérico",IF(E1824=0,"AVISO: valor cero (no se carga)",IF(J1824&lt;&gt;"ACTIVO","NO SE CARGA: CECO en estado "&amp;J1824,"OK"))))))))))</f>
        <v/>
      </c>
    </row>
    <row r="1825">
      <c r="A1825" s="5" t="n"/>
      <c r="B1825" s="6" t="n"/>
      <c r="C1825" s="5" t="n"/>
      <c r="D1825" s="6" t="n"/>
      <c r="E1825" s="7" t="n"/>
      <c r="F1825" s="6" t="n"/>
      <c r="G1825" s="8">
        <f>IF(B1825="","",IFERROR(VLOOKUP(--B1825,'CATALOGO CECO'!$A$2:$H$550,2,FALSE),"CECO NO EXISTE"))</f>
        <v/>
      </c>
      <c r="H1825" s="8">
        <f>IF(B1825="","",IFERROR(VLOOKUP(--B1825,'CATALOGO CECO'!$A$2:$H$550,3,FALSE),""))</f>
        <v/>
      </c>
      <c r="I1825" s="8">
        <f>IF(B1825="","",IFERROR(VLOOKUP(--B1825,'CATALOGO CECO'!$A$2:$H$550,5,FALSE),""))</f>
        <v/>
      </c>
      <c r="J1825" s="8">
        <f>IF(B1825="","",IFERROR(VLOOKUP(--B1825,'CATALOGO CECO'!$A$2:$H$550,8,FALSE),""))</f>
        <v/>
      </c>
      <c r="K1825" s="8">
        <f>IF(COUNTA(A1825:F1825)=0,"",IF(OR(LEN(A1825)&lt;&gt;7,MID(A1825,5,1)&lt;&gt;"-",ISERROR(--LEFT(A1825,4)),ISERROR(--RIGHT(A1825,2))),"ERROR: PERIODO debe ser AAAA-MM",IF(B1825="","ERROR: falta CODIGO CECO",IF(G1825="CECO NO EXISTE","ERROR: CECO no existe en el catálogo",IF(C1825="","ERROR: falta CUENTA",IF(ISERROR(--C1825),"ERROR: CUENTA debe tener solo dígitos",IF(ISERROR(FIND(LEFT(C1825,1),"567")),"ERROR: CUENTA fuera de las clases de costo",IF(NOT(ISNUMBER(E1825)),"ERROR: VALOR debe ser numérico",IF(E1825=0,"AVISO: valor cero (no se carga)",IF(J1825&lt;&gt;"ACTIVO","NO SE CARGA: CECO en estado "&amp;J1825,"OK"))))))))))</f>
        <v/>
      </c>
    </row>
    <row r="1826">
      <c r="A1826" s="5" t="n"/>
      <c r="B1826" s="6" t="n"/>
      <c r="C1826" s="5" t="n"/>
      <c r="D1826" s="6" t="n"/>
      <c r="E1826" s="7" t="n"/>
      <c r="F1826" s="6" t="n"/>
      <c r="G1826" s="8">
        <f>IF(B1826="","",IFERROR(VLOOKUP(--B1826,'CATALOGO CECO'!$A$2:$H$550,2,FALSE),"CECO NO EXISTE"))</f>
        <v/>
      </c>
      <c r="H1826" s="8">
        <f>IF(B1826="","",IFERROR(VLOOKUP(--B1826,'CATALOGO CECO'!$A$2:$H$550,3,FALSE),""))</f>
        <v/>
      </c>
      <c r="I1826" s="8">
        <f>IF(B1826="","",IFERROR(VLOOKUP(--B1826,'CATALOGO CECO'!$A$2:$H$550,5,FALSE),""))</f>
        <v/>
      </c>
      <c r="J1826" s="8">
        <f>IF(B1826="","",IFERROR(VLOOKUP(--B1826,'CATALOGO CECO'!$A$2:$H$550,8,FALSE),""))</f>
        <v/>
      </c>
      <c r="K1826" s="8">
        <f>IF(COUNTA(A1826:F1826)=0,"",IF(OR(LEN(A1826)&lt;&gt;7,MID(A1826,5,1)&lt;&gt;"-",ISERROR(--LEFT(A1826,4)),ISERROR(--RIGHT(A1826,2))),"ERROR: PERIODO debe ser AAAA-MM",IF(B1826="","ERROR: falta CODIGO CECO",IF(G1826="CECO NO EXISTE","ERROR: CECO no existe en el catálogo",IF(C1826="","ERROR: falta CUENTA",IF(ISERROR(--C1826),"ERROR: CUENTA debe tener solo dígitos",IF(ISERROR(FIND(LEFT(C1826,1),"567")),"ERROR: CUENTA fuera de las clases de costo",IF(NOT(ISNUMBER(E1826)),"ERROR: VALOR debe ser numérico",IF(E1826=0,"AVISO: valor cero (no se carga)",IF(J1826&lt;&gt;"ACTIVO","NO SE CARGA: CECO en estado "&amp;J1826,"OK"))))))))))</f>
        <v/>
      </c>
    </row>
    <row r="1827">
      <c r="A1827" s="5" t="n"/>
      <c r="B1827" s="6" t="n"/>
      <c r="C1827" s="5" t="n"/>
      <c r="D1827" s="6" t="n"/>
      <c r="E1827" s="7" t="n"/>
      <c r="F1827" s="6" t="n"/>
      <c r="G1827" s="8">
        <f>IF(B1827="","",IFERROR(VLOOKUP(--B1827,'CATALOGO CECO'!$A$2:$H$550,2,FALSE),"CECO NO EXISTE"))</f>
        <v/>
      </c>
      <c r="H1827" s="8">
        <f>IF(B1827="","",IFERROR(VLOOKUP(--B1827,'CATALOGO CECO'!$A$2:$H$550,3,FALSE),""))</f>
        <v/>
      </c>
      <c r="I1827" s="8">
        <f>IF(B1827="","",IFERROR(VLOOKUP(--B1827,'CATALOGO CECO'!$A$2:$H$550,5,FALSE),""))</f>
        <v/>
      </c>
      <c r="J1827" s="8">
        <f>IF(B1827="","",IFERROR(VLOOKUP(--B1827,'CATALOGO CECO'!$A$2:$H$550,8,FALSE),""))</f>
        <v/>
      </c>
      <c r="K1827" s="8">
        <f>IF(COUNTA(A1827:F1827)=0,"",IF(OR(LEN(A1827)&lt;&gt;7,MID(A1827,5,1)&lt;&gt;"-",ISERROR(--LEFT(A1827,4)),ISERROR(--RIGHT(A1827,2))),"ERROR: PERIODO debe ser AAAA-MM",IF(B1827="","ERROR: falta CODIGO CECO",IF(G1827="CECO NO EXISTE","ERROR: CECO no existe en el catálogo",IF(C1827="","ERROR: falta CUENTA",IF(ISERROR(--C1827),"ERROR: CUENTA debe tener solo dígitos",IF(ISERROR(FIND(LEFT(C1827,1),"567")),"ERROR: CUENTA fuera de las clases de costo",IF(NOT(ISNUMBER(E1827)),"ERROR: VALOR debe ser numérico",IF(E1827=0,"AVISO: valor cero (no se carga)",IF(J1827&lt;&gt;"ACTIVO","NO SE CARGA: CECO en estado "&amp;J1827,"OK"))))))))))</f>
        <v/>
      </c>
    </row>
    <row r="1828">
      <c r="A1828" s="5" t="n"/>
      <c r="B1828" s="6" t="n"/>
      <c r="C1828" s="5" t="n"/>
      <c r="D1828" s="6" t="n"/>
      <c r="E1828" s="7" t="n"/>
      <c r="F1828" s="6" t="n"/>
      <c r="G1828" s="8">
        <f>IF(B1828="","",IFERROR(VLOOKUP(--B1828,'CATALOGO CECO'!$A$2:$H$550,2,FALSE),"CECO NO EXISTE"))</f>
        <v/>
      </c>
      <c r="H1828" s="8">
        <f>IF(B1828="","",IFERROR(VLOOKUP(--B1828,'CATALOGO CECO'!$A$2:$H$550,3,FALSE),""))</f>
        <v/>
      </c>
      <c r="I1828" s="8">
        <f>IF(B1828="","",IFERROR(VLOOKUP(--B1828,'CATALOGO CECO'!$A$2:$H$550,5,FALSE),""))</f>
        <v/>
      </c>
      <c r="J1828" s="8">
        <f>IF(B1828="","",IFERROR(VLOOKUP(--B1828,'CATALOGO CECO'!$A$2:$H$550,8,FALSE),""))</f>
        <v/>
      </c>
      <c r="K1828" s="8">
        <f>IF(COUNTA(A1828:F1828)=0,"",IF(OR(LEN(A1828)&lt;&gt;7,MID(A1828,5,1)&lt;&gt;"-",ISERROR(--LEFT(A1828,4)),ISERROR(--RIGHT(A1828,2))),"ERROR: PERIODO debe ser AAAA-MM",IF(B1828="","ERROR: falta CODIGO CECO",IF(G1828="CECO NO EXISTE","ERROR: CECO no existe en el catálogo",IF(C1828="","ERROR: falta CUENTA",IF(ISERROR(--C1828),"ERROR: CUENTA debe tener solo dígitos",IF(ISERROR(FIND(LEFT(C1828,1),"567")),"ERROR: CUENTA fuera de las clases de costo",IF(NOT(ISNUMBER(E1828)),"ERROR: VALOR debe ser numérico",IF(E1828=0,"AVISO: valor cero (no se carga)",IF(J1828&lt;&gt;"ACTIVO","NO SE CARGA: CECO en estado "&amp;J1828,"OK"))))))))))</f>
        <v/>
      </c>
    </row>
    <row r="1829">
      <c r="A1829" s="5" t="n"/>
      <c r="B1829" s="6" t="n"/>
      <c r="C1829" s="5" t="n"/>
      <c r="D1829" s="6" t="n"/>
      <c r="E1829" s="7" t="n"/>
      <c r="F1829" s="6" t="n"/>
      <c r="G1829" s="8">
        <f>IF(B1829="","",IFERROR(VLOOKUP(--B1829,'CATALOGO CECO'!$A$2:$H$550,2,FALSE),"CECO NO EXISTE"))</f>
        <v/>
      </c>
      <c r="H1829" s="8">
        <f>IF(B1829="","",IFERROR(VLOOKUP(--B1829,'CATALOGO CECO'!$A$2:$H$550,3,FALSE),""))</f>
        <v/>
      </c>
      <c r="I1829" s="8">
        <f>IF(B1829="","",IFERROR(VLOOKUP(--B1829,'CATALOGO CECO'!$A$2:$H$550,5,FALSE),""))</f>
        <v/>
      </c>
      <c r="J1829" s="8">
        <f>IF(B1829="","",IFERROR(VLOOKUP(--B1829,'CATALOGO CECO'!$A$2:$H$550,8,FALSE),""))</f>
        <v/>
      </c>
      <c r="K1829" s="8">
        <f>IF(COUNTA(A1829:F1829)=0,"",IF(OR(LEN(A1829)&lt;&gt;7,MID(A1829,5,1)&lt;&gt;"-",ISERROR(--LEFT(A1829,4)),ISERROR(--RIGHT(A1829,2))),"ERROR: PERIODO debe ser AAAA-MM",IF(B1829="","ERROR: falta CODIGO CECO",IF(G1829="CECO NO EXISTE","ERROR: CECO no existe en el catálogo",IF(C1829="","ERROR: falta CUENTA",IF(ISERROR(--C1829),"ERROR: CUENTA debe tener solo dígitos",IF(ISERROR(FIND(LEFT(C1829,1),"567")),"ERROR: CUENTA fuera de las clases de costo",IF(NOT(ISNUMBER(E1829)),"ERROR: VALOR debe ser numérico",IF(E1829=0,"AVISO: valor cero (no se carga)",IF(J1829&lt;&gt;"ACTIVO","NO SE CARGA: CECO en estado "&amp;J1829,"OK"))))))))))</f>
        <v/>
      </c>
    </row>
    <row r="1830">
      <c r="A1830" s="5" t="n"/>
      <c r="B1830" s="6" t="n"/>
      <c r="C1830" s="5" t="n"/>
      <c r="D1830" s="6" t="n"/>
      <c r="E1830" s="7" t="n"/>
      <c r="F1830" s="6" t="n"/>
      <c r="G1830" s="8">
        <f>IF(B1830="","",IFERROR(VLOOKUP(--B1830,'CATALOGO CECO'!$A$2:$H$550,2,FALSE),"CECO NO EXISTE"))</f>
        <v/>
      </c>
      <c r="H1830" s="8">
        <f>IF(B1830="","",IFERROR(VLOOKUP(--B1830,'CATALOGO CECO'!$A$2:$H$550,3,FALSE),""))</f>
        <v/>
      </c>
      <c r="I1830" s="8">
        <f>IF(B1830="","",IFERROR(VLOOKUP(--B1830,'CATALOGO CECO'!$A$2:$H$550,5,FALSE),""))</f>
        <v/>
      </c>
      <c r="J1830" s="8">
        <f>IF(B1830="","",IFERROR(VLOOKUP(--B1830,'CATALOGO CECO'!$A$2:$H$550,8,FALSE),""))</f>
        <v/>
      </c>
      <c r="K1830" s="8">
        <f>IF(COUNTA(A1830:F1830)=0,"",IF(OR(LEN(A1830)&lt;&gt;7,MID(A1830,5,1)&lt;&gt;"-",ISERROR(--LEFT(A1830,4)),ISERROR(--RIGHT(A1830,2))),"ERROR: PERIODO debe ser AAAA-MM",IF(B1830="","ERROR: falta CODIGO CECO",IF(G1830="CECO NO EXISTE","ERROR: CECO no existe en el catálogo",IF(C1830="","ERROR: falta CUENTA",IF(ISERROR(--C1830),"ERROR: CUENTA debe tener solo dígitos",IF(ISERROR(FIND(LEFT(C1830,1),"567")),"ERROR: CUENTA fuera de las clases de costo",IF(NOT(ISNUMBER(E1830)),"ERROR: VALOR debe ser numérico",IF(E1830=0,"AVISO: valor cero (no se carga)",IF(J1830&lt;&gt;"ACTIVO","NO SE CARGA: CECO en estado "&amp;J1830,"OK"))))))))))</f>
        <v/>
      </c>
    </row>
    <row r="1831">
      <c r="A1831" s="5" t="n"/>
      <c r="B1831" s="6" t="n"/>
      <c r="C1831" s="5" t="n"/>
      <c r="D1831" s="6" t="n"/>
      <c r="E1831" s="7" t="n"/>
      <c r="F1831" s="6" t="n"/>
      <c r="G1831" s="8">
        <f>IF(B1831="","",IFERROR(VLOOKUP(--B1831,'CATALOGO CECO'!$A$2:$H$550,2,FALSE),"CECO NO EXISTE"))</f>
        <v/>
      </c>
      <c r="H1831" s="8">
        <f>IF(B1831="","",IFERROR(VLOOKUP(--B1831,'CATALOGO CECO'!$A$2:$H$550,3,FALSE),""))</f>
        <v/>
      </c>
      <c r="I1831" s="8">
        <f>IF(B1831="","",IFERROR(VLOOKUP(--B1831,'CATALOGO CECO'!$A$2:$H$550,5,FALSE),""))</f>
        <v/>
      </c>
      <c r="J1831" s="8">
        <f>IF(B1831="","",IFERROR(VLOOKUP(--B1831,'CATALOGO CECO'!$A$2:$H$550,8,FALSE),""))</f>
        <v/>
      </c>
      <c r="K1831" s="8">
        <f>IF(COUNTA(A1831:F1831)=0,"",IF(OR(LEN(A1831)&lt;&gt;7,MID(A1831,5,1)&lt;&gt;"-",ISERROR(--LEFT(A1831,4)),ISERROR(--RIGHT(A1831,2))),"ERROR: PERIODO debe ser AAAA-MM",IF(B1831="","ERROR: falta CODIGO CECO",IF(G1831="CECO NO EXISTE","ERROR: CECO no existe en el catálogo",IF(C1831="","ERROR: falta CUENTA",IF(ISERROR(--C1831),"ERROR: CUENTA debe tener solo dígitos",IF(ISERROR(FIND(LEFT(C1831,1),"567")),"ERROR: CUENTA fuera de las clases de costo",IF(NOT(ISNUMBER(E1831)),"ERROR: VALOR debe ser numérico",IF(E1831=0,"AVISO: valor cero (no se carga)",IF(J1831&lt;&gt;"ACTIVO","NO SE CARGA: CECO en estado "&amp;J1831,"OK"))))))))))</f>
        <v/>
      </c>
    </row>
    <row r="1832">
      <c r="A1832" s="5" t="n"/>
      <c r="B1832" s="6" t="n"/>
      <c r="C1832" s="5" t="n"/>
      <c r="D1832" s="6" t="n"/>
      <c r="E1832" s="7" t="n"/>
      <c r="F1832" s="6" t="n"/>
      <c r="G1832" s="8">
        <f>IF(B1832="","",IFERROR(VLOOKUP(--B1832,'CATALOGO CECO'!$A$2:$H$550,2,FALSE),"CECO NO EXISTE"))</f>
        <v/>
      </c>
      <c r="H1832" s="8">
        <f>IF(B1832="","",IFERROR(VLOOKUP(--B1832,'CATALOGO CECO'!$A$2:$H$550,3,FALSE),""))</f>
        <v/>
      </c>
      <c r="I1832" s="8">
        <f>IF(B1832="","",IFERROR(VLOOKUP(--B1832,'CATALOGO CECO'!$A$2:$H$550,5,FALSE),""))</f>
        <v/>
      </c>
      <c r="J1832" s="8">
        <f>IF(B1832="","",IFERROR(VLOOKUP(--B1832,'CATALOGO CECO'!$A$2:$H$550,8,FALSE),""))</f>
        <v/>
      </c>
      <c r="K1832" s="8">
        <f>IF(COUNTA(A1832:F1832)=0,"",IF(OR(LEN(A1832)&lt;&gt;7,MID(A1832,5,1)&lt;&gt;"-",ISERROR(--LEFT(A1832,4)),ISERROR(--RIGHT(A1832,2))),"ERROR: PERIODO debe ser AAAA-MM",IF(B1832="","ERROR: falta CODIGO CECO",IF(G1832="CECO NO EXISTE","ERROR: CECO no existe en el catálogo",IF(C1832="","ERROR: falta CUENTA",IF(ISERROR(--C1832),"ERROR: CUENTA debe tener solo dígitos",IF(ISERROR(FIND(LEFT(C1832,1),"567")),"ERROR: CUENTA fuera de las clases de costo",IF(NOT(ISNUMBER(E1832)),"ERROR: VALOR debe ser numérico",IF(E1832=0,"AVISO: valor cero (no se carga)",IF(J1832&lt;&gt;"ACTIVO","NO SE CARGA: CECO en estado "&amp;J1832,"OK"))))))))))</f>
        <v/>
      </c>
    </row>
    <row r="1833">
      <c r="A1833" s="5" t="n"/>
      <c r="B1833" s="6" t="n"/>
      <c r="C1833" s="5" t="n"/>
      <c r="D1833" s="6" t="n"/>
      <c r="E1833" s="7" t="n"/>
      <c r="F1833" s="6" t="n"/>
      <c r="G1833" s="8">
        <f>IF(B1833="","",IFERROR(VLOOKUP(--B1833,'CATALOGO CECO'!$A$2:$H$550,2,FALSE),"CECO NO EXISTE"))</f>
        <v/>
      </c>
      <c r="H1833" s="8">
        <f>IF(B1833="","",IFERROR(VLOOKUP(--B1833,'CATALOGO CECO'!$A$2:$H$550,3,FALSE),""))</f>
        <v/>
      </c>
      <c r="I1833" s="8">
        <f>IF(B1833="","",IFERROR(VLOOKUP(--B1833,'CATALOGO CECO'!$A$2:$H$550,5,FALSE),""))</f>
        <v/>
      </c>
      <c r="J1833" s="8">
        <f>IF(B1833="","",IFERROR(VLOOKUP(--B1833,'CATALOGO CECO'!$A$2:$H$550,8,FALSE),""))</f>
        <v/>
      </c>
      <c r="K1833" s="8">
        <f>IF(COUNTA(A1833:F1833)=0,"",IF(OR(LEN(A1833)&lt;&gt;7,MID(A1833,5,1)&lt;&gt;"-",ISERROR(--LEFT(A1833,4)),ISERROR(--RIGHT(A1833,2))),"ERROR: PERIODO debe ser AAAA-MM",IF(B1833="","ERROR: falta CODIGO CECO",IF(G1833="CECO NO EXISTE","ERROR: CECO no existe en el catálogo",IF(C1833="","ERROR: falta CUENTA",IF(ISERROR(--C1833),"ERROR: CUENTA debe tener solo dígitos",IF(ISERROR(FIND(LEFT(C1833,1),"567")),"ERROR: CUENTA fuera de las clases de costo",IF(NOT(ISNUMBER(E1833)),"ERROR: VALOR debe ser numérico",IF(E1833=0,"AVISO: valor cero (no se carga)",IF(J1833&lt;&gt;"ACTIVO","NO SE CARGA: CECO en estado "&amp;J1833,"OK"))))))))))</f>
        <v/>
      </c>
    </row>
    <row r="1834">
      <c r="A1834" s="5" t="n"/>
      <c r="B1834" s="6" t="n"/>
      <c r="C1834" s="5" t="n"/>
      <c r="D1834" s="6" t="n"/>
      <c r="E1834" s="7" t="n"/>
      <c r="F1834" s="6" t="n"/>
      <c r="G1834" s="8">
        <f>IF(B1834="","",IFERROR(VLOOKUP(--B1834,'CATALOGO CECO'!$A$2:$H$550,2,FALSE),"CECO NO EXISTE"))</f>
        <v/>
      </c>
      <c r="H1834" s="8">
        <f>IF(B1834="","",IFERROR(VLOOKUP(--B1834,'CATALOGO CECO'!$A$2:$H$550,3,FALSE),""))</f>
        <v/>
      </c>
      <c r="I1834" s="8">
        <f>IF(B1834="","",IFERROR(VLOOKUP(--B1834,'CATALOGO CECO'!$A$2:$H$550,5,FALSE),""))</f>
        <v/>
      </c>
      <c r="J1834" s="8">
        <f>IF(B1834="","",IFERROR(VLOOKUP(--B1834,'CATALOGO CECO'!$A$2:$H$550,8,FALSE),""))</f>
        <v/>
      </c>
      <c r="K1834" s="8">
        <f>IF(COUNTA(A1834:F1834)=0,"",IF(OR(LEN(A1834)&lt;&gt;7,MID(A1834,5,1)&lt;&gt;"-",ISERROR(--LEFT(A1834,4)),ISERROR(--RIGHT(A1834,2))),"ERROR: PERIODO debe ser AAAA-MM",IF(B1834="","ERROR: falta CODIGO CECO",IF(G1834="CECO NO EXISTE","ERROR: CECO no existe en el catálogo",IF(C1834="","ERROR: falta CUENTA",IF(ISERROR(--C1834),"ERROR: CUENTA debe tener solo dígitos",IF(ISERROR(FIND(LEFT(C1834,1),"567")),"ERROR: CUENTA fuera de las clases de costo",IF(NOT(ISNUMBER(E1834)),"ERROR: VALOR debe ser numérico",IF(E1834=0,"AVISO: valor cero (no se carga)",IF(J1834&lt;&gt;"ACTIVO","NO SE CARGA: CECO en estado "&amp;J1834,"OK"))))))))))</f>
        <v/>
      </c>
    </row>
    <row r="1835">
      <c r="A1835" s="5" t="n"/>
      <c r="B1835" s="6" t="n"/>
      <c r="C1835" s="5" t="n"/>
      <c r="D1835" s="6" t="n"/>
      <c r="E1835" s="7" t="n"/>
      <c r="F1835" s="6" t="n"/>
      <c r="G1835" s="8">
        <f>IF(B1835="","",IFERROR(VLOOKUP(--B1835,'CATALOGO CECO'!$A$2:$H$550,2,FALSE),"CECO NO EXISTE"))</f>
        <v/>
      </c>
      <c r="H1835" s="8">
        <f>IF(B1835="","",IFERROR(VLOOKUP(--B1835,'CATALOGO CECO'!$A$2:$H$550,3,FALSE),""))</f>
        <v/>
      </c>
      <c r="I1835" s="8">
        <f>IF(B1835="","",IFERROR(VLOOKUP(--B1835,'CATALOGO CECO'!$A$2:$H$550,5,FALSE),""))</f>
        <v/>
      </c>
      <c r="J1835" s="8">
        <f>IF(B1835="","",IFERROR(VLOOKUP(--B1835,'CATALOGO CECO'!$A$2:$H$550,8,FALSE),""))</f>
        <v/>
      </c>
      <c r="K1835" s="8">
        <f>IF(COUNTA(A1835:F1835)=0,"",IF(OR(LEN(A1835)&lt;&gt;7,MID(A1835,5,1)&lt;&gt;"-",ISERROR(--LEFT(A1835,4)),ISERROR(--RIGHT(A1835,2))),"ERROR: PERIODO debe ser AAAA-MM",IF(B1835="","ERROR: falta CODIGO CECO",IF(G1835="CECO NO EXISTE","ERROR: CECO no existe en el catálogo",IF(C1835="","ERROR: falta CUENTA",IF(ISERROR(--C1835),"ERROR: CUENTA debe tener solo dígitos",IF(ISERROR(FIND(LEFT(C1835,1),"567")),"ERROR: CUENTA fuera de las clases de costo",IF(NOT(ISNUMBER(E1835)),"ERROR: VALOR debe ser numérico",IF(E1835=0,"AVISO: valor cero (no se carga)",IF(J1835&lt;&gt;"ACTIVO","NO SE CARGA: CECO en estado "&amp;J1835,"OK"))))))))))</f>
        <v/>
      </c>
    </row>
    <row r="1836">
      <c r="A1836" s="5" t="n"/>
      <c r="B1836" s="6" t="n"/>
      <c r="C1836" s="5" t="n"/>
      <c r="D1836" s="6" t="n"/>
      <c r="E1836" s="7" t="n"/>
      <c r="F1836" s="6" t="n"/>
      <c r="G1836" s="8">
        <f>IF(B1836="","",IFERROR(VLOOKUP(--B1836,'CATALOGO CECO'!$A$2:$H$550,2,FALSE),"CECO NO EXISTE"))</f>
        <v/>
      </c>
      <c r="H1836" s="8">
        <f>IF(B1836="","",IFERROR(VLOOKUP(--B1836,'CATALOGO CECO'!$A$2:$H$550,3,FALSE),""))</f>
        <v/>
      </c>
      <c r="I1836" s="8">
        <f>IF(B1836="","",IFERROR(VLOOKUP(--B1836,'CATALOGO CECO'!$A$2:$H$550,5,FALSE),""))</f>
        <v/>
      </c>
      <c r="J1836" s="8">
        <f>IF(B1836="","",IFERROR(VLOOKUP(--B1836,'CATALOGO CECO'!$A$2:$H$550,8,FALSE),""))</f>
        <v/>
      </c>
      <c r="K1836" s="8">
        <f>IF(COUNTA(A1836:F1836)=0,"",IF(OR(LEN(A1836)&lt;&gt;7,MID(A1836,5,1)&lt;&gt;"-",ISERROR(--LEFT(A1836,4)),ISERROR(--RIGHT(A1836,2))),"ERROR: PERIODO debe ser AAAA-MM",IF(B1836="","ERROR: falta CODIGO CECO",IF(G1836="CECO NO EXISTE","ERROR: CECO no existe en el catálogo",IF(C1836="","ERROR: falta CUENTA",IF(ISERROR(--C1836),"ERROR: CUENTA debe tener solo dígitos",IF(ISERROR(FIND(LEFT(C1836,1),"567")),"ERROR: CUENTA fuera de las clases de costo",IF(NOT(ISNUMBER(E1836)),"ERROR: VALOR debe ser numérico",IF(E1836=0,"AVISO: valor cero (no se carga)",IF(J1836&lt;&gt;"ACTIVO","NO SE CARGA: CECO en estado "&amp;J1836,"OK"))))))))))</f>
        <v/>
      </c>
    </row>
    <row r="1837">
      <c r="A1837" s="5" t="n"/>
      <c r="B1837" s="6" t="n"/>
      <c r="C1837" s="5" t="n"/>
      <c r="D1837" s="6" t="n"/>
      <c r="E1837" s="7" t="n"/>
      <c r="F1837" s="6" t="n"/>
      <c r="G1837" s="8">
        <f>IF(B1837="","",IFERROR(VLOOKUP(--B1837,'CATALOGO CECO'!$A$2:$H$550,2,FALSE),"CECO NO EXISTE"))</f>
        <v/>
      </c>
      <c r="H1837" s="8">
        <f>IF(B1837="","",IFERROR(VLOOKUP(--B1837,'CATALOGO CECO'!$A$2:$H$550,3,FALSE),""))</f>
        <v/>
      </c>
      <c r="I1837" s="8">
        <f>IF(B1837="","",IFERROR(VLOOKUP(--B1837,'CATALOGO CECO'!$A$2:$H$550,5,FALSE),""))</f>
        <v/>
      </c>
      <c r="J1837" s="8">
        <f>IF(B1837="","",IFERROR(VLOOKUP(--B1837,'CATALOGO CECO'!$A$2:$H$550,8,FALSE),""))</f>
        <v/>
      </c>
      <c r="K1837" s="8">
        <f>IF(COUNTA(A1837:F1837)=0,"",IF(OR(LEN(A1837)&lt;&gt;7,MID(A1837,5,1)&lt;&gt;"-",ISERROR(--LEFT(A1837,4)),ISERROR(--RIGHT(A1837,2))),"ERROR: PERIODO debe ser AAAA-MM",IF(B1837="","ERROR: falta CODIGO CECO",IF(G1837="CECO NO EXISTE","ERROR: CECO no existe en el catálogo",IF(C1837="","ERROR: falta CUENTA",IF(ISERROR(--C1837),"ERROR: CUENTA debe tener solo dígitos",IF(ISERROR(FIND(LEFT(C1837,1),"567")),"ERROR: CUENTA fuera de las clases de costo",IF(NOT(ISNUMBER(E1837)),"ERROR: VALOR debe ser numérico",IF(E1837=0,"AVISO: valor cero (no se carga)",IF(J1837&lt;&gt;"ACTIVO","NO SE CARGA: CECO en estado "&amp;J1837,"OK"))))))))))</f>
        <v/>
      </c>
    </row>
    <row r="1838">
      <c r="A1838" s="5" t="n"/>
      <c r="B1838" s="6" t="n"/>
      <c r="C1838" s="5" t="n"/>
      <c r="D1838" s="6" t="n"/>
      <c r="E1838" s="7" t="n"/>
      <c r="F1838" s="6" t="n"/>
      <c r="G1838" s="8">
        <f>IF(B1838="","",IFERROR(VLOOKUP(--B1838,'CATALOGO CECO'!$A$2:$H$550,2,FALSE),"CECO NO EXISTE"))</f>
        <v/>
      </c>
      <c r="H1838" s="8">
        <f>IF(B1838="","",IFERROR(VLOOKUP(--B1838,'CATALOGO CECO'!$A$2:$H$550,3,FALSE),""))</f>
        <v/>
      </c>
      <c r="I1838" s="8">
        <f>IF(B1838="","",IFERROR(VLOOKUP(--B1838,'CATALOGO CECO'!$A$2:$H$550,5,FALSE),""))</f>
        <v/>
      </c>
      <c r="J1838" s="8">
        <f>IF(B1838="","",IFERROR(VLOOKUP(--B1838,'CATALOGO CECO'!$A$2:$H$550,8,FALSE),""))</f>
        <v/>
      </c>
      <c r="K1838" s="8">
        <f>IF(COUNTA(A1838:F1838)=0,"",IF(OR(LEN(A1838)&lt;&gt;7,MID(A1838,5,1)&lt;&gt;"-",ISERROR(--LEFT(A1838,4)),ISERROR(--RIGHT(A1838,2))),"ERROR: PERIODO debe ser AAAA-MM",IF(B1838="","ERROR: falta CODIGO CECO",IF(G1838="CECO NO EXISTE","ERROR: CECO no existe en el catálogo",IF(C1838="","ERROR: falta CUENTA",IF(ISERROR(--C1838),"ERROR: CUENTA debe tener solo dígitos",IF(ISERROR(FIND(LEFT(C1838,1),"567")),"ERROR: CUENTA fuera de las clases de costo",IF(NOT(ISNUMBER(E1838)),"ERROR: VALOR debe ser numérico",IF(E1838=0,"AVISO: valor cero (no se carga)",IF(J1838&lt;&gt;"ACTIVO","NO SE CARGA: CECO en estado "&amp;J1838,"OK"))))))))))</f>
        <v/>
      </c>
    </row>
    <row r="1839">
      <c r="A1839" s="5" t="n"/>
      <c r="B1839" s="6" t="n"/>
      <c r="C1839" s="5" t="n"/>
      <c r="D1839" s="6" t="n"/>
      <c r="E1839" s="7" t="n"/>
      <c r="F1839" s="6" t="n"/>
      <c r="G1839" s="8">
        <f>IF(B1839="","",IFERROR(VLOOKUP(--B1839,'CATALOGO CECO'!$A$2:$H$550,2,FALSE),"CECO NO EXISTE"))</f>
        <v/>
      </c>
      <c r="H1839" s="8">
        <f>IF(B1839="","",IFERROR(VLOOKUP(--B1839,'CATALOGO CECO'!$A$2:$H$550,3,FALSE),""))</f>
        <v/>
      </c>
      <c r="I1839" s="8">
        <f>IF(B1839="","",IFERROR(VLOOKUP(--B1839,'CATALOGO CECO'!$A$2:$H$550,5,FALSE),""))</f>
        <v/>
      </c>
      <c r="J1839" s="8">
        <f>IF(B1839="","",IFERROR(VLOOKUP(--B1839,'CATALOGO CECO'!$A$2:$H$550,8,FALSE),""))</f>
        <v/>
      </c>
      <c r="K1839" s="8">
        <f>IF(COUNTA(A1839:F1839)=0,"",IF(OR(LEN(A1839)&lt;&gt;7,MID(A1839,5,1)&lt;&gt;"-",ISERROR(--LEFT(A1839,4)),ISERROR(--RIGHT(A1839,2))),"ERROR: PERIODO debe ser AAAA-MM",IF(B1839="","ERROR: falta CODIGO CECO",IF(G1839="CECO NO EXISTE","ERROR: CECO no existe en el catálogo",IF(C1839="","ERROR: falta CUENTA",IF(ISERROR(--C1839),"ERROR: CUENTA debe tener solo dígitos",IF(ISERROR(FIND(LEFT(C1839,1),"567")),"ERROR: CUENTA fuera de las clases de costo",IF(NOT(ISNUMBER(E1839)),"ERROR: VALOR debe ser numérico",IF(E1839=0,"AVISO: valor cero (no se carga)",IF(J1839&lt;&gt;"ACTIVO","NO SE CARGA: CECO en estado "&amp;J1839,"OK"))))))))))</f>
        <v/>
      </c>
    </row>
    <row r="1840">
      <c r="A1840" s="5" t="n"/>
      <c r="B1840" s="6" t="n"/>
      <c r="C1840" s="5" t="n"/>
      <c r="D1840" s="6" t="n"/>
      <c r="E1840" s="7" t="n"/>
      <c r="F1840" s="6" t="n"/>
      <c r="G1840" s="8">
        <f>IF(B1840="","",IFERROR(VLOOKUP(--B1840,'CATALOGO CECO'!$A$2:$H$550,2,FALSE),"CECO NO EXISTE"))</f>
        <v/>
      </c>
      <c r="H1840" s="8">
        <f>IF(B1840="","",IFERROR(VLOOKUP(--B1840,'CATALOGO CECO'!$A$2:$H$550,3,FALSE),""))</f>
        <v/>
      </c>
      <c r="I1840" s="8">
        <f>IF(B1840="","",IFERROR(VLOOKUP(--B1840,'CATALOGO CECO'!$A$2:$H$550,5,FALSE),""))</f>
        <v/>
      </c>
      <c r="J1840" s="8">
        <f>IF(B1840="","",IFERROR(VLOOKUP(--B1840,'CATALOGO CECO'!$A$2:$H$550,8,FALSE),""))</f>
        <v/>
      </c>
      <c r="K1840" s="8">
        <f>IF(COUNTA(A1840:F1840)=0,"",IF(OR(LEN(A1840)&lt;&gt;7,MID(A1840,5,1)&lt;&gt;"-",ISERROR(--LEFT(A1840,4)),ISERROR(--RIGHT(A1840,2))),"ERROR: PERIODO debe ser AAAA-MM",IF(B1840="","ERROR: falta CODIGO CECO",IF(G1840="CECO NO EXISTE","ERROR: CECO no existe en el catálogo",IF(C1840="","ERROR: falta CUENTA",IF(ISERROR(--C1840),"ERROR: CUENTA debe tener solo dígitos",IF(ISERROR(FIND(LEFT(C1840,1),"567")),"ERROR: CUENTA fuera de las clases de costo",IF(NOT(ISNUMBER(E1840)),"ERROR: VALOR debe ser numérico",IF(E1840=0,"AVISO: valor cero (no se carga)",IF(J1840&lt;&gt;"ACTIVO","NO SE CARGA: CECO en estado "&amp;J1840,"OK"))))))))))</f>
        <v/>
      </c>
    </row>
    <row r="1841">
      <c r="A1841" s="5" t="n"/>
      <c r="B1841" s="6" t="n"/>
      <c r="C1841" s="5" t="n"/>
      <c r="D1841" s="6" t="n"/>
      <c r="E1841" s="7" t="n"/>
      <c r="F1841" s="6" t="n"/>
      <c r="G1841" s="8">
        <f>IF(B1841="","",IFERROR(VLOOKUP(--B1841,'CATALOGO CECO'!$A$2:$H$550,2,FALSE),"CECO NO EXISTE"))</f>
        <v/>
      </c>
      <c r="H1841" s="8">
        <f>IF(B1841="","",IFERROR(VLOOKUP(--B1841,'CATALOGO CECO'!$A$2:$H$550,3,FALSE),""))</f>
        <v/>
      </c>
      <c r="I1841" s="8">
        <f>IF(B1841="","",IFERROR(VLOOKUP(--B1841,'CATALOGO CECO'!$A$2:$H$550,5,FALSE),""))</f>
        <v/>
      </c>
      <c r="J1841" s="8">
        <f>IF(B1841="","",IFERROR(VLOOKUP(--B1841,'CATALOGO CECO'!$A$2:$H$550,8,FALSE),""))</f>
        <v/>
      </c>
      <c r="K1841" s="8">
        <f>IF(COUNTA(A1841:F1841)=0,"",IF(OR(LEN(A1841)&lt;&gt;7,MID(A1841,5,1)&lt;&gt;"-",ISERROR(--LEFT(A1841,4)),ISERROR(--RIGHT(A1841,2))),"ERROR: PERIODO debe ser AAAA-MM",IF(B1841="","ERROR: falta CODIGO CECO",IF(G1841="CECO NO EXISTE","ERROR: CECO no existe en el catálogo",IF(C1841="","ERROR: falta CUENTA",IF(ISERROR(--C1841),"ERROR: CUENTA debe tener solo dígitos",IF(ISERROR(FIND(LEFT(C1841,1),"567")),"ERROR: CUENTA fuera de las clases de costo",IF(NOT(ISNUMBER(E1841)),"ERROR: VALOR debe ser numérico",IF(E1841=0,"AVISO: valor cero (no se carga)",IF(J1841&lt;&gt;"ACTIVO","NO SE CARGA: CECO en estado "&amp;J1841,"OK"))))))))))</f>
        <v/>
      </c>
    </row>
    <row r="1842">
      <c r="A1842" s="5" t="n"/>
      <c r="B1842" s="6" t="n"/>
      <c r="C1842" s="5" t="n"/>
      <c r="D1842" s="6" t="n"/>
      <c r="E1842" s="7" t="n"/>
      <c r="F1842" s="6" t="n"/>
      <c r="G1842" s="8">
        <f>IF(B1842="","",IFERROR(VLOOKUP(--B1842,'CATALOGO CECO'!$A$2:$H$550,2,FALSE),"CECO NO EXISTE"))</f>
        <v/>
      </c>
      <c r="H1842" s="8">
        <f>IF(B1842="","",IFERROR(VLOOKUP(--B1842,'CATALOGO CECO'!$A$2:$H$550,3,FALSE),""))</f>
        <v/>
      </c>
      <c r="I1842" s="8">
        <f>IF(B1842="","",IFERROR(VLOOKUP(--B1842,'CATALOGO CECO'!$A$2:$H$550,5,FALSE),""))</f>
        <v/>
      </c>
      <c r="J1842" s="8">
        <f>IF(B1842="","",IFERROR(VLOOKUP(--B1842,'CATALOGO CECO'!$A$2:$H$550,8,FALSE),""))</f>
        <v/>
      </c>
      <c r="K1842" s="8">
        <f>IF(COUNTA(A1842:F1842)=0,"",IF(OR(LEN(A1842)&lt;&gt;7,MID(A1842,5,1)&lt;&gt;"-",ISERROR(--LEFT(A1842,4)),ISERROR(--RIGHT(A1842,2))),"ERROR: PERIODO debe ser AAAA-MM",IF(B1842="","ERROR: falta CODIGO CECO",IF(G1842="CECO NO EXISTE","ERROR: CECO no existe en el catálogo",IF(C1842="","ERROR: falta CUENTA",IF(ISERROR(--C1842),"ERROR: CUENTA debe tener solo dígitos",IF(ISERROR(FIND(LEFT(C1842,1),"567")),"ERROR: CUENTA fuera de las clases de costo",IF(NOT(ISNUMBER(E1842)),"ERROR: VALOR debe ser numérico",IF(E1842=0,"AVISO: valor cero (no se carga)",IF(J1842&lt;&gt;"ACTIVO","NO SE CARGA: CECO en estado "&amp;J1842,"OK"))))))))))</f>
        <v/>
      </c>
    </row>
    <row r="1843">
      <c r="A1843" s="5" t="n"/>
      <c r="B1843" s="6" t="n"/>
      <c r="C1843" s="5" t="n"/>
      <c r="D1843" s="6" t="n"/>
      <c r="E1843" s="7" t="n"/>
      <c r="F1843" s="6" t="n"/>
      <c r="G1843" s="8">
        <f>IF(B1843="","",IFERROR(VLOOKUP(--B1843,'CATALOGO CECO'!$A$2:$H$550,2,FALSE),"CECO NO EXISTE"))</f>
        <v/>
      </c>
      <c r="H1843" s="8">
        <f>IF(B1843="","",IFERROR(VLOOKUP(--B1843,'CATALOGO CECO'!$A$2:$H$550,3,FALSE),""))</f>
        <v/>
      </c>
      <c r="I1843" s="8">
        <f>IF(B1843="","",IFERROR(VLOOKUP(--B1843,'CATALOGO CECO'!$A$2:$H$550,5,FALSE),""))</f>
        <v/>
      </c>
      <c r="J1843" s="8">
        <f>IF(B1843="","",IFERROR(VLOOKUP(--B1843,'CATALOGO CECO'!$A$2:$H$550,8,FALSE),""))</f>
        <v/>
      </c>
      <c r="K1843" s="8">
        <f>IF(COUNTA(A1843:F1843)=0,"",IF(OR(LEN(A1843)&lt;&gt;7,MID(A1843,5,1)&lt;&gt;"-",ISERROR(--LEFT(A1843,4)),ISERROR(--RIGHT(A1843,2))),"ERROR: PERIODO debe ser AAAA-MM",IF(B1843="","ERROR: falta CODIGO CECO",IF(G1843="CECO NO EXISTE","ERROR: CECO no existe en el catálogo",IF(C1843="","ERROR: falta CUENTA",IF(ISERROR(--C1843),"ERROR: CUENTA debe tener solo dígitos",IF(ISERROR(FIND(LEFT(C1843,1),"567")),"ERROR: CUENTA fuera de las clases de costo",IF(NOT(ISNUMBER(E1843)),"ERROR: VALOR debe ser numérico",IF(E1843=0,"AVISO: valor cero (no se carga)",IF(J1843&lt;&gt;"ACTIVO","NO SE CARGA: CECO en estado "&amp;J1843,"OK"))))))))))</f>
        <v/>
      </c>
    </row>
    <row r="1844">
      <c r="A1844" s="5" t="n"/>
      <c r="B1844" s="6" t="n"/>
      <c r="C1844" s="5" t="n"/>
      <c r="D1844" s="6" t="n"/>
      <c r="E1844" s="7" t="n"/>
      <c r="F1844" s="6" t="n"/>
      <c r="G1844" s="8">
        <f>IF(B1844="","",IFERROR(VLOOKUP(--B1844,'CATALOGO CECO'!$A$2:$H$550,2,FALSE),"CECO NO EXISTE"))</f>
        <v/>
      </c>
      <c r="H1844" s="8">
        <f>IF(B1844="","",IFERROR(VLOOKUP(--B1844,'CATALOGO CECO'!$A$2:$H$550,3,FALSE),""))</f>
        <v/>
      </c>
      <c r="I1844" s="8">
        <f>IF(B1844="","",IFERROR(VLOOKUP(--B1844,'CATALOGO CECO'!$A$2:$H$550,5,FALSE),""))</f>
        <v/>
      </c>
      <c r="J1844" s="8">
        <f>IF(B1844="","",IFERROR(VLOOKUP(--B1844,'CATALOGO CECO'!$A$2:$H$550,8,FALSE),""))</f>
        <v/>
      </c>
      <c r="K1844" s="8">
        <f>IF(COUNTA(A1844:F1844)=0,"",IF(OR(LEN(A1844)&lt;&gt;7,MID(A1844,5,1)&lt;&gt;"-",ISERROR(--LEFT(A1844,4)),ISERROR(--RIGHT(A1844,2))),"ERROR: PERIODO debe ser AAAA-MM",IF(B1844="","ERROR: falta CODIGO CECO",IF(G1844="CECO NO EXISTE","ERROR: CECO no existe en el catálogo",IF(C1844="","ERROR: falta CUENTA",IF(ISERROR(--C1844),"ERROR: CUENTA debe tener solo dígitos",IF(ISERROR(FIND(LEFT(C1844,1),"567")),"ERROR: CUENTA fuera de las clases de costo",IF(NOT(ISNUMBER(E1844)),"ERROR: VALOR debe ser numérico",IF(E1844=0,"AVISO: valor cero (no se carga)",IF(J1844&lt;&gt;"ACTIVO","NO SE CARGA: CECO en estado "&amp;J1844,"OK"))))))))))</f>
        <v/>
      </c>
    </row>
    <row r="1845">
      <c r="A1845" s="5" t="n"/>
      <c r="B1845" s="6" t="n"/>
      <c r="C1845" s="5" t="n"/>
      <c r="D1845" s="6" t="n"/>
      <c r="E1845" s="7" t="n"/>
      <c r="F1845" s="6" t="n"/>
      <c r="G1845" s="8">
        <f>IF(B1845="","",IFERROR(VLOOKUP(--B1845,'CATALOGO CECO'!$A$2:$H$550,2,FALSE),"CECO NO EXISTE"))</f>
        <v/>
      </c>
      <c r="H1845" s="8">
        <f>IF(B1845="","",IFERROR(VLOOKUP(--B1845,'CATALOGO CECO'!$A$2:$H$550,3,FALSE),""))</f>
        <v/>
      </c>
      <c r="I1845" s="8">
        <f>IF(B1845="","",IFERROR(VLOOKUP(--B1845,'CATALOGO CECO'!$A$2:$H$550,5,FALSE),""))</f>
        <v/>
      </c>
      <c r="J1845" s="8">
        <f>IF(B1845="","",IFERROR(VLOOKUP(--B1845,'CATALOGO CECO'!$A$2:$H$550,8,FALSE),""))</f>
        <v/>
      </c>
      <c r="K1845" s="8">
        <f>IF(COUNTA(A1845:F1845)=0,"",IF(OR(LEN(A1845)&lt;&gt;7,MID(A1845,5,1)&lt;&gt;"-",ISERROR(--LEFT(A1845,4)),ISERROR(--RIGHT(A1845,2))),"ERROR: PERIODO debe ser AAAA-MM",IF(B1845="","ERROR: falta CODIGO CECO",IF(G1845="CECO NO EXISTE","ERROR: CECO no existe en el catálogo",IF(C1845="","ERROR: falta CUENTA",IF(ISERROR(--C1845),"ERROR: CUENTA debe tener solo dígitos",IF(ISERROR(FIND(LEFT(C1845,1),"567")),"ERROR: CUENTA fuera de las clases de costo",IF(NOT(ISNUMBER(E1845)),"ERROR: VALOR debe ser numérico",IF(E1845=0,"AVISO: valor cero (no se carga)",IF(J1845&lt;&gt;"ACTIVO","NO SE CARGA: CECO en estado "&amp;J1845,"OK"))))))))))</f>
        <v/>
      </c>
    </row>
    <row r="1846">
      <c r="A1846" s="5" t="n"/>
      <c r="B1846" s="6" t="n"/>
      <c r="C1846" s="5" t="n"/>
      <c r="D1846" s="6" t="n"/>
      <c r="E1846" s="7" t="n"/>
      <c r="F1846" s="6" t="n"/>
      <c r="G1846" s="8">
        <f>IF(B1846="","",IFERROR(VLOOKUP(--B1846,'CATALOGO CECO'!$A$2:$H$550,2,FALSE),"CECO NO EXISTE"))</f>
        <v/>
      </c>
      <c r="H1846" s="8">
        <f>IF(B1846="","",IFERROR(VLOOKUP(--B1846,'CATALOGO CECO'!$A$2:$H$550,3,FALSE),""))</f>
        <v/>
      </c>
      <c r="I1846" s="8">
        <f>IF(B1846="","",IFERROR(VLOOKUP(--B1846,'CATALOGO CECO'!$A$2:$H$550,5,FALSE),""))</f>
        <v/>
      </c>
      <c r="J1846" s="8">
        <f>IF(B1846="","",IFERROR(VLOOKUP(--B1846,'CATALOGO CECO'!$A$2:$H$550,8,FALSE),""))</f>
        <v/>
      </c>
      <c r="K1846" s="8">
        <f>IF(COUNTA(A1846:F1846)=0,"",IF(OR(LEN(A1846)&lt;&gt;7,MID(A1846,5,1)&lt;&gt;"-",ISERROR(--LEFT(A1846,4)),ISERROR(--RIGHT(A1846,2))),"ERROR: PERIODO debe ser AAAA-MM",IF(B1846="","ERROR: falta CODIGO CECO",IF(G1846="CECO NO EXISTE","ERROR: CECO no existe en el catálogo",IF(C1846="","ERROR: falta CUENTA",IF(ISERROR(--C1846),"ERROR: CUENTA debe tener solo dígitos",IF(ISERROR(FIND(LEFT(C1846,1),"567")),"ERROR: CUENTA fuera de las clases de costo",IF(NOT(ISNUMBER(E1846)),"ERROR: VALOR debe ser numérico",IF(E1846=0,"AVISO: valor cero (no se carga)",IF(J1846&lt;&gt;"ACTIVO","NO SE CARGA: CECO en estado "&amp;J1846,"OK"))))))))))</f>
        <v/>
      </c>
    </row>
    <row r="1847">
      <c r="A1847" s="5" t="n"/>
      <c r="B1847" s="6" t="n"/>
      <c r="C1847" s="5" t="n"/>
      <c r="D1847" s="6" t="n"/>
      <c r="E1847" s="7" t="n"/>
      <c r="F1847" s="6" t="n"/>
      <c r="G1847" s="8">
        <f>IF(B1847="","",IFERROR(VLOOKUP(--B1847,'CATALOGO CECO'!$A$2:$H$550,2,FALSE),"CECO NO EXISTE"))</f>
        <v/>
      </c>
      <c r="H1847" s="8">
        <f>IF(B1847="","",IFERROR(VLOOKUP(--B1847,'CATALOGO CECO'!$A$2:$H$550,3,FALSE),""))</f>
        <v/>
      </c>
      <c r="I1847" s="8">
        <f>IF(B1847="","",IFERROR(VLOOKUP(--B1847,'CATALOGO CECO'!$A$2:$H$550,5,FALSE),""))</f>
        <v/>
      </c>
      <c r="J1847" s="8">
        <f>IF(B1847="","",IFERROR(VLOOKUP(--B1847,'CATALOGO CECO'!$A$2:$H$550,8,FALSE),""))</f>
        <v/>
      </c>
      <c r="K1847" s="8">
        <f>IF(COUNTA(A1847:F1847)=0,"",IF(OR(LEN(A1847)&lt;&gt;7,MID(A1847,5,1)&lt;&gt;"-",ISERROR(--LEFT(A1847,4)),ISERROR(--RIGHT(A1847,2))),"ERROR: PERIODO debe ser AAAA-MM",IF(B1847="","ERROR: falta CODIGO CECO",IF(G1847="CECO NO EXISTE","ERROR: CECO no existe en el catálogo",IF(C1847="","ERROR: falta CUENTA",IF(ISERROR(--C1847),"ERROR: CUENTA debe tener solo dígitos",IF(ISERROR(FIND(LEFT(C1847,1),"567")),"ERROR: CUENTA fuera de las clases de costo",IF(NOT(ISNUMBER(E1847)),"ERROR: VALOR debe ser numérico",IF(E1847=0,"AVISO: valor cero (no se carga)",IF(J1847&lt;&gt;"ACTIVO","NO SE CARGA: CECO en estado "&amp;J1847,"OK"))))))))))</f>
        <v/>
      </c>
    </row>
    <row r="1848">
      <c r="A1848" s="5" t="n"/>
      <c r="B1848" s="6" t="n"/>
      <c r="C1848" s="5" t="n"/>
      <c r="D1848" s="6" t="n"/>
      <c r="E1848" s="7" t="n"/>
      <c r="F1848" s="6" t="n"/>
      <c r="G1848" s="8">
        <f>IF(B1848="","",IFERROR(VLOOKUP(--B1848,'CATALOGO CECO'!$A$2:$H$550,2,FALSE),"CECO NO EXISTE"))</f>
        <v/>
      </c>
      <c r="H1848" s="8">
        <f>IF(B1848="","",IFERROR(VLOOKUP(--B1848,'CATALOGO CECO'!$A$2:$H$550,3,FALSE),""))</f>
        <v/>
      </c>
      <c r="I1848" s="8">
        <f>IF(B1848="","",IFERROR(VLOOKUP(--B1848,'CATALOGO CECO'!$A$2:$H$550,5,FALSE),""))</f>
        <v/>
      </c>
      <c r="J1848" s="8">
        <f>IF(B1848="","",IFERROR(VLOOKUP(--B1848,'CATALOGO CECO'!$A$2:$H$550,8,FALSE),""))</f>
        <v/>
      </c>
      <c r="K1848" s="8">
        <f>IF(COUNTA(A1848:F1848)=0,"",IF(OR(LEN(A1848)&lt;&gt;7,MID(A1848,5,1)&lt;&gt;"-",ISERROR(--LEFT(A1848,4)),ISERROR(--RIGHT(A1848,2))),"ERROR: PERIODO debe ser AAAA-MM",IF(B1848="","ERROR: falta CODIGO CECO",IF(G1848="CECO NO EXISTE","ERROR: CECO no existe en el catálogo",IF(C1848="","ERROR: falta CUENTA",IF(ISERROR(--C1848),"ERROR: CUENTA debe tener solo dígitos",IF(ISERROR(FIND(LEFT(C1848,1),"567")),"ERROR: CUENTA fuera de las clases de costo",IF(NOT(ISNUMBER(E1848)),"ERROR: VALOR debe ser numérico",IF(E1848=0,"AVISO: valor cero (no se carga)",IF(J1848&lt;&gt;"ACTIVO","NO SE CARGA: CECO en estado "&amp;J1848,"OK"))))))))))</f>
        <v/>
      </c>
    </row>
    <row r="1849">
      <c r="A1849" s="5" t="n"/>
      <c r="B1849" s="6" t="n"/>
      <c r="C1849" s="5" t="n"/>
      <c r="D1849" s="6" t="n"/>
      <c r="E1849" s="7" t="n"/>
      <c r="F1849" s="6" t="n"/>
      <c r="G1849" s="8">
        <f>IF(B1849="","",IFERROR(VLOOKUP(--B1849,'CATALOGO CECO'!$A$2:$H$550,2,FALSE),"CECO NO EXISTE"))</f>
        <v/>
      </c>
      <c r="H1849" s="8">
        <f>IF(B1849="","",IFERROR(VLOOKUP(--B1849,'CATALOGO CECO'!$A$2:$H$550,3,FALSE),""))</f>
        <v/>
      </c>
      <c r="I1849" s="8">
        <f>IF(B1849="","",IFERROR(VLOOKUP(--B1849,'CATALOGO CECO'!$A$2:$H$550,5,FALSE),""))</f>
        <v/>
      </c>
      <c r="J1849" s="8">
        <f>IF(B1849="","",IFERROR(VLOOKUP(--B1849,'CATALOGO CECO'!$A$2:$H$550,8,FALSE),""))</f>
        <v/>
      </c>
      <c r="K1849" s="8">
        <f>IF(COUNTA(A1849:F1849)=0,"",IF(OR(LEN(A1849)&lt;&gt;7,MID(A1849,5,1)&lt;&gt;"-",ISERROR(--LEFT(A1849,4)),ISERROR(--RIGHT(A1849,2))),"ERROR: PERIODO debe ser AAAA-MM",IF(B1849="","ERROR: falta CODIGO CECO",IF(G1849="CECO NO EXISTE","ERROR: CECO no existe en el catálogo",IF(C1849="","ERROR: falta CUENTA",IF(ISERROR(--C1849),"ERROR: CUENTA debe tener solo dígitos",IF(ISERROR(FIND(LEFT(C1849,1),"567")),"ERROR: CUENTA fuera de las clases de costo",IF(NOT(ISNUMBER(E1849)),"ERROR: VALOR debe ser numérico",IF(E1849=0,"AVISO: valor cero (no se carga)",IF(J1849&lt;&gt;"ACTIVO","NO SE CARGA: CECO en estado "&amp;J1849,"OK"))))))))))</f>
        <v/>
      </c>
    </row>
    <row r="1850">
      <c r="A1850" s="5" t="n"/>
      <c r="B1850" s="6" t="n"/>
      <c r="C1850" s="5" t="n"/>
      <c r="D1850" s="6" t="n"/>
      <c r="E1850" s="7" t="n"/>
      <c r="F1850" s="6" t="n"/>
      <c r="G1850" s="8">
        <f>IF(B1850="","",IFERROR(VLOOKUP(--B1850,'CATALOGO CECO'!$A$2:$H$550,2,FALSE),"CECO NO EXISTE"))</f>
        <v/>
      </c>
      <c r="H1850" s="8">
        <f>IF(B1850="","",IFERROR(VLOOKUP(--B1850,'CATALOGO CECO'!$A$2:$H$550,3,FALSE),""))</f>
        <v/>
      </c>
      <c r="I1850" s="8">
        <f>IF(B1850="","",IFERROR(VLOOKUP(--B1850,'CATALOGO CECO'!$A$2:$H$550,5,FALSE),""))</f>
        <v/>
      </c>
      <c r="J1850" s="8">
        <f>IF(B1850="","",IFERROR(VLOOKUP(--B1850,'CATALOGO CECO'!$A$2:$H$550,8,FALSE),""))</f>
        <v/>
      </c>
      <c r="K1850" s="8">
        <f>IF(COUNTA(A1850:F1850)=0,"",IF(OR(LEN(A1850)&lt;&gt;7,MID(A1850,5,1)&lt;&gt;"-",ISERROR(--LEFT(A1850,4)),ISERROR(--RIGHT(A1850,2))),"ERROR: PERIODO debe ser AAAA-MM",IF(B1850="","ERROR: falta CODIGO CECO",IF(G1850="CECO NO EXISTE","ERROR: CECO no existe en el catálogo",IF(C1850="","ERROR: falta CUENTA",IF(ISERROR(--C1850),"ERROR: CUENTA debe tener solo dígitos",IF(ISERROR(FIND(LEFT(C1850,1),"567")),"ERROR: CUENTA fuera de las clases de costo",IF(NOT(ISNUMBER(E1850)),"ERROR: VALOR debe ser numérico",IF(E1850=0,"AVISO: valor cero (no se carga)",IF(J1850&lt;&gt;"ACTIVO","NO SE CARGA: CECO en estado "&amp;J1850,"OK"))))))))))</f>
        <v/>
      </c>
    </row>
    <row r="1851">
      <c r="A1851" s="5" t="n"/>
      <c r="B1851" s="6" t="n"/>
      <c r="C1851" s="5" t="n"/>
      <c r="D1851" s="6" t="n"/>
      <c r="E1851" s="7" t="n"/>
      <c r="F1851" s="6" t="n"/>
      <c r="G1851" s="8">
        <f>IF(B1851="","",IFERROR(VLOOKUP(--B1851,'CATALOGO CECO'!$A$2:$H$550,2,FALSE),"CECO NO EXISTE"))</f>
        <v/>
      </c>
      <c r="H1851" s="8">
        <f>IF(B1851="","",IFERROR(VLOOKUP(--B1851,'CATALOGO CECO'!$A$2:$H$550,3,FALSE),""))</f>
        <v/>
      </c>
      <c r="I1851" s="8">
        <f>IF(B1851="","",IFERROR(VLOOKUP(--B1851,'CATALOGO CECO'!$A$2:$H$550,5,FALSE),""))</f>
        <v/>
      </c>
      <c r="J1851" s="8">
        <f>IF(B1851="","",IFERROR(VLOOKUP(--B1851,'CATALOGO CECO'!$A$2:$H$550,8,FALSE),""))</f>
        <v/>
      </c>
      <c r="K1851" s="8">
        <f>IF(COUNTA(A1851:F1851)=0,"",IF(OR(LEN(A1851)&lt;&gt;7,MID(A1851,5,1)&lt;&gt;"-",ISERROR(--LEFT(A1851,4)),ISERROR(--RIGHT(A1851,2))),"ERROR: PERIODO debe ser AAAA-MM",IF(B1851="","ERROR: falta CODIGO CECO",IF(G1851="CECO NO EXISTE","ERROR: CECO no existe en el catálogo",IF(C1851="","ERROR: falta CUENTA",IF(ISERROR(--C1851),"ERROR: CUENTA debe tener solo dígitos",IF(ISERROR(FIND(LEFT(C1851,1),"567")),"ERROR: CUENTA fuera de las clases de costo",IF(NOT(ISNUMBER(E1851)),"ERROR: VALOR debe ser numérico",IF(E1851=0,"AVISO: valor cero (no se carga)",IF(J1851&lt;&gt;"ACTIVO","NO SE CARGA: CECO en estado "&amp;J1851,"OK"))))))))))</f>
        <v/>
      </c>
    </row>
    <row r="1852">
      <c r="A1852" s="5" t="n"/>
      <c r="B1852" s="6" t="n"/>
      <c r="C1852" s="5" t="n"/>
      <c r="D1852" s="6" t="n"/>
      <c r="E1852" s="7" t="n"/>
      <c r="F1852" s="6" t="n"/>
      <c r="G1852" s="8">
        <f>IF(B1852="","",IFERROR(VLOOKUP(--B1852,'CATALOGO CECO'!$A$2:$H$550,2,FALSE),"CECO NO EXISTE"))</f>
        <v/>
      </c>
      <c r="H1852" s="8">
        <f>IF(B1852="","",IFERROR(VLOOKUP(--B1852,'CATALOGO CECO'!$A$2:$H$550,3,FALSE),""))</f>
        <v/>
      </c>
      <c r="I1852" s="8">
        <f>IF(B1852="","",IFERROR(VLOOKUP(--B1852,'CATALOGO CECO'!$A$2:$H$550,5,FALSE),""))</f>
        <v/>
      </c>
      <c r="J1852" s="8">
        <f>IF(B1852="","",IFERROR(VLOOKUP(--B1852,'CATALOGO CECO'!$A$2:$H$550,8,FALSE),""))</f>
        <v/>
      </c>
      <c r="K1852" s="8">
        <f>IF(COUNTA(A1852:F1852)=0,"",IF(OR(LEN(A1852)&lt;&gt;7,MID(A1852,5,1)&lt;&gt;"-",ISERROR(--LEFT(A1852,4)),ISERROR(--RIGHT(A1852,2))),"ERROR: PERIODO debe ser AAAA-MM",IF(B1852="","ERROR: falta CODIGO CECO",IF(G1852="CECO NO EXISTE","ERROR: CECO no existe en el catálogo",IF(C1852="","ERROR: falta CUENTA",IF(ISERROR(--C1852),"ERROR: CUENTA debe tener solo dígitos",IF(ISERROR(FIND(LEFT(C1852,1),"567")),"ERROR: CUENTA fuera de las clases de costo",IF(NOT(ISNUMBER(E1852)),"ERROR: VALOR debe ser numérico",IF(E1852=0,"AVISO: valor cero (no se carga)",IF(J1852&lt;&gt;"ACTIVO","NO SE CARGA: CECO en estado "&amp;J1852,"OK"))))))))))</f>
        <v/>
      </c>
    </row>
    <row r="1853">
      <c r="A1853" s="5" t="n"/>
      <c r="B1853" s="6" t="n"/>
      <c r="C1853" s="5" t="n"/>
      <c r="D1853" s="6" t="n"/>
      <c r="E1853" s="7" t="n"/>
      <c r="F1853" s="6" t="n"/>
      <c r="G1853" s="8">
        <f>IF(B1853="","",IFERROR(VLOOKUP(--B1853,'CATALOGO CECO'!$A$2:$H$550,2,FALSE),"CECO NO EXISTE"))</f>
        <v/>
      </c>
      <c r="H1853" s="8">
        <f>IF(B1853="","",IFERROR(VLOOKUP(--B1853,'CATALOGO CECO'!$A$2:$H$550,3,FALSE),""))</f>
        <v/>
      </c>
      <c r="I1853" s="8">
        <f>IF(B1853="","",IFERROR(VLOOKUP(--B1853,'CATALOGO CECO'!$A$2:$H$550,5,FALSE),""))</f>
        <v/>
      </c>
      <c r="J1853" s="8">
        <f>IF(B1853="","",IFERROR(VLOOKUP(--B1853,'CATALOGO CECO'!$A$2:$H$550,8,FALSE),""))</f>
        <v/>
      </c>
      <c r="K1853" s="8">
        <f>IF(COUNTA(A1853:F1853)=0,"",IF(OR(LEN(A1853)&lt;&gt;7,MID(A1853,5,1)&lt;&gt;"-",ISERROR(--LEFT(A1853,4)),ISERROR(--RIGHT(A1853,2))),"ERROR: PERIODO debe ser AAAA-MM",IF(B1853="","ERROR: falta CODIGO CECO",IF(G1853="CECO NO EXISTE","ERROR: CECO no existe en el catálogo",IF(C1853="","ERROR: falta CUENTA",IF(ISERROR(--C1853),"ERROR: CUENTA debe tener solo dígitos",IF(ISERROR(FIND(LEFT(C1853,1),"567")),"ERROR: CUENTA fuera de las clases de costo",IF(NOT(ISNUMBER(E1853)),"ERROR: VALOR debe ser numérico",IF(E1853=0,"AVISO: valor cero (no se carga)",IF(J1853&lt;&gt;"ACTIVO","NO SE CARGA: CECO en estado "&amp;J1853,"OK"))))))))))</f>
        <v/>
      </c>
    </row>
    <row r="1854">
      <c r="A1854" s="5" t="n"/>
      <c r="B1854" s="6" t="n"/>
      <c r="C1854" s="5" t="n"/>
      <c r="D1854" s="6" t="n"/>
      <c r="E1854" s="7" t="n"/>
      <c r="F1854" s="6" t="n"/>
      <c r="G1854" s="8">
        <f>IF(B1854="","",IFERROR(VLOOKUP(--B1854,'CATALOGO CECO'!$A$2:$H$550,2,FALSE),"CECO NO EXISTE"))</f>
        <v/>
      </c>
      <c r="H1854" s="8">
        <f>IF(B1854="","",IFERROR(VLOOKUP(--B1854,'CATALOGO CECO'!$A$2:$H$550,3,FALSE),""))</f>
        <v/>
      </c>
      <c r="I1854" s="8">
        <f>IF(B1854="","",IFERROR(VLOOKUP(--B1854,'CATALOGO CECO'!$A$2:$H$550,5,FALSE),""))</f>
        <v/>
      </c>
      <c r="J1854" s="8">
        <f>IF(B1854="","",IFERROR(VLOOKUP(--B1854,'CATALOGO CECO'!$A$2:$H$550,8,FALSE),""))</f>
        <v/>
      </c>
      <c r="K1854" s="8">
        <f>IF(COUNTA(A1854:F1854)=0,"",IF(OR(LEN(A1854)&lt;&gt;7,MID(A1854,5,1)&lt;&gt;"-",ISERROR(--LEFT(A1854,4)),ISERROR(--RIGHT(A1854,2))),"ERROR: PERIODO debe ser AAAA-MM",IF(B1854="","ERROR: falta CODIGO CECO",IF(G1854="CECO NO EXISTE","ERROR: CECO no existe en el catálogo",IF(C1854="","ERROR: falta CUENTA",IF(ISERROR(--C1854),"ERROR: CUENTA debe tener solo dígitos",IF(ISERROR(FIND(LEFT(C1854,1),"567")),"ERROR: CUENTA fuera de las clases de costo",IF(NOT(ISNUMBER(E1854)),"ERROR: VALOR debe ser numérico",IF(E1854=0,"AVISO: valor cero (no se carga)",IF(J1854&lt;&gt;"ACTIVO","NO SE CARGA: CECO en estado "&amp;J1854,"OK"))))))))))</f>
        <v/>
      </c>
    </row>
    <row r="1855">
      <c r="A1855" s="5" t="n"/>
      <c r="B1855" s="6" t="n"/>
      <c r="C1855" s="5" t="n"/>
      <c r="D1855" s="6" t="n"/>
      <c r="E1855" s="7" t="n"/>
      <c r="F1855" s="6" t="n"/>
      <c r="G1855" s="8">
        <f>IF(B1855="","",IFERROR(VLOOKUP(--B1855,'CATALOGO CECO'!$A$2:$H$550,2,FALSE),"CECO NO EXISTE"))</f>
        <v/>
      </c>
      <c r="H1855" s="8">
        <f>IF(B1855="","",IFERROR(VLOOKUP(--B1855,'CATALOGO CECO'!$A$2:$H$550,3,FALSE),""))</f>
        <v/>
      </c>
      <c r="I1855" s="8">
        <f>IF(B1855="","",IFERROR(VLOOKUP(--B1855,'CATALOGO CECO'!$A$2:$H$550,5,FALSE),""))</f>
        <v/>
      </c>
      <c r="J1855" s="8">
        <f>IF(B1855="","",IFERROR(VLOOKUP(--B1855,'CATALOGO CECO'!$A$2:$H$550,8,FALSE),""))</f>
        <v/>
      </c>
      <c r="K1855" s="8">
        <f>IF(COUNTA(A1855:F1855)=0,"",IF(OR(LEN(A1855)&lt;&gt;7,MID(A1855,5,1)&lt;&gt;"-",ISERROR(--LEFT(A1855,4)),ISERROR(--RIGHT(A1855,2))),"ERROR: PERIODO debe ser AAAA-MM",IF(B1855="","ERROR: falta CODIGO CECO",IF(G1855="CECO NO EXISTE","ERROR: CECO no existe en el catálogo",IF(C1855="","ERROR: falta CUENTA",IF(ISERROR(--C1855),"ERROR: CUENTA debe tener solo dígitos",IF(ISERROR(FIND(LEFT(C1855,1),"567")),"ERROR: CUENTA fuera de las clases de costo",IF(NOT(ISNUMBER(E1855)),"ERROR: VALOR debe ser numérico",IF(E1855=0,"AVISO: valor cero (no se carga)",IF(J1855&lt;&gt;"ACTIVO","NO SE CARGA: CECO en estado "&amp;J1855,"OK"))))))))))</f>
        <v/>
      </c>
    </row>
    <row r="1856">
      <c r="A1856" s="5" t="n"/>
      <c r="B1856" s="6" t="n"/>
      <c r="C1856" s="5" t="n"/>
      <c r="D1856" s="6" t="n"/>
      <c r="E1856" s="7" t="n"/>
      <c r="F1856" s="6" t="n"/>
      <c r="G1856" s="8">
        <f>IF(B1856="","",IFERROR(VLOOKUP(--B1856,'CATALOGO CECO'!$A$2:$H$550,2,FALSE),"CECO NO EXISTE"))</f>
        <v/>
      </c>
      <c r="H1856" s="8">
        <f>IF(B1856="","",IFERROR(VLOOKUP(--B1856,'CATALOGO CECO'!$A$2:$H$550,3,FALSE),""))</f>
        <v/>
      </c>
      <c r="I1856" s="8">
        <f>IF(B1856="","",IFERROR(VLOOKUP(--B1856,'CATALOGO CECO'!$A$2:$H$550,5,FALSE),""))</f>
        <v/>
      </c>
      <c r="J1856" s="8">
        <f>IF(B1856="","",IFERROR(VLOOKUP(--B1856,'CATALOGO CECO'!$A$2:$H$550,8,FALSE),""))</f>
        <v/>
      </c>
      <c r="K1856" s="8">
        <f>IF(COUNTA(A1856:F1856)=0,"",IF(OR(LEN(A1856)&lt;&gt;7,MID(A1856,5,1)&lt;&gt;"-",ISERROR(--LEFT(A1856,4)),ISERROR(--RIGHT(A1856,2))),"ERROR: PERIODO debe ser AAAA-MM",IF(B1856="","ERROR: falta CODIGO CECO",IF(G1856="CECO NO EXISTE","ERROR: CECO no existe en el catálogo",IF(C1856="","ERROR: falta CUENTA",IF(ISERROR(--C1856),"ERROR: CUENTA debe tener solo dígitos",IF(ISERROR(FIND(LEFT(C1856,1),"567")),"ERROR: CUENTA fuera de las clases de costo",IF(NOT(ISNUMBER(E1856)),"ERROR: VALOR debe ser numérico",IF(E1856=0,"AVISO: valor cero (no se carga)",IF(J1856&lt;&gt;"ACTIVO","NO SE CARGA: CECO en estado "&amp;J1856,"OK"))))))))))</f>
        <v/>
      </c>
    </row>
    <row r="1857">
      <c r="A1857" s="5" t="n"/>
      <c r="B1857" s="6" t="n"/>
      <c r="C1857" s="5" t="n"/>
      <c r="D1857" s="6" t="n"/>
      <c r="E1857" s="7" t="n"/>
      <c r="F1857" s="6" t="n"/>
      <c r="G1857" s="8">
        <f>IF(B1857="","",IFERROR(VLOOKUP(--B1857,'CATALOGO CECO'!$A$2:$H$550,2,FALSE),"CECO NO EXISTE"))</f>
        <v/>
      </c>
      <c r="H1857" s="8">
        <f>IF(B1857="","",IFERROR(VLOOKUP(--B1857,'CATALOGO CECO'!$A$2:$H$550,3,FALSE),""))</f>
        <v/>
      </c>
      <c r="I1857" s="8">
        <f>IF(B1857="","",IFERROR(VLOOKUP(--B1857,'CATALOGO CECO'!$A$2:$H$550,5,FALSE),""))</f>
        <v/>
      </c>
      <c r="J1857" s="8">
        <f>IF(B1857="","",IFERROR(VLOOKUP(--B1857,'CATALOGO CECO'!$A$2:$H$550,8,FALSE),""))</f>
        <v/>
      </c>
      <c r="K1857" s="8">
        <f>IF(COUNTA(A1857:F1857)=0,"",IF(OR(LEN(A1857)&lt;&gt;7,MID(A1857,5,1)&lt;&gt;"-",ISERROR(--LEFT(A1857,4)),ISERROR(--RIGHT(A1857,2))),"ERROR: PERIODO debe ser AAAA-MM",IF(B1857="","ERROR: falta CODIGO CECO",IF(G1857="CECO NO EXISTE","ERROR: CECO no existe en el catálogo",IF(C1857="","ERROR: falta CUENTA",IF(ISERROR(--C1857),"ERROR: CUENTA debe tener solo dígitos",IF(ISERROR(FIND(LEFT(C1857,1),"567")),"ERROR: CUENTA fuera de las clases de costo",IF(NOT(ISNUMBER(E1857)),"ERROR: VALOR debe ser numérico",IF(E1857=0,"AVISO: valor cero (no se carga)",IF(J1857&lt;&gt;"ACTIVO","NO SE CARGA: CECO en estado "&amp;J1857,"OK"))))))))))</f>
        <v/>
      </c>
    </row>
    <row r="1858">
      <c r="A1858" s="5" t="n"/>
      <c r="B1858" s="6" t="n"/>
      <c r="C1858" s="5" t="n"/>
      <c r="D1858" s="6" t="n"/>
      <c r="E1858" s="7" t="n"/>
      <c r="F1858" s="6" t="n"/>
      <c r="G1858" s="8">
        <f>IF(B1858="","",IFERROR(VLOOKUP(--B1858,'CATALOGO CECO'!$A$2:$H$550,2,FALSE),"CECO NO EXISTE"))</f>
        <v/>
      </c>
      <c r="H1858" s="8">
        <f>IF(B1858="","",IFERROR(VLOOKUP(--B1858,'CATALOGO CECO'!$A$2:$H$550,3,FALSE),""))</f>
        <v/>
      </c>
      <c r="I1858" s="8">
        <f>IF(B1858="","",IFERROR(VLOOKUP(--B1858,'CATALOGO CECO'!$A$2:$H$550,5,FALSE),""))</f>
        <v/>
      </c>
      <c r="J1858" s="8">
        <f>IF(B1858="","",IFERROR(VLOOKUP(--B1858,'CATALOGO CECO'!$A$2:$H$550,8,FALSE),""))</f>
        <v/>
      </c>
      <c r="K1858" s="8">
        <f>IF(COUNTA(A1858:F1858)=0,"",IF(OR(LEN(A1858)&lt;&gt;7,MID(A1858,5,1)&lt;&gt;"-",ISERROR(--LEFT(A1858,4)),ISERROR(--RIGHT(A1858,2))),"ERROR: PERIODO debe ser AAAA-MM",IF(B1858="","ERROR: falta CODIGO CECO",IF(G1858="CECO NO EXISTE","ERROR: CECO no existe en el catálogo",IF(C1858="","ERROR: falta CUENTA",IF(ISERROR(--C1858),"ERROR: CUENTA debe tener solo dígitos",IF(ISERROR(FIND(LEFT(C1858,1),"567")),"ERROR: CUENTA fuera de las clases de costo",IF(NOT(ISNUMBER(E1858)),"ERROR: VALOR debe ser numérico",IF(E1858=0,"AVISO: valor cero (no se carga)",IF(J1858&lt;&gt;"ACTIVO","NO SE CARGA: CECO en estado "&amp;J1858,"OK"))))))))))</f>
        <v/>
      </c>
    </row>
    <row r="1859">
      <c r="A1859" s="5" t="n"/>
      <c r="B1859" s="6" t="n"/>
      <c r="C1859" s="5" t="n"/>
      <c r="D1859" s="6" t="n"/>
      <c r="E1859" s="7" t="n"/>
      <c r="F1859" s="6" t="n"/>
      <c r="G1859" s="8">
        <f>IF(B1859="","",IFERROR(VLOOKUP(--B1859,'CATALOGO CECO'!$A$2:$H$550,2,FALSE),"CECO NO EXISTE"))</f>
        <v/>
      </c>
      <c r="H1859" s="8">
        <f>IF(B1859="","",IFERROR(VLOOKUP(--B1859,'CATALOGO CECO'!$A$2:$H$550,3,FALSE),""))</f>
        <v/>
      </c>
      <c r="I1859" s="8">
        <f>IF(B1859="","",IFERROR(VLOOKUP(--B1859,'CATALOGO CECO'!$A$2:$H$550,5,FALSE),""))</f>
        <v/>
      </c>
      <c r="J1859" s="8">
        <f>IF(B1859="","",IFERROR(VLOOKUP(--B1859,'CATALOGO CECO'!$A$2:$H$550,8,FALSE),""))</f>
        <v/>
      </c>
      <c r="K1859" s="8">
        <f>IF(COUNTA(A1859:F1859)=0,"",IF(OR(LEN(A1859)&lt;&gt;7,MID(A1859,5,1)&lt;&gt;"-",ISERROR(--LEFT(A1859,4)),ISERROR(--RIGHT(A1859,2))),"ERROR: PERIODO debe ser AAAA-MM",IF(B1859="","ERROR: falta CODIGO CECO",IF(G1859="CECO NO EXISTE","ERROR: CECO no existe en el catálogo",IF(C1859="","ERROR: falta CUENTA",IF(ISERROR(--C1859),"ERROR: CUENTA debe tener solo dígitos",IF(ISERROR(FIND(LEFT(C1859,1),"567")),"ERROR: CUENTA fuera de las clases de costo",IF(NOT(ISNUMBER(E1859)),"ERROR: VALOR debe ser numérico",IF(E1859=0,"AVISO: valor cero (no se carga)",IF(J1859&lt;&gt;"ACTIVO","NO SE CARGA: CECO en estado "&amp;J1859,"OK"))))))))))</f>
        <v/>
      </c>
    </row>
    <row r="1860">
      <c r="A1860" s="5" t="n"/>
      <c r="B1860" s="6" t="n"/>
      <c r="C1860" s="5" t="n"/>
      <c r="D1860" s="6" t="n"/>
      <c r="E1860" s="7" t="n"/>
      <c r="F1860" s="6" t="n"/>
      <c r="G1860" s="8">
        <f>IF(B1860="","",IFERROR(VLOOKUP(--B1860,'CATALOGO CECO'!$A$2:$H$550,2,FALSE),"CECO NO EXISTE"))</f>
        <v/>
      </c>
      <c r="H1860" s="8">
        <f>IF(B1860="","",IFERROR(VLOOKUP(--B1860,'CATALOGO CECO'!$A$2:$H$550,3,FALSE),""))</f>
        <v/>
      </c>
      <c r="I1860" s="8">
        <f>IF(B1860="","",IFERROR(VLOOKUP(--B1860,'CATALOGO CECO'!$A$2:$H$550,5,FALSE),""))</f>
        <v/>
      </c>
      <c r="J1860" s="8">
        <f>IF(B1860="","",IFERROR(VLOOKUP(--B1860,'CATALOGO CECO'!$A$2:$H$550,8,FALSE),""))</f>
        <v/>
      </c>
      <c r="K1860" s="8">
        <f>IF(COUNTA(A1860:F1860)=0,"",IF(OR(LEN(A1860)&lt;&gt;7,MID(A1860,5,1)&lt;&gt;"-",ISERROR(--LEFT(A1860,4)),ISERROR(--RIGHT(A1860,2))),"ERROR: PERIODO debe ser AAAA-MM",IF(B1860="","ERROR: falta CODIGO CECO",IF(G1860="CECO NO EXISTE","ERROR: CECO no existe en el catálogo",IF(C1860="","ERROR: falta CUENTA",IF(ISERROR(--C1860),"ERROR: CUENTA debe tener solo dígitos",IF(ISERROR(FIND(LEFT(C1860,1),"567")),"ERROR: CUENTA fuera de las clases de costo",IF(NOT(ISNUMBER(E1860)),"ERROR: VALOR debe ser numérico",IF(E1860=0,"AVISO: valor cero (no se carga)",IF(J1860&lt;&gt;"ACTIVO","NO SE CARGA: CECO en estado "&amp;J1860,"OK"))))))))))</f>
        <v/>
      </c>
    </row>
    <row r="1861">
      <c r="A1861" s="5" t="n"/>
      <c r="B1861" s="6" t="n"/>
      <c r="C1861" s="5" t="n"/>
      <c r="D1861" s="6" t="n"/>
      <c r="E1861" s="7" t="n"/>
      <c r="F1861" s="6" t="n"/>
      <c r="G1861" s="8">
        <f>IF(B1861="","",IFERROR(VLOOKUP(--B1861,'CATALOGO CECO'!$A$2:$H$550,2,FALSE),"CECO NO EXISTE"))</f>
        <v/>
      </c>
      <c r="H1861" s="8">
        <f>IF(B1861="","",IFERROR(VLOOKUP(--B1861,'CATALOGO CECO'!$A$2:$H$550,3,FALSE),""))</f>
        <v/>
      </c>
      <c r="I1861" s="8">
        <f>IF(B1861="","",IFERROR(VLOOKUP(--B1861,'CATALOGO CECO'!$A$2:$H$550,5,FALSE),""))</f>
        <v/>
      </c>
      <c r="J1861" s="8">
        <f>IF(B1861="","",IFERROR(VLOOKUP(--B1861,'CATALOGO CECO'!$A$2:$H$550,8,FALSE),""))</f>
        <v/>
      </c>
      <c r="K1861" s="8">
        <f>IF(COUNTA(A1861:F1861)=0,"",IF(OR(LEN(A1861)&lt;&gt;7,MID(A1861,5,1)&lt;&gt;"-",ISERROR(--LEFT(A1861,4)),ISERROR(--RIGHT(A1861,2))),"ERROR: PERIODO debe ser AAAA-MM",IF(B1861="","ERROR: falta CODIGO CECO",IF(G1861="CECO NO EXISTE","ERROR: CECO no existe en el catálogo",IF(C1861="","ERROR: falta CUENTA",IF(ISERROR(--C1861),"ERROR: CUENTA debe tener solo dígitos",IF(ISERROR(FIND(LEFT(C1861,1),"567")),"ERROR: CUENTA fuera de las clases de costo",IF(NOT(ISNUMBER(E1861)),"ERROR: VALOR debe ser numérico",IF(E1861=0,"AVISO: valor cero (no se carga)",IF(J1861&lt;&gt;"ACTIVO","NO SE CARGA: CECO en estado "&amp;J1861,"OK"))))))))))</f>
        <v/>
      </c>
    </row>
    <row r="1862">
      <c r="A1862" s="5" t="n"/>
      <c r="B1862" s="6" t="n"/>
      <c r="C1862" s="5" t="n"/>
      <c r="D1862" s="6" t="n"/>
      <c r="E1862" s="7" t="n"/>
      <c r="F1862" s="6" t="n"/>
      <c r="G1862" s="8">
        <f>IF(B1862="","",IFERROR(VLOOKUP(--B1862,'CATALOGO CECO'!$A$2:$H$550,2,FALSE),"CECO NO EXISTE"))</f>
        <v/>
      </c>
      <c r="H1862" s="8">
        <f>IF(B1862="","",IFERROR(VLOOKUP(--B1862,'CATALOGO CECO'!$A$2:$H$550,3,FALSE),""))</f>
        <v/>
      </c>
      <c r="I1862" s="8">
        <f>IF(B1862="","",IFERROR(VLOOKUP(--B1862,'CATALOGO CECO'!$A$2:$H$550,5,FALSE),""))</f>
        <v/>
      </c>
      <c r="J1862" s="8">
        <f>IF(B1862="","",IFERROR(VLOOKUP(--B1862,'CATALOGO CECO'!$A$2:$H$550,8,FALSE),""))</f>
        <v/>
      </c>
      <c r="K1862" s="8">
        <f>IF(COUNTA(A1862:F1862)=0,"",IF(OR(LEN(A1862)&lt;&gt;7,MID(A1862,5,1)&lt;&gt;"-",ISERROR(--LEFT(A1862,4)),ISERROR(--RIGHT(A1862,2))),"ERROR: PERIODO debe ser AAAA-MM",IF(B1862="","ERROR: falta CODIGO CECO",IF(G1862="CECO NO EXISTE","ERROR: CECO no existe en el catálogo",IF(C1862="","ERROR: falta CUENTA",IF(ISERROR(--C1862),"ERROR: CUENTA debe tener solo dígitos",IF(ISERROR(FIND(LEFT(C1862,1),"567")),"ERROR: CUENTA fuera de las clases de costo",IF(NOT(ISNUMBER(E1862)),"ERROR: VALOR debe ser numérico",IF(E1862=0,"AVISO: valor cero (no se carga)",IF(J1862&lt;&gt;"ACTIVO","NO SE CARGA: CECO en estado "&amp;J1862,"OK"))))))))))</f>
        <v/>
      </c>
    </row>
    <row r="1863">
      <c r="A1863" s="5" t="n"/>
      <c r="B1863" s="6" t="n"/>
      <c r="C1863" s="5" t="n"/>
      <c r="D1863" s="6" t="n"/>
      <c r="E1863" s="7" t="n"/>
      <c r="F1863" s="6" t="n"/>
      <c r="G1863" s="8">
        <f>IF(B1863="","",IFERROR(VLOOKUP(--B1863,'CATALOGO CECO'!$A$2:$H$550,2,FALSE),"CECO NO EXISTE"))</f>
        <v/>
      </c>
      <c r="H1863" s="8">
        <f>IF(B1863="","",IFERROR(VLOOKUP(--B1863,'CATALOGO CECO'!$A$2:$H$550,3,FALSE),""))</f>
        <v/>
      </c>
      <c r="I1863" s="8">
        <f>IF(B1863="","",IFERROR(VLOOKUP(--B1863,'CATALOGO CECO'!$A$2:$H$550,5,FALSE),""))</f>
        <v/>
      </c>
      <c r="J1863" s="8">
        <f>IF(B1863="","",IFERROR(VLOOKUP(--B1863,'CATALOGO CECO'!$A$2:$H$550,8,FALSE),""))</f>
        <v/>
      </c>
      <c r="K1863" s="8">
        <f>IF(COUNTA(A1863:F1863)=0,"",IF(OR(LEN(A1863)&lt;&gt;7,MID(A1863,5,1)&lt;&gt;"-",ISERROR(--LEFT(A1863,4)),ISERROR(--RIGHT(A1863,2))),"ERROR: PERIODO debe ser AAAA-MM",IF(B1863="","ERROR: falta CODIGO CECO",IF(G1863="CECO NO EXISTE","ERROR: CECO no existe en el catálogo",IF(C1863="","ERROR: falta CUENTA",IF(ISERROR(--C1863),"ERROR: CUENTA debe tener solo dígitos",IF(ISERROR(FIND(LEFT(C1863,1),"567")),"ERROR: CUENTA fuera de las clases de costo",IF(NOT(ISNUMBER(E1863)),"ERROR: VALOR debe ser numérico",IF(E1863=0,"AVISO: valor cero (no se carga)",IF(J1863&lt;&gt;"ACTIVO","NO SE CARGA: CECO en estado "&amp;J1863,"OK"))))))))))</f>
        <v/>
      </c>
    </row>
    <row r="1864">
      <c r="A1864" s="5" t="n"/>
      <c r="B1864" s="6" t="n"/>
      <c r="C1864" s="5" t="n"/>
      <c r="D1864" s="6" t="n"/>
      <c r="E1864" s="7" t="n"/>
      <c r="F1864" s="6" t="n"/>
      <c r="G1864" s="8">
        <f>IF(B1864="","",IFERROR(VLOOKUP(--B1864,'CATALOGO CECO'!$A$2:$H$550,2,FALSE),"CECO NO EXISTE"))</f>
        <v/>
      </c>
      <c r="H1864" s="8">
        <f>IF(B1864="","",IFERROR(VLOOKUP(--B1864,'CATALOGO CECO'!$A$2:$H$550,3,FALSE),""))</f>
        <v/>
      </c>
      <c r="I1864" s="8">
        <f>IF(B1864="","",IFERROR(VLOOKUP(--B1864,'CATALOGO CECO'!$A$2:$H$550,5,FALSE),""))</f>
        <v/>
      </c>
      <c r="J1864" s="8">
        <f>IF(B1864="","",IFERROR(VLOOKUP(--B1864,'CATALOGO CECO'!$A$2:$H$550,8,FALSE),""))</f>
        <v/>
      </c>
      <c r="K1864" s="8">
        <f>IF(COUNTA(A1864:F1864)=0,"",IF(OR(LEN(A1864)&lt;&gt;7,MID(A1864,5,1)&lt;&gt;"-",ISERROR(--LEFT(A1864,4)),ISERROR(--RIGHT(A1864,2))),"ERROR: PERIODO debe ser AAAA-MM",IF(B1864="","ERROR: falta CODIGO CECO",IF(G1864="CECO NO EXISTE","ERROR: CECO no existe en el catálogo",IF(C1864="","ERROR: falta CUENTA",IF(ISERROR(--C1864),"ERROR: CUENTA debe tener solo dígitos",IF(ISERROR(FIND(LEFT(C1864,1),"567")),"ERROR: CUENTA fuera de las clases de costo",IF(NOT(ISNUMBER(E1864)),"ERROR: VALOR debe ser numérico",IF(E1864=0,"AVISO: valor cero (no se carga)",IF(J1864&lt;&gt;"ACTIVO","NO SE CARGA: CECO en estado "&amp;J1864,"OK"))))))))))</f>
        <v/>
      </c>
    </row>
    <row r="1865">
      <c r="A1865" s="5" t="n"/>
      <c r="B1865" s="6" t="n"/>
      <c r="C1865" s="5" t="n"/>
      <c r="D1865" s="6" t="n"/>
      <c r="E1865" s="7" t="n"/>
      <c r="F1865" s="6" t="n"/>
      <c r="G1865" s="8">
        <f>IF(B1865="","",IFERROR(VLOOKUP(--B1865,'CATALOGO CECO'!$A$2:$H$550,2,FALSE),"CECO NO EXISTE"))</f>
        <v/>
      </c>
      <c r="H1865" s="8">
        <f>IF(B1865="","",IFERROR(VLOOKUP(--B1865,'CATALOGO CECO'!$A$2:$H$550,3,FALSE),""))</f>
        <v/>
      </c>
      <c r="I1865" s="8">
        <f>IF(B1865="","",IFERROR(VLOOKUP(--B1865,'CATALOGO CECO'!$A$2:$H$550,5,FALSE),""))</f>
        <v/>
      </c>
      <c r="J1865" s="8">
        <f>IF(B1865="","",IFERROR(VLOOKUP(--B1865,'CATALOGO CECO'!$A$2:$H$550,8,FALSE),""))</f>
        <v/>
      </c>
      <c r="K1865" s="8">
        <f>IF(COUNTA(A1865:F1865)=0,"",IF(OR(LEN(A1865)&lt;&gt;7,MID(A1865,5,1)&lt;&gt;"-",ISERROR(--LEFT(A1865,4)),ISERROR(--RIGHT(A1865,2))),"ERROR: PERIODO debe ser AAAA-MM",IF(B1865="","ERROR: falta CODIGO CECO",IF(G1865="CECO NO EXISTE","ERROR: CECO no existe en el catálogo",IF(C1865="","ERROR: falta CUENTA",IF(ISERROR(--C1865),"ERROR: CUENTA debe tener solo dígitos",IF(ISERROR(FIND(LEFT(C1865,1),"567")),"ERROR: CUENTA fuera de las clases de costo",IF(NOT(ISNUMBER(E1865)),"ERROR: VALOR debe ser numérico",IF(E1865=0,"AVISO: valor cero (no se carga)",IF(J1865&lt;&gt;"ACTIVO","NO SE CARGA: CECO en estado "&amp;J1865,"OK"))))))))))</f>
        <v/>
      </c>
    </row>
    <row r="1866">
      <c r="A1866" s="5" t="n"/>
      <c r="B1866" s="6" t="n"/>
      <c r="C1866" s="5" t="n"/>
      <c r="D1866" s="6" t="n"/>
      <c r="E1866" s="7" t="n"/>
      <c r="F1866" s="6" t="n"/>
      <c r="G1866" s="8">
        <f>IF(B1866="","",IFERROR(VLOOKUP(--B1866,'CATALOGO CECO'!$A$2:$H$550,2,FALSE),"CECO NO EXISTE"))</f>
        <v/>
      </c>
      <c r="H1866" s="8">
        <f>IF(B1866="","",IFERROR(VLOOKUP(--B1866,'CATALOGO CECO'!$A$2:$H$550,3,FALSE),""))</f>
        <v/>
      </c>
      <c r="I1866" s="8">
        <f>IF(B1866="","",IFERROR(VLOOKUP(--B1866,'CATALOGO CECO'!$A$2:$H$550,5,FALSE),""))</f>
        <v/>
      </c>
      <c r="J1866" s="8">
        <f>IF(B1866="","",IFERROR(VLOOKUP(--B1866,'CATALOGO CECO'!$A$2:$H$550,8,FALSE),""))</f>
        <v/>
      </c>
      <c r="K1866" s="8">
        <f>IF(COUNTA(A1866:F1866)=0,"",IF(OR(LEN(A1866)&lt;&gt;7,MID(A1866,5,1)&lt;&gt;"-",ISERROR(--LEFT(A1866,4)),ISERROR(--RIGHT(A1866,2))),"ERROR: PERIODO debe ser AAAA-MM",IF(B1866="","ERROR: falta CODIGO CECO",IF(G1866="CECO NO EXISTE","ERROR: CECO no existe en el catálogo",IF(C1866="","ERROR: falta CUENTA",IF(ISERROR(--C1866),"ERROR: CUENTA debe tener solo dígitos",IF(ISERROR(FIND(LEFT(C1866,1),"567")),"ERROR: CUENTA fuera de las clases de costo",IF(NOT(ISNUMBER(E1866)),"ERROR: VALOR debe ser numérico",IF(E1866=0,"AVISO: valor cero (no se carga)",IF(J1866&lt;&gt;"ACTIVO","NO SE CARGA: CECO en estado "&amp;J1866,"OK"))))))))))</f>
        <v/>
      </c>
    </row>
    <row r="1867">
      <c r="A1867" s="5" t="n"/>
      <c r="B1867" s="6" t="n"/>
      <c r="C1867" s="5" t="n"/>
      <c r="D1867" s="6" t="n"/>
      <c r="E1867" s="7" t="n"/>
      <c r="F1867" s="6" t="n"/>
      <c r="G1867" s="8">
        <f>IF(B1867="","",IFERROR(VLOOKUP(--B1867,'CATALOGO CECO'!$A$2:$H$550,2,FALSE),"CECO NO EXISTE"))</f>
        <v/>
      </c>
      <c r="H1867" s="8">
        <f>IF(B1867="","",IFERROR(VLOOKUP(--B1867,'CATALOGO CECO'!$A$2:$H$550,3,FALSE),""))</f>
        <v/>
      </c>
      <c r="I1867" s="8">
        <f>IF(B1867="","",IFERROR(VLOOKUP(--B1867,'CATALOGO CECO'!$A$2:$H$550,5,FALSE),""))</f>
        <v/>
      </c>
      <c r="J1867" s="8">
        <f>IF(B1867="","",IFERROR(VLOOKUP(--B1867,'CATALOGO CECO'!$A$2:$H$550,8,FALSE),""))</f>
        <v/>
      </c>
      <c r="K1867" s="8">
        <f>IF(COUNTA(A1867:F1867)=0,"",IF(OR(LEN(A1867)&lt;&gt;7,MID(A1867,5,1)&lt;&gt;"-",ISERROR(--LEFT(A1867,4)),ISERROR(--RIGHT(A1867,2))),"ERROR: PERIODO debe ser AAAA-MM",IF(B1867="","ERROR: falta CODIGO CECO",IF(G1867="CECO NO EXISTE","ERROR: CECO no existe en el catálogo",IF(C1867="","ERROR: falta CUENTA",IF(ISERROR(--C1867),"ERROR: CUENTA debe tener solo dígitos",IF(ISERROR(FIND(LEFT(C1867,1),"567")),"ERROR: CUENTA fuera de las clases de costo",IF(NOT(ISNUMBER(E1867)),"ERROR: VALOR debe ser numérico",IF(E1867=0,"AVISO: valor cero (no se carga)",IF(J1867&lt;&gt;"ACTIVO","NO SE CARGA: CECO en estado "&amp;J1867,"OK"))))))))))</f>
        <v/>
      </c>
    </row>
    <row r="1868">
      <c r="A1868" s="5" t="n"/>
      <c r="B1868" s="6" t="n"/>
      <c r="C1868" s="5" t="n"/>
      <c r="D1868" s="6" t="n"/>
      <c r="E1868" s="7" t="n"/>
      <c r="F1868" s="6" t="n"/>
      <c r="G1868" s="8">
        <f>IF(B1868="","",IFERROR(VLOOKUP(--B1868,'CATALOGO CECO'!$A$2:$H$550,2,FALSE),"CECO NO EXISTE"))</f>
        <v/>
      </c>
      <c r="H1868" s="8">
        <f>IF(B1868="","",IFERROR(VLOOKUP(--B1868,'CATALOGO CECO'!$A$2:$H$550,3,FALSE),""))</f>
        <v/>
      </c>
      <c r="I1868" s="8">
        <f>IF(B1868="","",IFERROR(VLOOKUP(--B1868,'CATALOGO CECO'!$A$2:$H$550,5,FALSE),""))</f>
        <v/>
      </c>
      <c r="J1868" s="8">
        <f>IF(B1868="","",IFERROR(VLOOKUP(--B1868,'CATALOGO CECO'!$A$2:$H$550,8,FALSE),""))</f>
        <v/>
      </c>
      <c r="K1868" s="8">
        <f>IF(COUNTA(A1868:F1868)=0,"",IF(OR(LEN(A1868)&lt;&gt;7,MID(A1868,5,1)&lt;&gt;"-",ISERROR(--LEFT(A1868,4)),ISERROR(--RIGHT(A1868,2))),"ERROR: PERIODO debe ser AAAA-MM",IF(B1868="","ERROR: falta CODIGO CECO",IF(G1868="CECO NO EXISTE","ERROR: CECO no existe en el catálogo",IF(C1868="","ERROR: falta CUENTA",IF(ISERROR(--C1868),"ERROR: CUENTA debe tener solo dígitos",IF(ISERROR(FIND(LEFT(C1868,1),"567")),"ERROR: CUENTA fuera de las clases de costo",IF(NOT(ISNUMBER(E1868)),"ERROR: VALOR debe ser numérico",IF(E1868=0,"AVISO: valor cero (no se carga)",IF(J1868&lt;&gt;"ACTIVO","NO SE CARGA: CECO en estado "&amp;J1868,"OK"))))))))))</f>
        <v/>
      </c>
    </row>
    <row r="1869">
      <c r="A1869" s="5" t="n"/>
      <c r="B1869" s="6" t="n"/>
      <c r="C1869" s="5" t="n"/>
      <c r="D1869" s="6" t="n"/>
      <c r="E1869" s="7" t="n"/>
      <c r="F1869" s="6" t="n"/>
      <c r="G1869" s="8">
        <f>IF(B1869="","",IFERROR(VLOOKUP(--B1869,'CATALOGO CECO'!$A$2:$H$550,2,FALSE),"CECO NO EXISTE"))</f>
        <v/>
      </c>
      <c r="H1869" s="8">
        <f>IF(B1869="","",IFERROR(VLOOKUP(--B1869,'CATALOGO CECO'!$A$2:$H$550,3,FALSE),""))</f>
        <v/>
      </c>
      <c r="I1869" s="8">
        <f>IF(B1869="","",IFERROR(VLOOKUP(--B1869,'CATALOGO CECO'!$A$2:$H$550,5,FALSE),""))</f>
        <v/>
      </c>
      <c r="J1869" s="8">
        <f>IF(B1869="","",IFERROR(VLOOKUP(--B1869,'CATALOGO CECO'!$A$2:$H$550,8,FALSE),""))</f>
        <v/>
      </c>
      <c r="K1869" s="8">
        <f>IF(COUNTA(A1869:F1869)=0,"",IF(OR(LEN(A1869)&lt;&gt;7,MID(A1869,5,1)&lt;&gt;"-",ISERROR(--LEFT(A1869,4)),ISERROR(--RIGHT(A1869,2))),"ERROR: PERIODO debe ser AAAA-MM",IF(B1869="","ERROR: falta CODIGO CECO",IF(G1869="CECO NO EXISTE","ERROR: CECO no existe en el catálogo",IF(C1869="","ERROR: falta CUENTA",IF(ISERROR(--C1869),"ERROR: CUENTA debe tener solo dígitos",IF(ISERROR(FIND(LEFT(C1869,1),"567")),"ERROR: CUENTA fuera de las clases de costo",IF(NOT(ISNUMBER(E1869)),"ERROR: VALOR debe ser numérico",IF(E1869=0,"AVISO: valor cero (no se carga)",IF(J1869&lt;&gt;"ACTIVO","NO SE CARGA: CECO en estado "&amp;J1869,"OK"))))))))))</f>
        <v/>
      </c>
    </row>
    <row r="1870">
      <c r="A1870" s="5" t="n"/>
      <c r="B1870" s="6" t="n"/>
      <c r="C1870" s="5" t="n"/>
      <c r="D1870" s="6" t="n"/>
      <c r="E1870" s="7" t="n"/>
      <c r="F1870" s="6" t="n"/>
      <c r="G1870" s="8">
        <f>IF(B1870="","",IFERROR(VLOOKUP(--B1870,'CATALOGO CECO'!$A$2:$H$550,2,FALSE),"CECO NO EXISTE"))</f>
        <v/>
      </c>
      <c r="H1870" s="8">
        <f>IF(B1870="","",IFERROR(VLOOKUP(--B1870,'CATALOGO CECO'!$A$2:$H$550,3,FALSE),""))</f>
        <v/>
      </c>
      <c r="I1870" s="8">
        <f>IF(B1870="","",IFERROR(VLOOKUP(--B1870,'CATALOGO CECO'!$A$2:$H$550,5,FALSE),""))</f>
        <v/>
      </c>
      <c r="J1870" s="8">
        <f>IF(B1870="","",IFERROR(VLOOKUP(--B1870,'CATALOGO CECO'!$A$2:$H$550,8,FALSE),""))</f>
        <v/>
      </c>
      <c r="K1870" s="8">
        <f>IF(COUNTA(A1870:F1870)=0,"",IF(OR(LEN(A1870)&lt;&gt;7,MID(A1870,5,1)&lt;&gt;"-",ISERROR(--LEFT(A1870,4)),ISERROR(--RIGHT(A1870,2))),"ERROR: PERIODO debe ser AAAA-MM",IF(B1870="","ERROR: falta CODIGO CECO",IF(G1870="CECO NO EXISTE","ERROR: CECO no existe en el catálogo",IF(C1870="","ERROR: falta CUENTA",IF(ISERROR(--C1870),"ERROR: CUENTA debe tener solo dígitos",IF(ISERROR(FIND(LEFT(C1870,1),"567")),"ERROR: CUENTA fuera de las clases de costo",IF(NOT(ISNUMBER(E1870)),"ERROR: VALOR debe ser numérico",IF(E1870=0,"AVISO: valor cero (no se carga)",IF(J1870&lt;&gt;"ACTIVO","NO SE CARGA: CECO en estado "&amp;J1870,"OK"))))))))))</f>
        <v/>
      </c>
    </row>
    <row r="1871">
      <c r="A1871" s="5" t="n"/>
      <c r="B1871" s="6" t="n"/>
      <c r="C1871" s="5" t="n"/>
      <c r="D1871" s="6" t="n"/>
      <c r="E1871" s="7" t="n"/>
      <c r="F1871" s="6" t="n"/>
      <c r="G1871" s="8">
        <f>IF(B1871="","",IFERROR(VLOOKUP(--B1871,'CATALOGO CECO'!$A$2:$H$550,2,FALSE),"CECO NO EXISTE"))</f>
        <v/>
      </c>
      <c r="H1871" s="8">
        <f>IF(B1871="","",IFERROR(VLOOKUP(--B1871,'CATALOGO CECO'!$A$2:$H$550,3,FALSE),""))</f>
        <v/>
      </c>
      <c r="I1871" s="8">
        <f>IF(B1871="","",IFERROR(VLOOKUP(--B1871,'CATALOGO CECO'!$A$2:$H$550,5,FALSE),""))</f>
        <v/>
      </c>
      <c r="J1871" s="8">
        <f>IF(B1871="","",IFERROR(VLOOKUP(--B1871,'CATALOGO CECO'!$A$2:$H$550,8,FALSE),""))</f>
        <v/>
      </c>
      <c r="K1871" s="8">
        <f>IF(COUNTA(A1871:F1871)=0,"",IF(OR(LEN(A1871)&lt;&gt;7,MID(A1871,5,1)&lt;&gt;"-",ISERROR(--LEFT(A1871,4)),ISERROR(--RIGHT(A1871,2))),"ERROR: PERIODO debe ser AAAA-MM",IF(B1871="","ERROR: falta CODIGO CECO",IF(G1871="CECO NO EXISTE","ERROR: CECO no existe en el catálogo",IF(C1871="","ERROR: falta CUENTA",IF(ISERROR(--C1871),"ERROR: CUENTA debe tener solo dígitos",IF(ISERROR(FIND(LEFT(C1871,1),"567")),"ERROR: CUENTA fuera de las clases de costo",IF(NOT(ISNUMBER(E1871)),"ERROR: VALOR debe ser numérico",IF(E1871=0,"AVISO: valor cero (no se carga)",IF(J1871&lt;&gt;"ACTIVO","NO SE CARGA: CECO en estado "&amp;J1871,"OK"))))))))))</f>
        <v/>
      </c>
    </row>
    <row r="1872">
      <c r="A1872" s="5" t="n"/>
      <c r="B1872" s="6" t="n"/>
      <c r="C1872" s="5" t="n"/>
      <c r="D1872" s="6" t="n"/>
      <c r="E1872" s="7" t="n"/>
      <c r="F1872" s="6" t="n"/>
      <c r="G1872" s="8">
        <f>IF(B1872="","",IFERROR(VLOOKUP(--B1872,'CATALOGO CECO'!$A$2:$H$550,2,FALSE),"CECO NO EXISTE"))</f>
        <v/>
      </c>
      <c r="H1872" s="8">
        <f>IF(B1872="","",IFERROR(VLOOKUP(--B1872,'CATALOGO CECO'!$A$2:$H$550,3,FALSE),""))</f>
        <v/>
      </c>
      <c r="I1872" s="8">
        <f>IF(B1872="","",IFERROR(VLOOKUP(--B1872,'CATALOGO CECO'!$A$2:$H$550,5,FALSE),""))</f>
        <v/>
      </c>
      <c r="J1872" s="8">
        <f>IF(B1872="","",IFERROR(VLOOKUP(--B1872,'CATALOGO CECO'!$A$2:$H$550,8,FALSE),""))</f>
        <v/>
      </c>
      <c r="K1872" s="8">
        <f>IF(COUNTA(A1872:F1872)=0,"",IF(OR(LEN(A1872)&lt;&gt;7,MID(A1872,5,1)&lt;&gt;"-",ISERROR(--LEFT(A1872,4)),ISERROR(--RIGHT(A1872,2))),"ERROR: PERIODO debe ser AAAA-MM",IF(B1872="","ERROR: falta CODIGO CECO",IF(G1872="CECO NO EXISTE","ERROR: CECO no existe en el catálogo",IF(C1872="","ERROR: falta CUENTA",IF(ISERROR(--C1872),"ERROR: CUENTA debe tener solo dígitos",IF(ISERROR(FIND(LEFT(C1872,1),"567")),"ERROR: CUENTA fuera de las clases de costo",IF(NOT(ISNUMBER(E1872)),"ERROR: VALOR debe ser numérico",IF(E1872=0,"AVISO: valor cero (no se carga)",IF(J1872&lt;&gt;"ACTIVO","NO SE CARGA: CECO en estado "&amp;J1872,"OK"))))))))))</f>
        <v/>
      </c>
    </row>
    <row r="1873">
      <c r="A1873" s="5" t="n"/>
      <c r="B1873" s="6" t="n"/>
      <c r="C1873" s="5" t="n"/>
      <c r="D1873" s="6" t="n"/>
      <c r="E1873" s="7" t="n"/>
      <c r="F1873" s="6" t="n"/>
      <c r="G1873" s="8">
        <f>IF(B1873="","",IFERROR(VLOOKUP(--B1873,'CATALOGO CECO'!$A$2:$H$550,2,FALSE),"CECO NO EXISTE"))</f>
        <v/>
      </c>
      <c r="H1873" s="8">
        <f>IF(B1873="","",IFERROR(VLOOKUP(--B1873,'CATALOGO CECO'!$A$2:$H$550,3,FALSE),""))</f>
        <v/>
      </c>
      <c r="I1873" s="8">
        <f>IF(B1873="","",IFERROR(VLOOKUP(--B1873,'CATALOGO CECO'!$A$2:$H$550,5,FALSE),""))</f>
        <v/>
      </c>
      <c r="J1873" s="8">
        <f>IF(B1873="","",IFERROR(VLOOKUP(--B1873,'CATALOGO CECO'!$A$2:$H$550,8,FALSE),""))</f>
        <v/>
      </c>
      <c r="K1873" s="8">
        <f>IF(COUNTA(A1873:F1873)=0,"",IF(OR(LEN(A1873)&lt;&gt;7,MID(A1873,5,1)&lt;&gt;"-",ISERROR(--LEFT(A1873,4)),ISERROR(--RIGHT(A1873,2))),"ERROR: PERIODO debe ser AAAA-MM",IF(B1873="","ERROR: falta CODIGO CECO",IF(G1873="CECO NO EXISTE","ERROR: CECO no existe en el catálogo",IF(C1873="","ERROR: falta CUENTA",IF(ISERROR(--C1873),"ERROR: CUENTA debe tener solo dígitos",IF(ISERROR(FIND(LEFT(C1873,1),"567")),"ERROR: CUENTA fuera de las clases de costo",IF(NOT(ISNUMBER(E1873)),"ERROR: VALOR debe ser numérico",IF(E1873=0,"AVISO: valor cero (no se carga)",IF(J1873&lt;&gt;"ACTIVO","NO SE CARGA: CECO en estado "&amp;J1873,"OK"))))))))))</f>
        <v/>
      </c>
    </row>
    <row r="1874">
      <c r="A1874" s="5" t="n"/>
      <c r="B1874" s="6" t="n"/>
      <c r="C1874" s="5" t="n"/>
      <c r="D1874" s="6" t="n"/>
      <c r="E1874" s="7" t="n"/>
      <c r="F1874" s="6" t="n"/>
      <c r="G1874" s="8">
        <f>IF(B1874="","",IFERROR(VLOOKUP(--B1874,'CATALOGO CECO'!$A$2:$H$550,2,FALSE),"CECO NO EXISTE"))</f>
        <v/>
      </c>
      <c r="H1874" s="8">
        <f>IF(B1874="","",IFERROR(VLOOKUP(--B1874,'CATALOGO CECO'!$A$2:$H$550,3,FALSE),""))</f>
        <v/>
      </c>
      <c r="I1874" s="8">
        <f>IF(B1874="","",IFERROR(VLOOKUP(--B1874,'CATALOGO CECO'!$A$2:$H$550,5,FALSE),""))</f>
        <v/>
      </c>
      <c r="J1874" s="8">
        <f>IF(B1874="","",IFERROR(VLOOKUP(--B1874,'CATALOGO CECO'!$A$2:$H$550,8,FALSE),""))</f>
        <v/>
      </c>
      <c r="K1874" s="8">
        <f>IF(COUNTA(A1874:F1874)=0,"",IF(OR(LEN(A1874)&lt;&gt;7,MID(A1874,5,1)&lt;&gt;"-",ISERROR(--LEFT(A1874,4)),ISERROR(--RIGHT(A1874,2))),"ERROR: PERIODO debe ser AAAA-MM",IF(B1874="","ERROR: falta CODIGO CECO",IF(G1874="CECO NO EXISTE","ERROR: CECO no existe en el catálogo",IF(C1874="","ERROR: falta CUENTA",IF(ISERROR(--C1874),"ERROR: CUENTA debe tener solo dígitos",IF(ISERROR(FIND(LEFT(C1874,1),"567")),"ERROR: CUENTA fuera de las clases de costo",IF(NOT(ISNUMBER(E1874)),"ERROR: VALOR debe ser numérico",IF(E1874=0,"AVISO: valor cero (no se carga)",IF(J1874&lt;&gt;"ACTIVO","NO SE CARGA: CECO en estado "&amp;J1874,"OK"))))))))))</f>
        <v/>
      </c>
    </row>
    <row r="1875">
      <c r="A1875" s="5" t="n"/>
      <c r="B1875" s="6" t="n"/>
      <c r="C1875" s="5" t="n"/>
      <c r="D1875" s="6" t="n"/>
      <c r="E1875" s="7" t="n"/>
      <c r="F1875" s="6" t="n"/>
      <c r="G1875" s="8">
        <f>IF(B1875="","",IFERROR(VLOOKUP(--B1875,'CATALOGO CECO'!$A$2:$H$550,2,FALSE),"CECO NO EXISTE"))</f>
        <v/>
      </c>
      <c r="H1875" s="8">
        <f>IF(B1875="","",IFERROR(VLOOKUP(--B1875,'CATALOGO CECO'!$A$2:$H$550,3,FALSE),""))</f>
        <v/>
      </c>
      <c r="I1875" s="8">
        <f>IF(B1875="","",IFERROR(VLOOKUP(--B1875,'CATALOGO CECO'!$A$2:$H$550,5,FALSE),""))</f>
        <v/>
      </c>
      <c r="J1875" s="8">
        <f>IF(B1875="","",IFERROR(VLOOKUP(--B1875,'CATALOGO CECO'!$A$2:$H$550,8,FALSE),""))</f>
        <v/>
      </c>
      <c r="K1875" s="8">
        <f>IF(COUNTA(A1875:F1875)=0,"",IF(OR(LEN(A1875)&lt;&gt;7,MID(A1875,5,1)&lt;&gt;"-",ISERROR(--LEFT(A1875,4)),ISERROR(--RIGHT(A1875,2))),"ERROR: PERIODO debe ser AAAA-MM",IF(B1875="","ERROR: falta CODIGO CECO",IF(G1875="CECO NO EXISTE","ERROR: CECO no existe en el catálogo",IF(C1875="","ERROR: falta CUENTA",IF(ISERROR(--C1875),"ERROR: CUENTA debe tener solo dígitos",IF(ISERROR(FIND(LEFT(C1875,1),"567")),"ERROR: CUENTA fuera de las clases de costo",IF(NOT(ISNUMBER(E1875)),"ERROR: VALOR debe ser numérico",IF(E1875=0,"AVISO: valor cero (no se carga)",IF(J1875&lt;&gt;"ACTIVO","NO SE CARGA: CECO en estado "&amp;J1875,"OK"))))))))))</f>
        <v/>
      </c>
    </row>
    <row r="1876">
      <c r="A1876" s="5" t="n"/>
      <c r="B1876" s="6" t="n"/>
      <c r="C1876" s="5" t="n"/>
      <c r="D1876" s="6" t="n"/>
      <c r="E1876" s="7" t="n"/>
      <c r="F1876" s="6" t="n"/>
      <c r="G1876" s="8">
        <f>IF(B1876="","",IFERROR(VLOOKUP(--B1876,'CATALOGO CECO'!$A$2:$H$550,2,FALSE),"CECO NO EXISTE"))</f>
        <v/>
      </c>
      <c r="H1876" s="8">
        <f>IF(B1876="","",IFERROR(VLOOKUP(--B1876,'CATALOGO CECO'!$A$2:$H$550,3,FALSE),""))</f>
        <v/>
      </c>
      <c r="I1876" s="8">
        <f>IF(B1876="","",IFERROR(VLOOKUP(--B1876,'CATALOGO CECO'!$A$2:$H$550,5,FALSE),""))</f>
        <v/>
      </c>
      <c r="J1876" s="8">
        <f>IF(B1876="","",IFERROR(VLOOKUP(--B1876,'CATALOGO CECO'!$A$2:$H$550,8,FALSE),""))</f>
        <v/>
      </c>
      <c r="K1876" s="8">
        <f>IF(COUNTA(A1876:F1876)=0,"",IF(OR(LEN(A1876)&lt;&gt;7,MID(A1876,5,1)&lt;&gt;"-",ISERROR(--LEFT(A1876,4)),ISERROR(--RIGHT(A1876,2))),"ERROR: PERIODO debe ser AAAA-MM",IF(B1876="","ERROR: falta CODIGO CECO",IF(G1876="CECO NO EXISTE","ERROR: CECO no existe en el catálogo",IF(C1876="","ERROR: falta CUENTA",IF(ISERROR(--C1876),"ERROR: CUENTA debe tener solo dígitos",IF(ISERROR(FIND(LEFT(C1876,1),"567")),"ERROR: CUENTA fuera de las clases de costo",IF(NOT(ISNUMBER(E1876)),"ERROR: VALOR debe ser numérico",IF(E1876=0,"AVISO: valor cero (no se carga)",IF(J1876&lt;&gt;"ACTIVO","NO SE CARGA: CECO en estado "&amp;J1876,"OK"))))))))))</f>
        <v/>
      </c>
    </row>
    <row r="1877">
      <c r="A1877" s="5" t="n"/>
      <c r="B1877" s="6" t="n"/>
      <c r="C1877" s="5" t="n"/>
      <c r="D1877" s="6" t="n"/>
      <c r="E1877" s="7" t="n"/>
      <c r="F1877" s="6" t="n"/>
      <c r="G1877" s="8">
        <f>IF(B1877="","",IFERROR(VLOOKUP(--B1877,'CATALOGO CECO'!$A$2:$H$550,2,FALSE),"CECO NO EXISTE"))</f>
        <v/>
      </c>
      <c r="H1877" s="8">
        <f>IF(B1877="","",IFERROR(VLOOKUP(--B1877,'CATALOGO CECO'!$A$2:$H$550,3,FALSE),""))</f>
        <v/>
      </c>
      <c r="I1877" s="8">
        <f>IF(B1877="","",IFERROR(VLOOKUP(--B1877,'CATALOGO CECO'!$A$2:$H$550,5,FALSE),""))</f>
        <v/>
      </c>
      <c r="J1877" s="8">
        <f>IF(B1877="","",IFERROR(VLOOKUP(--B1877,'CATALOGO CECO'!$A$2:$H$550,8,FALSE),""))</f>
        <v/>
      </c>
      <c r="K1877" s="8">
        <f>IF(COUNTA(A1877:F1877)=0,"",IF(OR(LEN(A1877)&lt;&gt;7,MID(A1877,5,1)&lt;&gt;"-",ISERROR(--LEFT(A1877,4)),ISERROR(--RIGHT(A1877,2))),"ERROR: PERIODO debe ser AAAA-MM",IF(B1877="","ERROR: falta CODIGO CECO",IF(G1877="CECO NO EXISTE","ERROR: CECO no existe en el catálogo",IF(C1877="","ERROR: falta CUENTA",IF(ISERROR(--C1877),"ERROR: CUENTA debe tener solo dígitos",IF(ISERROR(FIND(LEFT(C1877,1),"567")),"ERROR: CUENTA fuera de las clases de costo",IF(NOT(ISNUMBER(E1877)),"ERROR: VALOR debe ser numérico",IF(E1877=0,"AVISO: valor cero (no se carga)",IF(J1877&lt;&gt;"ACTIVO","NO SE CARGA: CECO en estado "&amp;J1877,"OK"))))))))))</f>
        <v/>
      </c>
    </row>
    <row r="1878">
      <c r="A1878" s="5" t="n"/>
      <c r="B1878" s="6" t="n"/>
      <c r="C1878" s="5" t="n"/>
      <c r="D1878" s="6" t="n"/>
      <c r="E1878" s="7" t="n"/>
      <c r="F1878" s="6" t="n"/>
      <c r="G1878" s="8">
        <f>IF(B1878="","",IFERROR(VLOOKUP(--B1878,'CATALOGO CECO'!$A$2:$H$550,2,FALSE),"CECO NO EXISTE"))</f>
        <v/>
      </c>
      <c r="H1878" s="8">
        <f>IF(B1878="","",IFERROR(VLOOKUP(--B1878,'CATALOGO CECO'!$A$2:$H$550,3,FALSE),""))</f>
        <v/>
      </c>
      <c r="I1878" s="8">
        <f>IF(B1878="","",IFERROR(VLOOKUP(--B1878,'CATALOGO CECO'!$A$2:$H$550,5,FALSE),""))</f>
        <v/>
      </c>
      <c r="J1878" s="8">
        <f>IF(B1878="","",IFERROR(VLOOKUP(--B1878,'CATALOGO CECO'!$A$2:$H$550,8,FALSE),""))</f>
        <v/>
      </c>
      <c r="K1878" s="8">
        <f>IF(COUNTA(A1878:F1878)=0,"",IF(OR(LEN(A1878)&lt;&gt;7,MID(A1878,5,1)&lt;&gt;"-",ISERROR(--LEFT(A1878,4)),ISERROR(--RIGHT(A1878,2))),"ERROR: PERIODO debe ser AAAA-MM",IF(B1878="","ERROR: falta CODIGO CECO",IF(G1878="CECO NO EXISTE","ERROR: CECO no existe en el catálogo",IF(C1878="","ERROR: falta CUENTA",IF(ISERROR(--C1878),"ERROR: CUENTA debe tener solo dígitos",IF(ISERROR(FIND(LEFT(C1878,1),"567")),"ERROR: CUENTA fuera de las clases de costo",IF(NOT(ISNUMBER(E1878)),"ERROR: VALOR debe ser numérico",IF(E1878=0,"AVISO: valor cero (no se carga)",IF(J1878&lt;&gt;"ACTIVO","NO SE CARGA: CECO en estado "&amp;J1878,"OK"))))))))))</f>
        <v/>
      </c>
    </row>
    <row r="1879">
      <c r="A1879" s="5" t="n"/>
      <c r="B1879" s="6" t="n"/>
      <c r="C1879" s="5" t="n"/>
      <c r="D1879" s="6" t="n"/>
      <c r="E1879" s="7" t="n"/>
      <c r="F1879" s="6" t="n"/>
      <c r="G1879" s="8">
        <f>IF(B1879="","",IFERROR(VLOOKUP(--B1879,'CATALOGO CECO'!$A$2:$H$550,2,FALSE),"CECO NO EXISTE"))</f>
        <v/>
      </c>
      <c r="H1879" s="8">
        <f>IF(B1879="","",IFERROR(VLOOKUP(--B1879,'CATALOGO CECO'!$A$2:$H$550,3,FALSE),""))</f>
        <v/>
      </c>
      <c r="I1879" s="8">
        <f>IF(B1879="","",IFERROR(VLOOKUP(--B1879,'CATALOGO CECO'!$A$2:$H$550,5,FALSE),""))</f>
        <v/>
      </c>
      <c r="J1879" s="8">
        <f>IF(B1879="","",IFERROR(VLOOKUP(--B1879,'CATALOGO CECO'!$A$2:$H$550,8,FALSE),""))</f>
        <v/>
      </c>
      <c r="K1879" s="8">
        <f>IF(COUNTA(A1879:F1879)=0,"",IF(OR(LEN(A1879)&lt;&gt;7,MID(A1879,5,1)&lt;&gt;"-",ISERROR(--LEFT(A1879,4)),ISERROR(--RIGHT(A1879,2))),"ERROR: PERIODO debe ser AAAA-MM",IF(B1879="","ERROR: falta CODIGO CECO",IF(G1879="CECO NO EXISTE","ERROR: CECO no existe en el catálogo",IF(C1879="","ERROR: falta CUENTA",IF(ISERROR(--C1879),"ERROR: CUENTA debe tener solo dígitos",IF(ISERROR(FIND(LEFT(C1879,1),"567")),"ERROR: CUENTA fuera de las clases de costo",IF(NOT(ISNUMBER(E1879)),"ERROR: VALOR debe ser numérico",IF(E1879=0,"AVISO: valor cero (no se carga)",IF(J1879&lt;&gt;"ACTIVO","NO SE CARGA: CECO en estado "&amp;J1879,"OK"))))))))))</f>
        <v/>
      </c>
    </row>
    <row r="1880">
      <c r="A1880" s="5" t="n"/>
      <c r="B1880" s="6" t="n"/>
      <c r="C1880" s="5" t="n"/>
      <c r="D1880" s="6" t="n"/>
      <c r="E1880" s="7" t="n"/>
      <c r="F1880" s="6" t="n"/>
      <c r="G1880" s="8">
        <f>IF(B1880="","",IFERROR(VLOOKUP(--B1880,'CATALOGO CECO'!$A$2:$H$550,2,FALSE),"CECO NO EXISTE"))</f>
        <v/>
      </c>
      <c r="H1880" s="8">
        <f>IF(B1880="","",IFERROR(VLOOKUP(--B1880,'CATALOGO CECO'!$A$2:$H$550,3,FALSE),""))</f>
        <v/>
      </c>
      <c r="I1880" s="8">
        <f>IF(B1880="","",IFERROR(VLOOKUP(--B1880,'CATALOGO CECO'!$A$2:$H$550,5,FALSE),""))</f>
        <v/>
      </c>
      <c r="J1880" s="8">
        <f>IF(B1880="","",IFERROR(VLOOKUP(--B1880,'CATALOGO CECO'!$A$2:$H$550,8,FALSE),""))</f>
        <v/>
      </c>
      <c r="K1880" s="8">
        <f>IF(COUNTA(A1880:F1880)=0,"",IF(OR(LEN(A1880)&lt;&gt;7,MID(A1880,5,1)&lt;&gt;"-",ISERROR(--LEFT(A1880,4)),ISERROR(--RIGHT(A1880,2))),"ERROR: PERIODO debe ser AAAA-MM",IF(B1880="","ERROR: falta CODIGO CECO",IF(G1880="CECO NO EXISTE","ERROR: CECO no existe en el catálogo",IF(C1880="","ERROR: falta CUENTA",IF(ISERROR(--C1880),"ERROR: CUENTA debe tener solo dígitos",IF(ISERROR(FIND(LEFT(C1880,1),"567")),"ERROR: CUENTA fuera de las clases de costo",IF(NOT(ISNUMBER(E1880)),"ERROR: VALOR debe ser numérico",IF(E1880=0,"AVISO: valor cero (no se carga)",IF(J1880&lt;&gt;"ACTIVO","NO SE CARGA: CECO en estado "&amp;J1880,"OK"))))))))))</f>
        <v/>
      </c>
    </row>
    <row r="1881">
      <c r="A1881" s="5" t="n"/>
      <c r="B1881" s="6" t="n"/>
      <c r="C1881" s="5" t="n"/>
      <c r="D1881" s="6" t="n"/>
      <c r="E1881" s="7" t="n"/>
      <c r="F1881" s="6" t="n"/>
      <c r="G1881" s="8">
        <f>IF(B1881="","",IFERROR(VLOOKUP(--B1881,'CATALOGO CECO'!$A$2:$H$550,2,FALSE),"CECO NO EXISTE"))</f>
        <v/>
      </c>
      <c r="H1881" s="8">
        <f>IF(B1881="","",IFERROR(VLOOKUP(--B1881,'CATALOGO CECO'!$A$2:$H$550,3,FALSE),""))</f>
        <v/>
      </c>
      <c r="I1881" s="8">
        <f>IF(B1881="","",IFERROR(VLOOKUP(--B1881,'CATALOGO CECO'!$A$2:$H$550,5,FALSE),""))</f>
        <v/>
      </c>
      <c r="J1881" s="8">
        <f>IF(B1881="","",IFERROR(VLOOKUP(--B1881,'CATALOGO CECO'!$A$2:$H$550,8,FALSE),""))</f>
        <v/>
      </c>
      <c r="K1881" s="8">
        <f>IF(COUNTA(A1881:F1881)=0,"",IF(OR(LEN(A1881)&lt;&gt;7,MID(A1881,5,1)&lt;&gt;"-",ISERROR(--LEFT(A1881,4)),ISERROR(--RIGHT(A1881,2))),"ERROR: PERIODO debe ser AAAA-MM",IF(B1881="","ERROR: falta CODIGO CECO",IF(G1881="CECO NO EXISTE","ERROR: CECO no existe en el catálogo",IF(C1881="","ERROR: falta CUENTA",IF(ISERROR(--C1881),"ERROR: CUENTA debe tener solo dígitos",IF(ISERROR(FIND(LEFT(C1881,1),"567")),"ERROR: CUENTA fuera de las clases de costo",IF(NOT(ISNUMBER(E1881)),"ERROR: VALOR debe ser numérico",IF(E1881=0,"AVISO: valor cero (no se carga)",IF(J1881&lt;&gt;"ACTIVO","NO SE CARGA: CECO en estado "&amp;J1881,"OK"))))))))))</f>
        <v/>
      </c>
    </row>
    <row r="1882">
      <c r="A1882" s="5" t="n"/>
      <c r="B1882" s="6" t="n"/>
      <c r="C1882" s="5" t="n"/>
      <c r="D1882" s="6" t="n"/>
      <c r="E1882" s="7" t="n"/>
      <c r="F1882" s="6" t="n"/>
      <c r="G1882" s="8">
        <f>IF(B1882="","",IFERROR(VLOOKUP(--B1882,'CATALOGO CECO'!$A$2:$H$550,2,FALSE),"CECO NO EXISTE"))</f>
        <v/>
      </c>
      <c r="H1882" s="8">
        <f>IF(B1882="","",IFERROR(VLOOKUP(--B1882,'CATALOGO CECO'!$A$2:$H$550,3,FALSE),""))</f>
        <v/>
      </c>
      <c r="I1882" s="8">
        <f>IF(B1882="","",IFERROR(VLOOKUP(--B1882,'CATALOGO CECO'!$A$2:$H$550,5,FALSE),""))</f>
        <v/>
      </c>
      <c r="J1882" s="8">
        <f>IF(B1882="","",IFERROR(VLOOKUP(--B1882,'CATALOGO CECO'!$A$2:$H$550,8,FALSE),""))</f>
        <v/>
      </c>
      <c r="K1882" s="8">
        <f>IF(COUNTA(A1882:F1882)=0,"",IF(OR(LEN(A1882)&lt;&gt;7,MID(A1882,5,1)&lt;&gt;"-",ISERROR(--LEFT(A1882,4)),ISERROR(--RIGHT(A1882,2))),"ERROR: PERIODO debe ser AAAA-MM",IF(B1882="","ERROR: falta CODIGO CECO",IF(G1882="CECO NO EXISTE","ERROR: CECO no existe en el catálogo",IF(C1882="","ERROR: falta CUENTA",IF(ISERROR(--C1882),"ERROR: CUENTA debe tener solo dígitos",IF(ISERROR(FIND(LEFT(C1882,1),"567")),"ERROR: CUENTA fuera de las clases de costo",IF(NOT(ISNUMBER(E1882)),"ERROR: VALOR debe ser numérico",IF(E1882=0,"AVISO: valor cero (no se carga)",IF(J1882&lt;&gt;"ACTIVO","NO SE CARGA: CECO en estado "&amp;J1882,"OK"))))))))))</f>
        <v/>
      </c>
    </row>
    <row r="1883">
      <c r="A1883" s="5" t="n"/>
      <c r="B1883" s="6" t="n"/>
      <c r="C1883" s="5" t="n"/>
      <c r="D1883" s="6" t="n"/>
      <c r="E1883" s="7" t="n"/>
      <c r="F1883" s="6" t="n"/>
      <c r="G1883" s="8">
        <f>IF(B1883="","",IFERROR(VLOOKUP(--B1883,'CATALOGO CECO'!$A$2:$H$550,2,FALSE),"CECO NO EXISTE"))</f>
        <v/>
      </c>
      <c r="H1883" s="8">
        <f>IF(B1883="","",IFERROR(VLOOKUP(--B1883,'CATALOGO CECO'!$A$2:$H$550,3,FALSE),""))</f>
        <v/>
      </c>
      <c r="I1883" s="8">
        <f>IF(B1883="","",IFERROR(VLOOKUP(--B1883,'CATALOGO CECO'!$A$2:$H$550,5,FALSE),""))</f>
        <v/>
      </c>
      <c r="J1883" s="8">
        <f>IF(B1883="","",IFERROR(VLOOKUP(--B1883,'CATALOGO CECO'!$A$2:$H$550,8,FALSE),""))</f>
        <v/>
      </c>
      <c r="K1883" s="8">
        <f>IF(COUNTA(A1883:F1883)=0,"",IF(OR(LEN(A1883)&lt;&gt;7,MID(A1883,5,1)&lt;&gt;"-",ISERROR(--LEFT(A1883,4)),ISERROR(--RIGHT(A1883,2))),"ERROR: PERIODO debe ser AAAA-MM",IF(B1883="","ERROR: falta CODIGO CECO",IF(G1883="CECO NO EXISTE","ERROR: CECO no existe en el catálogo",IF(C1883="","ERROR: falta CUENTA",IF(ISERROR(--C1883),"ERROR: CUENTA debe tener solo dígitos",IF(ISERROR(FIND(LEFT(C1883,1),"567")),"ERROR: CUENTA fuera de las clases de costo",IF(NOT(ISNUMBER(E1883)),"ERROR: VALOR debe ser numérico",IF(E1883=0,"AVISO: valor cero (no se carga)",IF(J1883&lt;&gt;"ACTIVO","NO SE CARGA: CECO en estado "&amp;J1883,"OK"))))))))))</f>
        <v/>
      </c>
    </row>
    <row r="1884">
      <c r="A1884" s="5" t="n"/>
      <c r="B1884" s="6" t="n"/>
      <c r="C1884" s="5" t="n"/>
      <c r="D1884" s="6" t="n"/>
      <c r="E1884" s="7" t="n"/>
      <c r="F1884" s="6" t="n"/>
      <c r="G1884" s="8">
        <f>IF(B1884="","",IFERROR(VLOOKUP(--B1884,'CATALOGO CECO'!$A$2:$H$550,2,FALSE),"CECO NO EXISTE"))</f>
        <v/>
      </c>
      <c r="H1884" s="8">
        <f>IF(B1884="","",IFERROR(VLOOKUP(--B1884,'CATALOGO CECO'!$A$2:$H$550,3,FALSE),""))</f>
        <v/>
      </c>
      <c r="I1884" s="8">
        <f>IF(B1884="","",IFERROR(VLOOKUP(--B1884,'CATALOGO CECO'!$A$2:$H$550,5,FALSE),""))</f>
        <v/>
      </c>
      <c r="J1884" s="8">
        <f>IF(B1884="","",IFERROR(VLOOKUP(--B1884,'CATALOGO CECO'!$A$2:$H$550,8,FALSE),""))</f>
        <v/>
      </c>
      <c r="K1884" s="8">
        <f>IF(COUNTA(A1884:F1884)=0,"",IF(OR(LEN(A1884)&lt;&gt;7,MID(A1884,5,1)&lt;&gt;"-",ISERROR(--LEFT(A1884,4)),ISERROR(--RIGHT(A1884,2))),"ERROR: PERIODO debe ser AAAA-MM",IF(B1884="","ERROR: falta CODIGO CECO",IF(G1884="CECO NO EXISTE","ERROR: CECO no existe en el catálogo",IF(C1884="","ERROR: falta CUENTA",IF(ISERROR(--C1884),"ERROR: CUENTA debe tener solo dígitos",IF(ISERROR(FIND(LEFT(C1884,1),"567")),"ERROR: CUENTA fuera de las clases de costo",IF(NOT(ISNUMBER(E1884)),"ERROR: VALOR debe ser numérico",IF(E1884=0,"AVISO: valor cero (no se carga)",IF(J1884&lt;&gt;"ACTIVO","NO SE CARGA: CECO en estado "&amp;J1884,"OK"))))))))))</f>
        <v/>
      </c>
    </row>
    <row r="1885">
      <c r="A1885" s="5" t="n"/>
      <c r="B1885" s="6" t="n"/>
      <c r="C1885" s="5" t="n"/>
      <c r="D1885" s="6" t="n"/>
      <c r="E1885" s="7" t="n"/>
      <c r="F1885" s="6" t="n"/>
      <c r="G1885" s="8">
        <f>IF(B1885="","",IFERROR(VLOOKUP(--B1885,'CATALOGO CECO'!$A$2:$H$550,2,FALSE),"CECO NO EXISTE"))</f>
        <v/>
      </c>
      <c r="H1885" s="8">
        <f>IF(B1885="","",IFERROR(VLOOKUP(--B1885,'CATALOGO CECO'!$A$2:$H$550,3,FALSE),""))</f>
        <v/>
      </c>
      <c r="I1885" s="8">
        <f>IF(B1885="","",IFERROR(VLOOKUP(--B1885,'CATALOGO CECO'!$A$2:$H$550,5,FALSE),""))</f>
        <v/>
      </c>
      <c r="J1885" s="8">
        <f>IF(B1885="","",IFERROR(VLOOKUP(--B1885,'CATALOGO CECO'!$A$2:$H$550,8,FALSE),""))</f>
        <v/>
      </c>
      <c r="K1885" s="8">
        <f>IF(COUNTA(A1885:F1885)=0,"",IF(OR(LEN(A1885)&lt;&gt;7,MID(A1885,5,1)&lt;&gt;"-",ISERROR(--LEFT(A1885,4)),ISERROR(--RIGHT(A1885,2))),"ERROR: PERIODO debe ser AAAA-MM",IF(B1885="","ERROR: falta CODIGO CECO",IF(G1885="CECO NO EXISTE","ERROR: CECO no existe en el catálogo",IF(C1885="","ERROR: falta CUENTA",IF(ISERROR(--C1885),"ERROR: CUENTA debe tener solo dígitos",IF(ISERROR(FIND(LEFT(C1885,1),"567")),"ERROR: CUENTA fuera de las clases de costo",IF(NOT(ISNUMBER(E1885)),"ERROR: VALOR debe ser numérico",IF(E1885=0,"AVISO: valor cero (no se carga)",IF(J1885&lt;&gt;"ACTIVO","NO SE CARGA: CECO en estado "&amp;J1885,"OK"))))))))))</f>
        <v/>
      </c>
    </row>
    <row r="1886">
      <c r="A1886" s="5" t="n"/>
      <c r="B1886" s="6" t="n"/>
      <c r="C1886" s="5" t="n"/>
      <c r="D1886" s="6" t="n"/>
      <c r="E1886" s="7" t="n"/>
      <c r="F1886" s="6" t="n"/>
      <c r="G1886" s="8">
        <f>IF(B1886="","",IFERROR(VLOOKUP(--B1886,'CATALOGO CECO'!$A$2:$H$550,2,FALSE),"CECO NO EXISTE"))</f>
        <v/>
      </c>
      <c r="H1886" s="8">
        <f>IF(B1886="","",IFERROR(VLOOKUP(--B1886,'CATALOGO CECO'!$A$2:$H$550,3,FALSE),""))</f>
        <v/>
      </c>
      <c r="I1886" s="8">
        <f>IF(B1886="","",IFERROR(VLOOKUP(--B1886,'CATALOGO CECO'!$A$2:$H$550,5,FALSE),""))</f>
        <v/>
      </c>
      <c r="J1886" s="8">
        <f>IF(B1886="","",IFERROR(VLOOKUP(--B1886,'CATALOGO CECO'!$A$2:$H$550,8,FALSE),""))</f>
        <v/>
      </c>
      <c r="K1886" s="8">
        <f>IF(COUNTA(A1886:F1886)=0,"",IF(OR(LEN(A1886)&lt;&gt;7,MID(A1886,5,1)&lt;&gt;"-",ISERROR(--LEFT(A1886,4)),ISERROR(--RIGHT(A1886,2))),"ERROR: PERIODO debe ser AAAA-MM",IF(B1886="","ERROR: falta CODIGO CECO",IF(G1886="CECO NO EXISTE","ERROR: CECO no existe en el catálogo",IF(C1886="","ERROR: falta CUENTA",IF(ISERROR(--C1886),"ERROR: CUENTA debe tener solo dígitos",IF(ISERROR(FIND(LEFT(C1886,1),"567")),"ERROR: CUENTA fuera de las clases de costo",IF(NOT(ISNUMBER(E1886)),"ERROR: VALOR debe ser numérico",IF(E1886=0,"AVISO: valor cero (no se carga)",IF(J1886&lt;&gt;"ACTIVO","NO SE CARGA: CECO en estado "&amp;J1886,"OK"))))))))))</f>
        <v/>
      </c>
    </row>
    <row r="1887">
      <c r="A1887" s="5" t="n"/>
      <c r="B1887" s="6" t="n"/>
      <c r="C1887" s="5" t="n"/>
      <c r="D1887" s="6" t="n"/>
      <c r="E1887" s="7" t="n"/>
      <c r="F1887" s="6" t="n"/>
      <c r="G1887" s="8">
        <f>IF(B1887="","",IFERROR(VLOOKUP(--B1887,'CATALOGO CECO'!$A$2:$H$550,2,FALSE),"CECO NO EXISTE"))</f>
        <v/>
      </c>
      <c r="H1887" s="8">
        <f>IF(B1887="","",IFERROR(VLOOKUP(--B1887,'CATALOGO CECO'!$A$2:$H$550,3,FALSE),""))</f>
        <v/>
      </c>
      <c r="I1887" s="8">
        <f>IF(B1887="","",IFERROR(VLOOKUP(--B1887,'CATALOGO CECO'!$A$2:$H$550,5,FALSE),""))</f>
        <v/>
      </c>
      <c r="J1887" s="8">
        <f>IF(B1887="","",IFERROR(VLOOKUP(--B1887,'CATALOGO CECO'!$A$2:$H$550,8,FALSE),""))</f>
        <v/>
      </c>
      <c r="K1887" s="8">
        <f>IF(COUNTA(A1887:F1887)=0,"",IF(OR(LEN(A1887)&lt;&gt;7,MID(A1887,5,1)&lt;&gt;"-",ISERROR(--LEFT(A1887,4)),ISERROR(--RIGHT(A1887,2))),"ERROR: PERIODO debe ser AAAA-MM",IF(B1887="","ERROR: falta CODIGO CECO",IF(G1887="CECO NO EXISTE","ERROR: CECO no existe en el catálogo",IF(C1887="","ERROR: falta CUENTA",IF(ISERROR(--C1887),"ERROR: CUENTA debe tener solo dígitos",IF(ISERROR(FIND(LEFT(C1887,1),"567")),"ERROR: CUENTA fuera de las clases de costo",IF(NOT(ISNUMBER(E1887)),"ERROR: VALOR debe ser numérico",IF(E1887=0,"AVISO: valor cero (no se carga)",IF(J1887&lt;&gt;"ACTIVO","NO SE CARGA: CECO en estado "&amp;J1887,"OK"))))))))))</f>
        <v/>
      </c>
    </row>
    <row r="1888">
      <c r="A1888" s="5" t="n"/>
      <c r="B1888" s="6" t="n"/>
      <c r="C1888" s="5" t="n"/>
      <c r="D1888" s="6" t="n"/>
      <c r="E1888" s="7" t="n"/>
      <c r="F1888" s="6" t="n"/>
      <c r="G1888" s="8">
        <f>IF(B1888="","",IFERROR(VLOOKUP(--B1888,'CATALOGO CECO'!$A$2:$H$550,2,FALSE),"CECO NO EXISTE"))</f>
        <v/>
      </c>
      <c r="H1888" s="8">
        <f>IF(B1888="","",IFERROR(VLOOKUP(--B1888,'CATALOGO CECO'!$A$2:$H$550,3,FALSE),""))</f>
        <v/>
      </c>
      <c r="I1888" s="8">
        <f>IF(B1888="","",IFERROR(VLOOKUP(--B1888,'CATALOGO CECO'!$A$2:$H$550,5,FALSE),""))</f>
        <v/>
      </c>
      <c r="J1888" s="8">
        <f>IF(B1888="","",IFERROR(VLOOKUP(--B1888,'CATALOGO CECO'!$A$2:$H$550,8,FALSE),""))</f>
        <v/>
      </c>
      <c r="K1888" s="8">
        <f>IF(COUNTA(A1888:F1888)=0,"",IF(OR(LEN(A1888)&lt;&gt;7,MID(A1888,5,1)&lt;&gt;"-",ISERROR(--LEFT(A1888,4)),ISERROR(--RIGHT(A1888,2))),"ERROR: PERIODO debe ser AAAA-MM",IF(B1888="","ERROR: falta CODIGO CECO",IF(G1888="CECO NO EXISTE","ERROR: CECO no existe en el catálogo",IF(C1888="","ERROR: falta CUENTA",IF(ISERROR(--C1888),"ERROR: CUENTA debe tener solo dígitos",IF(ISERROR(FIND(LEFT(C1888,1),"567")),"ERROR: CUENTA fuera de las clases de costo",IF(NOT(ISNUMBER(E1888)),"ERROR: VALOR debe ser numérico",IF(E1888=0,"AVISO: valor cero (no se carga)",IF(J1888&lt;&gt;"ACTIVO","NO SE CARGA: CECO en estado "&amp;J1888,"OK"))))))))))</f>
        <v/>
      </c>
    </row>
    <row r="1889">
      <c r="A1889" s="5" t="n"/>
      <c r="B1889" s="6" t="n"/>
      <c r="C1889" s="5" t="n"/>
      <c r="D1889" s="6" t="n"/>
      <c r="E1889" s="7" t="n"/>
      <c r="F1889" s="6" t="n"/>
      <c r="G1889" s="8">
        <f>IF(B1889="","",IFERROR(VLOOKUP(--B1889,'CATALOGO CECO'!$A$2:$H$550,2,FALSE),"CECO NO EXISTE"))</f>
        <v/>
      </c>
      <c r="H1889" s="8">
        <f>IF(B1889="","",IFERROR(VLOOKUP(--B1889,'CATALOGO CECO'!$A$2:$H$550,3,FALSE),""))</f>
        <v/>
      </c>
      <c r="I1889" s="8">
        <f>IF(B1889="","",IFERROR(VLOOKUP(--B1889,'CATALOGO CECO'!$A$2:$H$550,5,FALSE),""))</f>
        <v/>
      </c>
      <c r="J1889" s="8">
        <f>IF(B1889="","",IFERROR(VLOOKUP(--B1889,'CATALOGO CECO'!$A$2:$H$550,8,FALSE),""))</f>
        <v/>
      </c>
      <c r="K1889" s="8">
        <f>IF(COUNTA(A1889:F1889)=0,"",IF(OR(LEN(A1889)&lt;&gt;7,MID(A1889,5,1)&lt;&gt;"-",ISERROR(--LEFT(A1889,4)),ISERROR(--RIGHT(A1889,2))),"ERROR: PERIODO debe ser AAAA-MM",IF(B1889="","ERROR: falta CODIGO CECO",IF(G1889="CECO NO EXISTE","ERROR: CECO no existe en el catálogo",IF(C1889="","ERROR: falta CUENTA",IF(ISERROR(--C1889),"ERROR: CUENTA debe tener solo dígitos",IF(ISERROR(FIND(LEFT(C1889,1),"567")),"ERROR: CUENTA fuera de las clases de costo",IF(NOT(ISNUMBER(E1889)),"ERROR: VALOR debe ser numérico",IF(E1889=0,"AVISO: valor cero (no se carga)",IF(J1889&lt;&gt;"ACTIVO","NO SE CARGA: CECO en estado "&amp;J1889,"OK"))))))))))</f>
        <v/>
      </c>
    </row>
    <row r="1890">
      <c r="A1890" s="5" t="n"/>
      <c r="B1890" s="6" t="n"/>
      <c r="C1890" s="5" t="n"/>
      <c r="D1890" s="6" t="n"/>
      <c r="E1890" s="7" t="n"/>
      <c r="F1890" s="6" t="n"/>
      <c r="G1890" s="8">
        <f>IF(B1890="","",IFERROR(VLOOKUP(--B1890,'CATALOGO CECO'!$A$2:$H$550,2,FALSE),"CECO NO EXISTE"))</f>
        <v/>
      </c>
      <c r="H1890" s="8">
        <f>IF(B1890="","",IFERROR(VLOOKUP(--B1890,'CATALOGO CECO'!$A$2:$H$550,3,FALSE),""))</f>
        <v/>
      </c>
      <c r="I1890" s="8">
        <f>IF(B1890="","",IFERROR(VLOOKUP(--B1890,'CATALOGO CECO'!$A$2:$H$550,5,FALSE),""))</f>
        <v/>
      </c>
      <c r="J1890" s="8">
        <f>IF(B1890="","",IFERROR(VLOOKUP(--B1890,'CATALOGO CECO'!$A$2:$H$550,8,FALSE),""))</f>
        <v/>
      </c>
      <c r="K1890" s="8">
        <f>IF(COUNTA(A1890:F1890)=0,"",IF(OR(LEN(A1890)&lt;&gt;7,MID(A1890,5,1)&lt;&gt;"-",ISERROR(--LEFT(A1890,4)),ISERROR(--RIGHT(A1890,2))),"ERROR: PERIODO debe ser AAAA-MM",IF(B1890="","ERROR: falta CODIGO CECO",IF(G1890="CECO NO EXISTE","ERROR: CECO no existe en el catálogo",IF(C1890="","ERROR: falta CUENTA",IF(ISERROR(--C1890),"ERROR: CUENTA debe tener solo dígitos",IF(ISERROR(FIND(LEFT(C1890,1),"567")),"ERROR: CUENTA fuera de las clases de costo",IF(NOT(ISNUMBER(E1890)),"ERROR: VALOR debe ser numérico",IF(E1890=0,"AVISO: valor cero (no se carga)",IF(J1890&lt;&gt;"ACTIVO","NO SE CARGA: CECO en estado "&amp;J1890,"OK"))))))))))</f>
        <v/>
      </c>
    </row>
    <row r="1891">
      <c r="A1891" s="5" t="n"/>
      <c r="B1891" s="6" t="n"/>
      <c r="C1891" s="5" t="n"/>
      <c r="D1891" s="6" t="n"/>
      <c r="E1891" s="7" t="n"/>
      <c r="F1891" s="6" t="n"/>
      <c r="G1891" s="8">
        <f>IF(B1891="","",IFERROR(VLOOKUP(--B1891,'CATALOGO CECO'!$A$2:$H$550,2,FALSE),"CECO NO EXISTE"))</f>
        <v/>
      </c>
      <c r="H1891" s="8">
        <f>IF(B1891="","",IFERROR(VLOOKUP(--B1891,'CATALOGO CECO'!$A$2:$H$550,3,FALSE),""))</f>
        <v/>
      </c>
      <c r="I1891" s="8">
        <f>IF(B1891="","",IFERROR(VLOOKUP(--B1891,'CATALOGO CECO'!$A$2:$H$550,5,FALSE),""))</f>
        <v/>
      </c>
      <c r="J1891" s="8">
        <f>IF(B1891="","",IFERROR(VLOOKUP(--B1891,'CATALOGO CECO'!$A$2:$H$550,8,FALSE),""))</f>
        <v/>
      </c>
      <c r="K1891" s="8">
        <f>IF(COUNTA(A1891:F1891)=0,"",IF(OR(LEN(A1891)&lt;&gt;7,MID(A1891,5,1)&lt;&gt;"-",ISERROR(--LEFT(A1891,4)),ISERROR(--RIGHT(A1891,2))),"ERROR: PERIODO debe ser AAAA-MM",IF(B1891="","ERROR: falta CODIGO CECO",IF(G1891="CECO NO EXISTE","ERROR: CECO no existe en el catálogo",IF(C1891="","ERROR: falta CUENTA",IF(ISERROR(--C1891),"ERROR: CUENTA debe tener solo dígitos",IF(ISERROR(FIND(LEFT(C1891,1),"567")),"ERROR: CUENTA fuera de las clases de costo",IF(NOT(ISNUMBER(E1891)),"ERROR: VALOR debe ser numérico",IF(E1891=0,"AVISO: valor cero (no se carga)",IF(J1891&lt;&gt;"ACTIVO","NO SE CARGA: CECO en estado "&amp;J1891,"OK"))))))))))</f>
        <v/>
      </c>
    </row>
    <row r="1892">
      <c r="A1892" s="5" t="n"/>
      <c r="B1892" s="6" t="n"/>
      <c r="C1892" s="5" t="n"/>
      <c r="D1892" s="6" t="n"/>
      <c r="E1892" s="7" t="n"/>
      <c r="F1892" s="6" t="n"/>
      <c r="G1892" s="8">
        <f>IF(B1892="","",IFERROR(VLOOKUP(--B1892,'CATALOGO CECO'!$A$2:$H$550,2,FALSE),"CECO NO EXISTE"))</f>
        <v/>
      </c>
      <c r="H1892" s="8">
        <f>IF(B1892="","",IFERROR(VLOOKUP(--B1892,'CATALOGO CECO'!$A$2:$H$550,3,FALSE),""))</f>
        <v/>
      </c>
      <c r="I1892" s="8">
        <f>IF(B1892="","",IFERROR(VLOOKUP(--B1892,'CATALOGO CECO'!$A$2:$H$550,5,FALSE),""))</f>
        <v/>
      </c>
      <c r="J1892" s="8">
        <f>IF(B1892="","",IFERROR(VLOOKUP(--B1892,'CATALOGO CECO'!$A$2:$H$550,8,FALSE),""))</f>
        <v/>
      </c>
      <c r="K1892" s="8">
        <f>IF(COUNTA(A1892:F1892)=0,"",IF(OR(LEN(A1892)&lt;&gt;7,MID(A1892,5,1)&lt;&gt;"-",ISERROR(--LEFT(A1892,4)),ISERROR(--RIGHT(A1892,2))),"ERROR: PERIODO debe ser AAAA-MM",IF(B1892="","ERROR: falta CODIGO CECO",IF(G1892="CECO NO EXISTE","ERROR: CECO no existe en el catálogo",IF(C1892="","ERROR: falta CUENTA",IF(ISERROR(--C1892),"ERROR: CUENTA debe tener solo dígitos",IF(ISERROR(FIND(LEFT(C1892,1),"567")),"ERROR: CUENTA fuera de las clases de costo",IF(NOT(ISNUMBER(E1892)),"ERROR: VALOR debe ser numérico",IF(E1892=0,"AVISO: valor cero (no se carga)",IF(J1892&lt;&gt;"ACTIVO","NO SE CARGA: CECO en estado "&amp;J1892,"OK"))))))))))</f>
        <v/>
      </c>
    </row>
    <row r="1893">
      <c r="A1893" s="5" t="n"/>
      <c r="B1893" s="6" t="n"/>
      <c r="C1893" s="5" t="n"/>
      <c r="D1893" s="6" t="n"/>
      <c r="E1893" s="7" t="n"/>
      <c r="F1893" s="6" t="n"/>
      <c r="G1893" s="8">
        <f>IF(B1893="","",IFERROR(VLOOKUP(--B1893,'CATALOGO CECO'!$A$2:$H$550,2,FALSE),"CECO NO EXISTE"))</f>
        <v/>
      </c>
      <c r="H1893" s="8">
        <f>IF(B1893="","",IFERROR(VLOOKUP(--B1893,'CATALOGO CECO'!$A$2:$H$550,3,FALSE),""))</f>
        <v/>
      </c>
      <c r="I1893" s="8">
        <f>IF(B1893="","",IFERROR(VLOOKUP(--B1893,'CATALOGO CECO'!$A$2:$H$550,5,FALSE),""))</f>
        <v/>
      </c>
      <c r="J1893" s="8">
        <f>IF(B1893="","",IFERROR(VLOOKUP(--B1893,'CATALOGO CECO'!$A$2:$H$550,8,FALSE),""))</f>
        <v/>
      </c>
      <c r="K1893" s="8">
        <f>IF(COUNTA(A1893:F1893)=0,"",IF(OR(LEN(A1893)&lt;&gt;7,MID(A1893,5,1)&lt;&gt;"-",ISERROR(--LEFT(A1893,4)),ISERROR(--RIGHT(A1893,2))),"ERROR: PERIODO debe ser AAAA-MM",IF(B1893="","ERROR: falta CODIGO CECO",IF(G1893="CECO NO EXISTE","ERROR: CECO no existe en el catálogo",IF(C1893="","ERROR: falta CUENTA",IF(ISERROR(--C1893),"ERROR: CUENTA debe tener solo dígitos",IF(ISERROR(FIND(LEFT(C1893,1),"567")),"ERROR: CUENTA fuera de las clases de costo",IF(NOT(ISNUMBER(E1893)),"ERROR: VALOR debe ser numérico",IF(E1893=0,"AVISO: valor cero (no se carga)",IF(J1893&lt;&gt;"ACTIVO","NO SE CARGA: CECO en estado "&amp;J1893,"OK"))))))))))</f>
        <v/>
      </c>
    </row>
    <row r="1894">
      <c r="A1894" s="5" t="n"/>
      <c r="B1894" s="6" t="n"/>
      <c r="C1894" s="5" t="n"/>
      <c r="D1894" s="6" t="n"/>
      <c r="E1894" s="7" t="n"/>
      <c r="F1894" s="6" t="n"/>
      <c r="G1894" s="8">
        <f>IF(B1894="","",IFERROR(VLOOKUP(--B1894,'CATALOGO CECO'!$A$2:$H$550,2,FALSE),"CECO NO EXISTE"))</f>
        <v/>
      </c>
      <c r="H1894" s="8">
        <f>IF(B1894="","",IFERROR(VLOOKUP(--B1894,'CATALOGO CECO'!$A$2:$H$550,3,FALSE),""))</f>
        <v/>
      </c>
      <c r="I1894" s="8">
        <f>IF(B1894="","",IFERROR(VLOOKUP(--B1894,'CATALOGO CECO'!$A$2:$H$550,5,FALSE),""))</f>
        <v/>
      </c>
      <c r="J1894" s="8">
        <f>IF(B1894="","",IFERROR(VLOOKUP(--B1894,'CATALOGO CECO'!$A$2:$H$550,8,FALSE),""))</f>
        <v/>
      </c>
      <c r="K1894" s="8">
        <f>IF(COUNTA(A1894:F1894)=0,"",IF(OR(LEN(A1894)&lt;&gt;7,MID(A1894,5,1)&lt;&gt;"-",ISERROR(--LEFT(A1894,4)),ISERROR(--RIGHT(A1894,2))),"ERROR: PERIODO debe ser AAAA-MM",IF(B1894="","ERROR: falta CODIGO CECO",IF(G1894="CECO NO EXISTE","ERROR: CECO no existe en el catálogo",IF(C1894="","ERROR: falta CUENTA",IF(ISERROR(--C1894),"ERROR: CUENTA debe tener solo dígitos",IF(ISERROR(FIND(LEFT(C1894,1),"567")),"ERROR: CUENTA fuera de las clases de costo",IF(NOT(ISNUMBER(E1894)),"ERROR: VALOR debe ser numérico",IF(E1894=0,"AVISO: valor cero (no se carga)",IF(J1894&lt;&gt;"ACTIVO","NO SE CARGA: CECO en estado "&amp;J1894,"OK"))))))))))</f>
        <v/>
      </c>
    </row>
    <row r="1895">
      <c r="A1895" s="5" t="n"/>
      <c r="B1895" s="6" t="n"/>
      <c r="C1895" s="5" t="n"/>
      <c r="D1895" s="6" t="n"/>
      <c r="E1895" s="7" t="n"/>
      <c r="F1895" s="6" t="n"/>
      <c r="G1895" s="8">
        <f>IF(B1895="","",IFERROR(VLOOKUP(--B1895,'CATALOGO CECO'!$A$2:$H$550,2,FALSE),"CECO NO EXISTE"))</f>
        <v/>
      </c>
      <c r="H1895" s="8">
        <f>IF(B1895="","",IFERROR(VLOOKUP(--B1895,'CATALOGO CECO'!$A$2:$H$550,3,FALSE),""))</f>
        <v/>
      </c>
      <c r="I1895" s="8">
        <f>IF(B1895="","",IFERROR(VLOOKUP(--B1895,'CATALOGO CECO'!$A$2:$H$550,5,FALSE),""))</f>
        <v/>
      </c>
      <c r="J1895" s="8">
        <f>IF(B1895="","",IFERROR(VLOOKUP(--B1895,'CATALOGO CECO'!$A$2:$H$550,8,FALSE),""))</f>
        <v/>
      </c>
      <c r="K1895" s="8">
        <f>IF(COUNTA(A1895:F1895)=0,"",IF(OR(LEN(A1895)&lt;&gt;7,MID(A1895,5,1)&lt;&gt;"-",ISERROR(--LEFT(A1895,4)),ISERROR(--RIGHT(A1895,2))),"ERROR: PERIODO debe ser AAAA-MM",IF(B1895="","ERROR: falta CODIGO CECO",IF(G1895="CECO NO EXISTE","ERROR: CECO no existe en el catálogo",IF(C1895="","ERROR: falta CUENTA",IF(ISERROR(--C1895),"ERROR: CUENTA debe tener solo dígitos",IF(ISERROR(FIND(LEFT(C1895,1),"567")),"ERROR: CUENTA fuera de las clases de costo",IF(NOT(ISNUMBER(E1895)),"ERROR: VALOR debe ser numérico",IF(E1895=0,"AVISO: valor cero (no se carga)",IF(J1895&lt;&gt;"ACTIVO","NO SE CARGA: CECO en estado "&amp;J1895,"OK"))))))))))</f>
        <v/>
      </c>
    </row>
    <row r="1896">
      <c r="A1896" s="5" t="n"/>
      <c r="B1896" s="6" t="n"/>
      <c r="C1896" s="5" t="n"/>
      <c r="D1896" s="6" t="n"/>
      <c r="E1896" s="7" t="n"/>
      <c r="F1896" s="6" t="n"/>
      <c r="G1896" s="8">
        <f>IF(B1896="","",IFERROR(VLOOKUP(--B1896,'CATALOGO CECO'!$A$2:$H$550,2,FALSE),"CECO NO EXISTE"))</f>
        <v/>
      </c>
      <c r="H1896" s="8">
        <f>IF(B1896="","",IFERROR(VLOOKUP(--B1896,'CATALOGO CECO'!$A$2:$H$550,3,FALSE),""))</f>
        <v/>
      </c>
      <c r="I1896" s="8">
        <f>IF(B1896="","",IFERROR(VLOOKUP(--B1896,'CATALOGO CECO'!$A$2:$H$550,5,FALSE),""))</f>
        <v/>
      </c>
      <c r="J1896" s="8">
        <f>IF(B1896="","",IFERROR(VLOOKUP(--B1896,'CATALOGO CECO'!$A$2:$H$550,8,FALSE),""))</f>
        <v/>
      </c>
      <c r="K1896" s="8">
        <f>IF(COUNTA(A1896:F1896)=0,"",IF(OR(LEN(A1896)&lt;&gt;7,MID(A1896,5,1)&lt;&gt;"-",ISERROR(--LEFT(A1896,4)),ISERROR(--RIGHT(A1896,2))),"ERROR: PERIODO debe ser AAAA-MM",IF(B1896="","ERROR: falta CODIGO CECO",IF(G1896="CECO NO EXISTE","ERROR: CECO no existe en el catálogo",IF(C1896="","ERROR: falta CUENTA",IF(ISERROR(--C1896),"ERROR: CUENTA debe tener solo dígitos",IF(ISERROR(FIND(LEFT(C1896,1),"567")),"ERROR: CUENTA fuera de las clases de costo",IF(NOT(ISNUMBER(E1896)),"ERROR: VALOR debe ser numérico",IF(E1896=0,"AVISO: valor cero (no se carga)",IF(J1896&lt;&gt;"ACTIVO","NO SE CARGA: CECO en estado "&amp;J1896,"OK"))))))))))</f>
        <v/>
      </c>
    </row>
    <row r="1897">
      <c r="A1897" s="5" t="n"/>
      <c r="B1897" s="6" t="n"/>
      <c r="C1897" s="5" t="n"/>
      <c r="D1897" s="6" t="n"/>
      <c r="E1897" s="7" t="n"/>
      <c r="F1897" s="6" t="n"/>
      <c r="G1897" s="8">
        <f>IF(B1897="","",IFERROR(VLOOKUP(--B1897,'CATALOGO CECO'!$A$2:$H$550,2,FALSE),"CECO NO EXISTE"))</f>
        <v/>
      </c>
      <c r="H1897" s="8">
        <f>IF(B1897="","",IFERROR(VLOOKUP(--B1897,'CATALOGO CECO'!$A$2:$H$550,3,FALSE),""))</f>
        <v/>
      </c>
      <c r="I1897" s="8">
        <f>IF(B1897="","",IFERROR(VLOOKUP(--B1897,'CATALOGO CECO'!$A$2:$H$550,5,FALSE),""))</f>
        <v/>
      </c>
      <c r="J1897" s="8">
        <f>IF(B1897="","",IFERROR(VLOOKUP(--B1897,'CATALOGO CECO'!$A$2:$H$550,8,FALSE),""))</f>
        <v/>
      </c>
      <c r="K1897" s="8">
        <f>IF(COUNTA(A1897:F1897)=0,"",IF(OR(LEN(A1897)&lt;&gt;7,MID(A1897,5,1)&lt;&gt;"-",ISERROR(--LEFT(A1897,4)),ISERROR(--RIGHT(A1897,2))),"ERROR: PERIODO debe ser AAAA-MM",IF(B1897="","ERROR: falta CODIGO CECO",IF(G1897="CECO NO EXISTE","ERROR: CECO no existe en el catálogo",IF(C1897="","ERROR: falta CUENTA",IF(ISERROR(--C1897),"ERROR: CUENTA debe tener solo dígitos",IF(ISERROR(FIND(LEFT(C1897,1),"567")),"ERROR: CUENTA fuera de las clases de costo",IF(NOT(ISNUMBER(E1897)),"ERROR: VALOR debe ser numérico",IF(E1897=0,"AVISO: valor cero (no se carga)",IF(J1897&lt;&gt;"ACTIVO","NO SE CARGA: CECO en estado "&amp;J1897,"OK"))))))))))</f>
        <v/>
      </c>
    </row>
    <row r="1898">
      <c r="A1898" s="5" t="n"/>
      <c r="B1898" s="6" t="n"/>
      <c r="C1898" s="5" t="n"/>
      <c r="D1898" s="6" t="n"/>
      <c r="E1898" s="7" t="n"/>
      <c r="F1898" s="6" t="n"/>
      <c r="G1898" s="8">
        <f>IF(B1898="","",IFERROR(VLOOKUP(--B1898,'CATALOGO CECO'!$A$2:$H$550,2,FALSE),"CECO NO EXISTE"))</f>
        <v/>
      </c>
      <c r="H1898" s="8">
        <f>IF(B1898="","",IFERROR(VLOOKUP(--B1898,'CATALOGO CECO'!$A$2:$H$550,3,FALSE),""))</f>
        <v/>
      </c>
      <c r="I1898" s="8">
        <f>IF(B1898="","",IFERROR(VLOOKUP(--B1898,'CATALOGO CECO'!$A$2:$H$550,5,FALSE),""))</f>
        <v/>
      </c>
      <c r="J1898" s="8">
        <f>IF(B1898="","",IFERROR(VLOOKUP(--B1898,'CATALOGO CECO'!$A$2:$H$550,8,FALSE),""))</f>
        <v/>
      </c>
      <c r="K1898" s="8">
        <f>IF(COUNTA(A1898:F1898)=0,"",IF(OR(LEN(A1898)&lt;&gt;7,MID(A1898,5,1)&lt;&gt;"-",ISERROR(--LEFT(A1898,4)),ISERROR(--RIGHT(A1898,2))),"ERROR: PERIODO debe ser AAAA-MM",IF(B1898="","ERROR: falta CODIGO CECO",IF(G1898="CECO NO EXISTE","ERROR: CECO no existe en el catálogo",IF(C1898="","ERROR: falta CUENTA",IF(ISERROR(--C1898),"ERROR: CUENTA debe tener solo dígitos",IF(ISERROR(FIND(LEFT(C1898,1),"567")),"ERROR: CUENTA fuera de las clases de costo",IF(NOT(ISNUMBER(E1898)),"ERROR: VALOR debe ser numérico",IF(E1898=0,"AVISO: valor cero (no se carga)",IF(J1898&lt;&gt;"ACTIVO","NO SE CARGA: CECO en estado "&amp;J1898,"OK"))))))))))</f>
        <v/>
      </c>
    </row>
    <row r="1899">
      <c r="A1899" s="5" t="n"/>
      <c r="B1899" s="6" t="n"/>
      <c r="C1899" s="5" t="n"/>
      <c r="D1899" s="6" t="n"/>
      <c r="E1899" s="7" t="n"/>
      <c r="F1899" s="6" t="n"/>
      <c r="G1899" s="8">
        <f>IF(B1899="","",IFERROR(VLOOKUP(--B1899,'CATALOGO CECO'!$A$2:$H$550,2,FALSE),"CECO NO EXISTE"))</f>
        <v/>
      </c>
      <c r="H1899" s="8">
        <f>IF(B1899="","",IFERROR(VLOOKUP(--B1899,'CATALOGO CECO'!$A$2:$H$550,3,FALSE),""))</f>
        <v/>
      </c>
      <c r="I1899" s="8">
        <f>IF(B1899="","",IFERROR(VLOOKUP(--B1899,'CATALOGO CECO'!$A$2:$H$550,5,FALSE),""))</f>
        <v/>
      </c>
      <c r="J1899" s="8">
        <f>IF(B1899="","",IFERROR(VLOOKUP(--B1899,'CATALOGO CECO'!$A$2:$H$550,8,FALSE),""))</f>
        <v/>
      </c>
      <c r="K1899" s="8">
        <f>IF(COUNTA(A1899:F1899)=0,"",IF(OR(LEN(A1899)&lt;&gt;7,MID(A1899,5,1)&lt;&gt;"-",ISERROR(--LEFT(A1899,4)),ISERROR(--RIGHT(A1899,2))),"ERROR: PERIODO debe ser AAAA-MM",IF(B1899="","ERROR: falta CODIGO CECO",IF(G1899="CECO NO EXISTE","ERROR: CECO no existe en el catálogo",IF(C1899="","ERROR: falta CUENTA",IF(ISERROR(--C1899),"ERROR: CUENTA debe tener solo dígitos",IF(ISERROR(FIND(LEFT(C1899,1),"567")),"ERROR: CUENTA fuera de las clases de costo",IF(NOT(ISNUMBER(E1899)),"ERROR: VALOR debe ser numérico",IF(E1899=0,"AVISO: valor cero (no se carga)",IF(J1899&lt;&gt;"ACTIVO","NO SE CARGA: CECO en estado "&amp;J1899,"OK"))))))))))</f>
        <v/>
      </c>
    </row>
    <row r="1900">
      <c r="A1900" s="5" t="n"/>
      <c r="B1900" s="6" t="n"/>
      <c r="C1900" s="5" t="n"/>
      <c r="D1900" s="6" t="n"/>
      <c r="E1900" s="7" t="n"/>
      <c r="F1900" s="6" t="n"/>
      <c r="G1900" s="8">
        <f>IF(B1900="","",IFERROR(VLOOKUP(--B1900,'CATALOGO CECO'!$A$2:$H$550,2,FALSE),"CECO NO EXISTE"))</f>
        <v/>
      </c>
      <c r="H1900" s="8">
        <f>IF(B1900="","",IFERROR(VLOOKUP(--B1900,'CATALOGO CECO'!$A$2:$H$550,3,FALSE),""))</f>
        <v/>
      </c>
      <c r="I1900" s="8">
        <f>IF(B1900="","",IFERROR(VLOOKUP(--B1900,'CATALOGO CECO'!$A$2:$H$550,5,FALSE),""))</f>
        <v/>
      </c>
      <c r="J1900" s="8">
        <f>IF(B1900="","",IFERROR(VLOOKUP(--B1900,'CATALOGO CECO'!$A$2:$H$550,8,FALSE),""))</f>
        <v/>
      </c>
      <c r="K1900" s="8">
        <f>IF(COUNTA(A1900:F1900)=0,"",IF(OR(LEN(A1900)&lt;&gt;7,MID(A1900,5,1)&lt;&gt;"-",ISERROR(--LEFT(A1900,4)),ISERROR(--RIGHT(A1900,2))),"ERROR: PERIODO debe ser AAAA-MM",IF(B1900="","ERROR: falta CODIGO CECO",IF(G1900="CECO NO EXISTE","ERROR: CECO no existe en el catálogo",IF(C1900="","ERROR: falta CUENTA",IF(ISERROR(--C1900),"ERROR: CUENTA debe tener solo dígitos",IF(ISERROR(FIND(LEFT(C1900,1),"567")),"ERROR: CUENTA fuera de las clases de costo",IF(NOT(ISNUMBER(E1900)),"ERROR: VALOR debe ser numérico",IF(E1900=0,"AVISO: valor cero (no se carga)",IF(J1900&lt;&gt;"ACTIVO","NO SE CARGA: CECO en estado "&amp;J1900,"OK"))))))))))</f>
        <v/>
      </c>
    </row>
    <row r="1901">
      <c r="A1901" s="5" t="n"/>
      <c r="B1901" s="6" t="n"/>
      <c r="C1901" s="5" t="n"/>
      <c r="D1901" s="6" t="n"/>
      <c r="E1901" s="7" t="n"/>
      <c r="F1901" s="6" t="n"/>
      <c r="G1901" s="8">
        <f>IF(B1901="","",IFERROR(VLOOKUP(--B1901,'CATALOGO CECO'!$A$2:$H$550,2,FALSE),"CECO NO EXISTE"))</f>
        <v/>
      </c>
      <c r="H1901" s="8">
        <f>IF(B1901="","",IFERROR(VLOOKUP(--B1901,'CATALOGO CECO'!$A$2:$H$550,3,FALSE),""))</f>
        <v/>
      </c>
      <c r="I1901" s="8">
        <f>IF(B1901="","",IFERROR(VLOOKUP(--B1901,'CATALOGO CECO'!$A$2:$H$550,5,FALSE),""))</f>
        <v/>
      </c>
      <c r="J1901" s="8">
        <f>IF(B1901="","",IFERROR(VLOOKUP(--B1901,'CATALOGO CECO'!$A$2:$H$550,8,FALSE),""))</f>
        <v/>
      </c>
      <c r="K1901" s="8">
        <f>IF(COUNTA(A1901:F1901)=0,"",IF(OR(LEN(A1901)&lt;&gt;7,MID(A1901,5,1)&lt;&gt;"-",ISERROR(--LEFT(A1901,4)),ISERROR(--RIGHT(A1901,2))),"ERROR: PERIODO debe ser AAAA-MM",IF(B1901="","ERROR: falta CODIGO CECO",IF(G1901="CECO NO EXISTE","ERROR: CECO no existe en el catálogo",IF(C1901="","ERROR: falta CUENTA",IF(ISERROR(--C1901),"ERROR: CUENTA debe tener solo dígitos",IF(ISERROR(FIND(LEFT(C1901,1),"567")),"ERROR: CUENTA fuera de las clases de costo",IF(NOT(ISNUMBER(E1901)),"ERROR: VALOR debe ser numérico",IF(E1901=0,"AVISO: valor cero (no se carga)",IF(J1901&lt;&gt;"ACTIVO","NO SE CARGA: CECO en estado "&amp;J1901,"OK"))))))))))</f>
        <v/>
      </c>
    </row>
    <row r="1902">
      <c r="A1902" s="5" t="n"/>
      <c r="B1902" s="6" t="n"/>
      <c r="C1902" s="5" t="n"/>
      <c r="D1902" s="6" t="n"/>
      <c r="E1902" s="7" t="n"/>
      <c r="F1902" s="6" t="n"/>
      <c r="G1902" s="8">
        <f>IF(B1902="","",IFERROR(VLOOKUP(--B1902,'CATALOGO CECO'!$A$2:$H$550,2,FALSE),"CECO NO EXISTE"))</f>
        <v/>
      </c>
      <c r="H1902" s="8">
        <f>IF(B1902="","",IFERROR(VLOOKUP(--B1902,'CATALOGO CECO'!$A$2:$H$550,3,FALSE),""))</f>
        <v/>
      </c>
      <c r="I1902" s="8">
        <f>IF(B1902="","",IFERROR(VLOOKUP(--B1902,'CATALOGO CECO'!$A$2:$H$550,5,FALSE),""))</f>
        <v/>
      </c>
      <c r="J1902" s="8">
        <f>IF(B1902="","",IFERROR(VLOOKUP(--B1902,'CATALOGO CECO'!$A$2:$H$550,8,FALSE),""))</f>
        <v/>
      </c>
      <c r="K1902" s="8">
        <f>IF(COUNTA(A1902:F1902)=0,"",IF(OR(LEN(A1902)&lt;&gt;7,MID(A1902,5,1)&lt;&gt;"-",ISERROR(--LEFT(A1902,4)),ISERROR(--RIGHT(A1902,2))),"ERROR: PERIODO debe ser AAAA-MM",IF(B1902="","ERROR: falta CODIGO CECO",IF(G1902="CECO NO EXISTE","ERROR: CECO no existe en el catálogo",IF(C1902="","ERROR: falta CUENTA",IF(ISERROR(--C1902),"ERROR: CUENTA debe tener solo dígitos",IF(ISERROR(FIND(LEFT(C1902,1),"567")),"ERROR: CUENTA fuera de las clases de costo",IF(NOT(ISNUMBER(E1902)),"ERROR: VALOR debe ser numérico",IF(E1902=0,"AVISO: valor cero (no se carga)",IF(J1902&lt;&gt;"ACTIVO","NO SE CARGA: CECO en estado "&amp;J1902,"OK"))))))))))</f>
        <v/>
      </c>
    </row>
    <row r="1903">
      <c r="A1903" s="5" t="n"/>
      <c r="B1903" s="6" t="n"/>
      <c r="C1903" s="5" t="n"/>
      <c r="D1903" s="6" t="n"/>
      <c r="E1903" s="7" t="n"/>
      <c r="F1903" s="6" t="n"/>
      <c r="G1903" s="8">
        <f>IF(B1903="","",IFERROR(VLOOKUP(--B1903,'CATALOGO CECO'!$A$2:$H$550,2,FALSE),"CECO NO EXISTE"))</f>
        <v/>
      </c>
      <c r="H1903" s="8">
        <f>IF(B1903="","",IFERROR(VLOOKUP(--B1903,'CATALOGO CECO'!$A$2:$H$550,3,FALSE),""))</f>
        <v/>
      </c>
      <c r="I1903" s="8">
        <f>IF(B1903="","",IFERROR(VLOOKUP(--B1903,'CATALOGO CECO'!$A$2:$H$550,5,FALSE),""))</f>
        <v/>
      </c>
      <c r="J1903" s="8">
        <f>IF(B1903="","",IFERROR(VLOOKUP(--B1903,'CATALOGO CECO'!$A$2:$H$550,8,FALSE),""))</f>
        <v/>
      </c>
      <c r="K1903" s="8">
        <f>IF(COUNTA(A1903:F1903)=0,"",IF(OR(LEN(A1903)&lt;&gt;7,MID(A1903,5,1)&lt;&gt;"-",ISERROR(--LEFT(A1903,4)),ISERROR(--RIGHT(A1903,2))),"ERROR: PERIODO debe ser AAAA-MM",IF(B1903="","ERROR: falta CODIGO CECO",IF(G1903="CECO NO EXISTE","ERROR: CECO no existe en el catálogo",IF(C1903="","ERROR: falta CUENTA",IF(ISERROR(--C1903),"ERROR: CUENTA debe tener solo dígitos",IF(ISERROR(FIND(LEFT(C1903,1),"567")),"ERROR: CUENTA fuera de las clases de costo",IF(NOT(ISNUMBER(E1903)),"ERROR: VALOR debe ser numérico",IF(E1903=0,"AVISO: valor cero (no se carga)",IF(J1903&lt;&gt;"ACTIVO","NO SE CARGA: CECO en estado "&amp;J1903,"OK"))))))))))</f>
        <v/>
      </c>
    </row>
    <row r="1904">
      <c r="A1904" s="5" t="n"/>
      <c r="B1904" s="6" t="n"/>
      <c r="C1904" s="5" t="n"/>
      <c r="D1904" s="6" t="n"/>
      <c r="E1904" s="7" t="n"/>
      <c r="F1904" s="6" t="n"/>
      <c r="G1904" s="8">
        <f>IF(B1904="","",IFERROR(VLOOKUP(--B1904,'CATALOGO CECO'!$A$2:$H$550,2,FALSE),"CECO NO EXISTE"))</f>
        <v/>
      </c>
      <c r="H1904" s="8">
        <f>IF(B1904="","",IFERROR(VLOOKUP(--B1904,'CATALOGO CECO'!$A$2:$H$550,3,FALSE),""))</f>
        <v/>
      </c>
      <c r="I1904" s="8">
        <f>IF(B1904="","",IFERROR(VLOOKUP(--B1904,'CATALOGO CECO'!$A$2:$H$550,5,FALSE),""))</f>
        <v/>
      </c>
      <c r="J1904" s="8">
        <f>IF(B1904="","",IFERROR(VLOOKUP(--B1904,'CATALOGO CECO'!$A$2:$H$550,8,FALSE),""))</f>
        <v/>
      </c>
      <c r="K1904" s="8">
        <f>IF(COUNTA(A1904:F1904)=0,"",IF(OR(LEN(A1904)&lt;&gt;7,MID(A1904,5,1)&lt;&gt;"-",ISERROR(--LEFT(A1904,4)),ISERROR(--RIGHT(A1904,2))),"ERROR: PERIODO debe ser AAAA-MM",IF(B1904="","ERROR: falta CODIGO CECO",IF(G1904="CECO NO EXISTE","ERROR: CECO no existe en el catálogo",IF(C1904="","ERROR: falta CUENTA",IF(ISERROR(--C1904),"ERROR: CUENTA debe tener solo dígitos",IF(ISERROR(FIND(LEFT(C1904,1),"567")),"ERROR: CUENTA fuera de las clases de costo",IF(NOT(ISNUMBER(E1904)),"ERROR: VALOR debe ser numérico",IF(E1904=0,"AVISO: valor cero (no se carga)",IF(J1904&lt;&gt;"ACTIVO","NO SE CARGA: CECO en estado "&amp;J1904,"OK"))))))))))</f>
        <v/>
      </c>
    </row>
    <row r="1905">
      <c r="A1905" s="5" t="n"/>
      <c r="B1905" s="6" t="n"/>
      <c r="C1905" s="5" t="n"/>
      <c r="D1905" s="6" t="n"/>
      <c r="E1905" s="7" t="n"/>
      <c r="F1905" s="6" t="n"/>
      <c r="G1905" s="8">
        <f>IF(B1905="","",IFERROR(VLOOKUP(--B1905,'CATALOGO CECO'!$A$2:$H$550,2,FALSE),"CECO NO EXISTE"))</f>
        <v/>
      </c>
      <c r="H1905" s="8">
        <f>IF(B1905="","",IFERROR(VLOOKUP(--B1905,'CATALOGO CECO'!$A$2:$H$550,3,FALSE),""))</f>
        <v/>
      </c>
      <c r="I1905" s="8">
        <f>IF(B1905="","",IFERROR(VLOOKUP(--B1905,'CATALOGO CECO'!$A$2:$H$550,5,FALSE),""))</f>
        <v/>
      </c>
      <c r="J1905" s="8">
        <f>IF(B1905="","",IFERROR(VLOOKUP(--B1905,'CATALOGO CECO'!$A$2:$H$550,8,FALSE),""))</f>
        <v/>
      </c>
      <c r="K1905" s="8">
        <f>IF(COUNTA(A1905:F1905)=0,"",IF(OR(LEN(A1905)&lt;&gt;7,MID(A1905,5,1)&lt;&gt;"-",ISERROR(--LEFT(A1905,4)),ISERROR(--RIGHT(A1905,2))),"ERROR: PERIODO debe ser AAAA-MM",IF(B1905="","ERROR: falta CODIGO CECO",IF(G1905="CECO NO EXISTE","ERROR: CECO no existe en el catálogo",IF(C1905="","ERROR: falta CUENTA",IF(ISERROR(--C1905),"ERROR: CUENTA debe tener solo dígitos",IF(ISERROR(FIND(LEFT(C1905,1),"567")),"ERROR: CUENTA fuera de las clases de costo",IF(NOT(ISNUMBER(E1905)),"ERROR: VALOR debe ser numérico",IF(E1905=0,"AVISO: valor cero (no se carga)",IF(J1905&lt;&gt;"ACTIVO","NO SE CARGA: CECO en estado "&amp;J1905,"OK"))))))))))</f>
        <v/>
      </c>
    </row>
    <row r="1906">
      <c r="A1906" s="5" t="n"/>
      <c r="B1906" s="6" t="n"/>
      <c r="C1906" s="5" t="n"/>
      <c r="D1906" s="6" t="n"/>
      <c r="E1906" s="7" t="n"/>
      <c r="F1906" s="6" t="n"/>
      <c r="G1906" s="8">
        <f>IF(B1906="","",IFERROR(VLOOKUP(--B1906,'CATALOGO CECO'!$A$2:$H$550,2,FALSE),"CECO NO EXISTE"))</f>
        <v/>
      </c>
      <c r="H1906" s="8">
        <f>IF(B1906="","",IFERROR(VLOOKUP(--B1906,'CATALOGO CECO'!$A$2:$H$550,3,FALSE),""))</f>
        <v/>
      </c>
      <c r="I1906" s="8">
        <f>IF(B1906="","",IFERROR(VLOOKUP(--B1906,'CATALOGO CECO'!$A$2:$H$550,5,FALSE),""))</f>
        <v/>
      </c>
      <c r="J1906" s="8">
        <f>IF(B1906="","",IFERROR(VLOOKUP(--B1906,'CATALOGO CECO'!$A$2:$H$550,8,FALSE),""))</f>
        <v/>
      </c>
      <c r="K1906" s="8">
        <f>IF(COUNTA(A1906:F1906)=0,"",IF(OR(LEN(A1906)&lt;&gt;7,MID(A1906,5,1)&lt;&gt;"-",ISERROR(--LEFT(A1906,4)),ISERROR(--RIGHT(A1906,2))),"ERROR: PERIODO debe ser AAAA-MM",IF(B1906="","ERROR: falta CODIGO CECO",IF(G1906="CECO NO EXISTE","ERROR: CECO no existe en el catálogo",IF(C1906="","ERROR: falta CUENTA",IF(ISERROR(--C1906),"ERROR: CUENTA debe tener solo dígitos",IF(ISERROR(FIND(LEFT(C1906,1),"567")),"ERROR: CUENTA fuera de las clases de costo",IF(NOT(ISNUMBER(E1906)),"ERROR: VALOR debe ser numérico",IF(E1906=0,"AVISO: valor cero (no se carga)",IF(J1906&lt;&gt;"ACTIVO","NO SE CARGA: CECO en estado "&amp;J1906,"OK"))))))))))</f>
        <v/>
      </c>
    </row>
    <row r="1907">
      <c r="A1907" s="5" t="n"/>
      <c r="B1907" s="6" t="n"/>
      <c r="C1907" s="5" t="n"/>
      <c r="D1907" s="6" t="n"/>
      <c r="E1907" s="7" t="n"/>
      <c r="F1907" s="6" t="n"/>
      <c r="G1907" s="8">
        <f>IF(B1907="","",IFERROR(VLOOKUP(--B1907,'CATALOGO CECO'!$A$2:$H$550,2,FALSE),"CECO NO EXISTE"))</f>
        <v/>
      </c>
      <c r="H1907" s="8">
        <f>IF(B1907="","",IFERROR(VLOOKUP(--B1907,'CATALOGO CECO'!$A$2:$H$550,3,FALSE),""))</f>
        <v/>
      </c>
      <c r="I1907" s="8">
        <f>IF(B1907="","",IFERROR(VLOOKUP(--B1907,'CATALOGO CECO'!$A$2:$H$550,5,FALSE),""))</f>
        <v/>
      </c>
      <c r="J1907" s="8">
        <f>IF(B1907="","",IFERROR(VLOOKUP(--B1907,'CATALOGO CECO'!$A$2:$H$550,8,FALSE),""))</f>
        <v/>
      </c>
      <c r="K1907" s="8">
        <f>IF(COUNTA(A1907:F1907)=0,"",IF(OR(LEN(A1907)&lt;&gt;7,MID(A1907,5,1)&lt;&gt;"-",ISERROR(--LEFT(A1907,4)),ISERROR(--RIGHT(A1907,2))),"ERROR: PERIODO debe ser AAAA-MM",IF(B1907="","ERROR: falta CODIGO CECO",IF(G1907="CECO NO EXISTE","ERROR: CECO no existe en el catálogo",IF(C1907="","ERROR: falta CUENTA",IF(ISERROR(--C1907),"ERROR: CUENTA debe tener solo dígitos",IF(ISERROR(FIND(LEFT(C1907,1),"567")),"ERROR: CUENTA fuera de las clases de costo",IF(NOT(ISNUMBER(E1907)),"ERROR: VALOR debe ser numérico",IF(E1907=0,"AVISO: valor cero (no se carga)",IF(J1907&lt;&gt;"ACTIVO","NO SE CARGA: CECO en estado "&amp;J1907,"OK"))))))))))</f>
        <v/>
      </c>
    </row>
    <row r="1908">
      <c r="A1908" s="5" t="n"/>
      <c r="B1908" s="6" t="n"/>
      <c r="C1908" s="5" t="n"/>
      <c r="D1908" s="6" t="n"/>
      <c r="E1908" s="7" t="n"/>
      <c r="F1908" s="6" t="n"/>
      <c r="G1908" s="8">
        <f>IF(B1908="","",IFERROR(VLOOKUP(--B1908,'CATALOGO CECO'!$A$2:$H$550,2,FALSE),"CECO NO EXISTE"))</f>
        <v/>
      </c>
      <c r="H1908" s="8">
        <f>IF(B1908="","",IFERROR(VLOOKUP(--B1908,'CATALOGO CECO'!$A$2:$H$550,3,FALSE),""))</f>
        <v/>
      </c>
      <c r="I1908" s="8">
        <f>IF(B1908="","",IFERROR(VLOOKUP(--B1908,'CATALOGO CECO'!$A$2:$H$550,5,FALSE),""))</f>
        <v/>
      </c>
      <c r="J1908" s="8">
        <f>IF(B1908="","",IFERROR(VLOOKUP(--B1908,'CATALOGO CECO'!$A$2:$H$550,8,FALSE),""))</f>
        <v/>
      </c>
      <c r="K1908" s="8">
        <f>IF(COUNTA(A1908:F1908)=0,"",IF(OR(LEN(A1908)&lt;&gt;7,MID(A1908,5,1)&lt;&gt;"-",ISERROR(--LEFT(A1908,4)),ISERROR(--RIGHT(A1908,2))),"ERROR: PERIODO debe ser AAAA-MM",IF(B1908="","ERROR: falta CODIGO CECO",IF(G1908="CECO NO EXISTE","ERROR: CECO no existe en el catálogo",IF(C1908="","ERROR: falta CUENTA",IF(ISERROR(--C1908),"ERROR: CUENTA debe tener solo dígitos",IF(ISERROR(FIND(LEFT(C1908,1),"567")),"ERROR: CUENTA fuera de las clases de costo",IF(NOT(ISNUMBER(E1908)),"ERROR: VALOR debe ser numérico",IF(E1908=0,"AVISO: valor cero (no se carga)",IF(J1908&lt;&gt;"ACTIVO","NO SE CARGA: CECO en estado "&amp;J1908,"OK"))))))))))</f>
        <v/>
      </c>
    </row>
    <row r="1909">
      <c r="A1909" s="5" t="n"/>
      <c r="B1909" s="6" t="n"/>
      <c r="C1909" s="5" t="n"/>
      <c r="D1909" s="6" t="n"/>
      <c r="E1909" s="7" t="n"/>
      <c r="F1909" s="6" t="n"/>
      <c r="G1909" s="8">
        <f>IF(B1909="","",IFERROR(VLOOKUP(--B1909,'CATALOGO CECO'!$A$2:$H$550,2,FALSE),"CECO NO EXISTE"))</f>
        <v/>
      </c>
      <c r="H1909" s="8">
        <f>IF(B1909="","",IFERROR(VLOOKUP(--B1909,'CATALOGO CECO'!$A$2:$H$550,3,FALSE),""))</f>
        <v/>
      </c>
      <c r="I1909" s="8">
        <f>IF(B1909="","",IFERROR(VLOOKUP(--B1909,'CATALOGO CECO'!$A$2:$H$550,5,FALSE),""))</f>
        <v/>
      </c>
      <c r="J1909" s="8">
        <f>IF(B1909="","",IFERROR(VLOOKUP(--B1909,'CATALOGO CECO'!$A$2:$H$550,8,FALSE),""))</f>
        <v/>
      </c>
      <c r="K1909" s="8">
        <f>IF(COUNTA(A1909:F1909)=0,"",IF(OR(LEN(A1909)&lt;&gt;7,MID(A1909,5,1)&lt;&gt;"-",ISERROR(--LEFT(A1909,4)),ISERROR(--RIGHT(A1909,2))),"ERROR: PERIODO debe ser AAAA-MM",IF(B1909="","ERROR: falta CODIGO CECO",IF(G1909="CECO NO EXISTE","ERROR: CECO no existe en el catálogo",IF(C1909="","ERROR: falta CUENTA",IF(ISERROR(--C1909),"ERROR: CUENTA debe tener solo dígitos",IF(ISERROR(FIND(LEFT(C1909,1),"567")),"ERROR: CUENTA fuera de las clases de costo",IF(NOT(ISNUMBER(E1909)),"ERROR: VALOR debe ser numérico",IF(E1909=0,"AVISO: valor cero (no se carga)",IF(J1909&lt;&gt;"ACTIVO","NO SE CARGA: CECO en estado "&amp;J1909,"OK"))))))))))</f>
        <v/>
      </c>
    </row>
    <row r="1910">
      <c r="A1910" s="5" t="n"/>
      <c r="B1910" s="6" t="n"/>
      <c r="C1910" s="5" t="n"/>
      <c r="D1910" s="6" t="n"/>
      <c r="E1910" s="7" t="n"/>
      <c r="F1910" s="6" t="n"/>
      <c r="G1910" s="8">
        <f>IF(B1910="","",IFERROR(VLOOKUP(--B1910,'CATALOGO CECO'!$A$2:$H$550,2,FALSE),"CECO NO EXISTE"))</f>
        <v/>
      </c>
      <c r="H1910" s="8">
        <f>IF(B1910="","",IFERROR(VLOOKUP(--B1910,'CATALOGO CECO'!$A$2:$H$550,3,FALSE),""))</f>
        <v/>
      </c>
      <c r="I1910" s="8">
        <f>IF(B1910="","",IFERROR(VLOOKUP(--B1910,'CATALOGO CECO'!$A$2:$H$550,5,FALSE),""))</f>
        <v/>
      </c>
      <c r="J1910" s="8">
        <f>IF(B1910="","",IFERROR(VLOOKUP(--B1910,'CATALOGO CECO'!$A$2:$H$550,8,FALSE),""))</f>
        <v/>
      </c>
      <c r="K1910" s="8">
        <f>IF(COUNTA(A1910:F1910)=0,"",IF(OR(LEN(A1910)&lt;&gt;7,MID(A1910,5,1)&lt;&gt;"-",ISERROR(--LEFT(A1910,4)),ISERROR(--RIGHT(A1910,2))),"ERROR: PERIODO debe ser AAAA-MM",IF(B1910="","ERROR: falta CODIGO CECO",IF(G1910="CECO NO EXISTE","ERROR: CECO no existe en el catálogo",IF(C1910="","ERROR: falta CUENTA",IF(ISERROR(--C1910),"ERROR: CUENTA debe tener solo dígitos",IF(ISERROR(FIND(LEFT(C1910,1),"567")),"ERROR: CUENTA fuera de las clases de costo",IF(NOT(ISNUMBER(E1910)),"ERROR: VALOR debe ser numérico",IF(E1910=0,"AVISO: valor cero (no se carga)",IF(J1910&lt;&gt;"ACTIVO","NO SE CARGA: CECO en estado "&amp;J1910,"OK"))))))))))</f>
        <v/>
      </c>
    </row>
    <row r="1911">
      <c r="A1911" s="5" t="n"/>
      <c r="B1911" s="6" t="n"/>
      <c r="C1911" s="5" t="n"/>
      <c r="D1911" s="6" t="n"/>
      <c r="E1911" s="7" t="n"/>
      <c r="F1911" s="6" t="n"/>
      <c r="G1911" s="8">
        <f>IF(B1911="","",IFERROR(VLOOKUP(--B1911,'CATALOGO CECO'!$A$2:$H$550,2,FALSE),"CECO NO EXISTE"))</f>
        <v/>
      </c>
      <c r="H1911" s="8">
        <f>IF(B1911="","",IFERROR(VLOOKUP(--B1911,'CATALOGO CECO'!$A$2:$H$550,3,FALSE),""))</f>
        <v/>
      </c>
      <c r="I1911" s="8">
        <f>IF(B1911="","",IFERROR(VLOOKUP(--B1911,'CATALOGO CECO'!$A$2:$H$550,5,FALSE),""))</f>
        <v/>
      </c>
      <c r="J1911" s="8">
        <f>IF(B1911="","",IFERROR(VLOOKUP(--B1911,'CATALOGO CECO'!$A$2:$H$550,8,FALSE),""))</f>
        <v/>
      </c>
      <c r="K1911" s="8">
        <f>IF(COUNTA(A1911:F1911)=0,"",IF(OR(LEN(A1911)&lt;&gt;7,MID(A1911,5,1)&lt;&gt;"-",ISERROR(--LEFT(A1911,4)),ISERROR(--RIGHT(A1911,2))),"ERROR: PERIODO debe ser AAAA-MM",IF(B1911="","ERROR: falta CODIGO CECO",IF(G1911="CECO NO EXISTE","ERROR: CECO no existe en el catálogo",IF(C1911="","ERROR: falta CUENTA",IF(ISERROR(--C1911),"ERROR: CUENTA debe tener solo dígitos",IF(ISERROR(FIND(LEFT(C1911,1),"567")),"ERROR: CUENTA fuera de las clases de costo",IF(NOT(ISNUMBER(E1911)),"ERROR: VALOR debe ser numérico",IF(E1911=0,"AVISO: valor cero (no se carga)",IF(J1911&lt;&gt;"ACTIVO","NO SE CARGA: CECO en estado "&amp;J1911,"OK"))))))))))</f>
        <v/>
      </c>
    </row>
    <row r="1912">
      <c r="A1912" s="5" t="n"/>
      <c r="B1912" s="6" t="n"/>
      <c r="C1912" s="5" t="n"/>
      <c r="D1912" s="6" t="n"/>
      <c r="E1912" s="7" t="n"/>
      <c r="F1912" s="6" t="n"/>
      <c r="G1912" s="8">
        <f>IF(B1912="","",IFERROR(VLOOKUP(--B1912,'CATALOGO CECO'!$A$2:$H$550,2,FALSE),"CECO NO EXISTE"))</f>
        <v/>
      </c>
      <c r="H1912" s="8">
        <f>IF(B1912="","",IFERROR(VLOOKUP(--B1912,'CATALOGO CECO'!$A$2:$H$550,3,FALSE),""))</f>
        <v/>
      </c>
      <c r="I1912" s="8">
        <f>IF(B1912="","",IFERROR(VLOOKUP(--B1912,'CATALOGO CECO'!$A$2:$H$550,5,FALSE),""))</f>
        <v/>
      </c>
      <c r="J1912" s="8">
        <f>IF(B1912="","",IFERROR(VLOOKUP(--B1912,'CATALOGO CECO'!$A$2:$H$550,8,FALSE),""))</f>
        <v/>
      </c>
      <c r="K1912" s="8">
        <f>IF(COUNTA(A1912:F1912)=0,"",IF(OR(LEN(A1912)&lt;&gt;7,MID(A1912,5,1)&lt;&gt;"-",ISERROR(--LEFT(A1912,4)),ISERROR(--RIGHT(A1912,2))),"ERROR: PERIODO debe ser AAAA-MM",IF(B1912="","ERROR: falta CODIGO CECO",IF(G1912="CECO NO EXISTE","ERROR: CECO no existe en el catálogo",IF(C1912="","ERROR: falta CUENTA",IF(ISERROR(--C1912),"ERROR: CUENTA debe tener solo dígitos",IF(ISERROR(FIND(LEFT(C1912,1),"567")),"ERROR: CUENTA fuera de las clases de costo",IF(NOT(ISNUMBER(E1912)),"ERROR: VALOR debe ser numérico",IF(E1912=0,"AVISO: valor cero (no se carga)",IF(J1912&lt;&gt;"ACTIVO","NO SE CARGA: CECO en estado "&amp;J1912,"OK"))))))))))</f>
        <v/>
      </c>
    </row>
    <row r="1913">
      <c r="A1913" s="5" t="n"/>
      <c r="B1913" s="6" t="n"/>
      <c r="C1913" s="5" t="n"/>
      <c r="D1913" s="6" t="n"/>
      <c r="E1913" s="7" t="n"/>
      <c r="F1913" s="6" t="n"/>
      <c r="G1913" s="8">
        <f>IF(B1913="","",IFERROR(VLOOKUP(--B1913,'CATALOGO CECO'!$A$2:$H$550,2,FALSE),"CECO NO EXISTE"))</f>
        <v/>
      </c>
      <c r="H1913" s="8">
        <f>IF(B1913="","",IFERROR(VLOOKUP(--B1913,'CATALOGO CECO'!$A$2:$H$550,3,FALSE),""))</f>
        <v/>
      </c>
      <c r="I1913" s="8">
        <f>IF(B1913="","",IFERROR(VLOOKUP(--B1913,'CATALOGO CECO'!$A$2:$H$550,5,FALSE),""))</f>
        <v/>
      </c>
      <c r="J1913" s="8">
        <f>IF(B1913="","",IFERROR(VLOOKUP(--B1913,'CATALOGO CECO'!$A$2:$H$550,8,FALSE),""))</f>
        <v/>
      </c>
      <c r="K1913" s="8">
        <f>IF(COUNTA(A1913:F1913)=0,"",IF(OR(LEN(A1913)&lt;&gt;7,MID(A1913,5,1)&lt;&gt;"-",ISERROR(--LEFT(A1913,4)),ISERROR(--RIGHT(A1913,2))),"ERROR: PERIODO debe ser AAAA-MM",IF(B1913="","ERROR: falta CODIGO CECO",IF(G1913="CECO NO EXISTE","ERROR: CECO no existe en el catálogo",IF(C1913="","ERROR: falta CUENTA",IF(ISERROR(--C1913),"ERROR: CUENTA debe tener solo dígitos",IF(ISERROR(FIND(LEFT(C1913,1),"567")),"ERROR: CUENTA fuera de las clases de costo",IF(NOT(ISNUMBER(E1913)),"ERROR: VALOR debe ser numérico",IF(E1913=0,"AVISO: valor cero (no se carga)",IF(J1913&lt;&gt;"ACTIVO","NO SE CARGA: CECO en estado "&amp;J1913,"OK"))))))))))</f>
        <v/>
      </c>
    </row>
    <row r="1914">
      <c r="A1914" s="5" t="n"/>
      <c r="B1914" s="6" t="n"/>
      <c r="C1914" s="5" t="n"/>
      <c r="D1914" s="6" t="n"/>
      <c r="E1914" s="7" t="n"/>
      <c r="F1914" s="6" t="n"/>
      <c r="G1914" s="8">
        <f>IF(B1914="","",IFERROR(VLOOKUP(--B1914,'CATALOGO CECO'!$A$2:$H$550,2,FALSE),"CECO NO EXISTE"))</f>
        <v/>
      </c>
      <c r="H1914" s="8">
        <f>IF(B1914="","",IFERROR(VLOOKUP(--B1914,'CATALOGO CECO'!$A$2:$H$550,3,FALSE),""))</f>
        <v/>
      </c>
      <c r="I1914" s="8">
        <f>IF(B1914="","",IFERROR(VLOOKUP(--B1914,'CATALOGO CECO'!$A$2:$H$550,5,FALSE),""))</f>
        <v/>
      </c>
      <c r="J1914" s="8">
        <f>IF(B1914="","",IFERROR(VLOOKUP(--B1914,'CATALOGO CECO'!$A$2:$H$550,8,FALSE),""))</f>
        <v/>
      </c>
      <c r="K1914" s="8">
        <f>IF(COUNTA(A1914:F1914)=0,"",IF(OR(LEN(A1914)&lt;&gt;7,MID(A1914,5,1)&lt;&gt;"-",ISERROR(--LEFT(A1914,4)),ISERROR(--RIGHT(A1914,2))),"ERROR: PERIODO debe ser AAAA-MM",IF(B1914="","ERROR: falta CODIGO CECO",IF(G1914="CECO NO EXISTE","ERROR: CECO no existe en el catálogo",IF(C1914="","ERROR: falta CUENTA",IF(ISERROR(--C1914),"ERROR: CUENTA debe tener solo dígitos",IF(ISERROR(FIND(LEFT(C1914,1),"567")),"ERROR: CUENTA fuera de las clases de costo",IF(NOT(ISNUMBER(E1914)),"ERROR: VALOR debe ser numérico",IF(E1914=0,"AVISO: valor cero (no se carga)",IF(J1914&lt;&gt;"ACTIVO","NO SE CARGA: CECO en estado "&amp;J1914,"OK"))))))))))</f>
        <v/>
      </c>
    </row>
    <row r="1915">
      <c r="A1915" s="5" t="n"/>
      <c r="B1915" s="6" t="n"/>
      <c r="C1915" s="5" t="n"/>
      <c r="D1915" s="6" t="n"/>
      <c r="E1915" s="7" t="n"/>
      <c r="F1915" s="6" t="n"/>
      <c r="G1915" s="8">
        <f>IF(B1915="","",IFERROR(VLOOKUP(--B1915,'CATALOGO CECO'!$A$2:$H$550,2,FALSE),"CECO NO EXISTE"))</f>
        <v/>
      </c>
      <c r="H1915" s="8">
        <f>IF(B1915="","",IFERROR(VLOOKUP(--B1915,'CATALOGO CECO'!$A$2:$H$550,3,FALSE),""))</f>
        <v/>
      </c>
      <c r="I1915" s="8">
        <f>IF(B1915="","",IFERROR(VLOOKUP(--B1915,'CATALOGO CECO'!$A$2:$H$550,5,FALSE),""))</f>
        <v/>
      </c>
      <c r="J1915" s="8">
        <f>IF(B1915="","",IFERROR(VLOOKUP(--B1915,'CATALOGO CECO'!$A$2:$H$550,8,FALSE),""))</f>
        <v/>
      </c>
      <c r="K1915" s="8">
        <f>IF(COUNTA(A1915:F1915)=0,"",IF(OR(LEN(A1915)&lt;&gt;7,MID(A1915,5,1)&lt;&gt;"-",ISERROR(--LEFT(A1915,4)),ISERROR(--RIGHT(A1915,2))),"ERROR: PERIODO debe ser AAAA-MM",IF(B1915="","ERROR: falta CODIGO CECO",IF(G1915="CECO NO EXISTE","ERROR: CECO no existe en el catálogo",IF(C1915="","ERROR: falta CUENTA",IF(ISERROR(--C1915),"ERROR: CUENTA debe tener solo dígitos",IF(ISERROR(FIND(LEFT(C1915,1),"567")),"ERROR: CUENTA fuera de las clases de costo",IF(NOT(ISNUMBER(E1915)),"ERROR: VALOR debe ser numérico",IF(E1915=0,"AVISO: valor cero (no se carga)",IF(J1915&lt;&gt;"ACTIVO","NO SE CARGA: CECO en estado "&amp;J1915,"OK"))))))))))</f>
        <v/>
      </c>
    </row>
    <row r="1916">
      <c r="A1916" s="5" t="n"/>
      <c r="B1916" s="6" t="n"/>
      <c r="C1916" s="5" t="n"/>
      <c r="D1916" s="6" t="n"/>
      <c r="E1916" s="7" t="n"/>
      <c r="F1916" s="6" t="n"/>
      <c r="G1916" s="8">
        <f>IF(B1916="","",IFERROR(VLOOKUP(--B1916,'CATALOGO CECO'!$A$2:$H$550,2,FALSE),"CECO NO EXISTE"))</f>
        <v/>
      </c>
      <c r="H1916" s="8">
        <f>IF(B1916="","",IFERROR(VLOOKUP(--B1916,'CATALOGO CECO'!$A$2:$H$550,3,FALSE),""))</f>
        <v/>
      </c>
      <c r="I1916" s="8">
        <f>IF(B1916="","",IFERROR(VLOOKUP(--B1916,'CATALOGO CECO'!$A$2:$H$550,5,FALSE),""))</f>
        <v/>
      </c>
      <c r="J1916" s="8">
        <f>IF(B1916="","",IFERROR(VLOOKUP(--B1916,'CATALOGO CECO'!$A$2:$H$550,8,FALSE),""))</f>
        <v/>
      </c>
      <c r="K1916" s="8">
        <f>IF(COUNTA(A1916:F1916)=0,"",IF(OR(LEN(A1916)&lt;&gt;7,MID(A1916,5,1)&lt;&gt;"-",ISERROR(--LEFT(A1916,4)),ISERROR(--RIGHT(A1916,2))),"ERROR: PERIODO debe ser AAAA-MM",IF(B1916="","ERROR: falta CODIGO CECO",IF(G1916="CECO NO EXISTE","ERROR: CECO no existe en el catálogo",IF(C1916="","ERROR: falta CUENTA",IF(ISERROR(--C1916),"ERROR: CUENTA debe tener solo dígitos",IF(ISERROR(FIND(LEFT(C1916,1),"567")),"ERROR: CUENTA fuera de las clases de costo",IF(NOT(ISNUMBER(E1916)),"ERROR: VALOR debe ser numérico",IF(E1916=0,"AVISO: valor cero (no se carga)",IF(J1916&lt;&gt;"ACTIVO","NO SE CARGA: CECO en estado "&amp;J1916,"OK"))))))))))</f>
        <v/>
      </c>
    </row>
    <row r="1917">
      <c r="A1917" s="5" t="n"/>
      <c r="B1917" s="6" t="n"/>
      <c r="C1917" s="5" t="n"/>
      <c r="D1917" s="6" t="n"/>
      <c r="E1917" s="7" t="n"/>
      <c r="F1917" s="6" t="n"/>
      <c r="G1917" s="8">
        <f>IF(B1917="","",IFERROR(VLOOKUP(--B1917,'CATALOGO CECO'!$A$2:$H$550,2,FALSE),"CECO NO EXISTE"))</f>
        <v/>
      </c>
      <c r="H1917" s="8">
        <f>IF(B1917="","",IFERROR(VLOOKUP(--B1917,'CATALOGO CECO'!$A$2:$H$550,3,FALSE),""))</f>
        <v/>
      </c>
      <c r="I1917" s="8">
        <f>IF(B1917="","",IFERROR(VLOOKUP(--B1917,'CATALOGO CECO'!$A$2:$H$550,5,FALSE),""))</f>
        <v/>
      </c>
      <c r="J1917" s="8">
        <f>IF(B1917="","",IFERROR(VLOOKUP(--B1917,'CATALOGO CECO'!$A$2:$H$550,8,FALSE),""))</f>
        <v/>
      </c>
      <c r="K1917" s="8">
        <f>IF(COUNTA(A1917:F1917)=0,"",IF(OR(LEN(A1917)&lt;&gt;7,MID(A1917,5,1)&lt;&gt;"-",ISERROR(--LEFT(A1917,4)),ISERROR(--RIGHT(A1917,2))),"ERROR: PERIODO debe ser AAAA-MM",IF(B1917="","ERROR: falta CODIGO CECO",IF(G1917="CECO NO EXISTE","ERROR: CECO no existe en el catálogo",IF(C1917="","ERROR: falta CUENTA",IF(ISERROR(--C1917),"ERROR: CUENTA debe tener solo dígitos",IF(ISERROR(FIND(LEFT(C1917,1),"567")),"ERROR: CUENTA fuera de las clases de costo",IF(NOT(ISNUMBER(E1917)),"ERROR: VALOR debe ser numérico",IF(E1917=0,"AVISO: valor cero (no se carga)",IF(J1917&lt;&gt;"ACTIVO","NO SE CARGA: CECO en estado "&amp;J1917,"OK"))))))))))</f>
        <v/>
      </c>
    </row>
    <row r="1918">
      <c r="A1918" s="5" t="n"/>
      <c r="B1918" s="6" t="n"/>
      <c r="C1918" s="5" t="n"/>
      <c r="D1918" s="6" t="n"/>
      <c r="E1918" s="7" t="n"/>
      <c r="F1918" s="6" t="n"/>
      <c r="G1918" s="8">
        <f>IF(B1918="","",IFERROR(VLOOKUP(--B1918,'CATALOGO CECO'!$A$2:$H$550,2,FALSE),"CECO NO EXISTE"))</f>
        <v/>
      </c>
      <c r="H1918" s="8">
        <f>IF(B1918="","",IFERROR(VLOOKUP(--B1918,'CATALOGO CECO'!$A$2:$H$550,3,FALSE),""))</f>
        <v/>
      </c>
      <c r="I1918" s="8">
        <f>IF(B1918="","",IFERROR(VLOOKUP(--B1918,'CATALOGO CECO'!$A$2:$H$550,5,FALSE),""))</f>
        <v/>
      </c>
      <c r="J1918" s="8">
        <f>IF(B1918="","",IFERROR(VLOOKUP(--B1918,'CATALOGO CECO'!$A$2:$H$550,8,FALSE),""))</f>
        <v/>
      </c>
      <c r="K1918" s="8">
        <f>IF(COUNTA(A1918:F1918)=0,"",IF(OR(LEN(A1918)&lt;&gt;7,MID(A1918,5,1)&lt;&gt;"-",ISERROR(--LEFT(A1918,4)),ISERROR(--RIGHT(A1918,2))),"ERROR: PERIODO debe ser AAAA-MM",IF(B1918="","ERROR: falta CODIGO CECO",IF(G1918="CECO NO EXISTE","ERROR: CECO no existe en el catálogo",IF(C1918="","ERROR: falta CUENTA",IF(ISERROR(--C1918),"ERROR: CUENTA debe tener solo dígitos",IF(ISERROR(FIND(LEFT(C1918,1),"567")),"ERROR: CUENTA fuera de las clases de costo",IF(NOT(ISNUMBER(E1918)),"ERROR: VALOR debe ser numérico",IF(E1918=0,"AVISO: valor cero (no se carga)",IF(J1918&lt;&gt;"ACTIVO","NO SE CARGA: CECO en estado "&amp;J1918,"OK"))))))))))</f>
        <v/>
      </c>
    </row>
    <row r="1919">
      <c r="A1919" s="5" t="n"/>
      <c r="B1919" s="6" t="n"/>
      <c r="C1919" s="5" t="n"/>
      <c r="D1919" s="6" t="n"/>
      <c r="E1919" s="7" t="n"/>
      <c r="F1919" s="6" t="n"/>
      <c r="G1919" s="8">
        <f>IF(B1919="","",IFERROR(VLOOKUP(--B1919,'CATALOGO CECO'!$A$2:$H$550,2,FALSE),"CECO NO EXISTE"))</f>
        <v/>
      </c>
      <c r="H1919" s="8">
        <f>IF(B1919="","",IFERROR(VLOOKUP(--B1919,'CATALOGO CECO'!$A$2:$H$550,3,FALSE),""))</f>
        <v/>
      </c>
      <c r="I1919" s="8">
        <f>IF(B1919="","",IFERROR(VLOOKUP(--B1919,'CATALOGO CECO'!$A$2:$H$550,5,FALSE),""))</f>
        <v/>
      </c>
      <c r="J1919" s="8">
        <f>IF(B1919="","",IFERROR(VLOOKUP(--B1919,'CATALOGO CECO'!$A$2:$H$550,8,FALSE),""))</f>
        <v/>
      </c>
      <c r="K1919" s="8">
        <f>IF(COUNTA(A1919:F1919)=0,"",IF(OR(LEN(A1919)&lt;&gt;7,MID(A1919,5,1)&lt;&gt;"-",ISERROR(--LEFT(A1919,4)),ISERROR(--RIGHT(A1919,2))),"ERROR: PERIODO debe ser AAAA-MM",IF(B1919="","ERROR: falta CODIGO CECO",IF(G1919="CECO NO EXISTE","ERROR: CECO no existe en el catálogo",IF(C1919="","ERROR: falta CUENTA",IF(ISERROR(--C1919),"ERROR: CUENTA debe tener solo dígitos",IF(ISERROR(FIND(LEFT(C1919,1),"567")),"ERROR: CUENTA fuera de las clases de costo",IF(NOT(ISNUMBER(E1919)),"ERROR: VALOR debe ser numérico",IF(E1919=0,"AVISO: valor cero (no se carga)",IF(J1919&lt;&gt;"ACTIVO","NO SE CARGA: CECO en estado "&amp;J1919,"OK"))))))))))</f>
        <v/>
      </c>
    </row>
    <row r="1920">
      <c r="A1920" s="5" t="n"/>
      <c r="B1920" s="6" t="n"/>
      <c r="C1920" s="5" t="n"/>
      <c r="D1920" s="6" t="n"/>
      <c r="E1920" s="7" t="n"/>
      <c r="F1920" s="6" t="n"/>
      <c r="G1920" s="8">
        <f>IF(B1920="","",IFERROR(VLOOKUP(--B1920,'CATALOGO CECO'!$A$2:$H$550,2,FALSE),"CECO NO EXISTE"))</f>
        <v/>
      </c>
      <c r="H1920" s="8">
        <f>IF(B1920="","",IFERROR(VLOOKUP(--B1920,'CATALOGO CECO'!$A$2:$H$550,3,FALSE),""))</f>
        <v/>
      </c>
      <c r="I1920" s="8">
        <f>IF(B1920="","",IFERROR(VLOOKUP(--B1920,'CATALOGO CECO'!$A$2:$H$550,5,FALSE),""))</f>
        <v/>
      </c>
      <c r="J1920" s="8">
        <f>IF(B1920="","",IFERROR(VLOOKUP(--B1920,'CATALOGO CECO'!$A$2:$H$550,8,FALSE),""))</f>
        <v/>
      </c>
      <c r="K1920" s="8">
        <f>IF(COUNTA(A1920:F1920)=0,"",IF(OR(LEN(A1920)&lt;&gt;7,MID(A1920,5,1)&lt;&gt;"-",ISERROR(--LEFT(A1920,4)),ISERROR(--RIGHT(A1920,2))),"ERROR: PERIODO debe ser AAAA-MM",IF(B1920="","ERROR: falta CODIGO CECO",IF(G1920="CECO NO EXISTE","ERROR: CECO no existe en el catálogo",IF(C1920="","ERROR: falta CUENTA",IF(ISERROR(--C1920),"ERROR: CUENTA debe tener solo dígitos",IF(ISERROR(FIND(LEFT(C1920,1),"567")),"ERROR: CUENTA fuera de las clases de costo",IF(NOT(ISNUMBER(E1920)),"ERROR: VALOR debe ser numérico",IF(E1920=0,"AVISO: valor cero (no se carga)",IF(J1920&lt;&gt;"ACTIVO","NO SE CARGA: CECO en estado "&amp;J1920,"OK"))))))))))</f>
        <v/>
      </c>
    </row>
    <row r="1921">
      <c r="A1921" s="5" t="n"/>
      <c r="B1921" s="6" t="n"/>
      <c r="C1921" s="5" t="n"/>
      <c r="D1921" s="6" t="n"/>
      <c r="E1921" s="7" t="n"/>
      <c r="F1921" s="6" t="n"/>
      <c r="G1921" s="8">
        <f>IF(B1921="","",IFERROR(VLOOKUP(--B1921,'CATALOGO CECO'!$A$2:$H$550,2,FALSE),"CECO NO EXISTE"))</f>
        <v/>
      </c>
      <c r="H1921" s="8">
        <f>IF(B1921="","",IFERROR(VLOOKUP(--B1921,'CATALOGO CECO'!$A$2:$H$550,3,FALSE),""))</f>
        <v/>
      </c>
      <c r="I1921" s="8">
        <f>IF(B1921="","",IFERROR(VLOOKUP(--B1921,'CATALOGO CECO'!$A$2:$H$550,5,FALSE),""))</f>
        <v/>
      </c>
      <c r="J1921" s="8">
        <f>IF(B1921="","",IFERROR(VLOOKUP(--B1921,'CATALOGO CECO'!$A$2:$H$550,8,FALSE),""))</f>
        <v/>
      </c>
      <c r="K1921" s="8">
        <f>IF(COUNTA(A1921:F1921)=0,"",IF(OR(LEN(A1921)&lt;&gt;7,MID(A1921,5,1)&lt;&gt;"-",ISERROR(--LEFT(A1921,4)),ISERROR(--RIGHT(A1921,2))),"ERROR: PERIODO debe ser AAAA-MM",IF(B1921="","ERROR: falta CODIGO CECO",IF(G1921="CECO NO EXISTE","ERROR: CECO no existe en el catálogo",IF(C1921="","ERROR: falta CUENTA",IF(ISERROR(--C1921),"ERROR: CUENTA debe tener solo dígitos",IF(ISERROR(FIND(LEFT(C1921,1),"567")),"ERROR: CUENTA fuera de las clases de costo",IF(NOT(ISNUMBER(E1921)),"ERROR: VALOR debe ser numérico",IF(E1921=0,"AVISO: valor cero (no se carga)",IF(J1921&lt;&gt;"ACTIVO","NO SE CARGA: CECO en estado "&amp;J1921,"OK"))))))))))</f>
        <v/>
      </c>
    </row>
    <row r="1922">
      <c r="A1922" s="5" t="n"/>
      <c r="B1922" s="6" t="n"/>
      <c r="C1922" s="5" t="n"/>
      <c r="D1922" s="6" t="n"/>
      <c r="E1922" s="7" t="n"/>
      <c r="F1922" s="6" t="n"/>
      <c r="G1922" s="8">
        <f>IF(B1922="","",IFERROR(VLOOKUP(--B1922,'CATALOGO CECO'!$A$2:$H$550,2,FALSE),"CECO NO EXISTE"))</f>
        <v/>
      </c>
      <c r="H1922" s="8">
        <f>IF(B1922="","",IFERROR(VLOOKUP(--B1922,'CATALOGO CECO'!$A$2:$H$550,3,FALSE),""))</f>
        <v/>
      </c>
      <c r="I1922" s="8">
        <f>IF(B1922="","",IFERROR(VLOOKUP(--B1922,'CATALOGO CECO'!$A$2:$H$550,5,FALSE),""))</f>
        <v/>
      </c>
      <c r="J1922" s="8">
        <f>IF(B1922="","",IFERROR(VLOOKUP(--B1922,'CATALOGO CECO'!$A$2:$H$550,8,FALSE),""))</f>
        <v/>
      </c>
      <c r="K1922" s="8">
        <f>IF(COUNTA(A1922:F1922)=0,"",IF(OR(LEN(A1922)&lt;&gt;7,MID(A1922,5,1)&lt;&gt;"-",ISERROR(--LEFT(A1922,4)),ISERROR(--RIGHT(A1922,2))),"ERROR: PERIODO debe ser AAAA-MM",IF(B1922="","ERROR: falta CODIGO CECO",IF(G1922="CECO NO EXISTE","ERROR: CECO no existe en el catálogo",IF(C1922="","ERROR: falta CUENTA",IF(ISERROR(--C1922),"ERROR: CUENTA debe tener solo dígitos",IF(ISERROR(FIND(LEFT(C1922,1),"567")),"ERROR: CUENTA fuera de las clases de costo",IF(NOT(ISNUMBER(E1922)),"ERROR: VALOR debe ser numérico",IF(E1922=0,"AVISO: valor cero (no se carga)",IF(J1922&lt;&gt;"ACTIVO","NO SE CARGA: CECO en estado "&amp;J1922,"OK"))))))))))</f>
        <v/>
      </c>
    </row>
    <row r="1923">
      <c r="A1923" s="5" t="n"/>
      <c r="B1923" s="6" t="n"/>
      <c r="C1923" s="5" t="n"/>
      <c r="D1923" s="6" t="n"/>
      <c r="E1923" s="7" t="n"/>
      <c r="F1923" s="6" t="n"/>
      <c r="G1923" s="8">
        <f>IF(B1923="","",IFERROR(VLOOKUP(--B1923,'CATALOGO CECO'!$A$2:$H$550,2,FALSE),"CECO NO EXISTE"))</f>
        <v/>
      </c>
      <c r="H1923" s="8">
        <f>IF(B1923="","",IFERROR(VLOOKUP(--B1923,'CATALOGO CECO'!$A$2:$H$550,3,FALSE),""))</f>
        <v/>
      </c>
      <c r="I1923" s="8">
        <f>IF(B1923="","",IFERROR(VLOOKUP(--B1923,'CATALOGO CECO'!$A$2:$H$550,5,FALSE),""))</f>
        <v/>
      </c>
      <c r="J1923" s="8">
        <f>IF(B1923="","",IFERROR(VLOOKUP(--B1923,'CATALOGO CECO'!$A$2:$H$550,8,FALSE),""))</f>
        <v/>
      </c>
      <c r="K1923" s="8">
        <f>IF(COUNTA(A1923:F1923)=0,"",IF(OR(LEN(A1923)&lt;&gt;7,MID(A1923,5,1)&lt;&gt;"-",ISERROR(--LEFT(A1923,4)),ISERROR(--RIGHT(A1923,2))),"ERROR: PERIODO debe ser AAAA-MM",IF(B1923="","ERROR: falta CODIGO CECO",IF(G1923="CECO NO EXISTE","ERROR: CECO no existe en el catálogo",IF(C1923="","ERROR: falta CUENTA",IF(ISERROR(--C1923),"ERROR: CUENTA debe tener solo dígitos",IF(ISERROR(FIND(LEFT(C1923,1),"567")),"ERROR: CUENTA fuera de las clases de costo",IF(NOT(ISNUMBER(E1923)),"ERROR: VALOR debe ser numérico",IF(E1923=0,"AVISO: valor cero (no se carga)",IF(J1923&lt;&gt;"ACTIVO","NO SE CARGA: CECO en estado "&amp;J1923,"OK"))))))))))</f>
        <v/>
      </c>
    </row>
    <row r="1924">
      <c r="A1924" s="5" t="n"/>
      <c r="B1924" s="6" t="n"/>
      <c r="C1924" s="5" t="n"/>
      <c r="D1924" s="6" t="n"/>
      <c r="E1924" s="7" t="n"/>
      <c r="F1924" s="6" t="n"/>
      <c r="G1924" s="8">
        <f>IF(B1924="","",IFERROR(VLOOKUP(--B1924,'CATALOGO CECO'!$A$2:$H$550,2,FALSE),"CECO NO EXISTE"))</f>
        <v/>
      </c>
      <c r="H1924" s="8">
        <f>IF(B1924="","",IFERROR(VLOOKUP(--B1924,'CATALOGO CECO'!$A$2:$H$550,3,FALSE),""))</f>
        <v/>
      </c>
      <c r="I1924" s="8">
        <f>IF(B1924="","",IFERROR(VLOOKUP(--B1924,'CATALOGO CECO'!$A$2:$H$550,5,FALSE),""))</f>
        <v/>
      </c>
      <c r="J1924" s="8">
        <f>IF(B1924="","",IFERROR(VLOOKUP(--B1924,'CATALOGO CECO'!$A$2:$H$550,8,FALSE),""))</f>
        <v/>
      </c>
      <c r="K1924" s="8">
        <f>IF(COUNTA(A1924:F1924)=0,"",IF(OR(LEN(A1924)&lt;&gt;7,MID(A1924,5,1)&lt;&gt;"-",ISERROR(--LEFT(A1924,4)),ISERROR(--RIGHT(A1924,2))),"ERROR: PERIODO debe ser AAAA-MM",IF(B1924="","ERROR: falta CODIGO CECO",IF(G1924="CECO NO EXISTE","ERROR: CECO no existe en el catálogo",IF(C1924="","ERROR: falta CUENTA",IF(ISERROR(--C1924),"ERROR: CUENTA debe tener solo dígitos",IF(ISERROR(FIND(LEFT(C1924,1),"567")),"ERROR: CUENTA fuera de las clases de costo",IF(NOT(ISNUMBER(E1924)),"ERROR: VALOR debe ser numérico",IF(E1924=0,"AVISO: valor cero (no se carga)",IF(J1924&lt;&gt;"ACTIVO","NO SE CARGA: CECO en estado "&amp;J1924,"OK"))))))))))</f>
        <v/>
      </c>
    </row>
    <row r="1925">
      <c r="A1925" s="5" t="n"/>
      <c r="B1925" s="6" t="n"/>
      <c r="C1925" s="5" t="n"/>
      <c r="D1925" s="6" t="n"/>
      <c r="E1925" s="7" t="n"/>
      <c r="F1925" s="6" t="n"/>
      <c r="G1925" s="8">
        <f>IF(B1925="","",IFERROR(VLOOKUP(--B1925,'CATALOGO CECO'!$A$2:$H$550,2,FALSE),"CECO NO EXISTE"))</f>
        <v/>
      </c>
      <c r="H1925" s="8">
        <f>IF(B1925="","",IFERROR(VLOOKUP(--B1925,'CATALOGO CECO'!$A$2:$H$550,3,FALSE),""))</f>
        <v/>
      </c>
      <c r="I1925" s="8">
        <f>IF(B1925="","",IFERROR(VLOOKUP(--B1925,'CATALOGO CECO'!$A$2:$H$550,5,FALSE),""))</f>
        <v/>
      </c>
      <c r="J1925" s="8">
        <f>IF(B1925="","",IFERROR(VLOOKUP(--B1925,'CATALOGO CECO'!$A$2:$H$550,8,FALSE),""))</f>
        <v/>
      </c>
      <c r="K1925" s="8">
        <f>IF(COUNTA(A1925:F1925)=0,"",IF(OR(LEN(A1925)&lt;&gt;7,MID(A1925,5,1)&lt;&gt;"-",ISERROR(--LEFT(A1925,4)),ISERROR(--RIGHT(A1925,2))),"ERROR: PERIODO debe ser AAAA-MM",IF(B1925="","ERROR: falta CODIGO CECO",IF(G1925="CECO NO EXISTE","ERROR: CECO no existe en el catálogo",IF(C1925="","ERROR: falta CUENTA",IF(ISERROR(--C1925),"ERROR: CUENTA debe tener solo dígitos",IF(ISERROR(FIND(LEFT(C1925,1),"567")),"ERROR: CUENTA fuera de las clases de costo",IF(NOT(ISNUMBER(E1925)),"ERROR: VALOR debe ser numérico",IF(E1925=0,"AVISO: valor cero (no se carga)",IF(J1925&lt;&gt;"ACTIVO","NO SE CARGA: CECO en estado "&amp;J1925,"OK"))))))))))</f>
        <v/>
      </c>
    </row>
    <row r="1926">
      <c r="A1926" s="5" t="n"/>
      <c r="B1926" s="6" t="n"/>
      <c r="C1926" s="5" t="n"/>
      <c r="D1926" s="6" t="n"/>
      <c r="E1926" s="7" t="n"/>
      <c r="F1926" s="6" t="n"/>
      <c r="G1926" s="8">
        <f>IF(B1926="","",IFERROR(VLOOKUP(--B1926,'CATALOGO CECO'!$A$2:$H$550,2,FALSE),"CECO NO EXISTE"))</f>
        <v/>
      </c>
      <c r="H1926" s="8">
        <f>IF(B1926="","",IFERROR(VLOOKUP(--B1926,'CATALOGO CECO'!$A$2:$H$550,3,FALSE),""))</f>
        <v/>
      </c>
      <c r="I1926" s="8">
        <f>IF(B1926="","",IFERROR(VLOOKUP(--B1926,'CATALOGO CECO'!$A$2:$H$550,5,FALSE),""))</f>
        <v/>
      </c>
      <c r="J1926" s="8">
        <f>IF(B1926="","",IFERROR(VLOOKUP(--B1926,'CATALOGO CECO'!$A$2:$H$550,8,FALSE),""))</f>
        <v/>
      </c>
      <c r="K1926" s="8">
        <f>IF(COUNTA(A1926:F1926)=0,"",IF(OR(LEN(A1926)&lt;&gt;7,MID(A1926,5,1)&lt;&gt;"-",ISERROR(--LEFT(A1926,4)),ISERROR(--RIGHT(A1926,2))),"ERROR: PERIODO debe ser AAAA-MM",IF(B1926="","ERROR: falta CODIGO CECO",IF(G1926="CECO NO EXISTE","ERROR: CECO no existe en el catálogo",IF(C1926="","ERROR: falta CUENTA",IF(ISERROR(--C1926),"ERROR: CUENTA debe tener solo dígitos",IF(ISERROR(FIND(LEFT(C1926,1),"567")),"ERROR: CUENTA fuera de las clases de costo",IF(NOT(ISNUMBER(E1926)),"ERROR: VALOR debe ser numérico",IF(E1926=0,"AVISO: valor cero (no se carga)",IF(J1926&lt;&gt;"ACTIVO","NO SE CARGA: CECO en estado "&amp;J1926,"OK"))))))))))</f>
        <v/>
      </c>
    </row>
    <row r="1927">
      <c r="A1927" s="5" t="n"/>
      <c r="B1927" s="6" t="n"/>
      <c r="C1927" s="5" t="n"/>
      <c r="D1927" s="6" t="n"/>
      <c r="E1927" s="7" t="n"/>
      <c r="F1927" s="6" t="n"/>
      <c r="G1927" s="8">
        <f>IF(B1927="","",IFERROR(VLOOKUP(--B1927,'CATALOGO CECO'!$A$2:$H$550,2,FALSE),"CECO NO EXISTE"))</f>
        <v/>
      </c>
      <c r="H1927" s="8">
        <f>IF(B1927="","",IFERROR(VLOOKUP(--B1927,'CATALOGO CECO'!$A$2:$H$550,3,FALSE),""))</f>
        <v/>
      </c>
      <c r="I1927" s="8">
        <f>IF(B1927="","",IFERROR(VLOOKUP(--B1927,'CATALOGO CECO'!$A$2:$H$550,5,FALSE),""))</f>
        <v/>
      </c>
      <c r="J1927" s="8">
        <f>IF(B1927="","",IFERROR(VLOOKUP(--B1927,'CATALOGO CECO'!$A$2:$H$550,8,FALSE),""))</f>
        <v/>
      </c>
      <c r="K1927" s="8">
        <f>IF(COUNTA(A1927:F1927)=0,"",IF(OR(LEN(A1927)&lt;&gt;7,MID(A1927,5,1)&lt;&gt;"-",ISERROR(--LEFT(A1927,4)),ISERROR(--RIGHT(A1927,2))),"ERROR: PERIODO debe ser AAAA-MM",IF(B1927="","ERROR: falta CODIGO CECO",IF(G1927="CECO NO EXISTE","ERROR: CECO no existe en el catálogo",IF(C1927="","ERROR: falta CUENTA",IF(ISERROR(--C1927),"ERROR: CUENTA debe tener solo dígitos",IF(ISERROR(FIND(LEFT(C1927,1),"567")),"ERROR: CUENTA fuera de las clases de costo",IF(NOT(ISNUMBER(E1927)),"ERROR: VALOR debe ser numérico",IF(E1927=0,"AVISO: valor cero (no se carga)",IF(J1927&lt;&gt;"ACTIVO","NO SE CARGA: CECO en estado "&amp;J1927,"OK"))))))))))</f>
        <v/>
      </c>
    </row>
    <row r="1928">
      <c r="A1928" s="5" t="n"/>
      <c r="B1928" s="6" t="n"/>
      <c r="C1928" s="5" t="n"/>
      <c r="D1928" s="6" t="n"/>
      <c r="E1928" s="7" t="n"/>
      <c r="F1928" s="6" t="n"/>
      <c r="G1928" s="8">
        <f>IF(B1928="","",IFERROR(VLOOKUP(--B1928,'CATALOGO CECO'!$A$2:$H$550,2,FALSE),"CECO NO EXISTE"))</f>
        <v/>
      </c>
      <c r="H1928" s="8">
        <f>IF(B1928="","",IFERROR(VLOOKUP(--B1928,'CATALOGO CECO'!$A$2:$H$550,3,FALSE),""))</f>
        <v/>
      </c>
      <c r="I1928" s="8">
        <f>IF(B1928="","",IFERROR(VLOOKUP(--B1928,'CATALOGO CECO'!$A$2:$H$550,5,FALSE),""))</f>
        <v/>
      </c>
      <c r="J1928" s="8">
        <f>IF(B1928="","",IFERROR(VLOOKUP(--B1928,'CATALOGO CECO'!$A$2:$H$550,8,FALSE),""))</f>
        <v/>
      </c>
      <c r="K1928" s="8">
        <f>IF(COUNTA(A1928:F1928)=0,"",IF(OR(LEN(A1928)&lt;&gt;7,MID(A1928,5,1)&lt;&gt;"-",ISERROR(--LEFT(A1928,4)),ISERROR(--RIGHT(A1928,2))),"ERROR: PERIODO debe ser AAAA-MM",IF(B1928="","ERROR: falta CODIGO CECO",IF(G1928="CECO NO EXISTE","ERROR: CECO no existe en el catálogo",IF(C1928="","ERROR: falta CUENTA",IF(ISERROR(--C1928),"ERROR: CUENTA debe tener solo dígitos",IF(ISERROR(FIND(LEFT(C1928,1),"567")),"ERROR: CUENTA fuera de las clases de costo",IF(NOT(ISNUMBER(E1928)),"ERROR: VALOR debe ser numérico",IF(E1928=0,"AVISO: valor cero (no se carga)",IF(J1928&lt;&gt;"ACTIVO","NO SE CARGA: CECO en estado "&amp;J1928,"OK"))))))))))</f>
        <v/>
      </c>
    </row>
    <row r="1929">
      <c r="A1929" s="5" t="n"/>
      <c r="B1929" s="6" t="n"/>
      <c r="C1929" s="5" t="n"/>
      <c r="D1929" s="6" t="n"/>
      <c r="E1929" s="7" t="n"/>
      <c r="F1929" s="6" t="n"/>
      <c r="G1929" s="8">
        <f>IF(B1929="","",IFERROR(VLOOKUP(--B1929,'CATALOGO CECO'!$A$2:$H$550,2,FALSE),"CECO NO EXISTE"))</f>
        <v/>
      </c>
      <c r="H1929" s="8">
        <f>IF(B1929="","",IFERROR(VLOOKUP(--B1929,'CATALOGO CECO'!$A$2:$H$550,3,FALSE),""))</f>
        <v/>
      </c>
      <c r="I1929" s="8">
        <f>IF(B1929="","",IFERROR(VLOOKUP(--B1929,'CATALOGO CECO'!$A$2:$H$550,5,FALSE),""))</f>
        <v/>
      </c>
      <c r="J1929" s="8">
        <f>IF(B1929="","",IFERROR(VLOOKUP(--B1929,'CATALOGO CECO'!$A$2:$H$550,8,FALSE),""))</f>
        <v/>
      </c>
      <c r="K1929" s="8">
        <f>IF(COUNTA(A1929:F1929)=0,"",IF(OR(LEN(A1929)&lt;&gt;7,MID(A1929,5,1)&lt;&gt;"-",ISERROR(--LEFT(A1929,4)),ISERROR(--RIGHT(A1929,2))),"ERROR: PERIODO debe ser AAAA-MM",IF(B1929="","ERROR: falta CODIGO CECO",IF(G1929="CECO NO EXISTE","ERROR: CECO no existe en el catálogo",IF(C1929="","ERROR: falta CUENTA",IF(ISERROR(--C1929),"ERROR: CUENTA debe tener solo dígitos",IF(ISERROR(FIND(LEFT(C1929,1),"567")),"ERROR: CUENTA fuera de las clases de costo",IF(NOT(ISNUMBER(E1929)),"ERROR: VALOR debe ser numérico",IF(E1929=0,"AVISO: valor cero (no se carga)",IF(J1929&lt;&gt;"ACTIVO","NO SE CARGA: CECO en estado "&amp;J1929,"OK"))))))))))</f>
        <v/>
      </c>
    </row>
    <row r="1930">
      <c r="A1930" s="5" t="n"/>
      <c r="B1930" s="6" t="n"/>
      <c r="C1930" s="5" t="n"/>
      <c r="D1930" s="6" t="n"/>
      <c r="E1930" s="7" t="n"/>
      <c r="F1930" s="6" t="n"/>
      <c r="G1930" s="8">
        <f>IF(B1930="","",IFERROR(VLOOKUP(--B1930,'CATALOGO CECO'!$A$2:$H$550,2,FALSE),"CECO NO EXISTE"))</f>
        <v/>
      </c>
      <c r="H1930" s="8">
        <f>IF(B1930="","",IFERROR(VLOOKUP(--B1930,'CATALOGO CECO'!$A$2:$H$550,3,FALSE),""))</f>
        <v/>
      </c>
      <c r="I1930" s="8">
        <f>IF(B1930="","",IFERROR(VLOOKUP(--B1930,'CATALOGO CECO'!$A$2:$H$550,5,FALSE),""))</f>
        <v/>
      </c>
      <c r="J1930" s="8">
        <f>IF(B1930="","",IFERROR(VLOOKUP(--B1930,'CATALOGO CECO'!$A$2:$H$550,8,FALSE),""))</f>
        <v/>
      </c>
      <c r="K1930" s="8">
        <f>IF(COUNTA(A1930:F1930)=0,"",IF(OR(LEN(A1930)&lt;&gt;7,MID(A1930,5,1)&lt;&gt;"-",ISERROR(--LEFT(A1930,4)),ISERROR(--RIGHT(A1930,2))),"ERROR: PERIODO debe ser AAAA-MM",IF(B1930="","ERROR: falta CODIGO CECO",IF(G1930="CECO NO EXISTE","ERROR: CECO no existe en el catálogo",IF(C1930="","ERROR: falta CUENTA",IF(ISERROR(--C1930),"ERROR: CUENTA debe tener solo dígitos",IF(ISERROR(FIND(LEFT(C1930,1),"567")),"ERROR: CUENTA fuera de las clases de costo",IF(NOT(ISNUMBER(E1930)),"ERROR: VALOR debe ser numérico",IF(E1930=0,"AVISO: valor cero (no se carga)",IF(J1930&lt;&gt;"ACTIVO","NO SE CARGA: CECO en estado "&amp;J1930,"OK"))))))))))</f>
        <v/>
      </c>
    </row>
    <row r="1931">
      <c r="A1931" s="5" t="n"/>
      <c r="B1931" s="6" t="n"/>
      <c r="C1931" s="5" t="n"/>
      <c r="D1931" s="6" t="n"/>
      <c r="E1931" s="7" t="n"/>
      <c r="F1931" s="6" t="n"/>
      <c r="G1931" s="8">
        <f>IF(B1931="","",IFERROR(VLOOKUP(--B1931,'CATALOGO CECO'!$A$2:$H$550,2,FALSE),"CECO NO EXISTE"))</f>
        <v/>
      </c>
      <c r="H1931" s="8">
        <f>IF(B1931="","",IFERROR(VLOOKUP(--B1931,'CATALOGO CECO'!$A$2:$H$550,3,FALSE),""))</f>
        <v/>
      </c>
      <c r="I1931" s="8">
        <f>IF(B1931="","",IFERROR(VLOOKUP(--B1931,'CATALOGO CECO'!$A$2:$H$550,5,FALSE),""))</f>
        <v/>
      </c>
      <c r="J1931" s="8">
        <f>IF(B1931="","",IFERROR(VLOOKUP(--B1931,'CATALOGO CECO'!$A$2:$H$550,8,FALSE),""))</f>
        <v/>
      </c>
      <c r="K1931" s="8">
        <f>IF(COUNTA(A1931:F1931)=0,"",IF(OR(LEN(A1931)&lt;&gt;7,MID(A1931,5,1)&lt;&gt;"-",ISERROR(--LEFT(A1931,4)),ISERROR(--RIGHT(A1931,2))),"ERROR: PERIODO debe ser AAAA-MM",IF(B1931="","ERROR: falta CODIGO CECO",IF(G1931="CECO NO EXISTE","ERROR: CECO no existe en el catálogo",IF(C1931="","ERROR: falta CUENTA",IF(ISERROR(--C1931),"ERROR: CUENTA debe tener solo dígitos",IF(ISERROR(FIND(LEFT(C1931,1),"567")),"ERROR: CUENTA fuera de las clases de costo",IF(NOT(ISNUMBER(E1931)),"ERROR: VALOR debe ser numérico",IF(E1931=0,"AVISO: valor cero (no se carga)",IF(J1931&lt;&gt;"ACTIVO","NO SE CARGA: CECO en estado "&amp;J1931,"OK"))))))))))</f>
        <v/>
      </c>
    </row>
    <row r="1932">
      <c r="A1932" s="5" t="n"/>
      <c r="B1932" s="6" t="n"/>
      <c r="C1932" s="5" t="n"/>
      <c r="D1932" s="6" t="n"/>
      <c r="E1932" s="7" t="n"/>
      <c r="F1932" s="6" t="n"/>
      <c r="G1932" s="8">
        <f>IF(B1932="","",IFERROR(VLOOKUP(--B1932,'CATALOGO CECO'!$A$2:$H$550,2,FALSE),"CECO NO EXISTE"))</f>
        <v/>
      </c>
      <c r="H1932" s="8">
        <f>IF(B1932="","",IFERROR(VLOOKUP(--B1932,'CATALOGO CECO'!$A$2:$H$550,3,FALSE),""))</f>
        <v/>
      </c>
      <c r="I1932" s="8">
        <f>IF(B1932="","",IFERROR(VLOOKUP(--B1932,'CATALOGO CECO'!$A$2:$H$550,5,FALSE),""))</f>
        <v/>
      </c>
      <c r="J1932" s="8">
        <f>IF(B1932="","",IFERROR(VLOOKUP(--B1932,'CATALOGO CECO'!$A$2:$H$550,8,FALSE),""))</f>
        <v/>
      </c>
      <c r="K1932" s="8">
        <f>IF(COUNTA(A1932:F1932)=0,"",IF(OR(LEN(A1932)&lt;&gt;7,MID(A1932,5,1)&lt;&gt;"-",ISERROR(--LEFT(A1932,4)),ISERROR(--RIGHT(A1932,2))),"ERROR: PERIODO debe ser AAAA-MM",IF(B1932="","ERROR: falta CODIGO CECO",IF(G1932="CECO NO EXISTE","ERROR: CECO no existe en el catálogo",IF(C1932="","ERROR: falta CUENTA",IF(ISERROR(--C1932),"ERROR: CUENTA debe tener solo dígitos",IF(ISERROR(FIND(LEFT(C1932,1),"567")),"ERROR: CUENTA fuera de las clases de costo",IF(NOT(ISNUMBER(E1932)),"ERROR: VALOR debe ser numérico",IF(E1932=0,"AVISO: valor cero (no se carga)",IF(J1932&lt;&gt;"ACTIVO","NO SE CARGA: CECO en estado "&amp;J1932,"OK"))))))))))</f>
        <v/>
      </c>
    </row>
    <row r="1933">
      <c r="A1933" s="5" t="n"/>
      <c r="B1933" s="6" t="n"/>
      <c r="C1933" s="5" t="n"/>
      <c r="D1933" s="6" t="n"/>
      <c r="E1933" s="7" t="n"/>
      <c r="F1933" s="6" t="n"/>
      <c r="G1933" s="8">
        <f>IF(B1933="","",IFERROR(VLOOKUP(--B1933,'CATALOGO CECO'!$A$2:$H$550,2,FALSE),"CECO NO EXISTE"))</f>
        <v/>
      </c>
      <c r="H1933" s="8">
        <f>IF(B1933="","",IFERROR(VLOOKUP(--B1933,'CATALOGO CECO'!$A$2:$H$550,3,FALSE),""))</f>
        <v/>
      </c>
      <c r="I1933" s="8">
        <f>IF(B1933="","",IFERROR(VLOOKUP(--B1933,'CATALOGO CECO'!$A$2:$H$550,5,FALSE),""))</f>
        <v/>
      </c>
      <c r="J1933" s="8">
        <f>IF(B1933="","",IFERROR(VLOOKUP(--B1933,'CATALOGO CECO'!$A$2:$H$550,8,FALSE),""))</f>
        <v/>
      </c>
      <c r="K1933" s="8">
        <f>IF(COUNTA(A1933:F1933)=0,"",IF(OR(LEN(A1933)&lt;&gt;7,MID(A1933,5,1)&lt;&gt;"-",ISERROR(--LEFT(A1933,4)),ISERROR(--RIGHT(A1933,2))),"ERROR: PERIODO debe ser AAAA-MM",IF(B1933="","ERROR: falta CODIGO CECO",IF(G1933="CECO NO EXISTE","ERROR: CECO no existe en el catálogo",IF(C1933="","ERROR: falta CUENTA",IF(ISERROR(--C1933),"ERROR: CUENTA debe tener solo dígitos",IF(ISERROR(FIND(LEFT(C1933,1),"567")),"ERROR: CUENTA fuera de las clases de costo",IF(NOT(ISNUMBER(E1933)),"ERROR: VALOR debe ser numérico",IF(E1933=0,"AVISO: valor cero (no se carga)",IF(J1933&lt;&gt;"ACTIVO","NO SE CARGA: CECO en estado "&amp;J1933,"OK"))))))))))</f>
        <v/>
      </c>
    </row>
    <row r="1934">
      <c r="A1934" s="5" t="n"/>
      <c r="B1934" s="6" t="n"/>
      <c r="C1934" s="5" t="n"/>
      <c r="D1934" s="6" t="n"/>
      <c r="E1934" s="7" t="n"/>
      <c r="F1934" s="6" t="n"/>
      <c r="G1934" s="8">
        <f>IF(B1934="","",IFERROR(VLOOKUP(--B1934,'CATALOGO CECO'!$A$2:$H$550,2,FALSE),"CECO NO EXISTE"))</f>
        <v/>
      </c>
      <c r="H1934" s="8">
        <f>IF(B1934="","",IFERROR(VLOOKUP(--B1934,'CATALOGO CECO'!$A$2:$H$550,3,FALSE),""))</f>
        <v/>
      </c>
      <c r="I1934" s="8">
        <f>IF(B1934="","",IFERROR(VLOOKUP(--B1934,'CATALOGO CECO'!$A$2:$H$550,5,FALSE),""))</f>
        <v/>
      </c>
      <c r="J1934" s="8">
        <f>IF(B1934="","",IFERROR(VLOOKUP(--B1934,'CATALOGO CECO'!$A$2:$H$550,8,FALSE),""))</f>
        <v/>
      </c>
      <c r="K1934" s="8">
        <f>IF(COUNTA(A1934:F1934)=0,"",IF(OR(LEN(A1934)&lt;&gt;7,MID(A1934,5,1)&lt;&gt;"-",ISERROR(--LEFT(A1934,4)),ISERROR(--RIGHT(A1934,2))),"ERROR: PERIODO debe ser AAAA-MM",IF(B1934="","ERROR: falta CODIGO CECO",IF(G1934="CECO NO EXISTE","ERROR: CECO no existe en el catálogo",IF(C1934="","ERROR: falta CUENTA",IF(ISERROR(--C1934),"ERROR: CUENTA debe tener solo dígitos",IF(ISERROR(FIND(LEFT(C1934,1),"567")),"ERROR: CUENTA fuera de las clases de costo",IF(NOT(ISNUMBER(E1934)),"ERROR: VALOR debe ser numérico",IF(E1934=0,"AVISO: valor cero (no se carga)",IF(J1934&lt;&gt;"ACTIVO","NO SE CARGA: CECO en estado "&amp;J1934,"OK"))))))))))</f>
        <v/>
      </c>
    </row>
    <row r="1935">
      <c r="A1935" s="5" t="n"/>
      <c r="B1935" s="6" t="n"/>
      <c r="C1935" s="5" t="n"/>
      <c r="D1935" s="6" t="n"/>
      <c r="E1935" s="7" t="n"/>
      <c r="F1935" s="6" t="n"/>
      <c r="G1935" s="8">
        <f>IF(B1935="","",IFERROR(VLOOKUP(--B1935,'CATALOGO CECO'!$A$2:$H$550,2,FALSE),"CECO NO EXISTE"))</f>
        <v/>
      </c>
      <c r="H1935" s="8">
        <f>IF(B1935="","",IFERROR(VLOOKUP(--B1935,'CATALOGO CECO'!$A$2:$H$550,3,FALSE),""))</f>
        <v/>
      </c>
      <c r="I1935" s="8">
        <f>IF(B1935="","",IFERROR(VLOOKUP(--B1935,'CATALOGO CECO'!$A$2:$H$550,5,FALSE),""))</f>
        <v/>
      </c>
      <c r="J1935" s="8">
        <f>IF(B1935="","",IFERROR(VLOOKUP(--B1935,'CATALOGO CECO'!$A$2:$H$550,8,FALSE),""))</f>
        <v/>
      </c>
      <c r="K1935" s="8">
        <f>IF(COUNTA(A1935:F1935)=0,"",IF(OR(LEN(A1935)&lt;&gt;7,MID(A1935,5,1)&lt;&gt;"-",ISERROR(--LEFT(A1935,4)),ISERROR(--RIGHT(A1935,2))),"ERROR: PERIODO debe ser AAAA-MM",IF(B1935="","ERROR: falta CODIGO CECO",IF(G1935="CECO NO EXISTE","ERROR: CECO no existe en el catálogo",IF(C1935="","ERROR: falta CUENTA",IF(ISERROR(--C1935),"ERROR: CUENTA debe tener solo dígitos",IF(ISERROR(FIND(LEFT(C1935,1),"567")),"ERROR: CUENTA fuera de las clases de costo",IF(NOT(ISNUMBER(E1935)),"ERROR: VALOR debe ser numérico",IF(E1935=0,"AVISO: valor cero (no se carga)",IF(J1935&lt;&gt;"ACTIVO","NO SE CARGA: CECO en estado "&amp;J1935,"OK"))))))))))</f>
        <v/>
      </c>
    </row>
    <row r="1936">
      <c r="A1936" s="5" t="n"/>
      <c r="B1936" s="6" t="n"/>
      <c r="C1936" s="5" t="n"/>
      <c r="D1936" s="6" t="n"/>
      <c r="E1936" s="7" t="n"/>
      <c r="F1936" s="6" t="n"/>
      <c r="G1936" s="8">
        <f>IF(B1936="","",IFERROR(VLOOKUP(--B1936,'CATALOGO CECO'!$A$2:$H$550,2,FALSE),"CECO NO EXISTE"))</f>
        <v/>
      </c>
      <c r="H1936" s="8">
        <f>IF(B1936="","",IFERROR(VLOOKUP(--B1936,'CATALOGO CECO'!$A$2:$H$550,3,FALSE),""))</f>
        <v/>
      </c>
      <c r="I1936" s="8">
        <f>IF(B1936="","",IFERROR(VLOOKUP(--B1936,'CATALOGO CECO'!$A$2:$H$550,5,FALSE),""))</f>
        <v/>
      </c>
      <c r="J1936" s="8">
        <f>IF(B1936="","",IFERROR(VLOOKUP(--B1936,'CATALOGO CECO'!$A$2:$H$550,8,FALSE),""))</f>
        <v/>
      </c>
      <c r="K1936" s="8">
        <f>IF(COUNTA(A1936:F1936)=0,"",IF(OR(LEN(A1936)&lt;&gt;7,MID(A1936,5,1)&lt;&gt;"-",ISERROR(--LEFT(A1936,4)),ISERROR(--RIGHT(A1936,2))),"ERROR: PERIODO debe ser AAAA-MM",IF(B1936="","ERROR: falta CODIGO CECO",IF(G1936="CECO NO EXISTE","ERROR: CECO no existe en el catálogo",IF(C1936="","ERROR: falta CUENTA",IF(ISERROR(--C1936),"ERROR: CUENTA debe tener solo dígitos",IF(ISERROR(FIND(LEFT(C1936,1),"567")),"ERROR: CUENTA fuera de las clases de costo",IF(NOT(ISNUMBER(E1936)),"ERROR: VALOR debe ser numérico",IF(E1936=0,"AVISO: valor cero (no se carga)",IF(J1936&lt;&gt;"ACTIVO","NO SE CARGA: CECO en estado "&amp;J1936,"OK"))))))))))</f>
        <v/>
      </c>
    </row>
    <row r="1937">
      <c r="A1937" s="5" t="n"/>
      <c r="B1937" s="6" t="n"/>
      <c r="C1937" s="5" t="n"/>
      <c r="D1937" s="6" t="n"/>
      <c r="E1937" s="7" t="n"/>
      <c r="F1937" s="6" t="n"/>
      <c r="G1937" s="8">
        <f>IF(B1937="","",IFERROR(VLOOKUP(--B1937,'CATALOGO CECO'!$A$2:$H$550,2,FALSE),"CECO NO EXISTE"))</f>
        <v/>
      </c>
      <c r="H1937" s="8">
        <f>IF(B1937="","",IFERROR(VLOOKUP(--B1937,'CATALOGO CECO'!$A$2:$H$550,3,FALSE),""))</f>
        <v/>
      </c>
      <c r="I1937" s="8">
        <f>IF(B1937="","",IFERROR(VLOOKUP(--B1937,'CATALOGO CECO'!$A$2:$H$550,5,FALSE),""))</f>
        <v/>
      </c>
      <c r="J1937" s="8">
        <f>IF(B1937="","",IFERROR(VLOOKUP(--B1937,'CATALOGO CECO'!$A$2:$H$550,8,FALSE),""))</f>
        <v/>
      </c>
      <c r="K1937" s="8">
        <f>IF(COUNTA(A1937:F1937)=0,"",IF(OR(LEN(A1937)&lt;&gt;7,MID(A1937,5,1)&lt;&gt;"-",ISERROR(--LEFT(A1937,4)),ISERROR(--RIGHT(A1937,2))),"ERROR: PERIODO debe ser AAAA-MM",IF(B1937="","ERROR: falta CODIGO CECO",IF(G1937="CECO NO EXISTE","ERROR: CECO no existe en el catálogo",IF(C1937="","ERROR: falta CUENTA",IF(ISERROR(--C1937),"ERROR: CUENTA debe tener solo dígitos",IF(ISERROR(FIND(LEFT(C1937,1),"567")),"ERROR: CUENTA fuera de las clases de costo",IF(NOT(ISNUMBER(E1937)),"ERROR: VALOR debe ser numérico",IF(E1937=0,"AVISO: valor cero (no se carga)",IF(J1937&lt;&gt;"ACTIVO","NO SE CARGA: CECO en estado "&amp;J1937,"OK"))))))))))</f>
        <v/>
      </c>
    </row>
    <row r="1938">
      <c r="A1938" s="5" t="n"/>
      <c r="B1938" s="6" t="n"/>
      <c r="C1938" s="5" t="n"/>
      <c r="D1938" s="6" t="n"/>
      <c r="E1938" s="7" t="n"/>
      <c r="F1938" s="6" t="n"/>
      <c r="G1938" s="8">
        <f>IF(B1938="","",IFERROR(VLOOKUP(--B1938,'CATALOGO CECO'!$A$2:$H$550,2,FALSE),"CECO NO EXISTE"))</f>
        <v/>
      </c>
      <c r="H1938" s="8">
        <f>IF(B1938="","",IFERROR(VLOOKUP(--B1938,'CATALOGO CECO'!$A$2:$H$550,3,FALSE),""))</f>
        <v/>
      </c>
      <c r="I1938" s="8">
        <f>IF(B1938="","",IFERROR(VLOOKUP(--B1938,'CATALOGO CECO'!$A$2:$H$550,5,FALSE),""))</f>
        <v/>
      </c>
      <c r="J1938" s="8">
        <f>IF(B1938="","",IFERROR(VLOOKUP(--B1938,'CATALOGO CECO'!$A$2:$H$550,8,FALSE),""))</f>
        <v/>
      </c>
      <c r="K1938" s="8">
        <f>IF(COUNTA(A1938:F1938)=0,"",IF(OR(LEN(A1938)&lt;&gt;7,MID(A1938,5,1)&lt;&gt;"-",ISERROR(--LEFT(A1938,4)),ISERROR(--RIGHT(A1938,2))),"ERROR: PERIODO debe ser AAAA-MM",IF(B1938="","ERROR: falta CODIGO CECO",IF(G1938="CECO NO EXISTE","ERROR: CECO no existe en el catálogo",IF(C1938="","ERROR: falta CUENTA",IF(ISERROR(--C1938),"ERROR: CUENTA debe tener solo dígitos",IF(ISERROR(FIND(LEFT(C1938,1),"567")),"ERROR: CUENTA fuera de las clases de costo",IF(NOT(ISNUMBER(E1938)),"ERROR: VALOR debe ser numérico",IF(E1938=0,"AVISO: valor cero (no se carga)",IF(J1938&lt;&gt;"ACTIVO","NO SE CARGA: CECO en estado "&amp;J1938,"OK"))))))))))</f>
        <v/>
      </c>
    </row>
    <row r="1939">
      <c r="A1939" s="5" t="n"/>
      <c r="B1939" s="6" t="n"/>
      <c r="C1939" s="5" t="n"/>
      <c r="D1939" s="6" t="n"/>
      <c r="E1939" s="7" t="n"/>
      <c r="F1939" s="6" t="n"/>
      <c r="G1939" s="8">
        <f>IF(B1939="","",IFERROR(VLOOKUP(--B1939,'CATALOGO CECO'!$A$2:$H$550,2,FALSE),"CECO NO EXISTE"))</f>
        <v/>
      </c>
      <c r="H1939" s="8">
        <f>IF(B1939="","",IFERROR(VLOOKUP(--B1939,'CATALOGO CECO'!$A$2:$H$550,3,FALSE),""))</f>
        <v/>
      </c>
      <c r="I1939" s="8">
        <f>IF(B1939="","",IFERROR(VLOOKUP(--B1939,'CATALOGO CECO'!$A$2:$H$550,5,FALSE),""))</f>
        <v/>
      </c>
      <c r="J1939" s="8">
        <f>IF(B1939="","",IFERROR(VLOOKUP(--B1939,'CATALOGO CECO'!$A$2:$H$550,8,FALSE),""))</f>
        <v/>
      </c>
      <c r="K1939" s="8">
        <f>IF(COUNTA(A1939:F1939)=0,"",IF(OR(LEN(A1939)&lt;&gt;7,MID(A1939,5,1)&lt;&gt;"-",ISERROR(--LEFT(A1939,4)),ISERROR(--RIGHT(A1939,2))),"ERROR: PERIODO debe ser AAAA-MM",IF(B1939="","ERROR: falta CODIGO CECO",IF(G1939="CECO NO EXISTE","ERROR: CECO no existe en el catálogo",IF(C1939="","ERROR: falta CUENTA",IF(ISERROR(--C1939),"ERROR: CUENTA debe tener solo dígitos",IF(ISERROR(FIND(LEFT(C1939,1),"567")),"ERROR: CUENTA fuera de las clases de costo",IF(NOT(ISNUMBER(E1939)),"ERROR: VALOR debe ser numérico",IF(E1939=0,"AVISO: valor cero (no se carga)",IF(J1939&lt;&gt;"ACTIVO","NO SE CARGA: CECO en estado "&amp;J1939,"OK"))))))))))</f>
        <v/>
      </c>
    </row>
    <row r="1940">
      <c r="A1940" s="5" t="n"/>
      <c r="B1940" s="6" t="n"/>
      <c r="C1940" s="5" t="n"/>
      <c r="D1940" s="6" t="n"/>
      <c r="E1940" s="7" t="n"/>
      <c r="F1940" s="6" t="n"/>
      <c r="G1940" s="8">
        <f>IF(B1940="","",IFERROR(VLOOKUP(--B1940,'CATALOGO CECO'!$A$2:$H$550,2,FALSE),"CECO NO EXISTE"))</f>
        <v/>
      </c>
      <c r="H1940" s="8">
        <f>IF(B1940="","",IFERROR(VLOOKUP(--B1940,'CATALOGO CECO'!$A$2:$H$550,3,FALSE),""))</f>
        <v/>
      </c>
      <c r="I1940" s="8">
        <f>IF(B1940="","",IFERROR(VLOOKUP(--B1940,'CATALOGO CECO'!$A$2:$H$550,5,FALSE),""))</f>
        <v/>
      </c>
      <c r="J1940" s="8">
        <f>IF(B1940="","",IFERROR(VLOOKUP(--B1940,'CATALOGO CECO'!$A$2:$H$550,8,FALSE),""))</f>
        <v/>
      </c>
      <c r="K1940" s="8">
        <f>IF(COUNTA(A1940:F1940)=0,"",IF(OR(LEN(A1940)&lt;&gt;7,MID(A1940,5,1)&lt;&gt;"-",ISERROR(--LEFT(A1940,4)),ISERROR(--RIGHT(A1940,2))),"ERROR: PERIODO debe ser AAAA-MM",IF(B1940="","ERROR: falta CODIGO CECO",IF(G1940="CECO NO EXISTE","ERROR: CECO no existe en el catálogo",IF(C1940="","ERROR: falta CUENTA",IF(ISERROR(--C1940),"ERROR: CUENTA debe tener solo dígitos",IF(ISERROR(FIND(LEFT(C1940,1),"567")),"ERROR: CUENTA fuera de las clases de costo",IF(NOT(ISNUMBER(E1940)),"ERROR: VALOR debe ser numérico",IF(E1940=0,"AVISO: valor cero (no se carga)",IF(J1940&lt;&gt;"ACTIVO","NO SE CARGA: CECO en estado "&amp;J1940,"OK"))))))))))</f>
        <v/>
      </c>
    </row>
    <row r="1941">
      <c r="A1941" s="5" t="n"/>
      <c r="B1941" s="6" t="n"/>
      <c r="C1941" s="5" t="n"/>
      <c r="D1941" s="6" t="n"/>
      <c r="E1941" s="7" t="n"/>
      <c r="F1941" s="6" t="n"/>
      <c r="G1941" s="8">
        <f>IF(B1941="","",IFERROR(VLOOKUP(--B1941,'CATALOGO CECO'!$A$2:$H$550,2,FALSE),"CECO NO EXISTE"))</f>
        <v/>
      </c>
      <c r="H1941" s="8">
        <f>IF(B1941="","",IFERROR(VLOOKUP(--B1941,'CATALOGO CECO'!$A$2:$H$550,3,FALSE),""))</f>
        <v/>
      </c>
      <c r="I1941" s="8">
        <f>IF(B1941="","",IFERROR(VLOOKUP(--B1941,'CATALOGO CECO'!$A$2:$H$550,5,FALSE),""))</f>
        <v/>
      </c>
      <c r="J1941" s="8">
        <f>IF(B1941="","",IFERROR(VLOOKUP(--B1941,'CATALOGO CECO'!$A$2:$H$550,8,FALSE),""))</f>
        <v/>
      </c>
      <c r="K1941" s="8">
        <f>IF(COUNTA(A1941:F1941)=0,"",IF(OR(LEN(A1941)&lt;&gt;7,MID(A1941,5,1)&lt;&gt;"-",ISERROR(--LEFT(A1941,4)),ISERROR(--RIGHT(A1941,2))),"ERROR: PERIODO debe ser AAAA-MM",IF(B1941="","ERROR: falta CODIGO CECO",IF(G1941="CECO NO EXISTE","ERROR: CECO no existe en el catálogo",IF(C1941="","ERROR: falta CUENTA",IF(ISERROR(--C1941),"ERROR: CUENTA debe tener solo dígitos",IF(ISERROR(FIND(LEFT(C1941,1),"567")),"ERROR: CUENTA fuera de las clases de costo",IF(NOT(ISNUMBER(E1941)),"ERROR: VALOR debe ser numérico",IF(E1941=0,"AVISO: valor cero (no se carga)",IF(J1941&lt;&gt;"ACTIVO","NO SE CARGA: CECO en estado "&amp;J1941,"OK"))))))))))</f>
        <v/>
      </c>
    </row>
    <row r="1942">
      <c r="A1942" s="5" t="n"/>
      <c r="B1942" s="6" t="n"/>
      <c r="C1942" s="5" t="n"/>
      <c r="D1942" s="6" t="n"/>
      <c r="E1942" s="7" t="n"/>
      <c r="F1942" s="6" t="n"/>
      <c r="G1942" s="8">
        <f>IF(B1942="","",IFERROR(VLOOKUP(--B1942,'CATALOGO CECO'!$A$2:$H$550,2,FALSE),"CECO NO EXISTE"))</f>
        <v/>
      </c>
      <c r="H1942" s="8">
        <f>IF(B1942="","",IFERROR(VLOOKUP(--B1942,'CATALOGO CECO'!$A$2:$H$550,3,FALSE),""))</f>
        <v/>
      </c>
      <c r="I1942" s="8">
        <f>IF(B1942="","",IFERROR(VLOOKUP(--B1942,'CATALOGO CECO'!$A$2:$H$550,5,FALSE),""))</f>
        <v/>
      </c>
      <c r="J1942" s="8">
        <f>IF(B1942="","",IFERROR(VLOOKUP(--B1942,'CATALOGO CECO'!$A$2:$H$550,8,FALSE),""))</f>
        <v/>
      </c>
      <c r="K1942" s="8">
        <f>IF(COUNTA(A1942:F1942)=0,"",IF(OR(LEN(A1942)&lt;&gt;7,MID(A1942,5,1)&lt;&gt;"-",ISERROR(--LEFT(A1942,4)),ISERROR(--RIGHT(A1942,2))),"ERROR: PERIODO debe ser AAAA-MM",IF(B1942="","ERROR: falta CODIGO CECO",IF(G1942="CECO NO EXISTE","ERROR: CECO no existe en el catálogo",IF(C1942="","ERROR: falta CUENTA",IF(ISERROR(--C1942),"ERROR: CUENTA debe tener solo dígitos",IF(ISERROR(FIND(LEFT(C1942,1),"567")),"ERROR: CUENTA fuera de las clases de costo",IF(NOT(ISNUMBER(E1942)),"ERROR: VALOR debe ser numérico",IF(E1942=0,"AVISO: valor cero (no se carga)",IF(J1942&lt;&gt;"ACTIVO","NO SE CARGA: CECO en estado "&amp;J1942,"OK"))))))))))</f>
        <v/>
      </c>
    </row>
    <row r="1943">
      <c r="A1943" s="5" t="n"/>
      <c r="B1943" s="6" t="n"/>
      <c r="C1943" s="5" t="n"/>
      <c r="D1943" s="6" t="n"/>
      <c r="E1943" s="7" t="n"/>
      <c r="F1943" s="6" t="n"/>
      <c r="G1943" s="8">
        <f>IF(B1943="","",IFERROR(VLOOKUP(--B1943,'CATALOGO CECO'!$A$2:$H$550,2,FALSE),"CECO NO EXISTE"))</f>
        <v/>
      </c>
      <c r="H1943" s="8">
        <f>IF(B1943="","",IFERROR(VLOOKUP(--B1943,'CATALOGO CECO'!$A$2:$H$550,3,FALSE),""))</f>
        <v/>
      </c>
      <c r="I1943" s="8">
        <f>IF(B1943="","",IFERROR(VLOOKUP(--B1943,'CATALOGO CECO'!$A$2:$H$550,5,FALSE),""))</f>
        <v/>
      </c>
      <c r="J1943" s="8">
        <f>IF(B1943="","",IFERROR(VLOOKUP(--B1943,'CATALOGO CECO'!$A$2:$H$550,8,FALSE),""))</f>
        <v/>
      </c>
      <c r="K1943" s="8">
        <f>IF(COUNTA(A1943:F1943)=0,"",IF(OR(LEN(A1943)&lt;&gt;7,MID(A1943,5,1)&lt;&gt;"-",ISERROR(--LEFT(A1943,4)),ISERROR(--RIGHT(A1943,2))),"ERROR: PERIODO debe ser AAAA-MM",IF(B1943="","ERROR: falta CODIGO CECO",IF(G1943="CECO NO EXISTE","ERROR: CECO no existe en el catálogo",IF(C1943="","ERROR: falta CUENTA",IF(ISERROR(--C1943),"ERROR: CUENTA debe tener solo dígitos",IF(ISERROR(FIND(LEFT(C1943,1),"567")),"ERROR: CUENTA fuera de las clases de costo",IF(NOT(ISNUMBER(E1943)),"ERROR: VALOR debe ser numérico",IF(E1943=0,"AVISO: valor cero (no se carga)",IF(J1943&lt;&gt;"ACTIVO","NO SE CARGA: CECO en estado "&amp;J1943,"OK"))))))))))</f>
        <v/>
      </c>
    </row>
    <row r="1944">
      <c r="A1944" s="5" t="n"/>
      <c r="B1944" s="6" t="n"/>
      <c r="C1944" s="5" t="n"/>
      <c r="D1944" s="6" t="n"/>
      <c r="E1944" s="7" t="n"/>
      <c r="F1944" s="6" t="n"/>
      <c r="G1944" s="8">
        <f>IF(B1944="","",IFERROR(VLOOKUP(--B1944,'CATALOGO CECO'!$A$2:$H$550,2,FALSE),"CECO NO EXISTE"))</f>
        <v/>
      </c>
      <c r="H1944" s="8">
        <f>IF(B1944="","",IFERROR(VLOOKUP(--B1944,'CATALOGO CECO'!$A$2:$H$550,3,FALSE),""))</f>
        <v/>
      </c>
      <c r="I1944" s="8">
        <f>IF(B1944="","",IFERROR(VLOOKUP(--B1944,'CATALOGO CECO'!$A$2:$H$550,5,FALSE),""))</f>
        <v/>
      </c>
      <c r="J1944" s="8">
        <f>IF(B1944="","",IFERROR(VLOOKUP(--B1944,'CATALOGO CECO'!$A$2:$H$550,8,FALSE),""))</f>
        <v/>
      </c>
      <c r="K1944" s="8">
        <f>IF(COUNTA(A1944:F1944)=0,"",IF(OR(LEN(A1944)&lt;&gt;7,MID(A1944,5,1)&lt;&gt;"-",ISERROR(--LEFT(A1944,4)),ISERROR(--RIGHT(A1944,2))),"ERROR: PERIODO debe ser AAAA-MM",IF(B1944="","ERROR: falta CODIGO CECO",IF(G1944="CECO NO EXISTE","ERROR: CECO no existe en el catálogo",IF(C1944="","ERROR: falta CUENTA",IF(ISERROR(--C1944),"ERROR: CUENTA debe tener solo dígitos",IF(ISERROR(FIND(LEFT(C1944,1),"567")),"ERROR: CUENTA fuera de las clases de costo",IF(NOT(ISNUMBER(E1944)),"ERROR: VALOR debe ser numérico",IF(E1944=0,"AVISO: valor cero (no se carga)",IF(J1944&lt;&gt;"ACTIVO","NO SE CARGA: CECO en estado "&amp;J1944,"OK"))))))))))</f>
        <v/>
      </c>
    </row>
    <row r="1945">
      <c r="A1945" s="5" t="n"/>
      <c r="B1945" s="6" t="n"/>
      <c r="C1945" s="5" t="n"/>
      <c r="D1945" s="6" t="n"/>
      <c r="E1945" s="7" t="n"/>
      <c r="F1945" s="6" t="n"/>
      <c r="G1945" s="8">
        <f>IF(B1945="","",IFERROR(VLOOKUP(--B1945,'CATALOGO CECO'!$A$2:$H$550,2,FALSE),"CECO NO EXISTE"))</f>
        <v/>
      </c>
      <c r="H1945" s="8">
        <f>IF(B1945="","",IFERROR(VLOOKUP(--B1945,'CATALOGO CECO'!$A$2:$H$550,3,FALSE),""))</f>
        <v/>
      </c>
      <c r="I1945" s="8">
        <f>IF(B1945="","",IFERROR(VLOOKUP(--B1945,'CATALOGO CECO'!$A$2:$H$550,5,FALSE),""))</f>
        <v/>
      </c>
      <c r="J1945" s="8">
        <f>IF(B1945="","",IFERROR(VLOOKUP(--B1945,'CATALOGO CECO'!$A$2:$H$550,8,FALSE),""))</f>
        <v/>
      </c>
      <c r="K1945" s="8">
        <f>IF(COUNTA(A1945:F1945)=0,"",IF(OR(LEN(A1945)&lt;&gt;7,MID(A1945,5,1)&lt;&gt;"-",ISERROR(--LEFT(A1945,4)),ISERROR(--RIGHT(A1945,2))),"ERROR: PERIODO debe ser AAAA-MM",IF(B1945="","ERROR: falta CODIGO CECO",IF(G1945="CECO NO EXISTE","ERROR: CECO no existe en el catálogo",IF(C1945="","ERROR: falta CUENTA",IF(ISERROR(--C1945),"ERROR: CUENTA debe tener solo dígitos",IF(ISERROR(FIND(LEFT(C1945,1),"567")),"ERROR: CUENTA fuera de las clases de costo",IF(NOT(ISNUMBER(E1945)),"ERROR: VALOR debe ser numérico",IF(E1945=0,"AVISO: valor cero (no se carga)",IF(J1945&lt;&gt;"ACTIVO","NO SE CARGA: CECO en estado "&amp;J1945,"OK"))))))))))</f>
        <v/>
      </c>
    </row>
    <row r="1946">
      <c r="A1946" s="5" t="n"/>
      <c r="B1946" s="6" t="n"/>
      <c r="C1946" s="5" t="n"/>
      <c r="D1946" s="6" t="n"/>
      <c r="E1946" s="7" t="n"/>
      <c r="F1946" s="6" t="n"/>
      <c r="G1946" s="8">
        <f>IF(B1946="","",IFERROR(VLOOKUP(--B1946,'CATALOGO CECO'!$A$2:$H$550,2,FALSE),"CECO NO EXISTE"))</f>
        <v/>
      </c>
      <c r="H1946" s="8">
        <f>IF(B1946="","",IFERROR(VLOOKUP(--B1946,'CATALOGO CECO'!$A$2:$H$550,3,FALSE),""))</f>
        <v/>
      </c>
      <c r="I1946" s="8">
        <f>IF(B1946="","",IFERROR(VLOOKUP(--B1946,'CATALOGO CECO'!$A$2:$H$550,5,FALSE),""))</f>
        <v/>
      </c>
      <c r="J1946" s="8">
        <f>IF(B1946="","",IFERROR(VLOOKUP(--B1946,'CATALOGO CECO'!$A$2:$H$550,8,FALSE),""))</f>
        <v/>
      </c>
      <c r="K1946" s="8">
        <f>IF(COUNTA(A1946:F1946)=0,"",IF(OR(LEN(A1946)&lt;&gt;7,MID(A1946,5,1)&lt;&gt;"-",ISERROR(--LEFT(A1946,4)),ISERROR(--RIGHT(A1946,2))),"ERROR: PERIODO debe ser AAAA-MM",IF(B1946="","ERROR: falta CODIGO CECO",IF(G1946="CECO NO EXISTE","ERROR: CECO no existe en el catálogo",IF(C1946="","ERROR: falta CUENTA",IF(ISERROR(--C1946),"ERROR: CUENTA debe tener solo dígitos",IF(ISERROR(FIND(LEFT(C1946,1),"567")),"ERROR: CUENTA fuera de las clases de costo",IF(NOT(ISNUMBER(E1946)),"ERROR: VALOR debe ser numérico",IF(E1946=0,"AVISO: valor cero (no se carga)",IF(J1946&lt;&gt;"ACTIVO","NO SE CARGA: CECO en estado "&amp;J1946,"OK"))))))))))</f>
        <v/>
      </c>
    </row>
    <row r="1947">
      <c r="A1947" s="5" t="n"/>
      <c r="B1947" s="6" t="n"/>
      <c r="C1947" s="5" t="n"/>
      <c r="D1947" s="6" t="n"/>
      <c r="E1947" s="7" t="n"/>
      <c r="F1947" s="6" t="n"/>
      <c r="G1947" s="8">
        <f>IF(B1947="","",IFERROR(VLOOKUP(--B1947,'CATALOGO CECO'!$A$2:$H$550,2,FALSE),"CECO NO EXISTE"))</f>
        <v/>
      </c>
      <c r="H1947" s="8">
        <f>IF(B1947="","",IFERROR(VLOOKUP(--B1947,'CATALOGO CECO'!$A$2:$H$550,3,FALSE),""))</f>
        <v/>
      </c>
      <c r="I1947" s="8">
        <f>IF(B1947="","",IFERROR(VLOOKUP(--B1947,'CATALOGO CECO'!$A$2:$H$550,5,FALSE),""))</f>
        <v/>
      </c>
      <c r="J1947" s="8">
        <f>IF(B1947="","",IFERROR(VLOOKUP(--B1947,'CATALOGO CECO'!$A$2:$H$550,8,FALSE),""))</f>
        <v/>
      </c>
      <c r="K1947" s="8">
        <f>IF(COUNTA(A1947:F1947)=0,"",IF(OR(LEN(A1947)&lt;&gt;7,MID(A1947,5,1)&lt;&gt;"-",ISERROR(--LEFT(A1947,4)),ISERROR(--RIGHT(A1947,2))),"ERROR: PERIODO debe ser AAAA-MM",IF(B1947="","ERROR: falta CODIGO CECO",IF(G1947="CECO NO EXISTE","ERROR: CECO no existe en el catálogo",IF(C1947="","ERROR: falta CUENTA",IF(ISERROR(--C1947),"ERROR: CUENTA debe tener solo dígitos",IF(ISERROR(FIND(LEFT(C1947,1),"567")),"ERROR: CUENTA fuera de las clases de costo",IF(NOT(ISNUMBER(E1947)),"ERROR: VALOR debe ser numérico",IF(E1947=0,"AVISO: valor cero (no se carga)",IF(J1947&lt;&gt;"ACTIVO","NO SE CARGA: CECO en estado "&amp;J1947,"OK"))))))))))</f>
        <v/>
      </c>
    </row>
    <row r="1948">
      <c r="A1948" s="5" t="n"/>
      <c r="B1948" s="6" t="n"/>
      <c r="C1948" s="5" t="n"/>
      <c r="D1948" s="6" t="n"/>
      <c r="E1948" s="7" t="n"/>
      <c r="F1948" s="6" t="n"/>
      <c r="G1948" s="8">
        <f>IF(B1948="","",IFERROR(VLOOKUP(--B1948,'CATALOGO CECO'!$A$2:$H$550,2,FALSE),"CECO NO EXISTE"))</f>
        <v/>
      </c>
      <c r="H1948" s="8">
        <f>IF(B1948="","",IFERROR(VLOOKUP(--B1948,'CATALOGO CECO'!$A$2:$H$550,3,FALSE),""))</f>
        <v/>
      </c>
      <c r="I1948" s="8">
        <f>IF(B1948="","",IFERROR(VLOOKUP(--B1948,'CATALOGO CECO'!$A$2:$H$550,5,FALSE),""))</f>
        <v/>
      </c>
      <c r="J1948" s="8">
        <f>IF(B1948="","",IFERROR(VLOOKUP(--B1948,'CATALOGO CECO'!$A$2:$H$550,8,FALSE),""))</f>
        <v/>
      </c>
      <c r="K1948" s="8">
        <f>IF(COUNTA(A1948:F1948)=0,"",IF(OR(LEN(A1948)&lt;&gt;7,MID(A1948,5,1)&lt;&gt;"-",ISERROR(--LEFT(A1948,4)),ISERROR(--RIGHT(A1948,2))),"ERROR: PERIODO debe ser AAAA-MM",IF(B1948="","ERROR: falta CODIGO CECO",IF(G1948="CECO NO EXISTE","ERROR: CECO no existe en el catálogo",IF(C1948="","ERROR: falta CUENTA",IF(ISERROR(--C1948),"ERROR: CUENTA debe tener solo dígitos",IF(ISERROR(FIND(LEFT(C1948,1),"567")),"ERROR: CUENTA fuera de las clases de costo",IF(NOT(ISNUMBER(E1948)),"ERROR: VALOR debe ser numérico",IF(E1948=0,"AVISO: valor cero (no se carga)",IF(J1948&lt;&gt;"ACTIVO","NO SE CARGA: CECO en estado "&amp;J1948,"OK"))))))))))</f>
        <v/>
      </c>
    </row>
    <row r="1949">
      <c r="A1949" s="5" t="n"/>
      <c r="B1949" s="6" t="n"/>
      <c r="C1949" s="5" t="n"/>
      <c r="D1949" s="6" t="n"/>
      <c r="E1949" s="7" t="n"/>
      <c r="F1949" s="6" t="n"/>
      <c r="G1949" s="8">
        <f>IF(B1949="","",IFERROR(VLOOKUP(--B1949,'CATALOGO CECO'!$A$2:$H$550,2,FALSE),"CECO NO EXISTE"))</f>
        <v/>
      </c>
      <c r="H1949" s="8">
        <f>IF(B1949="","",IFERROR(VLOOKUP(--B1949,'CATALOGO CECO'!$A$2:$H$550,3,FALSE),""))</f>
        <v/>
      </c>
      <c r="I1949" s="8">
        <f>IF(B1949="","",IFERROR(VLOOKUP(--B1949,'CATALOGO CECO'!$A$2:$H$550,5,FALSE),""))</f>
        <v/>
      </c>
      <c r="J1949" s="8">
        <f>IF(B1949="","",IFERROR(VLOOKUP(--B1949,'CATALOGO CECO'!$A$2:$H$550,8,FALSE),""))</f>
        <v/>
      </c>
      <c r="K1949" s="8">
        <f>IF(COUNTA(A1949:F1949)=0,"",IF(OR(LEN(A1949)&lt;&gt;7,MID(A1949,5,1)&lt;&gt;"-",ISERROR(--LEFT(A1949,4)),ISERROR(--RIGHT(A1949,2))),"ERROR: PERIODO debe ser AAAA-MM",IF(B1949="","ERROR: falta CODIGO CECO",IF(G1949="CECO NO EXISTE","ERROR: CECO no existe en el catálogo",IF(C1949="","ERROR: falta CUENTA",IF(ISERROR(--C1949),"ERROR: CUENTA debe tener solo dígitos",IF(ISERROR(FIND(LEFT(C1949,1),"567")),"ERROR: CUENTA fuera de las clases de costo",IF(NOT(ISNUMBER(E1949)),"ERROR: VALOR debe ser numérico",IF(E1949=0,"AVISO: valor cero (no se carga)",IF(J1949&lt;&gt;"ACTIVO","NO SE CARGA: CECO en estado "&amp;J1949,"OK"))))))))))</f>
        <v/>
      </c>
    </row>
    <row r="1950">
      <c r="A1950" s="5" t="n"/>
      <c r="B1950" s="6" t="n"/>
      <c r="C1950" s="5" t="n"/>
      <c r="D1950" s="6" t="n"/>
      <c r="E1950" s="7" t="n"/>
      <c r="F1950" s="6" t="n"/>
      <c r="G1950" s="8">
        <f>IF(B1950="","",IFERROR(VLOOKUP(--B1950,'CATALOGO CECO'!$A$2:$H$550,2,FALSE),"CECO NO EXISTE"))</f>
        <v/>
      </c>
      <c r="H1950" s="8">
        <f>IF(B1950="","",IFERROR(VLOOKUP(--B1950,'CATALOGO CECO'!$A$2:$H$550,3,FALSE),""))</f>
        <v/>
      </c>
      <c r="I1950" s="8">
        <f>IF(B1950="","",IFERROR(VLOOKUP(--B1950,'CATALOGO CECO'!$A$2:$H$550,5,FALSE),""))</f>
        <v/>
      </c>
      <c r="J1950" s="8">
        <f>IF(B1950="","",IFERROR(VLOOKUP(--B1950,'CATALOGO CECO'!$A$2:$H$550,8,FALSE),""))</f>
        <v/>
      </c>
      <c r="K1950" s="8">
        <f>IF(COUNTA(A1950:F1950)=0,"",IF(OR(LEN(A1950)&lt;&gt;7,MID(A1950,5,1)&lt;&gt;"-",ISERROR(--LEFT(A1950,4)),ISERROR(--RIGHT(A1950,2))),"ERROR: PERIODO debe ser AAAA-MM",IF(B1950="","ERROR: falta CODIGO CECO",IF(G1950="CECO NO EXISTE","ERROR: CECO no existe en el catálogo",IF(C1950="","ERROR: falta CUENTA",IF(ISERROR(--C1950),"ERROR: CUENTA debe tener solo dígitos",IF(ISERROR(FIND(LEFT(C1950,1),"567")),"ERROR: CUENTA fuera de las clases de costo",IF(NOT(ISNUMBER(E1950)),"ERROR: VALOR debe ser numérico",IF(E1950=0,"AVISO: valor cero (no se carga)",IF(J1950&lt;&gt;"ACTIVO","NO SE CARGA: CECO en estado "&amp;J1950,"OK"))))))))))</f>
        <v/>
      </c>
    </row>
    <row r="1951">
      <c r="A1951" s="5" t="n"/>
      <c r="B1951" s="6" t="n"/>
      <c r="C1951" s="5" t="n"/>
      <c r="D1951" s="6" t="n"/>
      <c r="E1951" s="7" t="n"/>
      <c r="F1951" s="6" t="n"/>
      <c r="G1951" s="8">
        <f>IF(B1951="","",IFERROR(VLOOKUP(--B1951,'CATALOGO CECO'!$A$2:$H$550,2,FALSE),"CECO NO EXISTE"))</f>
        <v/>
      </c>
      <c r="H1951" s="8">
        <f>IF(B1951="","",IFERROR(VLOOKUP(--B1951,'CATALOGO CECO'!$A$2:$H$550,3,FALSE),""))</f>
        <v/>
      </c>
      <c r="I1951" s="8">
        <f>IF(B1951="","",IFERROR(VLOOKUP(--B1951,'CATALOGO CECO'!$A$2:$H$550,5,FALSE),""))</f>
        <v/>
      </c>
      <c r="J1951" s="8">
        <f>IF(B1951="","",IFERROR(VLOOKUP(--B1951,'CATALOGO CECO'!$A$2:$H$550,8,FALSE),""))</f>
        <v/>
      </c>
      <c r="K1951" s="8">
        <f>IF(COUNTA(A1951:F1951)=0,"",IF(OR(LEN(A1951)&lt;&gt;7,MID(A1951,5,1)&lt;&gt;"-",ISERROR(--LEFT(A1951,4)),ISERROR(--RIGHT(A1951,2))),"ERROR: PERIODO debe ser AAAA-MM",IF(B1951="","ERROR: falta CODIGO CECO",IF(G1951="CECO NO EXISTE","ERROR: CECO no existe en el catálogo",IF(C1951="","ERROR: falta CUENTA",IF(ISERROR(--C1951),"ERROR: CUENTA debe tener solo dígitos",IF(ISERROR(FIND(LEFT(C1951,1),"567")),"ERROR: CUENTA fuera de las clases de costo",IF(NOT(ISNUMBER(E1951)),"ERROR: VALOR debe ser numérico",IF(E1951=0,"AVISO: valor cero (no se carga)",IF(J1951&lt;&gt;"ACTIVO","NO SE CARGA: CECO en estado "&amp;J1951,"OK"))))))))))</f>
        <v/>
      </c>
    </row>
    <row r="1952">
      <c r="A1952" s="5" t="n"/>
      <c r="B1952" s="6" t="n"/>
      <c r="C1952" s="5" t="n"/>
      <c r="D1952" s="6" t="n"/>
      <c r="E1952" s="7" t="n"/>
      <c r="F1952" s="6" t="n"/>
      <c r="G1952" s="8">
        <f>IF(B1952="","",IFERROR(VLOOKUP(--B1952,'CATALOGO CECO'!$A$2:$H$550,2,FALSE),"CECO NO EXISTE"))</f>
        <v/>
      </c>
      <c r="H1952" s="8">
        <f>IF(B1952="","",IFERROR(VLOOKUP(--B1952,'CATALOGO CECO'!$A$2:$H$550,3,FALSE),""))</f>
        <v/>
      </c>
      <c r="I1952" s="8">
        <f>IF(B1952="","",IFERROR(VLOOKUP(--B1952,'CATALOGO CECO'!$A$2:$H$550,5,FALSE),""))</f>
        <v/>
      </c>
      <c r="J1952" s="8">
        <f>IF(B1952="","",IFERROR(VLOOKUP(--B1952,'CATALOGO CECO'!$A$2:$H$550,8,FALSE),""))</f>
        <v/>
      </c>
      <c r="K1952" s="8">
        <f>IF(COUNTA(A1952:F1952)=0,"",IF(OR(LEN(A1952)&lt;&gt;7,MID(A1952,5,1)&lt;&gt;"-",ISERROR(--LEFT(A1952,4)),ISERROR(--RIGHT(A1952,2))),"ERROR: PERIODO debe ser AAAA-MM",IF(B1952="","ERROR: falta CODIGO CECO",IF(G1952="CECO NO EXISTE","ERROR: CECO no existe en el catálogo",IF(C1952="","ERROR: falta CUENTA",IF(ISERROR(--C1952),"ERROR: CUENTA debe tener solo dígitos",IF(ISERROR(FIND(LEFT(C1952,1),"567")),"ERROR: CUENTA fuera de las clases de costo",IF(NOT(ISNUMBER(E1952)),"ERROR: VALOR debe ser numérico",IF(E1952=0,"AVISO: valor cero (no se carga)",IF(J1952&lt;&gt;"ACTIVO","NO SE CARGA: CECO en estado "&amp;J1952,"OK"))))))))))</f>
        <v/>
      </c>
    </row>
    <row r="1953">
      <c r="A1953" s="5" t="n"/>
      <c r="B1953" s="6" t="n"/>
      <c r="C1953" s="5" t="n"/>
      <c r="D1953" s="6" t="n"/>
      <c r="E1953" s="7" t="n"/>
      <c r="F1953" s="6" t="n"/>
      <c r="G1953" s="8">
        <f>IF(B1953="","",IFERROR(VLOOKUP(--B1953,'CATALOGO CECO'!$A$2:$H$550,2,FALSE),"CECO NO EXISTE"))</f>
        <v/>
      </c>
      <c r="H1953" s="8">
        <f>IF(B1953="","",IFERROR(VLOOKUP(--B1953,'CATALOGO CECO'!$A$2:$H$550,3,FALSE),""))</f>
        <v/>
      </c>
      <c r="I1953" s="8">
        <f>IF(B1953="","",IFERROR(VLOOKUP(--B1953,'CATALOGO CECO'!$A$2:$H$550,5,FALSE),""))</f>
        <v/>
      </c>
      <c r="J1953" s="8">
        <f>IF(B1953="","",IFERROR(VLOOKUP(--B1953,'CATALOGO CECO'!$A$2:$H$550,8,FALSE),""))</f>
        <v/>
      </c>
      <c r="K1953" s="8">
        <f>IF(COUNTA(A1953:F1953)=0,"",IF(OR(LEN(A1953)&lt;&gt;7,MID(A1953,5,1)&lt;&gt;"-",ISERROR(--LEFT(A1953,4)),ISERROR(--RIGHT(A1953,2))),"ERROR: PERIODO debe ser AAAA-MM",IF(B1953="","ERROR: falta CODIGO CECO",IF(G1953="CECO NO EXISTE","ERROR: CECO no existe en el catálogo",IF(C1953="","ERROR: falta CUENTA",IF(ISERROR(--C1953),"ERROR: CUENTA debe tener solo dígitos",IF(ISERROR(FIND(LEFT(C1953,1),"567")),"ERROR: CUENTA fuera de las clases de costo",IF(NOT(ISNUMBER(E1953)),"ERROR: VALOR debe ser numérico",IF(E1953=0,"AVISO: valor cero (no se carga)",IF(J1953&lt;&gt;"ACTIVO","NO SE CARGA: CECO en estado "&amp;J1953,"OK"))))))))))</f>
        <v/>
      </c>
    </row>
    <row r="1954">
      <c r="A1954" s="5" t="n"/>
      <c r="B1954" s="6" t="n"/>
      <c r="C1954" s="5" t="n"/>
      <c r="D1954" s="6" t="n"/>
      <c r="E1954" s="7" t="n"/>
      <c r="F1954" s="6" t="n"/>
      <c r="G1954" s="8">
        <f>IF(B1954="","",IFERROR(VLOOKUP(--B1954,'CATALOGO CECO'!$A$2:$H$550,2,FALSE),"CECO NO EXISTE"))</f>
        <v/>
      </c>
      <c r="H1954" s="8">
        <f>IF(B1954="","",IFERROR(VLOOKUP(--B1954,'CATALOGO CECO'!$A$2:$H$550,3,FALSE),""))</f>
        <v/>
      </c>
      <c r="I1954" s="8">
        <f>IF(B1954="","",IFERROR(VLOOKUP(--B1954,'CATALOGO CECO'!$A$2:$H$550,5,FALSE),""))</f>
        <v/>
      </c>
      <c r="J1954" s="8">
        <f>IF(B1954="","",IFERROR(VLOOKUP(--B1954,'CATALOGO CECO'!$A$2:$H$550,8,FALSE),""))</f>
        <v/>
      </c>
      <c r="K1954" s="8">
        <f>IF(COUNTA(A1954:F1954)=0,"",IF(OR(LEN(A1954)&lt;&gt;7,MID(A1954,5,1)&lt;&gt;"-",ISERROR(--LEFT(A1954,4)),ISERROR(--RIGHT(A1954,2))),"ERROR: PERIODO debe ser AAAA-MM",IF(B1954="","ERROR: falta CODIGO CECO",IF(G1954="CECO NO EXISTE","ERROR: CECO no existe en el catálogo",IF(C1954="","ERROR: falta CUENTA",IF(ISERROR(--C1954),"ERROR: CUENTA debe tener solo dígitos",IF(ISERROR(FIND(LEFT(C1954,1),"567")),"ERROR: CUENTA fuera de las clases de costo",IF(NOT(ISNUMBER(E1954)),"ERROR: VALOR debe ser numérico",IF(E1954=0,"AVISO: valor cero (no se carga)",IF(J1954&lt;&gt;"ACTIVO","NO SE CARGA: CECO en estado "&amp;J1954,"OK"))))))))))</f>
        <v/>
      </c>
    </row>
    <row r="1955">
      <c r="A1955" s="5" t="n"/>
      <c r="B1955" s="6" t="n"/>
      <c r="C1955" s="5" t="n"/>
      <c r="D1955" s="6" t="n"/>
      <c r="E1955" s="7" t="n"/>
      <c r="F1955" s="6" t="n"/>
      <c r="G1955" s="8">
        <f>IF(B1955="","",IFERROR(VLOOKUP(--B1955,'CATALOGO CECO'!$A$2:$H$550,2,FALSE),"CECO NO EXISTE"))</f>
        <v/>
      </c>
      <c r="H1955" s="8">
        <f>IF(B1955="","",IFERROR(VLOOKUP(--B1955,'CATALOGO CECO'!$A$2:$H$550,3,FALSE),""))</f>
        <v/>
      </c>
      <c r="I1955" s="8">
        <f>IF(B1955="","",IFERROR(VLOOKUP(--B1955,'CATALOGO CECO'!$A$2:$H$550,5,FALSE),""))</f>
        <v/>
      </c>
      <c r="J1955" s="8">
        <f>IF(B1955="","",IFERROR(VLOOKUP(--B1955,'CATALOGO CECO'!$A$2:$H$550,8,FALSE),""))</f>
        <v/>
      </c>
      <c r="K1955" s="8">
        <f>IF(COUNTA(A1955:F1955)=0,"",IF(OR(LEN(A1955)&lt;&gt;7,MID(A1955,5,1)&lt;&gt;"-",ISERROR(--LEFT(A1955,4)),ISERROR(--RIGHT(A1955,2))),"ERROR: PERIODO debe ser AAAA-MM",IF(B1955="","ERROR: falta CODIGO CECO",IF(G1955="CECO NO EXISTE","ERROR: CECO no existe en el catálogo",IF(C1955="","ERROR: falta CUENTA",IF(ISERROR(--C1955),"ERROR: CUENTA debe tener solo dígitos",IF(ISERROR(FIND(LEFT(C1955,1),"567")),"ERROR: CUENTA fuera de las clases de costo",IF(NOT(ISNUMBER(E1955)),"ERROR: VALOR debe ser numérico",IF(E1955=0,"AVISO: valor cero (no se carga)",IF(J1955&lt;&gt;"ACTIVO","NO SE CARGA: CECO en estado "&amp;J1955,"OK"))))))))))</f>
        <v/>
      </c>
    </row>
    <row r="1956">
      <c r="A1956" s="5" t="n"/>
      <c r="B1956" s="6" t="n"/>
      <c r="C1956" s="5" t="n"/>
      <c r="D1956" s="6" t="n"/>
      <c r="E1956" s="7" t="n"/>
      <c r="F1956" s="6" t="n"/>
      <c r="G1956" s="8">
        <f>IF(B1956="","",IFERROR(VLOOKUP(--B1956,'CATALOGO CECO'!$A$2:$H$550,2,FALSE),"CECO NO EXISTE"))</f>
        <v/>
      </c>
      <c r="H1956" s="8">
        <f>IF(B1956="","",IFERROR(VLOOKUP(--B1956,'CATALOGO CECO'!$A$2:$H$550,3,FALSE),""))</f>
        <v/>
      </c>
      <c r="I1956" s="8">
        <f>IF(B1956="","",IFERROR(VLOOKUP(--B1956,'CATALOGO CECO'!$A$2:$H$550,5,FALSE),""))</f>
        <v/>
      </c>
      <c r="J1956" s="8">
        <f>IF(B1956="","",IFERROR(VLOOKUP(--B1956,'CATALOGO CECO'!$A$2:$H$550,8,FALSE),""))</f>
        <v/>
      </c>
      <c r="K1956" s="8">
        <f>IF(COUNTA(A1956:F1956)=0,"",IF(OR(LEN(A1956)&lt;&gt;7,MID(A1956,5,1)&lt;&gt;"-",ISERROR(--LEFT(A1956,4)),ISERROR(--RIGHT(A1956,2))),"ERROR: PERIODO debe ser AAAA-MM",IF(B1956="","ERROR: falta CODIGO CECO",IF(G1956="CECO NO EXISTE","ERROR: CECO no existe en el catálogo",IF(C1956="","ERROR: falta CUENTA",IF(ISERROR(--C1956),"ERROR: CUENTA debe tener solo dígitos",IF(ISERROR(FIND(LEFT(C1956,1),"567")),"ERROR: CUENTA fuera de las clases de costo",IF(NOT(ISNUMBER(E1956)),"ERROR: VALOR debe ser numérico",IF(E1956=0,"AVISO: valor cero (no se carga)",IF(J1956&lt;&gt;"ACTIVO","NO SE CARGA: CECO en estado "&amp;J1956,"OK"))))))))))</f>
        <v/>
      </c>
    </row>
    <row r="1957">
      <c r="A1957" s="5" t="n"/>
      <c r="B1957" s="6" t="n"/>
      <c r="C1957" s="5" t="n"/>
      <c r="D1957" s="6" t="n"/>
      <c r="E1957" s="7" t="n"/>
      <c r="F1957" s="6" t="n"/>
      <c r="G1957" s="8">
        <f>IF(B1957="","",IFERROR(VLOOKUP(--B1957,'CATALOGO CECO'!$A$2:$H$550,2,FALSE),"CECO NO EXISTE"))</f>
        <v/>
      </c>
      <c r="H1957" s="8">
        <f>IF(B1957="","",IFERROR(VLOOKUP(--B1957,'CATALOGO CECO'!$A$2:$H$550,3,FALSE),""))</f>
        <v/>
      </c>
      <c r="I1957" s="8">
        <f>IF(B1957="","",IFERROR(VLOOKUP(--B1957,'CATALOGO CECO'!$A$2:$H$550,5,FALSE),""))</f>
        <v/>
      </c>
      <c r="J1957" s="8">
        <f>IF(B1957="","",IFERROR(VLOOKUP(--B1957,'CATALOGO CECO'!$A$2:$H$550,8,FALSE),""))</f>
        <v/>
      </c>
      <c r="K1957" s="8">
        <f>IF(COUNTA(A1957:F1957)=0,"",IF(OR(LEN(A1957)&lt;&gt;7,MID(A1957,5,1)&lt;&gt;"-",ISERROR(--LEFT(A1957,4)),ISERROR(--RIGHT(A1957,2))),"ERROR: PERIODO debe ser AAAA-MM",IF(B1957="","ERROR: falta CODIGO CECO",IF(G1957="CECO NO EXISTE","ERROR: CECO no existe en el catálogo",IF(C1957="","ERROR: falta CUENTA",IF(ISERROR(--C1957),"ERROR: CUENTA debe tener solo dígitos",IF(ISERROR(FIND(LEFT(C1957,1),"567")),"ERROR: CUENTA fuera de las clases de costo",IF(NOT(ISNUMBER(E1957)),"ERROR: VALOR debe ser numérico",IF(E1957=0,"AVISO: valor cero (no se carga)",IF(J1957&lt;&gt;"ACTIVO","NO SE CARGA: CECO en estado "&amp;J1957,"OK"))))))))))</f>
        <v/>
      </c>
    </row>
    <row r="1958">
      <c r="A1958" s="5" t="n"/>
      <c r="B1958" s="6" t="n"/>
      <c r="C1958" s="5" t="n"/>
      <c r="D1958" s="6" t="n"/>
      <c r="E1958" s="7" t="n"/>
      <c r="F1958" s="6" t="n"/>
      <c r="G1958" s="8">
        <f>IF(B1958="","",IFERROR(VLOOKUP(--B1958,'CATALOGO CECO'!$A$2:$H$550,2,FALSE),"CECO NO EXISTE"))</f>
        <v/>
      </c>
      <c r="H1958" s="8">
        <f>IF(B1958="","",IFERROR(VLOOKUP(--B1958,'CATALOGO CECO'!$A$2:$H$550,3,FALSE),""))</f>
        <v/>
      </c>
      <c r="I1958" s="8">
        <f>IF(B1958="","",IFERROR(VLOOKUP(--B1958,'CATALOGO CECO'!$A$2:$H$550,5,FALSE),""))</f>
        <v/>
      </c>
      <c r="J1958" s="8">
        <f>IF(B1958="","",IFERROR(VLOOKUP(--B1958,'CATALOGO CECO'!$A$2:$H$550,8,FALSE),""))</f>
        <v/>
      </c>
      <c r="K1958" s="8">
        <f>IF(COUNTA(A1958:F1958)=0,"",IF(OR(LEN(A1958)&lt;&gt;7,MID(A1958,5,1)&lt;&gt;"-",ISERROR(--LEFT(A1958,4)),ISERROR(--RIGHT(A1958,2))),"ERROR: PERIODO debe ser AAAA-MM",IF(B1958="","ERROR: falta CODIGO CECO",IF(G1958="CECO NO EXISTE","ERROR: CECO no existe en el catálogo",IF(C1958="","ERROR: falta CUENTA",IF(ISERROR(--C1958),"ERROR: CUENTA debe tener solo dígitos",IF(ISERROR(FIND(LEFT(C1958,1),"567")),"ERROR: CUENTA fuera de las clases de costo",IF(NOT(ISNUMBER(E1958)),"ERROR: VALOR debe ser numérico",IF(E1958=0,"AVISO: valor cero (no se carga)",IF(J1958&lt;&gt;"ACTIVO","NO SE CARGA: CECO en estado "&amp;J1958,"OK"))))))))))</f>
        <v/>
      </c>
    </row>
    <row r="1959">
      <c r="A1959" s="5" t="n"/>
      <c r="B1959" s="6" t="n"/>
      <c r="C1959" s="5" t="n"/>
      <c r="D1959" s="6" t="n"/>
      <c r="E1959" s="7" t="n"/>
      <c r="F1959" s="6" t="n"/>
      <c r="G1959" s="8">
        <f>IF(B1959="","",IFERROR(VLOOKUP(--B1959,'CATALOGO CECO'!$A$2:$H$550,2,FALSE),"CECO NO EXISTE"))</f>
        <v/>
      </c>
      <c r="H1959" s="8">
        <f>IF(B1959="","",IFERROR(VLOOKUP(--B1959,'CATALOGO CECO'!$A$2:$H$550,3,FALSE),""))</f>
        <v/>
      </c>
      <c r="I1959" s="8">
        <f>IF(B1959="","",IFERROR(VLOOKUP(--B1959,'CATALOGO CECO'!$A$2:$H$550,5,FALSE),""))</f>
        <v/>
      </c>
      <c r="J1959" s="8">
        <f>IF(B1959="","",IFERROR(VLOOKUP(--B1959,'CATALOGO CECO'!$A$2:$H$550,8,FALSE),""))</f>
        <v/>
      </c>
      <c r="K1959" s="8">
        <f>IF(COUNTA(A1959:F1959)=0,"",IF(OR(LEN(A1959)&lt;&gt;7,MID(A1959,5,1)&lt;&gt;"-",ISERROR(--LEFT(A1959,4)),ISERROR(--RIGHT(A1959,2))),"ERROR: PERIODO debe ser AAAA-MM",IF(B1959="","ERROR: falta CODIGO CECO",IF(G1959="CECO NO EXISTE","ERROR: CECO no existe en el catálogo",IF(C1959="","ERROR: falta CUENTA",IF(ISERROR(--C1959),"ERROR: CUENTA debe tener solo dígitos",IF(ISERROR(FIND(LEFT(C1959,1),"567")),"ERROR: CUENTA fuera de las clases de costo",IF(NOT(ISNUMBER(E1959)),"ERROR: VALOR debe ser numérico",IF(E1959=0,"AVISO: valor cero (no se carga)",IF(J1959&lt;&gt;"ACTIVO","NO SE CARGA: CECO en estado "&amp;J1959,"OK"))))))))))</f>
        <v/>
      </c>
    </row>
    <row r="1960">
      <c r="A1960" s="5" t="n"/>
      <c r="B1960" s="6" t="n"/>
      <c r="C1960" s="5" t="n"/>
      <c r="D1960" s="6" t="n"/>
      <c r="E1960" s="7" t="n"/>
      <c r="F1960" s="6" t="n"/>
      <c r="G1960" s="8">
        <f>IF(B1960="","",IFERROR(VLOOKUP(--B1960,'CATALOGO CECO'!$A$2:$H$550,2,FALSE),"CECO NO EXISTE"))</f>
        <v/>
      </c>
      <c r="H1960" s="8">
        <f>IF(B1960="","",IFERROR(VLOOKUP(--B1960,'CATALOGO CECO'!$A$2:$H$550,3,FALSE),""))</f>
        <v/>
      </c>
      <c r="I1960" s="8">
        <f>IF(B1960="","",IFERROR(VLOOKUP(--B1960,'CATALOGO CECO'!$A$2:$H$550,5,FALSE),""))</f>
        <v/>
      </c>
      <c r="J1960" s="8">
        <f>IF(B1960="","",IFERROR(VLOOKUP(--B1960,'CATALOGO CECO'!$A$2:$H$550,8,FALSE),""))</f>
        <v/>
      </c>
      <c r="K1960" s="8">
        <f>IF(COUNTA(A1960:F1960)=0,"",IF(OR(LEN(A1960)&lt;&gt;7,MID(A1960,5,1)&lt;&gt;"-",ISERROR(--LEFT(A1960,4)),ISERROR(--RIGHT(A1960,2))),"ERROR: PERIODO debe ser AAAA-MM",IF(B1960="","ERROR: falta CODIGO CECO",IF(G1960="CECO NO EXISTE","ERROR: CECO no existe en el catálogo",IF(C1960="","ERROR: falta CUENTA",IF(ISERROR(--C1960),"ERROR: CUENTA debe tener solo dígitos",IF(ISERROR(FIND(LEFT(C1960,1),"567")),"ERROR: CUENTA fuera de las clases de costo",IF(NOT(ISNUMBER(E1960)),"ERROR: VALOR debe ser numérico",IF(E1960=0,"AVISO: valor cero (no se carga)",IF(J1960&lt;&gt;"ACTIVO","NO SE CARGA: CECO en estado "&amp;J1960,"OK"))))))))))</f>
        <v/>
      </c>
    </row>
    <row r="1961">
      <c r="A1961" s="5" t="n"/>
      <c r="B1961" s="6" t="n"/>
      <c r="C1961" s="5" t="n"/>
      <c r="D1961" s="6" t="n"/>
      <c r="E1961" s="7" t="n"/>
      <c r="F1961" s="6" t="n"/>
      <c r="G1961" s="8">
        <f>IF(B1961="","",IFERROR(VLOOKUP(--B1961,'CATALOGO CECO'!$A$2:$H$550,2,FALSE),"CECO NO EXISTE"))</f>
        <v/>
      </c>
      <c r="H1961" s="8">
        <f>IF(B1961="","",IFERROR(VLOOKUP(--B1961,'CATALOGO CECO'!$A$2:$H$550,3,FALSE),""))</f>
        <v/>
      </c>
      <c r="I1961" s="8">
        <f>IF(B1961="","",IFERROR(VLOOKUP(--B1961,'CATALOGO CECO'!$A$2:$H$550,5,FALSE),""))</f>
        <v/>
      </c>
      <c r="J1961" s="8">
        <f>IF(B1961="","",IFERROR(VLOOKUP(--B1961,'CATALOGO CECO'!$A$2:$H$550,8,FALSE),""))</f>
        <v/>
      </c>
      <c r="K1961" s="8">
        <f>IF(COUNTA(A1961:F1961)=0,"",IF(OR(LEN(A1961)&lt;&gt;7,MID(A1961,5,1)&lt;&gt;"-",ISERROR(--LEFT(A1961,4)),ISERROR(--RIGHT(A1961,2))),"ERROR: PERIODO debe ser AAAA-MM",IF(B1961="","ERROR: falta CODIGO CECO",IF(G1961="CECO NO EXISTE","ERROR: CECO no existe en el catálogo",IF(C1961="","ERROR: falta CUENTA",IF(ISERROR(--C1961),"ERROR: CUENTA debe tener solo dígitos",IF(ISERROR(FIND(LEFT(C1961,1),"567")),"ERROR: CUENTA fuera de las clases de costo",IF(NOT(ISNUMBER(E1961)),"ERROR: VALOR debe ser numérico",IF(E1961=0,"AVISO: valor cero (no se carga)",IF(J1961&lt;&gt;"ACTIVO","NO SE CARGA: CECO en estado "&amp;J1961,"OK"))))))))))</f>
        <v/>
      </c>
    </row>
    <row r="1962">
      <c r="A1962" s="5" t="n"/>
      <c r="B1962" s="6" t="n"/>
      <c r="C1962" s="5" t="n"/>
      <c r="D1962" s="6" t="n"/>
      <c r="E1962" s="7" t="n"/>
      <c r="F1962" s="6" t="n"/>
      <c r="G1962" s="8">
        <f>IF(B1962="","",IFERROR(VLOOKUP(--B1962,'CATALOGO CECO'!$A$2:$H$550,2,FALSE),"CECO NO EXISTE"))</f>
        <v/>
      </c>
      <c r="H1962" s="8">
        <f>IF(B1962="","",IFERROR(VLOOKUP(--B1962,'CATALOGO CECO'!$A$2:$H$550,3,FALSE),""))</f>
        <v/>
      </c>
      <c r="I1962" s="8">
        <f>IF(B1962="","",IFERROR(VLOOKUP(--B1962,'CATALOGO CECO'!$A$2:$H$550,5,FALSE),""))</f>
        <v/>
      </c>
      <c r="J1962" s="8">
        <f>IF(B1962="","",IFERROR(VLOOKUP(--B1962,'CATALOGO CECO'!$A$2:$H$550,8,FALSE),""))</f>
        <v/>
      </c>
      <c r="K1962" s="8">
        <f>IF(COUNTA(A1962:F1962)=0,"",IF(OR(LEN(A1962)&lt;&gt;7,MID(A1962,5,1)&lt;&gt;"-",ISERROR(--LEFT(A1962,4)),ISERROR(--RIGHT(A1962,2))),"ERROR: PERIODO debe ser AAAA-MM",IF(B1962="","ERROR: falta CODIGO CECO",IF(G1962="CECO NO EXISTE","ERROR: CECO no existe en el catálogo",IF(C1962="","ERROR: falta CUENTA",IF(ISERROR(--C1962),"ERROR: CUENTA debe tener solo dígitos",IF(ISERROR(FIND(LEFT(C1962,1),"567")),"ERROR: CUENTA fuera de las clases de costo",IF(NOT(ISNUMBER(E1962)),"ERROR: VALOR debe ser numérico",IF(E1962=0,"AVISO: valor cero (no se carga)",IF(J1962&lt;&gt;"ACTIVO","NO SE CARGA: CECO en estado "&amp;J1962,"OK"))))))))))</f>
        <v/>
      </c>
    </row>
    <row r="1963">
      <c r="A1963" s="5" t="n"/>
      <c r="B1963" s="6" t="n"/>
      <c r="C1963" s="5" t="n"/>
      <c r="D1963" s="6" t="n"/>
      <c r="E1963" s="7" t="n"/>
      <c r="F1963" s="6" t="n"/>
      <c r="G1963" s="8">
        <f>IF(B1963="","",IFERROR(VLOOKUP(--B1963,'CATALOGO CECO'!$A$2:$H$550,2,FALSE),"CECO NO EXISTE"))</f>
        <v/>
      </c>
      <c r="H1963" s="8">
        <f>IF(B1963="","",IFERROR(VLOOKUP(--B1963,'CATALOGO CECO'!$A$2:$H$550,3,FALSE),""))</f>
        <v/>
      </c>
      <c r="I1963" s="8">
        <f>IF(B1963="","",IFERROR(VLOOKUP(--B1963,'CATALOGO CECO'!$A$2:$H$550,5,FALSE),""))</f>
        <v/>
      </c>
      <c r="J1963" s="8">
        <f>IF(B1963="","",IFERROR(VLOOKUP(--B1963,'CATALOGO CECO'!$A$2:$H$550,8,FALSE),""))</f>
        <v/>
      </c>
      <c r="K1963" s="8">
        <f>IF(COUNTA(A1963:F1963)=0,"",IF(OR(LEN(A1963)&lt;&gt;7,MID(A1963,5,1)&lt;&gt;"-",ISERROR(--LEFT(A1963,4)),ISERROR(--RIGHT(A1963,2))),"ERROR: PERIODO debe ser AAAA-MM",IF(B1963="","ERROR: falta CODIGO CECO",IF(G1963="CECO NO EXISTE","ERROR: CECO no existe en el catálogo",IF(C1963="","ERROR: falta CUENTA",IF(ISERROR(--C1963),"ERROR: CUENTA debe tener solo dígitos",IF(ISERROR(FIND(LEFT(C1963,1),"567")),"ERROR: CUENTA fuera de las clases de costo",IF(NOT(ISNUMBER(E1963)),"ERROR: VALOR debe ser numérico",IF(E1963=0,"AVISO: valor cero (no se carga)",IF(J1963&lt;&gt;"ACTIVO","NO SE CARGA: CECO en estado "&amp;J1963,"OK"))))))))))</f>
        <v/>
      </c>
    </row>
    <row r="1964">
      <c r="A1964" s="5" t="n"/>
      <c r="B1964" s="6" t="n"/>
      <c r="C1964" s="5" t="n"/>
      <c r="D1964" s="6" t="n"/>
      <c r="E1964" s="7" t="n"/>
      <c r="F1964" s="6" t="n"/>
      <c r="G1964" s="8">
        <f>IF(B1964="","",IFERROR(VLOOKUP(--B1964,'CATALOGO CECO'!$A$2:$H$550,2,FALSE),"CECO NO EXISTE"))</f>
        <v/>
      </c>
      <c r="H1964" s="8">
        <f>IF(B1964="","",IFERROR(VLOOKUP(--B1964,'CATALOGO CECO'!$A$2:$H$550,3,FALSE),""))</f>
        <v/>
      </c>
      <c r="I1964" s="8">
        <f>IF(B1964="","",IFERROR(VLOOKUP(--B1964,'CATALOGO CECO'!$A$2:$H$550,5,FALSE),""))</f>
        <v/>
      </c>
      <c r="J1964" s="8">
        <f>IF(B1964="","",IFERROR(VLOOKUP(--B1964,'CATALOGO CECO'!$A$2:$H$550,8,FALSE),""))</f>
        <v/>
      </c>
      <c r="K1964" s="8">
        <f>IF(COUNTA(A1964:F1964)=0,"",IF(OR(LEN(A1964)&lt;&gt;7,MID(A1964,5,1)&lt;&gt;"-",ISERROR(--LEFT(A1964,4)),ISERROR(--RIGHT(A1964,2))),"ERROR: PERIODO debe ser AAAA-MM",IF(B1964="","ERROR: falta CODIGO CECO",IF(G1964="CECO NO EXISTE","ERROR: CECO no existe en el catálogo",IF(C1964="","ERROR: falta CUENTA",IF(ISERROR(--C1964),"ERROR: CUENTA debe tener solo dígitos",IF(ISERROR(FIND(LEFT(C1964,1),"567")),"ERROR: CUENTA fuera de las clases de costo",IF(NOT(ISNUMBER(E1964)),"ERROR: VALOR debe ser numérico",IF(E1964=0,"AVISO: valor cero (no se carga)",IF(J1964&lt;&gt;"ACTIVO","NO SE CARGA: CECO en estado "&amp;J1964,"OK"))))))))))</f>
        <v/>
      </c>
    </row>
    <row r="1965">
      <c r="A1965" s="5" t="n"/>
      <c r="B1965" s="6" t="n"/>
      <c r="C1965" s="5" t="n"/>
      <c r="D1965" s="6" t="n"/>
      <c r="E1965" s="7" t="n"/>
      <c r="F1965" s="6" t="n"/>
      <c r="G1965" s="8">
        <f>IF(B1965="","",IFERROR(VLOOKUP(--B1965,'CATALOGO CECO'!$A$2:$H$550,2,FALSE),"CECO NO EXISTE"))</f>
        <v/>
      </c>
      <c r="H1965" s="8">
        <f>IF(B1965="","",IFERROR(VLOOKUP(--B1965,'CATALOGO CECO'!$A$2:$H$550,3,FALSE),""))</f>
        <v/>
      </c>
      <c r="I1965" s="8">
        <f>IF(B1965="","",IFERROR(VLOOKUP(--B1965,'CATALOGO CECO'!$A$2:$H$550,5,FALSE),""))</f>
        <v/>
      </c>
      <c r="J1965" s="8">
        <f>IF(B1965="","",IFERROR(VLOOKUP(--B1965,'CATALOGO CECO'!$A$2:$H$550,8,FALSE),""))</f>
        <v/>
      </c>
      <c r="K1965" s="8">
        <f>IF(COUNTA(A1965:F1965)=0,"",IF(OR(LEN(A1965)&lt;&gt;7,MID(A1965,5,1)&lt;&gt;"-",ISERROR(--LEFT(A1965,4)),ISERROR(--RIGHT(A1965,2))),"ERROR: PERIODO debe ser AAAA-MM",IF(B1965="","ERROR: falta CODIGO CECO",IF(G1965="CECO NO EXISTE","ERROR: CECO no existe en el catálogo",IF(C1965="","ERROR: falta CUENTA",IF(ISERROR(--C1965),"ERROR: CUENTA debe tener solo dígitos",IF(ISERROR(FIND(LEFT(C1965,1),"567")),"ERROR: CUENTA fuera de las clases de costo",IF(NOT(ISNUMBER(E1965)),"ERROR: VALOR debe ser numérico",IF(E1965=0,"AVISO: valor cero (no se carga)",IF(J1965&lt;&gt;"ACTIVO","NO SE CARGA: CECO en estado "&amp;J1965,"OK"))))))))))</f>
        <v/>
      </c>
    </row>
    <row r="1966">
      <c r="A1966" s="5" t="n"/>
      <c r="B1966" s="6" t="n"/>
      <c r="C1966" s="5" t="n"/>
      <c r="D1966" s="6" t="n"/>
      <c r="E1966" s="7" t="n"/>
      <c r="F1966" s="6" t="n"/>
      <c r="G1966" s="8">
        <f>IF(B1966="","",IFERROR(VLOOKUP(--B1966,'CATALOGO CECO'!$A$2:$H$550,2,FALSE),"CECO NO EXISTE"))</f>
        <v/>
      </c>
      <c r="H1966" s="8">
        <f>IF(B1966="","",IFERROR(VLOOKUP(--B1966,'CATALOGO CECO'!$A$2:$H$550,3,FALSE),""))</f>
        <v/>
      </c>
      <c r="I1966" s="8">
        <f>IF(B1966="","",IFERROR(VLOOKUP(--B1966,'CATALOGO CECO'!$A$2:$H$550,5,FALSE),""))</f>
        <v/>
      </c>
      <c r="J1966" s="8">
        <f>IF(B1966="","",IFERROR(VLOOKUP(--B1966,'CATALOGO CECO'!$A$2:$H$550,8,FALSE),""))</f>
        <v/>
      </c>
      <c r="K1966" s="8">
        <f>IF(COUNTA(A1966:F1966)=0,"",IF(OR(LEN(A1966)&lt;&gt;7,MID(A1966,5,1)&lt;&gt;"-",ISERROR(--LEFT(A1966,4)),ISERROR(--RIGHT(A1966,2))),"ERROR: PERIODO debe ser AAAA-MM",IF(B1966="","ERROR: falta CODIGO CECO",IF(G1966="CECO NO EXISTE","ERROR: CECO no existe en el catálogo",IF(C1966="","ERROR: falta CUENTA",IF(ISERROR(--C1966),"ERROR: CUENTA debe tener solo dígitos",IF(ISERROR(FIND(LEFT(C1966,1),"567")),"ERROR: CUENTA fuera de las clases de costo",IF(NOT(ISNUMBER(E1966)),"ERROR: VALOR debe ser numérico",IF(E1966=0,"AVISO: valor cero (no se carga)",IF(J1966&lt;&gt;"ACTIVO","NO SE CARGA: CECO en estado "&amp;J1966,"OK"))))))))))</f>
        <v/>
      </c>
    </row>
    <row r="1967">
      <c r="A1967" s="5" t="n"/>
      <c r="B1967" s="6" t="n"/>
      <c r="C1967" s="5" t="n"/>
      <c r="D1967" s="6" t="n"/>
      <c r="E1967" s="7" t="n"/>
      <c r="F1967" s="6" t="n"/>
      <c r="G1967" s="8">
        <f>IF(B1967="","",IFERROR(VLOOKUP(--B1967,'CATALOGO CECO'!$A$2:$H$550,2,FALSE),"CECO NO EXISTE"))</f>
        <v/>
      </c>
      <c r="H1967" s="8">
        <f>IF(B1967="","",IFERROR(VLOOKUP(--B1967,'CATALOGO CECO'!$A$2:$H$550,3,FALSE),""))</f>
        <v/>
      </c>
      <c r="I1967" s="8">
        <f>IF(B1967="","",IFERROR(VLOOKUP(--B1967,'CATALOGO CECO'!$A$2:$H$550,5,FALSE),""))</f>
        <v/>
      </c>
      <c r="J1967" s="8">
        <f>IF(B1967="","",IFERROR(VLOOKUP(--B1967,'CATALOGO CECO'!$A$2:$H$550,8,FALSE),""))</f>
        <v/>
      </c>
      <c r="K1967" s="8">
        <f>IF(COUNTA(A1967:F1967)=0,"",IF(OR(LEN(A1967)&lt;&gt;7,MID(A1967,5,1)&lt;&gt;"-",ISERROR(--LEFT(A1967,4)),ISERROR(--RIGHT(A1967,2))),"ERROR: PERIODO debe ser AAAA-MM",IF(B1967="","ERROR: falta CODIGO CECO",IF(G1967="CECO NO EXISTE","ERROR: CECO no existe en el catálogo",IF(C1967="","ERROR: falta CUENTA",IF(ISERROR(--C1967),"ERROR: CUENTA debe tener solo dígitos",IF(ISERROR(FIND(LEFT(C1967,1),"567")),"ERROR: CUENTA fuera de las clases de costo",IF(NOT(ISNUMBER(E1967)),"ERROR: VALOR debe ser numérico",IF(E1967=0,"AVISO: valor cero (no se carga)",IF(J1967&lt;&gt;"ACTIVO","NO SE CARGA: CECO en estado "&amp;J1967,"OK"))))))))))</f>
        <v/>
      </c>
    </row>
    <row r="1968">
      <c r="A1968" s="5" t="n"/>
      <c r="B1968" s="6" t="n"/>
      <c r="C1968" s="5" t="n"/>
      <c r="D1968" s="6" t="n"/>
      <c r="E1968" s="7" t="n"/>
      <c r="F1968" s="6" t="n"/>
      <c r="G1968" s="8">
        <f>IF(B1968="","",IFERROR(VLOOKUP(--B1968,'CATALOGO CECO'!$A$2:$H$550,2,FALSE),"CECO NO EXISTE"))</f>
        <v/>
      </c>
      <c r="H1968" s="8">
        <f>IF(B1968="","",IFERROR(VLOOKUP(--B1968,'CATALOGO CECO'!$A$2:$H$550,3,FALSE),""))</f>
        <v/>
      </c>
      <c r="I1968" s="8">
        <f>IF(B1968="","",IFERROR(VLOOKUP(--B1968,'CATALOGO CECO'!$A$2:$H$550,5,FALSE),""))</f>
        <v/>
      </c>
      <c r="J1968" s="8">
        <f>IF(B1968="","",IFERROR(VLOOKUP(--B1968,'CATALOGO CECO'!$A$2:$H$550,8,FALSE),""))</f>
        <v/>
      </c>
      <c r="K1968" s="8">
        <f>IF(COUNTA(A1968:F1968)=0,"",IF(OR(LEN(A1968)&lt;&gt;7,MID(A1968,5,1)&lt;&gt;"-",ISERROR(--LEFT(A1968,4)),ISERROR(--RIGHT(A1968,2))),"ERROR: PERIODO debe ser AAAA-MM",IF(B1968="","ERROR: falta CODIGO CECO",IF(G1968="CECO NO EXISTE","ERROR: CECO no existe en el catálogo",IF(C1968="","ERROR: falta CUENTA",IF(ISERROR(--C1968),"ERROR: CUENTA debe tener solo dígitos",IF(ISERROR(FIND(LEFT(C1968,1),"567")),"ERROR: CUENTA fuera de las clases de costo",IF(NOT(ISNUMBER(E1968)),"ERROR: VALOR debe ser numérico",IF(E1968=0,"AVISO: valor cero (no se carga)",IF(J1968&lt;&gt;"ACTIVO","NO SE CARGA: CECO en estado "&amp;J1968,"OK"))))))))))</f>
        <v/>
      </c>
    </row>
    <row r="1969">
      <c r="A1969" s="5" t="n"/>
      <c r="B1969" s="6" t="n"/>
      <c r="C1969" s="5" t="n"/>
      <c r="D1969" s="6" t="n"/>
      <c r="E1969" s="7" t="n"/>
      <c r="F1969" s="6" t="n"/>
      <c r="G1969" s="8">
        <f>IF(B1969="","",IFERROR(VLOOKUP(--B1969,'CATALOGO CECO'!$A$2:$H$550,2,FALSE),"CECO NO EXISTE"))</f>
        <v/>
      </c>
      <c r="H1969" s="8">
        <f>IF(B1969="","",IFERROR(VLOOKUP(--B1969,'CATALOGO CECO'!$A$2:$H$550,3,FALSE),""))</f>
        <v/>
      </c>
      <c r="I1969" s="8">
        <f>IF(B1969="","",IFERROR(VLOOKUP(--B1969,'CATALOGO CECO'!$A$2:$H$550,5,FALSE),""))</f>
        <v/>
      </c>
      <c r="J1969" s="8">
        <f>IF(B1969="","",IFERROR(VLOOKUP(--B1969,'CATALOGO CECO'!$A$2:$H$550,8,FALSE),""))</f>
        <v/>
      </c>
      <c r="K1969" s="8">
        <f>IF(COUNTA(A1969:F1969)=0,"",IF(OR(LEN(A1969)&lt;&gt;7,MID(A1969,5,1)&lt;&gt;"-",ISERROR(--LEFT(A1969,4)),ISERROR(--RIGHT(A1969,2))),"ERROR: PERIODO debe ser AAAA-MM",IF(B1969="","ERROR: falta CODIGO CECO",IF(G1969="CECO NO EXISTE","ERROR: CECO no existe en el catálogo",IF(C1969="","ERROR: falta CUENTA",IF(ISERROR(--C1969),"ERROR: CUENTA debe tener solo dígitos",IF(ISERROR(FIND(LEFT(C1969,1),"567")),"ERROR: CUENTA fuera de las clases de costo",IF(NOT(ISNUMBER(E1969)),"ERROR: VALOR debe ser numérico",IF(E1969=0,"AVISO: valor cero (no se carga)",IF(J1969&lt;&gt;"ACTIVO","NO SE CARGA: CECO en estado "&amp;J1969,"OK"))))))))))</f>
        <v/>
      </c>
    </row>
    <row r="1970">
      <c r="A1970" s="5" t="n"/>
      <c r="B1970" s="6" t="n"/>
      <c r="C1970" s="5" t="n"/>
      <c r="D1970" s="6" t="n"/>
      <c r="E1970" s="7" t="n"/>
      <c r="F1970" s="6" t="n"/>
      <c r="G1970" s="8">
        <f>IF(B1970="","",IFERROR(VLOOKUP(--B1970,'CATALOGO CECO'!$A$2:$H$550,2,FALSE),"CECO NO EXISTE"))</f>
        <v/>
      </c>
      <c r="H1970" s="8">
        <f>IF(B1970="","",IFERROR(VLOOKUP(--B1970,'CATALOGO CECO'!$A$2:$H$550,3,FALSE),""))</f>
        <v/>
      </c>
      <c r="I1970" s="8">
        <f>IF(B1970="","",IFERROR(VLOOKUP(--B1970,'CATALOGO CECO'!$A$2:$H$550,5,FALSE),""))</f>
        <v/>
      </c>
      <c r="J1970" s="8">
        <f>IF(B1970="","",IFERROR(VLOOKUP(--B1970,'CATALOGO CECO'!$A$2:$H$550,8,FALSE),""))</f>
        <v/>
      </c>
      <c r="K1970" s="8">
        <f>IF(COUNTA(A1970:F1970)=0,"",IF(OR(LEN(A1970)&lt;&gt;7,MID(A1970,5,1)&lt;&gt;"-",ISERROR(--LEFT(A1970,4)),ISERROR(--RIGHT(A1970,2))),"ERROR: PERIODO debe ser AAAA-MM",IF(B1970="","ERROR: falta CODIGO CECO",IF(G1970="CECO NO EXISTE","ERROR: CECO no existe en el catálogo",IF(C1970="","ERROR: falta CUENTA",IF(ISERROR(--C1970),"ERROR: CUENTA debe tener solo dígitos",IF(ISERROR(FIND(LEFT(C1970,1),"567")),"ERROR: CUENTA fuera de las clases de costo",IF(NOT(ISNUMBER(E1970)),"ERROR: VALOR debe ser numérico",IF(E1970=0,"AVISO: valor cero (no se carga)",IF(J1970&lt;&gt;"ACTIVO","NO SE CARGA: CECO en estado "&amp;J1970,"OK"))))))))))</f>
        <v/>
      </c>
    </row>
    <row r="1971">
      <c r="A1971" s="5" t="n"/>
      <c r="B1971" s="6" t="n"/>
      <c r="C1971" s="5" t="n"/>
      <c r="D1971" s="6" t="n"/>
      <c r="E1971" s="7" t="n"/>
      <c r="F1971" s="6" t="n"/>
      <c r="G1971" s="8">
        <f>IF(B1971="","",IFERROR(VLOOKUP(--B1971,'CATALOGO CECO'!$A$2:$H$550,2,FALSE),"CECO NO EXISTE"))</f>
        <v/>
      </c>
      <c r="H1971" s="8">
        <f>IF(B1971="","",IFERROR(VLOOKUP(--B1971,'CATALOGO CECO'!$A$2:$H$550,3,FALSE),""))</f>
        <v/>
      </c>
      <c r="I1971" s="8">
        <f>IF(B1971="","",IFERROR(VLOOKUP(--B1971,'CATALOGO CECO'!$A$2:$H$550,5,FALSE),""))</f>
        <v/>
      </c>
      <c r="J1971" s="8">
        <f>IF(B1971="","",IFERROR(VLOOKUP(--B1971,'CATALOGO CECO'!$A$2:$H$550,8,FALSE),""))</f>
        <v/>
      </c>
      <c r="K1971" s="8">
        <f>IF(COUNTA(A1971:F1971)=0,"",IF(OR(LEN(A1971)&lt;&gt;7,MID(A1971,5,1)&lt;&gt;"-",ISERROR(--LEFT(A1971,4)),ISERROR(--RIGHT(A1971,2))),"ERROR: PERIODO debe ser AAAA-MM",IF(B1971="","ERROR: falta CODIGO CECO",IF(G1971="CECO NO EXISTE","ERROR: CECO no existe en el catálogo",IF(C1971="","ERROR: falta CUENTA",IF(ISERROR(--C1971),"ERROR: CUENTA debe tener solo dígitos",IF(ISERROR(FIND(LEFT(C1971,1),"567")),"ERROR: CUENTA fuera de las clases de costo",IF(NOT(ISNUMBER(E1971)),"ERROR: VALOR debe ser numérico",IF(E1971=0,"AVISO: valor cero (no se carga)",IF(J1971&lt;&gt;"ACTIVO","NO SE CARGA: CECO en estado "&amp;J1971,"OK"))))))))))</f>
        <v/>
      </c>
    </row>
    <row r="1972">
      <c r="A1972" s="5" t="n"/>
      <c r="B1972" s="6" t="n"/>
      <c r="C1972" s="5" t="n"/>
      <c r="D1972" s="6" t="n"/>
      <c r="E1972" s="7" t="n"/>
      <c r="F1972" s="6" t="n"/>
      <c r="G1972" s="8">
        <f>IF(B1972="","",IFERROR(VLOOKUP(--B1972,'CATALOGO CECO'!$A$2:$H$550,2,FALSE),"CECO NO EXISTE"))</f>
        <v/>
      </c>
      <c r="H1972" s="8">
        <f>IF(B1972="","",IFERROR(VLOOKUP(--B1972,'CATALOGO CECO'!$A$2:$H$550,3,FALSE),""))</f>
        <v/>
      </c>
      <c r="I1972" s="8">
        <f>IF(B1972="","",IFERROR(VLOOKUP(--B1972,'CATALOGO CECO'!$A$2:$H$550,5,FALSE),""))</f>
        <v/>
      </c>
      <c r="J1972" s="8">
        <f>IF(B1972="","",IFERROR(VLOOKUP(--B1972,'CATALOGO CECO'!$A$2:$H$550,8,FALSE),""))</f>
        <v/>
      </c>
      <c r="K1972" s="8">
        <f>IF(COUNTA(A1972:F1972)=0,"",IF(OR(LEN(A1972)&lt;&gt;7,MID(A1972,5,1)&lt;&gt;"-",ISERROR(--LEFT(A1972,4)),ISERROR(--RIGHT(A1972,2))),"ERROR: PERIODO debe ser AAAA-MM",IF(B1972="","ERROR: falta CODIGO CECO",IF(G1972="CECO NO EXISTE","ERROR: CECO no existe en el catálogo",IF(C1972="","ERROR: falta CUENTA",IF(ISERROR(--C1972),"ERROR: CUENTA debe tener solo dígitos",IF(ISERROR(FIND(LEFT(C1972,1),"567")),"ERROR: CUENTA fuera de las clases de costo",IF(NOT(ISNUMBER(E1972)),"ERROR: VALOR debe ser numérico",IF(E1972=0,"AVISO: valor cero (no se carga)",IF(J1972&lt;&gt;"ACTIVO","NO SE CARGA: CECO en estado "&amp;J1972,"OK"))))))))))</f>
        <v/>
      </c>
    </row>
    <row r="1973">
      <c r="A1973" s="5" t="n"/>
      <c r="B1973" s="6" t="n"/>
      <c r="C1973" s="5" t="n"/>
      <c r="D1973" s="6" t="n"/>
      <c r="E1973" s="7" t="n"/>
      <c r="F1973" s="6" t="n"/>
      <c r="G1973" s="8">
        <f>IF(B1973="","",IFERROR(VLOOKUP(--B1973,'CATALOGO CECO'!$A$2:$H$550,2,FALSE),"CECO NO EXISTE"))</f>
        <v/>
      </c>
      <c r="H1973" s="8">
        <f>IF(B1973="","",IFERROR(VLOOKUP(--B1973,'CATALOGO CECO'!$A$2:$H$550,3,FALSE),""))</f>
        <v/>
      </c>
      <c r="I1973" s="8">
        <f>IF(B1973="","",IFERROR(VLOOKUP(--B1973,'CATALOGO CECO'!$A$2:$H$550,5,FALSE),""))</f>
        <v/>
      </c>
      <c r="J1973" s="8">
        <f>IF(B1973="","",IFERROR(VLOOKUP(--B1973,'CATALOGO CECO'!$A$2:$H$550,8,FALSE),""))</f>
        <v/>
      </c>
      <c r="K1973" s="8">
        <f>IF(COUNTA(A1973:F1973)=0,"",IF(OR(LEN(A1973)&lt;&gt;7,MID(A1973,5,1)&lt;&gt;"-",ISERROR(--LEFT(A1973,4)),ISERROR(--RIGHT(A1973,2))),"ERROR: PERIODO debe ser AAAA-MM",IF(B1973="","ERROR: falta CODIGO CECO",IF(G1973="CECO NO EXISTE","ERROR: CECO no existe en el catálogo",IF(C1973="","ERROR: falta CUENTA",IF(ISERROR(--C1973),"ERROR: CUENTA debe tener solo dígitos",IF(ISERROR(FIND(LEFT(C1973,1),"567")),"ERROR: CUENTA fuera de las clases de costo",IF(NOT(ISNUMBER(E1973)),"ERROR: VALOR debe ser numérico",IF(E1973=0,"AVISO: valor cero (no se carga)",IF(J1973&lt;&gt;"ACTIVO","NO SE CARGA: CECO en estado "&amp;J1973,"OK"))))))))))</f>
        <v/>
      </c>
    </row>
    <row r="1974">
      <c r="A1974" s="5" t="n"/>
      <c r="B1974" s="6" t="n"/>
      <c r="C1974" s="5" t="n"/>
      <c r="D1974" s="6" t="n"/>
      <c r="E1974" s="7" t="n"/>
      <c r="F1974" s="6" t="n"/>
      <c r="G1974" s="8">
        <f>IF(B1974="","",IFERROR(VLOOKUP(--B1974,'CATALOGO CECO'!$A$2:$H$550,2,FALSE),"CECO NO EXISTE"))</f>
        <v/>
      </c>
      <c r="H1974" s="8">
        <f>IF(B1974="","",IFERROR(VLOOKUP(--B1974,'CATALOGO CECO'!$A$2:$H$550,3,FALSE),""))</f>
        <v/>
      </c>
      <c r="I1974" s="8">
        <f>IF(B1974="","",IFERROR(VLOOKUP(--B1974,'CATALOGO CECO'!$A$2:$H$550,5,FALSE),""))</f>
        <v/>
      </c>
      <c r="J1974" s="8">
        <f>IF(B1974="","",IFERROR(VLOOKUP(--B1974,'CATALOGO CECO'!$A$2:$H$550,8,FALSE),""))</f>
        <v/>
      </c>
      <c r="K1974" s="8">
        <f>IF(COUNTA(A1974:F1974)=0,"",IF(OR(LEN(A1974)&lt;&gt;7,MID(A1974,5,1)&lt;&gt;"-",ISERROR(--LEFT(A1974,4)),ISERROR(--RIGHT(A1974,2))),"ERROR: PERIODO debe ser AAAA-MM",IF(B1974="","ERROR: falta CODIGO CECO",IF(G1974="CECO NO EXISTE","ERROR: CECO no existe en el catálogo",IF(C1974="","ERROR: falta CUENTA",IF(ISERROR(--C1974),"ERROR: CUENTA debe tener solo dígitos",IF(ISERROR(FIND(LEFT(C1974,1),"567")),"ERROR: CUENTA fuera de las clases de costo",IF(NOT(ISNUMBER(E1974)),"ERROR: VALOR debe ser numérico",IF(E1974=0,"AVISO: valor cero (no se carga)",IF(J1974&lt;&gt;"ACTIVO","NO SE CARGA: CECO en estado "&amp;J1974,"OK"))))))))))</f>
        <v/>
      </c>
    </row>
    <row r="1975">
      <c r="A1975" s="5" t="n"/>
      <c r="B1975" s="6" t="n"/>
      <c r="C1975" s="5" t="n"/>
      <c r="D1975" s="6" t="n"/>
      <c r="E1975" s="7" t="n"/>
      <c r="F1975" s="6" t="n"/>
      <c r="G1975" s="8">
        <f>IF(B1975="","",IFERROR(VLOOKUP(--B1975,'CATALOGO CECO'!$A$2:$H$550,2,FALSE),"CECO NO EXISTE"))</f>
        <v/>
      </c>
      <c r="H1975" s="8">
        <f>IF(B1975="","",IFERROR(VLOOKUP(--B1975,'CATALOGO CECO'!$A$2:$H$550,3,FALSE),""))</f>
        <v/>
      </c>
      <c r="I1975" s="8">
        <f>IF(B1975="","",IFERROR(VLOOKUP(--B1975,'CATALOGO CECO'!$A$2:$H$550,5,FALSE),""))</f>
        <v/>
      </c>
      <c r="J1975" s="8">
        <f>IF(B1975="","",IFERROR(VLOOKUP(--B1975,'CATALOGO CECO'!$A$2:$H$550,8,FALSE),""))</f>
        <v/>
      </c>
      <c r="K1975" s="8">
        <f>IF(COUNTA(A1975:F1975)=0,"",IF(OR(LEN(A1975)&lt;&gt;7,MID(A1975,5,1)&lt;&gt;"-",ISERROR(--LEFT(A1975,4)),ISERROR(--RIGHT(A1975,2))),"ERROR: PERIODO debe ser AAAA-MM",IF(B1975="","ERROR: falta CODIGO CECO",IF(G1975="CECO NO EXISTE","ERROR: CECO no existe en el catálogo",IF(C1975="","ERROR: falta CUENTA",IF(ISERROR(--C1975),"ERROR: CUENTA debe tener solo dígitos",IF(ISERROR(FIND(LEFT(C1975,1),"567")),"ERROR: CUENTA fuera de las clases de costo",IF(NOT(ISNUMBER(E1975)),"ERROR: VALOR debe ser numérico",IF(E1975=0,"AVISO: valor cero (no se carga)",IF(J1975&lt;&gt;"ACTIVO","NO SE CARGA: CECO en estado "&amp;J1975,"OK"))))))))))</f>
        <v/>
      </c>
    </row>
    <row r="1976">
      <c r="A1976" s="5" t="n"/>
      <c r="B1976" s="6" t="n"/>
      <c r="C1976" s="5" t="n"/>
      <c r="D1976" s="6" t="n"/>
      <c r="E1976" s="7" t="n"/>
      <c r="F1976" s="6" t="n"/>
      <c r="G1976" s="8">
        <f>IF(B1976="","",IFERROR(VLOOKUP(--B1976,'CATALOGO CECO'!$A$2:$H$550,2,FALSE),"CECO NO EXISTE"))</f>
        <v/>
      </c>
      <c r="H1976" s="8">
        <f>IF(B1976="","",IFERROR(VLOOKUP(--B1976,'CATALOGO CECO'!$A$2:$H$550,3,FALSE),""))</f>
        <v/>
      </c>
      <c r="I1976" s="8">
        <f>IF(B1976="","",IFERROR(VLOOKUP(--B1976,'CATALOGO CECO'!$A$2:$H$550,5,FALSE),""))</f>
        <v/>
      </c>
      <c r="J1976" s="8">
        <f>IF(B1976="","",IFERROR(VLOOKUP(--B1976,'CATALOGO CECO'!$A$2:$H$550,8,FALSE),""))</f>
        <v/>
      </c>
      <c r="K1976" s="8">
        <f>IF(COUNTA(A1976:F1976)=0,"",IF(OR(LEN(A1976)&lt;&gt;7,MID(A1976,5,1)&lt;&gt;"-",ISERROR(--LEFT(A1976,4)),ISERROR(--RIGHT(A1976,2))),"ERROR: PERIODO debe ser AAAA-MM",IF(B1976="","ERROR: falta CODIGO CECO",IF(G1976="CECO NO EXISTE","ERROR: CECO no existe en el catálogo",IF(C1976="","ERROR: falta CUENTA",IF(ISERROR(--C1976),"ERROR: CUENTA debe tener solo dígitos",IF(ISERROR(FIND(LEFT(C1976,1),"567")),"ERROR: CUENTA fuera de las clases de costo",IF(NOT(ISNUMBER(E1976)),"ERROR: VALOR debe ser numérico",IF(E1976=0,"AVISO: valor cero (no se carga)",IF(J1976&lt;&gt;"ACTIVO","NO SE CARGA: CECO en estado "&amp;J1976,"OK"))))))))))</f>
        <v/>
      </c>
    </row>
    <row r="1977">
      <c r="A1977" s="5" t="n"/>
      <c r="B1977" s="6" t="n"/>
      <c r="C1977" s="5" t="n"/>
      <c r="D1977" s="6" t="n"/>
      <c r="E1977" s="7" t="n"/>
      <c r="F1977" s="6" t="n"/>
      <c r="G1977" s="8">
        <f>IF(B1977="","",IFERROR(VLOOKUP(--B1977,'CATALOGO CECO'!$A$2:$H$550,2,FALSE),"CECO NO EXISTE"))</f>
        <v/>
      </c>
      <c r="H1977" s="8">
        <f>IF(B1977="","",IFERROR(VLOOKUP(--B1977,'CATALOGO CECO'!$A$2:$H$550,3,FALSE),""))</f>
        <v/>
      </c>
      <c r="I1977" s="8">
        <f>IF(B1977="","",IFERROR(VLOOKUP(--B1977,'CATALOGO CECO'!$A$2:$H$550,5,FALSE),""))</f>
        <v/>
      </c>
      <c r="J1977" s="8">
        <f>IF(B1977="","",IFERROR(VLOOKUP(--B1977,'CATALOGO CECO'!$A$2:$H$550,8,FALSE),""))</f>
        <v/>
      </c>
      <c r="K1977" s="8">
        <f>IF(COUNTA(A1977:F1977)=0,"",IF(OR(LEN(A1977)&lt;&gt;7,MID(A1977,5,1)&lt;&gt;"-",ISERROR(--LEFT(A1977,4)),ISERROR(--RIGHT(A1977,2))),"ERROR: PERIODO debe ser AAAA-MM",IF(B1977="","ERROR: falta CODIGO CECO",IF(G1977="CECO NO EXISTE","ERROR: CECO no existe en el catálogo",IF(C1977="","ERROR: falta CUENTA",IF(ISERROR(--C1977),"ERROR: CUENTA debe tener solo dígitos",IF(ISERROR(FIND(LEFT(C1977,1),"567")),"ERROR: CUENTA fuera de las clases de costo",IF(NOT(ISNUMBER(E1977)),"ERROR: VALOR debe ser numérico",IF(E1977=0,"AVISO: valor cero (no se carga)",IF(J1977&lt;&gt;"ACTIVO","NO SE CARGA: CECO en estado "&amp;J1977,"OK"))))))))))</f>
        <v/>
      </c>
    </row>
    <row r="1978">
      <c r="A1978" s="5" t="n"/>
      <c r="B1978" s="6" t="n"/>
      <c r="C1978" s="5" t="n"/>
      <c r="D1978" s="6" t="n"/>
      <c r="E1978" s="7" t="n"/>
      <c r="F1978" s="6" t="n"/>
      <c r="G1978" s="8">
        <f>IF(B1978="","",IFERROR(VLOOKUP(--B1978,'CATALOGO CECO'!$A$2:$H$550,2,FALSE),"CECO NO EXISTE"))</f>
        <v/>
      </c>
      <c r="H1978" s="8">
        <f>IF(B1978="","",IFERROR(VLOOKUP(--B1978,'CATALOGO CECO'!$A$2:$H$550,3,FALSE),""))</f>
        <v/>
      </c>
      <c r="I1978" s="8">
        <f>IF(B1978="","",IFERROR(VLOOKUP(--B1978,'CATALOGO CECO'!$A$2:$H$550,5,FALSE),""))</f>
        <v/>
      </c>
      <c r="J1978" s="8">
        <f>IF(B1978="","",IFERROR(VLOOKUP(--B1978,'CATALOGO CECO'!$A$2:$H$550,8,FALSE),""))</f>
        <v/>
      </c>
      <c r="K1978" s="8">
        <f>IF(COUNTA(A1978:F1978)=0,"",IF(OR(LEN(A1978)&lt;&gt;7,MID(A1978,5,1)&lt;&gt;"-",ISERROR(--LEFT(A1978,4)),ISERROR(--RIGHT(A1978,2))),"ERROR: PERIODO debe ser AAAA-MM",IF(B1978="","ERROR: falta CODIGO CECO",IF(G1978="CECO NO EXISTE","ERROR: CECO no existe en el catálogo",IF(C1978="","ERROR: falta CUENTA",IF(ISERROR(--C1978),"ERROR: CUENTA debe tener solo dígitos",IF(ISERROR(FIND(LEFT(C1978,1),"567")),"ERROR: CUENTA fuera de las clases de costo",IF(NOT(ISNUMBER(E1978)),"ERROR: VALOR debe ser numérico",IF(E1978=0,"AVISO: valor cero (no se carga)",IF(J1978&lt;&gt;"ACTIVO","NO SE CARGA: CECO en estado "&amp;J1978,"OK"))))))))))</f>
        <v/>
      </c>
    </row>
    <row r="1979">
      <c r="A1979" s="5" t="n"/>
      <c r="B1979" s="6" t="n"/>
      <c r="C1979" s="5" t="n"/>
      <c r="D1979" s="6" t="n"/>
      <c r="E1979" s="7" t="n"/>
      <c r="F1979" s="6" t="n"/>
      <c r="G1979" s="8">
        <f>IF(B1979="","",IFERROR(VLOOKUP(--B1979,'CATALOGO CECO'!$A$2:$H$550,2,FALSE),"CECO NO EXISTE"))</f>
        <v/>
      </c>
      <c r="H1979" s="8">
        <f>IF(B1979="","",IFERROR(VLOOKUP(--B1979,'CATALOGO CECO'!$A$2:$H$550,3,FALSE),""))</f>
        <v/>
      </c>
      <c r="I1979" s="8">
        <f>IF(B1979="","",IFERROR(VLOOKUP(--B1979,'CATALOGO CECO'!$A$2:$H$550,5,FALSE),""))</f>
        <v/>
      </c>
      <c r="J1979" s="8">
        <f>IF(B1979="","",IFERROR(VLOOKUP(--B1979,'CATALOGO CECO'!$A$2:$H$550,8,FALSE),""))</f>
        <v/>
      </c>
      <c r="K1979" s="8">
        <f>IF(COUNTA(A1979:F1979)=0,"",IF(OR(LEN(A1979)&lt;&gt;7,MID(A1979,5,1)&lt;&gt;"-",ISERROR(--LEFT(A1979,4)),ISERROR(--RIGHT(A1979,2))),"ERROR: PERIODO debe ser AAAA-MM",IF(B1979="","ERROR: falta CODIGO CECO",IF(G1979="CECO NO EXISTE","ERROR: CECO no existe en el catálogo",IF(C1979="","ERROR: falta CUENTA",IF(ISERROR(--C1979),"ERROR: CUENTA debe tener solo dígitos",IF(ISERROR(FIND(LEFT(C1979,1),"567")),"ERROR: CUENTA fuera de las clases de costo",IF(NOT(ISNUMBER(E1979)),"ERROR: VALOR debe ser numérico",IF(E1979=0,"AVISO: valor cero (no se carga)",IF(J1979&lt;&gt;"ACTIVO","NO SE CARGA: CECO en estado "&amp;J1979,"OK"))))))))))</f>
        <v/>
      </c>
    </row>
    <row r="1980">
      <c r="A1980" s="5" t="n"/>
      <c r="B1980" s="6" t="n"/>
      <c r="C1980" s="5" t="n"/>
      <c r="D1980" s="6" t="n"/>
      <c r="E1980" s="7" t="n"/>
      <c r="F1980" s="6" t="n"/>
      <c r="G1980" s="8">
        <f>IF(B1980="","",IFERROR(VLOOKUP(--B1980,'CATALOGO CECO'!$A$2:$H$550,2,FALSE),"CECO NO EXISTE"))</f>
        <v/>
      </c>
      <c r="H1980" s="8">
        <f>IF(B1980="","",IFERROR(VLOOKUP(--B1980,'CATALOGO CECO'!$A$2:$H$550,3,FALSE),""))</f>
        <v/>
      </c>
      <c r="I1980" s="8">
        <f>IF(B1980="","",IFERROR(VLOOKUP(--B1980,'CATALOGO CECO'!$A$2:$H$550,5,FALSE),""))</f>
        <v/>
      </c>
      <c r="J1980" s="8">
        <f>IF(B1980="","",IFERROR(VLOOKUP(--B1980,'CATALOGO CECO'!$A$2:$H$550,8,FALSE),""))</f>
        <v/>
      </c>
      <c r="K1980" s="8">
        <f>IF(COUNTA(A1980:F1980)=0,"",IF(OR(LEN(A1980)&lt;&gt;7,MID(A1980,5,1)&lt;&gt;"-",ISERROR(--LEFT(A1980,4)),ISERROR(--RIGHT(A1980,2))),"ERROR: PERIODO debe ser AAAA-MM",IF(B1980="","ERROR: falta CODIGO CECO",IF(G1980="CECO NO EXISTE","ERROR: CECO no existe en el catálogo",IF(C1980="","ERROR: falta CUENTA",IF(ISERROR(--C1980),"ERROR: CUENTA debe tener solo dígitos",IF(ISERROR(FIND(LEFT(C1980,1),"567")),"ERROR: CUENTA fuera de las clases de costo",IF(NOT(ISNUMBER(E1980)),"ERROR: VALOR debe ser numérico",IF(E1980=0,"AVISO: valor cero (no se carga)",IF(J1980&lt;&gt;"ACTIVO","NO SE CARGA: CECO en estado "&amp;J1980,"OK"))))))))))</f>
        <v/>
      </c>
    </row>
    <row r="1981">
      <c r="A1981" s="5" t="n"/>
      <c r="B1981" s="6" t="n"/>
      <c r="C1981" s="5" t="n"/>
      <c r="D1981" s="6" t="n"/>
      <c r="E1981" s="7" t="n"/>
      <c r="F1981" s="6" t="n"/>
      <c r="G1981" s="8">
        <f>IF(B1981="","",IFERROR(VLOOKUP(--B1981,'CATALOGO CECO'!$A$2:$H$550,2,FALSE),"CECO NO EXISTE"))</f>
        <v/>
      </c>
      <c r="H1981" s="8">
        <f>IF(B1981="","",IFERROR(VLOOKUP(--B1981,'CATALOGO CECO'!$A$2:$H$550,3,FALSE),""))</f>
        <v/>
      </c>
      <c r="I1981" s="8">
        <f>IF(B1981="","",IFERROR(VLOOKUP(--B1981,'CATALOGO CECO'!$A$2:$H$550,5,FALSE),""))</f>
        <v/>
      </c>
      <c r="J1981" s="8">
        <f>IF(B1981="","",IFERROR(VLOOKUP(--B1981,'CATALOGO CECO'!$A$2:$H$550,8,FALSE),""))</f>
        <v/>
      </c>
      <c r="K1981" s="8">
        <f>IF(COUNTA(A1981:F1981)=0,"",IF(OR(LEN(A1981)&lt;&gt;7,MID(A1981,5,1)&lt;&gt;"-",ISERROR(--LEFT(A1981,4)),ISERROR(--RIGHT(A1981,2))),"ERROR: PERIODO debe ser AAAA-MM",IF(B1981="","ERROR: falta CODIGO CECO",IF(G1981="CECO NO EXISTE","ERROR: CECO no existe en el catálogo",IF(C1981="","ERROR: falta CUENTA",IF(ISERROR(--C1981),"ERROR: CUENTA debe tener solo dígitos",IF(ISERROR(FIND(LEFT(C1981,1),"567")),"ERROR: CUENTA fuera de las clases de costo",IF(NOT(ISNUMBER(E1981)),"ERROR: VALOR debe ser numérico",IF(E1981=0,"AVISO: valor cero (no se carga)",IF(J1981&lt;&gt;"ACTIVO","NO SE CARGA: CECO en estado "&amp;J1981,"OK"))))))))))</f>
        <v/>
      </c>
    </row>
    <row r="1982">
      <c r="A1982" s="5" t="n"/>
      <c r="B1982" s="6" t="n"/>
      <c r="C1982" s="5" t="n"/>
      <c r="D1982" s="6" t="n"/>
      <c r="E1982" s="7" t="n"/>
      <c r="F1982" s="6" t="n"/>
      <c r="G1982" s="8">
        <f>IF(B1982="","",IFERROR(VLOOKUP(--B1982,'CATALOGO CECO'!$A$2:$H$550,2,FALSE),"CECO NO EXISTE"))</f>
        <v/>
      </c>
      <c r="H1982" s="8">
        <f>IF(B1982="","",IFERROR(VLOOKUP(--B1982,'CATALOGO CECO'!$A$2:$H$550,3,FALSE),""))</f>
        <v/>
      </c>
      <c r="I1982" s="8">
        <f>IF(B1982="","",IFERROR(VLOOKUP(--B1982,'CATALOGO CECO'!$A$2:$H$550,5,FALSE),""))</f>
        <v/>
      </c>
      <c r="J1982" s="8">
        <f>IF(B1982="","",IFERROR(VLOOKUP(--B1982,'CATALOGO CECO'!$A$2:$H$550,8,FALSE),""))</f>
        <v/>
      </c>
      <c r="K1982" s="8">
        <f>IF(COUNTA(A1982:F1982)=0,"",IF(OR(LEN(A1982)&lt;&gt;7,MID(A1982,5,1)&lt;&gt;"-",ISERROR(--LEFT(A1982,4)),ISERROR(--RIGHT(A1982,2))),"ERROR: PERIODO debe ser AAAA-MM",IF(B1982="","ERROR: falta CODIGO CECO",IF(G1982="CECO NO EXISTE","ERROR: CECO no existe en el catálogo",IF(C1982="","ERROR: falta CUENTA",IF(ISERROR(--C1982),"ERROR: CUENTA debe tener solo dígitos",IF(ISERROR(FIND(LEFT(C1982,1),"567")),"ERROR: CUENTA fuera de las clases de costo",IF(NOT(ISNUMBER(E1982)),"ERROR: VALOR debe ser numérico",IF(E1982=0,"AVISO: valor cero (no se carga)",IF(J1982&lt;&gt;"ACTIVO","NO SE CARGA: CECO en estado "&amp;J1982,"OK"))))))))))</f>
        <v/>
      </c>
    </row>
    <row r="1983">
      <c r="A1983" s="5" t="n"/>
      <c r="B1983" s="6" t="n"/>
      <c r="C1983" s="5" t="n"/>
      <c r="D1983" s="6" t="n"/>
      <c r="E1983" s="7" t="n"/>
      <c r="F1983" s="6" t="n"/>
      <c r="G1983" s="8">
        <f>IF(B1983="","",IFERROR(VLOOKUP(--B1983,'CATALOGO CECO'!$A$2:$H$550,2,FALSE),"CECO NO EXISTE"))</f>
        <v/>
      </c>
      <c r="H1983" s="8">
        <f>IF(B1983="","",IFERROR(VLOOKUP(--B1983,'CATALOGO CECO'!$A$2:$H$550,3,FALSE),""))</f>
        <v/>
      </c>
      <c r="I1983" s="8">
        <f>IF(B1983="","",IFERROR(VLOOKUP(--B1983,'CATALOGO CECO'!$A$2:$H$550,5,FALSE),""))</f>
        <v/>
      </c>
      <c r="J1983" s="8">
        <f>IF(B1983="","",IFERROR(VLOOKUP(--B1983,'CATALOGO CECO'!$A$2:$H$550,8,FALSE),""))</f>
        <v/>
      </c>
      <c r="K1983" s="8">
        <f>IF(COUNTA(A1983:F1983)=0,"",IF(OR(LEN(A1983)&lt;&gt;7,MID(A1983,5,1)&lt;&gt;"-",ISERROR(--LEFT(A1983,4)),ISERROR(--RIGHT(A1983,2))),"ERROR: PERIODO debe ser AAAA-MM",IF(B1983="","ERROR: falta CODIGO CECO",IF(G1983="CECO NO EXISTE","ERROR: CECO no existe en el catálogo",IF(C1983="","ERROR: falta CUENTA",IF(ISERROR(--C1983),"ERROR: CUENTA debe tener solo dígitos",IF(ISERROR(FIND(LEFT(C1983,1),"567")),"ERROR: CUENTA fuera de las clases de costo",IF(NOT(ISNUMBER(E1983)),"ERROR: VALOR debe ser numérico",IF(E1983=0,"AVISO: valor cero (no se carga)",IF(J1983&lt;&gt;"ACTIVO","NO SE CARGA: CECO en estado "&amp;J1983,"OK"))))))))))</f>
        <v/>
      </c>
    </row>
    <row r="1984">
      <c r="A1984" s="5" t="n"/>
      <c r="B1984" s="6" t="n"/>
      <c r="C1984" s="5" t="n"/>
      <c r="D1984" s="6" t="n"/>
      <c r="E1984" s="7" t="n"/>
      <c r="F1984" s="6" t="n"/>
      <c r="G1984" s="8">
        <f>IF(B1984="","",IFERROR(VLOOKUP(--B1984,'CATALOGO CECO'!$A$2:$H$550,2,FALSE),"CECO NO EXISTE"))</f>
        <v/>
      </c>
      <c r="H1984" s="8">
        <f>IF(B1984="","",IFERROR(VLOOKUP(--B1984,'CATALOGO CECO'!$A$2:$H$550,3,FALSE),""))</f>
        <v/>
      </c>
      <c r="I1984" s="8">
        <f>IF(B1984="","",IFERROR(VLOOKUP(--B1984,'CATALOGO CECO'!$A$2:$H$550,5,FALSE),""))</f>
        <v/>
      </c>
      <c r="J1984" s="8">
        <f>IF(B1984="","",IFERROR(VLOOKUP(--B1984,'CATALOGO CECO'!$A$2:$H$550,8,FALSE),""))</f>
        <v/>
      </c>
      <c r="K1984" s="8">
        <f>IF(COUNTA(A1984:F1984)=0,"",IF(OR(LEN(A1984)&lt;&gt;7,MID(A1984,5,1)&lt;&gt;"-",ISERROR(--LEFT(A1984,4)),ISERROR(--RIGHT(A1984,2))),"ERROR: PERIODO debe ser AAAA-MM",IF(B1984="","ERROR: falta CODIGO CECO",IF(G1984="CECO NO EXISTE","ERROR: CECO no existe en el catálogo",IF(C1984="","ERROR: falta CUENTA",IF(ISERROR(--C1984),"ERROR: CUENTA debe tener solo dígitos",IF(ISERROR(FIND(LEFT(C1984,1),"567")),"ERROR: CUENTA fuera de las clases de costo",IF(NOT(ISNUMBER(E1984)),"ERROR: VALOR debe ser numérico",IF(E1984=0,"AVISO: valor cero (no se carga)",IF(J1984&lt;&gt;"ACTIVO","NO SE CARGA: CECO en estado "&amp;J1984,"OK"))))))))))</f>
        <v/>
      </c>
    </row>
    <row r="1985">
      <c r="A1985" s="5" t="n"/>
      <c r="B1985" s="6" t="n"/>
      <c r="C1985" s="5" t="n"/>
      <c r="D1985" s="6" t="n"/>
      <c r="E1985" s="7" t="n"/>
      <c r="F1985" s="6" t="n"/>
      <c r="G1985" s="8">
        <f>IF(B1985="","",IFERROR(VLOOKUP(--B1985,'CATALOGO CECO'!$A$2:$H$550,2,FALSE),"CECO NO EXISTE"))</f>
        <v/>
      </c>
      <c r="H1985" s="8">
        <f>IF(B1985="","",IFERROR(VLOOKUP(--B1985,'CATALOGO CECO'!$A$2:$H$550,3,FALSE),""))</f>
        <v/>
      </c>
      <c r="I1985" s="8">
        <f>IF(B1985="","",IFERROR(VLOOKUP(--B1985,'CATALOGO CECO'!$A$2:$H$550,5,FALSE),""))</f>
        <v/>
      </c>
      <c r="J1985" s="8">
        <f>IF(B1985="","",IFERROR(VLOOKUP(--B1985,'CATALOGO CECO'!$A$2:$H$550,8,FALSE),""))</f>
        <v/>
      </c>
      <c r="K1985" s="8">
        <f>IF(COUNTA(A1985:F1985)=0,"",IF(OR(LEN(A1985)&lt;&gt;7,MID(A1985,5,1)&lt;&gt;"-",ISERROR(--LEFT(A1985,4)),ISERROR(--RIGHT(A1985,2))),"ERROR: PERIODO debe ser AAAA-MM",IF(B1985="","ERROR: falta CODIGO CECO",IF(G1985="CECO NO EXISTE","ERROR: CECO no existe en el catálogo",IF(C1985="","ERROR: falta CUENTA",IF(ISERROR(--C1985),"ERROR: CUENTA debe tener solo dígitos",IF(ISERROR(FIND(LEFT(C1985,1),"567")),"ERROR: CUENTA fuera de las clases de costo",IF(NOT(ISNUMBER(E1985)),"ERROR: VALOR debe ser numérico",IF(E1985=0,"AVISO: valor cero (no se carga)",IF(J1985&lt;&gt;"ACTIVO","NO SE CARGA: CECO en estado "&amp;J1985,"OK"))))))))))</f>
        <v/>
      </c>
    </row>
    <row r="1986">
      <c r="A1986" s="5" t="n"/>
      <c r="B1986" s="6" t="n"/>
      <c r="C1986" s="5" t="n"/>
      <c r="D1986" s="6" t="n"/>
      <c r="E1986" s="7" t="n"/>
      <c r="F1986" s="6" t="n"/>
      <c r="G1986" s="8">
        <f>IF(B1986="","",IFERROR(VLOOKUP(--B1986,'CATALOGO CECO'!$A$2:$H$550,2,FALSE),"CECO NO EXISTE"))</f>
        <v/>
      </c>
      <c r="H1986" s="8">
        <f>IF(B1986="","",IFERROR(VLOOKUP(--B1986,'CATALOGO CECO'!$A$2:$H$550,3,FALSE),""))</f>
        <v/>
      </c>
      <c r="I1986" s="8">
        <f>IF(B1986="","",IFERROR(VLOOKUP(--B1986,'CATALOGO CECO'!$A$2:$H$550,5,FALSE),""))</f>
        <v/>
      </c>
      <c r="J1986" s="8">
        <f>IF(B1986="","",IFERROR(VLOOKUP(--B1986,'CATALOGO CECO'!$A$2:$H$550,8,FALSE),""))</f>
        <v/>
      </c>
      <c r="K1986" s="8">
        <f>IF(COUNTA(A1986:F1986)=0,"",IF(OR(LEN(A1986)&lt;&gt;7,MID(A1986,5,1)&lt;&gt;"-",ISERROR(--LEFT(A1986,4)),ISERROR(--RIGHT(A1986,2))),"ERROR: PERIODO debe ser AAAA-MM",IF(B1986="","ERROR: falta CODIGO CECO",IF(G1986="CECO NO EXISTE","ERROR: CECO no existe en el catálogo",IF(C1986="","ERROR: falta CUENTA",IF(ISERROR(--C1986),"ERROR: CUENTA debe tener solo dígitos",IF(ISERROR(FIND(LEFT(C1986,1),"567")),"ERROR: CUENTA fuera de las clases de costo",IF(NOT(ISNUMBER(E1986)),"ERROR: VALOR debe ser numérico",IF(E1986=0,"AVISO: valor cero (no se carga)",IF(J1986&lt;&gt;"ACTIVO","NO SE CARGA: CECO en estado "&amp;J1986,"OK"))))))))))</f>
        <v/>
      </c>
    </row>
    <row r="1987">
      <c r="A1987" s="5" t="n"/>
      <c r="B1987" s="6" t="n"/>
      <c r="C1987" s="5" t="n"/>
      <c r="D1987" s="6" t="n"/>
      <c r="E1987" s="7" t="n"/>
      <c r="F1987" s="6" t="n"/>
      <c r="G1987" s="8">
        <f>IF(B1987="","",IFERROR(VLOOKUP(--B1987,'CATALOGO CECO'!$A$2:$H$550,2,FALSE),"CECO NO EXISTE"))</f>
        <v/>
      </c>
      <c r="H1987" s="8">
        <f>IF(B1987="","",IFERROR(VLOOKUP(--B1987,'CATALOGO CECO'!$A$2:$H$550,3,FALSE),""))</f>
        <v/>
      </c>
      <c r="I1987" s="8">
        <f>IF(B1987="","",IFERROR(VLOOKUP(--B1987,'CATALOGO CECO'!$A$2:$H$550,5,FALSE),""))</f>
        <v/>
      </c>
      <c r="J1987" s="8">
        <f>IF(B1987="","",IFERROR(VLOOKUP(--B1987,'CATALOGO CECO'!$A$2:$H$550,8,FALSE),""))</f>
        <v/>
      </c>
      <c r="K1987" s="8">
        <f>IF(COUNTA(A1987:F1987)=0,"",IF(OR(LEN(A1987)&lt;&gt;7,MID(A1987,5,1)&lt;&gt;"-",ISERROR(--LEFT(A1987,4)),ISERROR(--RIGHT(A1987,2))),"ERROR: PERIODO debe ser AAAA-MM",IF(B1987="","ERROR: falta CODIGO CECO",IF(G1987="CECO NO EXISTE","ERROR: CECO no existe en el catálogo",IF(C1987="","ERROR: falta CUENTA",IF(ISERROR(--C1987),"ERROR: CUENTA debe tener solo dígitos",IF(ISERROR(FIND(LEFT(C1987,1),"567")),"ERROR: CUENTA fuera de las clases de costo",IF(NOT(ISNUMBER(E1987)),"ERROR: VALOR debe ser numérico",IF(E1987=0,"AVISO: valor cero (no se carga)",IF(J1987&lt;&gt;"ACTIVO","NO SE CARGA: CECO en estado "&amp;J1987,"OK"))))))))))</f>
        <v/>
      </c>
    </row>
    <row r="1988">
      <c r="A1988" s="5" t="n"/>
      <c r="B1988" s="6" t="n"/>
      <c r="C1988" s="5" t="n"/>
      <c r="D1988" s="6" t="n"/>
      <c r="E1988" s="7" t="n"/>
      <c r="F1988" s="6" t="n"/>
      <c r="G1988" s="8">
        <f>IF(B1988="","",IFERROR(VLOOKUP(--B1988,'CATALOGO CECO'!$A$2:$H$550,2,FALSE),"CECO NO EXISTE"))</f>
        <v/>
      </c>
      <c r="H1988" s="8">
        <f>IF(B1988="","",IFERROR(VLOOKUP(--B1988,'CATALOGO CECO'!$A$2:$H$550,3,FALSE),""))</f>
        <v/>
      </c>
      <c r="I1988" s="8">
        <f>IF(B1988="","",IFERROR(VLOOKUP(--B1988,'CATALOGO CECO'!$A$2:$H$550,5,FALSE),""))</f>
        <v/>
      </c>
      <c r="J1988" s="8">
        <f>IF(B1988="","",IFERROR(VLOOKUP(--B1988,'CATALOGO CECO'!$A$2:$H$550,8,FALSE),""))</f>
        <v/>
      </c>
      <c r="K1988" s="8">
        <f>IF(COUNTA(A1988:F1988)=0,"",IF(OR(LEN(A1988)&lt;&gt;7,MID(A1988,5,1)&lt;&gt;"-",ISERROR(--LEFT(A1988,4)),ISERROR(--RIGHT(A1988,2))),"ERROR: PERIODO debe ser AAAA-MM",IF(B1988="","ERROR: falta CODIGO CECO",IF(G1988="CECO NO EXISTE","ERROR: CECO no existe en el catálogo",IF(C1988="","ERROR: falta CUENTA",IF(ISERROR(--C1988),"ERROR: CUENTA debe tener solo dígitos",IF(ISERROR(FIND(LEFT(C1988,1),"567")),"ERROR: CUENTA fuera de las clases de costo",IF(NOT(ISNUMBER(E1988)),"ERROR: VALOR debe ser numérico",IF(E1988=0,"AVISO: valor cero (no se carga)",IF(J1988&lt;&gt;"ACTIVO","NO SE CARGA: CECO en estado "&amp;J1988,"OK"))))))))))</f>
        <v/>
      </c>
    </row>
    <row r="1989">
      <c r="A1989" s="5" t="n"/>
      <c r="B1989" s="6" t="n"/>
      <c r="C1989" s="5" t="n"/>
      <c r="D1989" s="6" t="n"/>
      <c r="E1989" s="7" t="n"/>
      <c r="F1989" s="6" t="n"/>
      <c r="G1989" s="8">
        <f>IF(B1989="","",IFERROR(VLOOKUP(--B1989,'CATALOGO CECO'!$A$2:$H$550,2,FALSE),"CECO NO EXISTE"))</f>
        <v/>
      </c>
      <c r="H1989" s="8">
        <f>IF(B1989="","",IFERROR(VLOOKUP(--B1989,'CATALOGO CECO'!$A$2:$H$550,3,FALSE),""))</f>
        <v/>
      </c>
      <c r="I1989" s="8">
        <f>IF(B1989="","",IFERROR(VLOOKUP(--B1989,'CATALOGO CECO'!$A$2:$H$550,5,FALSE),""))</f>
        <v/>
      </c>
      <c r="J1989" s="8">
        <f>IF(B1989="","",IFERROR(VLOOKUP(--B1989,'CATALOGO CECO'!$A$2:$H$550,8,FALSE),""))</f>
        <v/>
      </c>
      <c r="K1989" s="8">
        <f>IF(COUNTA(A1989:F1989)=0,"",IF(OR(LEN(A1989)&lt;&gt;7,MID(A1989,5,1)&lt;&gt;"-",ISERROR(--LEFT(A1989,4)),ISERROR(--RIGHT(A1989,2))),"ERROR: PERIODO debe ser AAAA-MM",IF(B1989="","ERROR: falta CODIGO CECO",IF(G1989="CECO NO EXISTE","ERROR: CECO no existe en el catálogo",IF(C1989="","ERROR: falta CUENTA",IF(ISERROR(--C1989),"ERROR: CUENTA debe tener solo dígitos",IF(ISERROR(FIND(LEFT(C1989,1),"567")),"ERROR: CUENTA fuera de las clases de costo",IF(NOT(ISNUMBER(E1989)),"ERROR: VALOR debe ser numérico",IF(E1989=0,"AVISO: valor cero (no se carga)",IF(J1989&lt;&gt;"ACTIVO","NO SE CARGA: CECO en estado "&amp;J1989,"OK"))))))))))</f>
        <v/>
      </c>
    </row>
    <row r="1990">
      <c r="A1990" s="5" t="n"/>
      <c r="B1990" s="6" t="n"/>
      <c r="C1990" s="5" t="n"/>
      <c r="D1990" s="6" t="n"/>
      <c r="E1990" s="7" t="n"/>
      <c r="F1990" s="6" t="n"/>
      <c r="G1990" s="8">
        <f>IF(B1990="","",IFERROR(VLOOKUP(--B1990,'CATALOGO CECO'!$A$2:$H$550,2,FALSE),"CECO NO EXISTE"))</f>
        <v/>
      </c>
      <c r="H1990" s="8">
        <f>IF(B1990="","",IFERROR(VLOOKUP(--B1990,'CATALOGO CECO'!$A$2:$H$550,3,FALSE),""))</f>
        <v/>
      </c>
      <c r="I1990" s="8">
        <f>IF(B1990="","",IFERROR(VLOOKUP(--B1990,'CATALOGO CECO'!$A$2:$H$550,5,FALSE),""))</f>
        <v/>
      </c>
      <c r="J1990" s="8">
        <f>IF(B1990="","",IFERROR(VLOOKUP(--B1990,'CATALOGO CECO'!$A$2:$H$550,8,FALSE),""))</f>
        <v/>
      </c>
      <c r="K1990" s="8">
        <f>IF(COUNTA(A1990:F1990)=0,"",IF(OR(LEN(A1990)&lt;&gt;7,MID(A1990,5,1)&lt;&gt;"-",ISERROR(--LEFT(A1990,4)),ISERROR(--RIGHT(A1990,2))),"ERROR: PERIODO debe ser AAAA-MM",IF(B1990="","ERROR: falta CODIGO CECO",IF(G1990="CECO NO EXISTE","ERROR: CECO no existe en el catálogo",IF(C1990="","ERROR: falta CUENTA",IF(ISERROR(--C1990),"ERROR: CUENTA debe tener solo dígitos",IF(ISERROR(FIND(LEFT(C1990,1),"567")),"ERROR: CUENTA fuera de las clases de costo",IF(NOT(ISNUMBER(E1990)),"ERROR: VALOR debe ser numérico",IF(E1990=0,"AVISO: valor cero (no se carga)",IF(J1990&lt;&gt;"ACTIVO","NO SE CARGA: CECO en estado "&amp;J1990,"OK"))))))))))</f>
        <v/>
      </c>
    </row>
    <row r="1991">
      <c r="A1991" s="5" t="n"/>
      <c r="B1991" s="6" t="n"/>
      <c r="C1991" s="5" t="n"/>
      <c r="D1991" s="6" t="n"/>
      <c r="E1991" s="7" t="n"/>
      <c r="F1991" s="6" t="n"/>
      <c r="G1991" s="8">
        <f>IF(B1991="","",IFERROR(VLOOKUP(--B1991,'CATALOGO CECO'!$A$2:$H$550,2,FALSE),"CECO NO EXISTE"))</f>
        <v/>
      </c>
      <c r="H1991" s="8">
        <f>IF(B1991="","",IFERROR(VLOOKUP(--B1991,'CATALOGO CECO'!$A$2:$H$550,3,FALSE),""))</f>
        <v/>
      </c>
      <c r="I1991" s="8">
        <f>IF(B1991="","",IFERROR(VLOOKUP(--B1991,'CATALOGO CECO'!$A$2:$H$550,5,FALSE),""))</f>
        <v/>
      </c>
      <c r="J1991" s="8">
        <f>IF(B1991="","",IFERROR(VLOOKUP(--B1991,'CATALOGO CECO'!$A$2:$H$550,8,FALSE),""))</f>
        <v/>
      </c>
      <c r="K1991" s="8">
        <f>IF(COUNTA(A1991:F1991)=0,"",IF(OR(LEN(A1991)&lt;&gt;7,MID(A1991,5,1)&lt;&gt;"-",ISERROR(--LEFT(A1991,4)),ISERROR(--RIGHT(A1991,2))),"ERROR: PERIODO debe ser AAAA-MM",IF(B1991="","ERROR: falta CODIGO CECO",IF(G1991="CECO NO EXISTE","ERROR: CECO no existe en el catálogo",IF(C1991="","ERROR: falta CUENTA",IF(ISERROR(--C1991),"ERROR: CUENTA debe tener solo dígitos",IF(ISERROR(FIND(LEFT(C1991,1),"567")),"ERROR: CUENTA fuera de las clases de costo",IF(NOT(ISNUMBER(E1991)),"ERROR: VALOR debe ser numérico",IF(E1991=0,"AVISO: valor cero (no se carga)",IF(J1991&lt;&gt;"ACTIVO","NO SE CARGA: CECO en estado "&amp;J1991,"OK"))))))))))</f>
        <v/>
      </c>
    </row>
    <row r="1992">
      <c r="A1992" s="5" t="n"/>
      <c r="B1992" s="6" t="n"/>
      <c r="C1992" s="5" t="n"/>
      <c r="D1992" s="6" t="n"/>
      <c r="E1992" s="7" t="n"/>
      <c r="F1992" s="6" t="n"/>
      <c r="G1992" s="8">
        <f>IF(B1992="","",IFERROR(VLOOKUP(--B1992,'CATALOGO CECO'!$A$2:$H$550,2,FALSE),"CECO NO EXISTE"))</f>
        <v/>
      </c>
      <c r="H1992" s="8">
        <f>IF(B1992="","",IFERROR(VLOOKUP(--B1992,'CATALOGO CECO'!$A$2:$H$550,3,FALSE),""))</f>
        <v/>
      </c>
      <c r="I1992" s="8">
        <f>IF(B1992="","",IFERROR(VLOOKUP(--B1992,'CATALOGO CECO'!$A$2:$H$550,5,FALSE),""))</f>
        <v/>
      </c>
      <c r="J1992" s="8">
        <f>IF(B1992="","",IFERROR(VLOOKUP(--B1992,'CATALOGO CECO'!$A$2:$H$550,8,FALSE),""))</f>
        <v/>
      </c>
      <c r="K1992" s="8">
        <f>IF(COUNTA(A1992:F1992)=0,"",IF(OR(LEN(A1992)&lt;&gt;7,MID(A1992,5,1)&lt;&gt;"-",ISERROR(--LEFT(A1992,4)),ISERROR(--RIGHT(A1992,2))),"ERROR: PERIODO debe ser AAAA-MM",IF(B1992="","ERROR: falta CODIGO CECO",IF(G1992="CECO NO EXISTE","ERROR: CECO no existe en el catálogo",IF(C1992="","ERROR: falta CUENTA",IF(ISERROR(--C1992),"ERROR: CUENTA debe tener solo dígitos",IF(ISERROR(FIND(LEFT(C1992,1),"567")),"ERROR: CUENTA fuera de las clases de costo",IF(NOT(ISNUMBER(E1992)),"ERROR: VALOR debe ser numérico",IF(E1992=0,"AVISO: valor cero (no se carga)",IF(J1992&lt;&gt;"ACTIVO","NO SE CARGA: CECO en estado "&amp;J1992,"OK"))))))))))</f>
        <v/>
      </c>
    </row>
    <row r="1993">
      <c r="A1993" s="5" t="n"/>
      <c r="B1993" s="6" t="n"/>
      <c r="C1993" s="5" t="n"/>
      <c r="D1993" s="6" t="n"/>
      <c r="E1993" s="7" t="n"/>
      <c r="F1993" s="6" t="n"/>
      <c r="G1993" s="8">
        <f>IF(B1993="","",IFERROR(VLOOKUP(--B1993,'CATALOGO CECO'!$A$2:$H$550,2,FALSE),"CECO NO EXISTE"))</f>
        <v/>
      </c>
      <c r="H1993" s="8">
        <f>IF(B1993="","",IFERROR(VLOOKUP(--B1993,'CATALOGO CECO'!$A$2:$H$550,3,FALSE),""))</f>
        <v/>
      </c>
      <c r="I1993" s="8">
        <f>IF(B1993="","",IFERROR(VLOOKUP(--B1993,'CATALOGO CECO'!$A$2:$H$550,5,FALSE),""))</f>
        <v/>
      </c>
      <c r="J1993" s="8">
        <f>IF(B1993="","",IFERROR(VLOOKUP(--B1993,'CATALOGO CECO'!$A$2:$H$550,8,FALSE),""))</f>
        <v/>
      </c>
      <c r="K1993" s="8">
        <f>IF(COUNTA(A1993:F1993)=0,"",IF(OR(LEN(A1993)&lt;&gt;7,MID(A1993,5,1)&lt;&gt;"-",ISERROR(--LEFT(A1993,4)),ISERROR(--RIGHT(A1993,2))),"ERROR: PERIODO debe ser AAAA-MM",IF(B1993="","ERROR: falta CODIGO CECO",IF(G1993="CECO NO EXISTE","ERROR: CECO no existe en el catálogo",IF(C1993="","ERROR: falta CUENTA",IF(ISERROR(--C1993),"ERROR: CUENTA debe tener solo dígitos",IF(ISERROR(FIND(LEFT(C1993,1),"567")),"ERROR: CUENTA fuera de las clases de costo",IF(NOT(ISNUMBER(E1993)),"ERROR: VALOR debe ser numérico",IF(E1993=0,"AVISO: valor cero (no se carga)",IF(J1993&lt;&gt;"ACTIVO","NO SE CARGA: CECO en estado "&amp;J1993,"OK"))))))))))</f>
        <v/>
      </c>
    </row>
    <row r="1994">
      <c r="A1994" s="5" t="n"/>
      <c r="B1994" s="6" t="n"/>
      <c r="C1994" s="5" t="n"/>
      <c r="D1994" s="6" t="n"/>
      <c r="E1994" s="7" t="n"/>
      <c r="F1994" s="6" t="n"/>
      <c r="G1994" s="8">
        <f>IF(B1994="","",IFERROR(VLOOKUP(--B1994,'CATALOGO CECO'!$A$2:$H$550,2,FALSE),"CECO NO EXISTE"))</f>
        <v/>
      </c>
      <c r="H1994" s="8">
        <f>IF(B1994="","",IFERROR(VLOOKUP(--B1994,'CATALOGO CECO'!$A$2:$H$550,3,FALSE),""))</f>
        <v/>
      </c>
      <c r="I1994" s="8">
        <f>IF(B1994="","",IFERROR(VLOOKUP(--B1994,'CATALOGO CECO'!$A$2:$H$550,5,FALSE),""))</f>
        <v/>
      </c>
      <c r="J1994" s="8">
        <f>IF(B1994="","",IFERROR(VLOOKUP(--B1994,'CATALOGO CECO'!$A$2:$H$550,8,FALSE),""))</f>
        <v/>
      </c>
      <c r="K1994" s="8">
        <f>IF(COUNTA(A1994:F1994)=0,"",IF(OR(LEN(A1994)&lt;&gt;7,MID(A1994,5,1)&lt;&gt;"-",ISERROR(--LEFT(A1994,4)),ISERROR(--RIGHT(A1994,2))),"ERROR: PERIODO debe ser AAAA-MM",IF(B1994="","ERROR: falta CODIGO CECO",IF(G1994="CECO NO EXISTE","ERROR: CECO no existe en el catálogo",IF(C1994="","ERROR: falta CUENTA",IF(ISERROR(--C1994),"ERROR: CUENTA debe tener solo dígitos",IF(ISERROR(FIND(LEFT(C1994,1),"567")),"ERROR: CUENTA fuera de las clases de costo",IF(NOT(ISNUMBER(E1994)),"ERROR: VALOR debe ser numérico",IF(E1994=0,"AVISO: valor cero (no se carga)",IF(J1994&lt;&gt;"ACTIVO","NO SE CARGA: CECO en estado "&amp;J1994,"OK"))))))))))</f>
        <v/>
      </c>
    </row>
    <row r="1995">
      <c r="A1995" s="5" t="n"/>
      <c r="B1995" s="6" t="n"/>
      <c r="C1995" s="5" t="n"/>
      <c r="D1995" s="6" t="n"/>
      <c r="E1995" s="7" t="n"/>
      <c r="F1995" s="6" t="n"/>
      <c r="G1995" s="8">
        <f>IF(B1995="","",IFERROR(VLOOKUP(--B1995,'CATALOGO CECO'!$A$2:$H$550,2,FALSE),"CECO NO EXISTE"))</f>
        <v/>
      </c>
      <c r="H1995" s="8">
        <f>IF(B1995="","",IFERROR(VLOOKUP(--B1995,'CATALOGO CECO'!$A$2:$H$550,3,FALSE),""))</f>
        <v/>
      </c>
      <c r="I1995" s="8">
        <f>IF(B1995="","",IFERROR(VLOOKUP(--B1995,'CATALOGO CECO'!$A$2:$H$550,5,FALSE),""))</f>
        <v/>
      </c>
      <c r="J1995" s="8">
        <f>IF(B1995="","",IFERROR(VLOOKUP(--B1995,'CATALOGO CECO'!$A$2:$H$550,8,FALSE),""))</f>
        <v/>
      </c>
      <c r="K1995" s="8">
        <f>IF(COUNTA(A1995:F1995)=0,"",IF(OR(LEN(A1995)&lt;&gt;7,MID(A1995,5,1)&lt;&gt;"-",ISERROR(--LEFT(A1995,4)),ISERROR(--RIGHT(A1995,2))),"ERROR: PERIODO debe ser AAAA-MM",IF(B1995="","ERROR: falta CODIGO CECO",IF(G1995="CECO NO EXISTE","ERROR: CECO no existe en el catálogo",IF(C1995="","ERROR: falta CUENTA",IF(ISERROR(--C1995),"ERROR: CUENTA debe tener solo dígitos",IF(ISERROR(FIND(LEFT(C1995,1),"567")),"ERROR: CUENTA fuera de las clases de costo",IF(NOT(ISNUMBER(E1995)),"ERROR: VALOR debe ser numérico",IF(E1995=0,"AVISO: valor cero (no se carga)",IF(J1995&lt;&gt;"ACTIVO","NO SE CARGA: CECO en estado "&amp;J1995,"OK"))))))))))</f>
        <v/>
      </c>
    </row>
    <row r="1996">
      <c r="A1996" s="5" t="n"/>
      <c r="B1996" s="6" t="n"/>
      <c r="C1996" s="5" t="n"/>
      <c r="D1996" s="6" t="n"/>
      <c r="E1996" s="7" t="n"/>
      <c r="F1996" s="6" t="n"/>
      <c r="G1996" s="8">
        <f>IF(B1996="","",IFERROR(VLOOKUP(--B1996,'CATALOGO CECO'!$A$2:$H$550,2,FALSE),"CECO NO EXISTE"))</f>
        <v/>
      </c>
      <c r="H1996" s="8">
        <f>IF(B1996="","",IFERROR(VLOOKUP(--B1996,'CATALOGO CECO'!$A$2:$H$550,3,FALSE),""))</f>
        <v/>
      </c>
      <c r="I1996" s="8">
        <f>IF(B1996="","",IFERROR(VLOOKUP(--B1996,'CATALOGO CECO'!$A$2:$H$550,5,FALSE),""))</f>
        <v/>
      </c>
      <c r="J1996" s="8">
        <f>IF(B1996="","",IFERROR(VLOOKUP(--B1996,'CATALOGO CECO'!$A$2:$H$550,8,FALSE),""))</f>
        <v/>
      </c>
      <c r="K1996" s="8">
        <f>IF(COUNTA(A1996:F1996)=0,"",IF(OR(LEN(A1996)&lt;&gt;7,MID(A1996,5,1)&lt;&gt;"-",ISERROR(--LEFT(A1996,4)),ISERROR(--RIGHT(A1996,2))),"ERROR: PERIODO debe ser AAAA-MM",IF(B1996="","ERROR: falta CODIGO CECO",IF(G1996="CECO NO EXISTE","ERROR: CECO no existe en el catálogo",IF(C1996="","ERROR: falta CUENTA",IF(ISERROR(--C1996),"ERROR: CUENTA debe tener solo dígitos",IF(ISERROR(FIND(LEFT(C1996,1),"567")),"ERROR: CUENTA fuera de las clases de costo",IF(NOT(ISNUMBER(E1996)),"ERROR: VALOR debe ser numérico",IF(E1996=0,"AVISO: valor cero (no se carga)",IF(J1996&lt;&gt;"ACTIVO","NO SE CARGA: CECO en estado "&amp;J1996,"OK"))))))))))</f>
        <v/>
      </c>
    </row>
    <row r="1997">
      <c r="A1997" s="5" t="n"/>
      <c r="B1997" s="6" t="n"/>
      <c r="C1997" s="5" t="n"/>
      <c r="D1997" s="6" t="n"/>
      <c r="E1997" s="7" t="n"/>
      <c r="F1997" s="6" t="n"/>
      <c r="G1997" s="8">
        <f>IF(B1997="","",IFERROR(VLOOKUP(--B1997,'CATALOGO CECO'!$A$2:$H$550,2,FALSE),"CECO NO EXISTE"))</f>
        <v/>
      </c>
      <c r="H1997" s="8">
        <f>IF(B1997="","",IFERROR(VLOOKUP(--B1997,'CATALOGO CECO'!$A$2:$H$550,3,FALSE),""))</f>
        <v/>
      </c>
      <c r="I1997" s="8">
        <f>IF(B1997="","",IFERROR(VLOOKUP(--B1997,'CATALOGO CECO'!$A$2:$H$550,5,FALSE),""))</f>
        <v/>
      </c>
      <c r="J1997" s="8">
        <f>IF(B1997="","",IFERROR(VLOOKUP(--B1997,'CATALOGO CECO'!$A$2:$H$550,8,FALSE),""))</f>
        <v/>
      </c>
      <c r="K1997" s="8">
        <f>IF(COUNTA(A1997:F1997)=0,"",IF(OR(LEN(A1997)&lt;&gt;7,MID(A1997,5,1)&lt;&gt;"-",ISERROR(--LEFT(A1997,4)),ISERROR(--RIGHT(A1997,2))),"ERROR: PERIODO debe ser AAAA-MM",IF(B1997="","ERROR: falta CODIGO CECO",IF(G1997="CECO NO EXISTE","ERROR: CECO no existe en el catálogo",IF(C1997="","ERROR: falta CUENTA",IF(ISERROR(--C1997),"ERROR: CUENTA debe tener solo dígitos",IF(ISERROR(FIND(LEFT(C1997,1),"567")),"ERROR: CUENTA fuera de las clases de costo",IF(NOT(ISNUMBER(E1997)),"ERROR: VALOR debe ser numérico",IF(E1997=0,"AVISO: valor cero (no se carga)",IF(J1997&lt;&gt;"ACTIVO","NO SE CARGA: CECO en estado "&amp;J1997,"OK"))))))))))</f>
        <v/>
      </c>
    </row>
    <row r="1998">
      <c r="A1998" s="5" t="n"/>
      <c r="B1998" s="6" t="n"/>
      <c r="C1998" s="5" t="n"/>
      <c r="D1998" s="6" t="n"/>
      <c r="E1998" s="7" t="n"/>
      <c r="F1998" s="6" t="n"/>
      <c r="G1998" s="8">
        <f>IF(B1998="","",IFERROR(VLOOKUP(--B1998,'CATALOGO CECO'!$A$2:$H$550,2,FALSE),"CECO NO EXISTE"))</f>
        <v/>
      </c>
      <c r="H1998" s="8">
        <f>IF(B1998="","",IFERROR(VLOOKUP(--B1998,'CATALOGO CECO'!$A$2:$H$550,3,FALSE),""))</f>
        <v/>
      </c>
      <c r="I1998" s="8">
        <f>IF(B1998="","",IFERROR(VLOOKUP(--B1998,'CATALOGO CECO'!$A$2:$H$550,5,FALSE),""))</f>
        <v/>
      </c>
      <c r="J1998" s="8">
        <f>IF(B1998="","",IFERROR(VLOOKUP(--B1998,'CATALOGO CECO'!$A$2:$H$550,8,FALSE),""))</f>
        <v/>
      </c>
      <c r="K1998" s="8">
        <f>IF(COUNTA(A1998:F1998)=0,"",IF(OR(LEN(A1998)&lt;&gt;7,MID(A1998,5,1)&lt;&gt;"-",ISERROR(--LEFT(A1998,4)),ISERROR(--RIGHT(A1998,2))),"ERROR: PERIODO debe ser AAAA-MM",IF(B1998="","ERROR: falta CODIGO CECO",IF(G1998="CECO NO EXISTE","ERROR: CECO no existe en el catálogo",IF(C1998="","ERROR: falta CUENTA",IF(ISERROR(--C1998),"ERROR: CUENTA debe tener solo dígitos",IF(ISERROR(FIND(LEFT(C1998,1),"567")),"ERROR: CUENTA fuera de las clases de costo",IF(NOT(ISNUMBER(E1998)),"ERROR: VALOR debe ser numérico",IF(E1998=0,"AVISO: valor cero (no se carga)",IF(J1998&lt;&gt;"ACTIVO","NO SE CARGA: CECO en estado "&amp;J1998,"OK"))))))))))</f>
        <v/>
      </c>
    </row>
    <row r="1999">
      <c r="A1999" s="5" t="n"/>
      <c r="B1999" s="6" t="n"/>
      <c r="C1999" s="5" t="n"/>
      <c r="D1999" s="6" t="n"/>
      <c r="E1999" s="7" t="n"/>
      <c r="F1999" s="6" t="n"/>
      <c r="G1999" s="8">
        <f>IF(B1999="","",IFERROR(VLOOKUP(--B1999,'CATALOGO CECO'!$A$2:$H$550,2,FALSE),"CECO NO EXISTE"))</f>
        <v/>
      </c>
      <c r="H1999" s="8">
        <f>IF(B1999="","",IFERROR(VLOOKUP(--B1999,'CATALOGO CECO'!$A$2:$H$550,3,FALSE),""))</f>
        <v/>
      </c>
      <c r="I1999" s="8">
        <f>IF(B1999="","",IFERROR(VLOOKUP(--B1999,'CATALOGO CECO'!$A$2:$H$550,5,FALSE),""))</f>
        <v/>
      </c>
      <c r="J1999" s="8">
        <f>IF(B1999="","",IFERROR(VLOOKUP(--B1999,'CATALOGO CECO'!$A$2:$H$550,8,FALSE),""))</f>
        <v/>
      </c>
      <c r="K1999" s="8">
        <f>IF(COUNTA(A1999:F1999)=0,"",IF(OR(LEN(A1999)&lt;&gt;7,MID(A1999,5,1)&lt;&gt;"-",ISERROR(--LEFT(A1999,4)),ISERROR(--RIGHT(A1999,2))),"ERROR: PERIODO debe ser AAAA-MM",IF(B1999="","ERROR: falta CODIGO CECO",IF(G1999="CECO NO EXISTE","ERROR: CECO no existe en el catálogo",IF(C1999="","ERROR: falta CUENTA",IF(ISERROR(--C1999),"ERROR: CUENTA debe tener solo dígitos",IF(ISERROR(FIND(LEFT(C1999,1),"567")),"ERROR: CUENTA fuera de las clases de costo",IF(NOT(ISNUMBER(E1999)),"ERROR: VALOR debe ser numérico",IF(E1999=0,"AVISO: valor cero (no se carga)",IF(J1999&lt;&gt;"ACTIVO","NO SE CARGA: CECO en estado "&amp;J1999,"OK"))))))))))</f>
        <v/>
      </c>
    </row>
    <row r="2000">
      <c r="A2000" s="5" t="n"/>
      <c r="B2000" s="6" t="n"/>
      <c r="C2000" s="5" t="n"/>
      <c r="D2000" s="6" t="n"/>
      <c r="E2000" s="7" t="n"/>
      <c r="F2000" s="6" t="n"/>
      <c r="G2000" s="8">
        <f>IF(B2000="","",IFERROR(VLOOKUP(--B2000,'CATALOGO CECO'!$A$2:$H$550,2,FALSE),"CECO NO EXISTE"))</f>
        <v/>
      </c>
      <c r="H2000" s="8">
        <f>IF(B2000="","",IFERROR(VLOOKUP(--B2000,'CATALOGO CECO'!$A$2:$H$550,3,FALSE),""))</f>
        <v/>
      </c>
      <c r="I2000" s="8">
        <f>IF(B2000="","",IFERROR(VLOOKUP(--B2000,'CATALOGO CECO'!$A$2:$H$550,5,FALSE),""))</f>
        <v/>
      </c>
      <c r="J2000" s="8">
        <f>IF(B2000="","",IFERROR(VLOOKUP(--B2000,'CATALOGO CECO'!$A$2:$H$550,8,FALSE),""))</f>
        <v/>
      </c>
      <c r="K2000" s="8">
        <f>IF(COUNTA(A2000:F2000)=0,"",IF(OR(LEN(A2000)&lt;&gt;7,MID(A2000,5,1)&lt;&gt;"-",ISERROR(--LEFT(A2000,4)),ISERROR(--RIGHT(A2000,2))),"ERROR: PERIODO debe ser AAAA-MM",IF(B2000="","ERROR: falta CODIGO CECO",IF(G2000="CECO NO EXISTE","ERROR: CECO no existe en el catálogo",IF(C2000="","ERROR: falta CUENTA",IF(ISERROR(--C2000),"ERROR: CUENTA debe tener solo dígitos",IF(ISERROR(FIND(LEFT(C2000,1),"567")),"ERROR: CUENTA fuera de las clases de costo",IF(NOT(ISNUMBER(E2000)),"ERROR: VALOR debe ser numérico",IF(E2000=0,"AVISO: valor cero (no se carga)",IF(J2000&lt;&gt;"ACTIVO","NO SE CARGA: CECO en estado "&amp;J2000,"OK"))))))))))</f>
        <v/>
      </c>
    </row>
    <row r="2001">
      <c r="A2001" s="5" t="n"/>
      <c r="B2001" s="6" t="n"/>
      <c r="C2001" s="5" t="n"/>
      <c r="D2001" s="6" t="n"/>
      <c r="E2001" s="7" t="n"/>
      <c r="F2001" s="6" t="n"/>
      <c r="G2001" s="8">
        <f>IF(B2001="","",IFERROR(VLOOKUP(--B2001,'CATALOGO CECO'!$A$2:$H$550,2,FALSE),"CECO NO EXISTE"))</f>
        <v/>
      </c>
      <c r="H2001" s="8">
        <f>IF(B2001="","",IFERROR(VLOOKUP(--B2001,'CATALOGO CECO'!$A$2:$H$550,3,FALSE),""))</f>
        <v/>
      </c>
      <c r="I2001" s="8">
        <f>IF(B2001="","",IFERROR(VLOOKUP(--B2001,'CATALOGO CECO'!$A$2:$H$550,5,FALSE),""))</f>
        <v/>
      </c>
      <c r="J2001" s="8">
        <f>IF(B2001="","",IFERROR(VLOOKUP(--B2001,'CATALOGO CECO'!$A$2:$H$550,8,FALSE),""))</f>
        <v/>
      </c>
      <c r="K2001" s="8">
        <f>IF(COUNTA(A2001:F2001)=0,"",IF(OR(LEN(A2001)&lt;&gt;7,MID(A2001,5,1)&lt;&gt;"-",ISERROR(--LEFT(A2001,4)),ISERROR(--RIGHT(A2001,2))),"ERROR: PERIODO debe ser AAAA-MM",IF(B2001="","ERROR: falta CODIGO CECO",IF(G2001="CECO NO EXISTE","ERROR: CECO no existe en el catálogo",IF(C2001="","ERROR: falta CUENTA",IF(ISERROR(--C2001),"ERROR: CUENTA debe tener solo dígitos",IF(ISERROR(FIND(LEFT(C2001,1),"567")),"ERROR: CUENTA fuera de las clases de costo",IF(NOT(ISNUMBER(E2001)),"ERROR: VALOR debe ser numérico",IF(E2001=0,"AVISO: valor cero (no se carga)",IF(J2001&lt;&gt;"ACTIVO","NO SE CARGA: CECO en estado "&amp;J2001,"OK"))))))))))</f>
        <v/>
      </c>
    </row>
    <row r="2002">
      <c r="A2002" s="5" t="n"/>
      <c r="B2002" s="6" t="n"/>
      <c r="C2002" s="5" t="n"/>
      <c r="D2002" s="6" t="n"/>
      <c r="E2002" s="7" t="n"/>
      <c r="F2002" s="6" t="n"/>
      <c r="G2002" s="8">
        <f>IF(B2002="","",IFERROR(VLOOKUP(--B2002,'CATALOGO CECO'!$A$2:$H$550,2,FALSE),"CECO NO EXISTE"))</f>
        <v/>
      </c>
      <c r="H2002" s="8">
        <f>IF(B2002="","",IFERROR(VLOOKUP(--B2002,'CATALOGO CECO'!$A$2:$H$550,3,FALSE),""))</f>
        <v/>
      </c>
      <c r="I2002" s="8">
        <f>IF(B2002="","",IFERROR(VLOOKUP(--B2002,'CATALOGO CECO'!$A$2:$H$550,5,FALSE),""))</f>
        <v/>
      </c>
      <c r="J2002" s="8">
        <f>IF(B2002="","",IFERROR(VLOOKUP(--B2002,'CATALOGO CECO'!$A$2:$H$550,8,FALSE),""))</f>
        <v/>
      </c>
      <c r="K2002" s="8">
        <f>IF(COUNTA(A2002:F2002)=0,"",IF(OR(LEN(A2002)&lt;&gt;7,MID(A2002,5,1)&lt;&gt;"-",ISERROR(--LEFT(A2002,4)),ISERROR(--RIGHT(A2002,2))),"ERROR: PERIODO debe ser AAAA-MM",IF(B2002="","ERROR: falta CODIGO CECO",IF(G2002="CECO NO EXISTE","ERROR: CECO no existe en el catálogo",IF(C2002="","ERROR: falta CUENTA",IF(ISERROR(--C2002),"ERROR: CUENTA debe tener solo dígitos",IF(ISERROR(FIND(LEFT(C2002,1),"567")),"ERROR: CUENTA fuera de las clases de costo",IF(NOT(ISNUMBER(E2002)),"ERROR: VALOR debe ser numérico",IF(E2002=0,"AVISO: valor cero (no se carga)",IF(J2002&lt;&gt;"ACTIVO","NO SE CARGA: CECO en estado "&amp;J2002,"OK"))))))))))</f>
        <v/>
      </c>
    </row>
    <row r="2003">
      <c r="A2003" s="5" t="n"/>
      <c r="B2003" s="6" t="n"/>
      <c r="C2003" s="5" t="n"/>
      <c r="D2003" s="6" t="n"/>
      <c r="E2003" s="7" t="n"/>
      <c r="F2003" s="6" t="n"/>
      <c r="G2003" s="8">
        <f>IF(B2003="","",IFERROR(VLOOKUP(--B2003,'CATALOGO CECO'!$A$2:$H$550,2,FALSE),"CECO NO EXISTE"))</f>
        <v/>
      </c>
      <c r="H2003" s="8">
        <f>IF(B2003="","",IFERROR(VLOOKUP(--B2003,'CATALOGO CECO'!$A$2:$H$550,3,FALSE),""))</f>
        <v/>
      </c>
      <c r="I2003" s="8">
        <f>IF(B2003="","",IFERROR(VLOOKUP(--B2003,'CATALOGO CECO'!$A$2:$H$550,5,FALSE),""))</f>
        <v/>
      </c>
      <c r="J2003" s="8">
        <f>IF(B2003="","",IFERROR(VLOOKUP(--B2003,'CATALOGO CECO'!$A$2:$H$550,8,FALSE),""))</f>
        <v/>
      </c>
      <c r="K2003" s="8">
        <f>IF(COUNTA(A2003:F2003)=0,"",IF(OR(LEN(A2003)&lt;&gt;7,MID(A2003,5,1)&lt;&gt;"-",ISERROR(--LEFT(A2003,4)),ISERROR(--RIGHT(A2003,2))),"ERROR: PERIODO debe ser AAAA-MM",IF(B2003="","ERROR: falta CODIGO CECO",IF(G2003="CECO NO EXISTE","ERROR: CECO no existe en el catálogo",IF(C2003="","ERROR: falta CUENTA",IF(ISERROR(--C2003),"ERROR: CUENTA debe tener solo dígitos",IF(ISERROR(FIND(LEFT(C2003,1),"567")),"ERROR: CUENTA fuera de las clases de costo",IF(NOT(ISNUMBER(E2003)),"ERROR: VALOR debe ser numérico",IF(E2003=0,"AVISO: valor cero (no se carga)",IF(J2003&lt;&gt;"ACTIVO","NO SE CARGA: CECO en estado "&amp;J2003,"OK"))))))))))</f>
        <v/>
      </c>
    </row>
    <row r="2004">
      <c r="A2004" s="5" t="n"/>
      <c r="B2004" s="6" t="n"/>
      <c r="C2004" s="5" t="n"/>
      <c r="D2004" s="6" t="n"/>
      <c r="E2004" s="7" t="n"/>
      <c r="F2004" s="6" t="n"/>
      <c r="G2004" s="8">
        <f>IF(B2004="","",IFERROR(VLOOKUP(--B2004,'CATALOGO CECO'!$A$2:$H$550,2,FALSE),"CECO NO EXISTE"))</f>
        <v/>
      </c>
      <c r="H2004" s="8">
        <f>IF(B2004="","",IFERROR(VLOOKUP(--B2004,'CATALOGO CECO'!$A$2:$H$550,3,FALSE),""))</f>
        <v/>
      </c>
      <c r="I2004" s="8">
        <f>IF(B2004="","",IFERROR(VLOOKUP(--B2004,'CATALOGO CECO'!$A$2:$H$550,5,FALSE),""))</f>
        <v/>
      </c>
      <c r="J2004" s="8">
        <f>IF(B2004="","",IFERROR(VLOOKUP(--B2004,'CATALOGO CECO'!$A$2:$H$550,8,FALSE),""))</f>
        <v/>
      </c>
      <c r="K2004" s="8">
        <f>IF(COUNTA(A2004:F2004)=0,"",IF(OR(LEN(A2004)&lt;&gt;7,MID(A2004,5,1)&lt;&gt;"-",ISERROR(--LEFT(A2004,4)),ISERROR(--RIGHT(A2004,2))),"ERROR: PERIODO debe ser AAAA-MM",IF(B2004="","ERROR: falta CODIGO CECO",IF(G2004="CECO NO EXISTE","ERROR: CECO no existe en el catálogo",IF(C2004="","ERROR: falta CUENTA",IF(ISERROR(--C2004),"ERROR: CUENTA debe tener solo dígitos",IF(ISERROR(FIND(LEFT(C2004,1),"567")),"ERROR: CUENTA fuera de las clases de costo",IF(NOT(ISNUMBER(E2004)),"ERROR: VALOR debe ser numérico",IF(E2004=0,"AVISO: valor cero (no se carga)",IF(J2004&lt;&gt;"ACTIVO","NO SE CARGA: CECO en estado "&amp;J2004,"OK"))))))))))</f>
        <v/>
      </c>
    </row>
    <row r="2005">
      <c r="A2005" s="5" t="n"/>
      <c r="B2005" s="6" t="n"/>
      <c r="C2005" s="5" t="n"/>
      <c r="D2005" s="6" t="n"/>
      <c r="E2005" s="7" t="n"/>
      <c r="F2005" s="6" t="n"/>
      <c r="G2005" s="8">
        <f>IF(B2005="","",IFERROR(VLOOKUP(--B2005,'CATALOGO CECO'!$A$2:$H$550,2,FALSE),"CECO NO EXISTE"))</f>
        <v/>
      </c>
      <c r="H2005" s="8">
        <f>IF(B2005="","",IFERROR(VLOOKUP(--B2005,'CATALOGO CECO'!$A$2:$H$550,3,FALSE),""))</f>
        <v/>
      </c>
      <c r="I2005" s="8">
        <f>IF(B2005="","",IFERROR(VLOOKUP(--B2005,'CATALOGO CECO'!$A$2:$H$550,5,FALSE),""))</f>
        <v/>
      </c>
      <c r="J2005" s="8">
        <f>IF(B2005="","",IFERROR(VLOOKUP(--B2005,'CATALOGO CECO'!$A$2:$H$550,8,FALSE),""))</f>
        <v/>
      </c>
      <c r="K2005" s="8">
        <f>IF(COUNTA(A2005:F2005)=0,"",IF(OR(LEN(A2005)&lt;&gt;7,MID(A2005,5,1)&lt;&gt;"-",ISERROR(--LEFT(A2005,4)),ISERROR(--RIGHT(A2005,2))),"ERROR: PERIODO debe ser AAAA-MM",IF(B2005="","ERROR: falta CODIGO CECO",IF(G2005="CECO NO EXISTE","ERROR: CECO no existe en el catálogo",IF(C2005="","ERROR: falta CUENTA",IF(ISERROR(--C2005),"ERROR: CUENTA debe tener solo dígitos",IF(ISERROR(FIND(LEFT(C2005,1),"567")),"ERROR: CUENTA fuera de las clases de costo",IF(NOT(ISNUMBER(E2005)),"ERROR: VALOR debe ser numérico",IF(E2005=0,"AVISO: valor cero (no se carga)",IF(J2005&lt;&gt;"ACTIVO","NO SE CARGA: CECO en estado "&amp;J2005,"OK"))))))))))</f>
        <v/>
      </c>
    </row>
    <row r="2006">
      <c r="A2006" s="5" t="n"/>
      <c r="B2006" s="6" t="n"/>
      <c r="C2006" s="5" t="n"/>
      <c r="D2006" s="6" t="n"/>
      <c r="E2006" s="7" t="n"/>
      <c r="F2006" s="6" t="n"/>
      <c r="G2006" s="8">
        <f>IF(B2006="","",IFERROR(VLOOKUP(--B2006,'CATALOGO CECO'!$A$2:$H$550,2,FALSE),"CECO NO EXISTE"))</f>
        <v/>
      </c>
      <c r="H2006" s="8">
        <f>IF(B2006="","",IFERROR(VLOOKUP(--B2006,'CATALOGO CECO'!$A$2:$H$550,3,FALSE),""))</f>
        <v/>
      </c>
      <c r="I2006" s="8">
        <f>IF(B2006="","",IFERROR(VLOOKUP(--B2006,'CATALOGO CECO'!$A$2:$H$550,5,FALSE),""))</f>
        <v/>
      </c>
      <c r="J2006" s="8">
        <f>IF(B2006="","",IFERROR(VLOOKUP(--B2006,'CATALOGO CECO'!$A$2:$H$550,8,FALSE),""))</f>
        <v/>
      </c>
      <c r="K2006" s="8">
        <f>IF(COUNTA(A2006:F2006)=0,"",IF(OR(LEN(A2006)&lt;&gt;7,MID(A2006,5,1)&lt;&gt;"-",ISERROR(--LEFT(A2006,4)),ISERROR(--RIGHT(A2006,2))),"ERROR: PERIODO debe ser AAAA-MM",IF(B2006="","ERROR: falta CODIGO CECO",IF(G2006="CECO NO EXISTE","ERROR: CECO no existe en el catálogo",IF(C2006="","ERROR: falta CUENTA",IF(ISERROR(--C2006),"ERROR: CUENTA debe tener solo dígitos",IF(ISERROR(FIND(LEFT(C2006,1),"567")),"ERROR: CUENTA fuera de las clases de costo",IF(NOT(ISNUMBER(E2006)),"ERROR: VALOR debe ser numérico",IF(E2006=0,"AVISO: valor cero (no se carga)",IF(J2006&lt;&gt;"ACTIVO","NO SE CARGA: CECO en estado "&amp;J2006,"OK"))))))))))</f>
        <v/>
      </c>
    </row>
    <row r="2007">
      <c r="A2007" s="5" t="n"/>
      <c r="B2007" s="6" t="n"/>
      <c r="C2007" s="5" t="n"/>
      <c r="D2007" s="6" t="n"/>
      <c r="E2007" s="7" t="n"/>
      <c r="F2007" s="6" t="n"/>
      <c r="G2007" s="8">
        <f>IF(B2007="","",IFERROR(VLOOKUP(--B2007,'CATALOGO CECO'!$A$2:$H$550,2,FALSE),"CECO NO EXISTE"))</f>
        <v/>
      </c>
      <c r="H2007" s="8">
        <f>IF(B2007="","",IFERROR(VLOOKUP(--B2007,'CATALOGO CECO'!$A$2:$H$550,3,FALSE),""))</f>
        <v/>
      </c>
      <c r="I2007" s="8">
        <f>IF(B2007="","",IFERROR(VLOOKUP(--B2007,'CATALOGO CECO'!$A$2:$H$550,5,FALSE),""))</f>
        <v/>
      </c>
      <c r="J2007" s="8">
        <f>IF(B2007="","",IFERROR(VLOOKUP(--B2007,'CATALOGO CECO'!$A$2:$H$550,8,FALSE),""))</f>
        <v/>
      </c>
      <c r="K2007" s="8">
        <f>IF(COUNTA(A2007:F2007)=0,"",IF(OR(LEN(A2007)&lt;&gt;7,MID(A2007,5,1)&lt;&gt;"-",ISERROR(--LEFT(A2007,4)),ISERROR(--RIGHT(A2007,2))),"ERROR: PERIODO debe ser AAAA-MM",IF(B2007="","ERROR: falta CODIGO CECO",IF(G2007="CECO NO EXISTE","ERROR: CECO no existe en el catálogo",IF(C2007="","ERROR: falta CUENTA",IF(ISERROR(--C2007),"ERROR: CUENTA debe tener solo dígitos",IF(ISERROR(FIND(LEFT(C2007,1),"567")),"ERROR: CUENTA fuera de las clases de costo",IF(NOT(ISNUMBER(E2007)),"ERROR: VALOR debe ser numérico",IF(E2007=0,"AVISO: valor cero (no se carga)",IF(J2007&lt;&gt;"ACTIVO","NO SE CARGA: CECO en estado "&amp;J2007,"OK"))))))))))</f>
        <v/>
      </c>
    </row>
    <row r="2008">
      <c r="A2008" s="5" t="n"/>
      <c r="B2008" s="6" t="n"/>
      <c r="C2008" s="5" t="n"/>
      <c r="D2008" s="6" t="n"/>
      <c r="E2008" s="7" t="n"/>
      <c r="F2008" s="6" t="n"/>
      <c r="G2008" s="8">
        <f>IF(B2008="","",IFERROR(VLOOKUP(--B2008,'CATALOGO CECO'!$A$2:$H$550,2,FALSE),"CECO NO EXISTE"))</f>
        <v/>
      </c>
      <c r="H2008" s="8">
        <f>IF(B2008="","",IFERROR(VLOOKUP(--B2008,'CATALOGO CECO'!$A$2:$H$550,3,FALSE),""))</f>
        <v/>
      </c>
      <c r="I2008" s="8">
        <f>IF(B2008="","",IFERROR(VLOOKUP(--B2008,'CATALOGO CECO'!$A$2:$H$550,5,FALSE),""))</f>
        <v/>
      </c>
      <c r="J2008" s="8">
        <f>IF(B2008="","",IFERROR(VLOOKUP(--B2008,'CATALOGO CECO'!$A$2:$H$550,8,FALSE),""))</f>
        <v/>
      </c>
      <c r="K2008" s="8">
        <f>IF(COUNTA(A2008:F2008)=0,"",IF(OR(LEN(A2008)&lt;&gt;7,MID(A2008,5,1)&lt;&gt;"-",ISERROR(--LEFT(A2008,4)),ISERROR(--RIGHT(A2008,2))),"ERROR: PERIODO debe ser AAAA-MM",IF(B2008="","ERROR: falta CODIGO CECO",IF(G2008="CECO NO EXISTE","ERROR: CECO no existe en el catálogo",IF(C2008="","ERROR: falta CUENTA",IF(ISERROR(--C2008),"ERROR: CUENTA debe tener solo dígitos",IF(ISERROR(FIND(LEFT(C2008,1),"567")),"ERROR: CUENTA fuera de las clases de costo",IF(NOT(ISNUMBER(E2008)),"ERROR: VALOR debe ser numérico",IF(E2008=0,"AVISO: valor cero (no se carga)",IF(J2008&lt;&gt;"ACTIVO","NO SE CARGA: CECO en estado "&amp;J2008,"OK"))))))))))</f>
        <v/>
      </c>
    </row>
    <row r="2009">
      <c r="A2009" s="5" t="n"/>
      <c r="B2009" s="6" t="n"/>
      <c r="C2009" s="5" t="n"/>
      <c r="D2009" s="6" t="n"/>
      <c r="E2009" s="7" t="n"/>
      <c r="F2009" s="6" t="n"/>
      <c r="G2009" s="8">
        <f>IF(B2009="","",IFERROR(VLOOKUP(--B2009,'CATALOGO CECO'!$A$2:$H$550,2,FALSE),"CECO NO EXISTE"))</f>
        <v/>
      </c>
      <c r="H2009" s="8">
        <f>IF(B2009="","",IFERROR(VLOOKUP(--B2009,'CATALOGO CECO'!$A$2:$H$550,3,FALSE),""))</f>
        <v/>
      </c>
      <c r="I2009" s="8">
        <f>IF(B2009="","",IFERROR(VLOOKUP(--B2009,'CATALOGO CECO'!$A$2:$H$550,5,FALSE),""))</f>
        <v/>
      </c>
      <c r="J2009" s="8">
        <f>IF(B2009="","",IFERROR(VLOOKUP(--B2009,'CATALOGO CECO'!$A$2:$H$550,8,FALSE),""))</f>
        <v/>
      </c>
      <c r="K2009" s="8">
        <f>IF(COUNTA(A2009:F2009)=0,"",IF(OR(LEN(A2009)&lt;&gt;7,MID(A2009,5,1)&lt;&gt;"-",ISERROR(--LEFT(A2009,4)),ISERROR(--RIGHT(A2009,2))),"ERROR: PERIODO debe ser AAAA-MM",IF(B2009="","ERROR: falta CODIGO CECO",IF(G2009="CECO NO EXISTE","ERROR: CECO no existe en el catálogo",IF(C2009="","ERROR: falta CUENTA",IF(ISERROR(--C2009),"ERROR: CUENTA debe tener solo dígitos",IF(ISERROR(FIND(LEFT(C2009,1),"567")),"ERROR: CUENTA fuera de las clases de costo",IF(NOT(ISNUMBER(E2009)),"ERROR: VALOR debe ser numérico",IF(E2009=0,"AVISO: valor cero (no se carga)",IF(J2009&lt;&gt;"ACTIVO","NO SE CARGA: CECO en estado "&amp;J2009,"OK"))))))))))</f>
        <v/>
      </c>
    </row>
    <row r="2010">
      <c r="A2010" s="5" t="n"/>
      <c r="B2010" s="6" t="n"/>
      <c r="C2010" s="5" t="n"/>
      <c r="D2010" s="6" t="n"/>
      <c r="E2010" s="7" t="n"/>
      <c r="F2010" s="6" t="n"/>
      <c r="G2010" s="8">
        <f>IF(B2010="","",IFERROR(VLOOKUP(--B2010,'CATALOGO CECO'!$A$2:$H$550,2,FALSE),"CECO NO EXISTE"))</f>
        <v/>
      </c>
      <c r="H2010" s="8">
        <f>IF(B2010="","",IFERROR(VLOOKUP(--B2010,'CATALOGO CECO'!$A$2:$H$550,3,FALSE),""))</f>
        <v/>
      </c>
      <c r="I2010" s="8">
        <f>IF(B2010="","",IFERROR(VLOOKUP(--B2010,'CATALOGO CECO'!$A$2:$H$550,5,FALSE),""))</f>
        <v/>
      </c>
      <c r="J2010" s="8">
        <f>IF(B2010="","",IFERROR(VLOOKUP(--B2010,'CATALOGO CECO'!$A$2:$H$550,8,FALSE),""))</f>
        <v/>
      </c>
      <c r="K2010" s="8">
        <f>IF(COUNTA(A2010:F2010)=0,"",IF(OR(LEN(A2010)&lt;&gt;7,MID(A2010,5,1)&lt;&gt;"-",ISERROR(--LEFT(A2010,4)),ISERROR(--RIGHT(A2010,2))),"ERROR: PERIODO debe ser AAAA-MM",IF(B2010="","ERROR: falta CODIGO CECO",IF(G2010="CECO NO EXISTE","ERROR: CECO no existe en el catálogo",IF(C2010="","ERROR: falta CUENTA",IF(ISERROR(--C2010),"ERROR: CUENTA debe tener solo dígitos",IF(ISERROR(FIND(LEFT(C2010,1),"567")),"ERROR: CUENTA fuera de las clases de costo",IF(NOT(ISNUMBER(E2010)),"ERROR: VALOR debe ser numérico",IF(E2010=0,"AVISO: valor cero (no se carga)",IF(J2010&lt;&gt;"ACTIVO","NO SE CARGA: CECO en estado "&amp;J2010,"OK"))))))))))</f>
        <v/>
      </c>
    </row>
    <row r="2011">
      <c r="A2011" s="5" t="n"/>
      <c r="B2011" s="6" t="n"/>
      <c r="C2011" s="5" t="n"/>
      <c r="D2011" s="6" t="n"/>
      <c r="E2011" s="7" t="n"/>
      <c r="F2011" s="6" t="n"/>
      <c r="G2011" s="8">
        <f>IF(B2011="","",IFERROR(VLOOKUP(--B2011,'CATALOGO CECO'!$A$2:$H$550,2,FALSE),"CECO NO EXISTE"))</f>
        <v/>
      </c>
      <c r="H2011" s="8">
        <f>IF(B2011="","",IFERROR(VLOOKUP(--B2011,'CATALOGO CECO'!$A$2:$H$550,3,FALSE),""))</f>
        <v/>
      </c>
      <c r="I2011" s="8">
        <f>IF(B2011="","",IFERROR(VLOOKUP(--B2011,'CATALOGO CECO'!$A$2:$H$550,5,FALSE),""))</f>
        <v/>
      </c>
      <c r="J2011" s="8">
        <f>IF(B2011="","",IFERROR(VLOOKUP(--B2011,'CATALOGO CECO'!$A$2:$H$550,8,FALSE),""))</f>
        <v/>
      </c>
      <c r="K2011" s="8">
        <f>IF(COUNTA(A2011:F2011)=0,"",IF(OR(LEN(A2011)&lt;&gt;7,MID(A2011,5,1)&lt;&gt;"-",ISERROR(--LEFT(A2011,4)),ISERROR(--RIGHT(A2011,2))),"ERROR: PERIODO debe ser AAAA-MM",IF(B2011="","ERROR: falta CODIGO CECO",IF(G2011="CECO NO EXISTE","ERROR: CECO no existe en el catálogo",IF(C2011="","ERROR: falta CUENTA",IF(ISERROR(--C2011),"ERROR: CUENTA debe tener solo dígitos",IF(ISERROR(FIND(LEFT(C2011,1),"567")),"ERROR: CUENTA fuera de las clases de costo",IF(NOT(ISNUMBER(E2011)),"ERROR: VALOR debe ser numérico",IF(E2011=0,"AVISO: valor cero (no se carga)",IF(J2011&lt;&gt;"ACTIVO","NO SE CARGA: CECO en estado "&amp;J2011,"OK"))))))))))</f>
        <v/>
      </c>
    </row>
    <row r="2012">
      <c r="A2012" s="5" t="n"/>
      <c r="B2012" s="6" t="n"/>
      <c r="C2012" s="5" t="n"/>
      <c r="D2012" s="6" t="n"/>
      <c r="E2012" s="7" t="n"/>
      <c r="F2012" s="6" t="n"/>
      <c r="G2012" s="8">
        <f>IF(B2012="","",IFERROR(VLOOKUP(--B2012,'CATALOGO CECO'!$A$2:$H$550,2,FALSE),"CECO NO EXISTE"))</f>
        <v/>
      </c>
      <c r="H2012" s="8">
        <f>IF(B2012="","",IFERROR(VLOOKUP(--B2012,'CATALOGO CECO'!$A$2:$H$550,3,FALSE),""))</f>
        <v/>
      </c>
      <c r="I2012" s="8">
        <f>IF(B2012="","",IFERROR(VLOOKUP(--B2012,'CATALOGO CECO'!$A$2:$H$550,5,FALSE),""))</f>
        <v/>
      </c>
      <c r="J2012" s="8">
        <f>IF(B2012="","",IFERROR(VLOOKUP(--B2012,'CATALOGO CECO'!$A$2:$H$550,8,FALSE),""))</f>
        <v/>
      </c>
      <c r="K2012" s="8">
        <f>IF(COUNTA(A2012:F2012)=0,"",IF(OR(LEN(A2012)&lt;&gt;7,MID(A2012,5,1)&lt;&gt;"-",ISERROR(--LEFT(A2012,4)),ISERROR(--RIGHT(A2012,2))),"ERROR: PERIODO debe ser AAAA-MM",IF(B2012="","ERROR: falta CODIGO CECO",IF(G2012="CECO NO EXISTE","ERROR: CECO no existe en el catálogo",IF(C2012="","ERROR: falta CUENTA",IF(ISERROR(--C2012),"ERROR: CUENTA debe tener solo dígitos",IF(ISERROR(FIND(LEFT(C2012,1),"567")),"ERROR: CUENTA fuera de las clases de costo",IF(NOT(ISNUMBER(E2012)),"ERROR: VALOR debe ser numérico",IF(E2012=0,"AVISO: valor cero (no se carga)",IF(J2012&lt;&gt;"ACTIVO","NO SE CARGA: CECO en estado "&amp;J2012,"OK"))))))))))</f>
        <v/>
      </c>
    </row>
    <row r="2013">
      <c r="A2013" s="5" t="n"/>
      <c r="B2013" s="6" t="n"/>
      <c r="C2013" s="5" t="n"/>
      <c r="D2013" s="6" t="n"/>
      <c r="E2013" s="7" t="n"/>
      <c r="F2013" s="6" t="n"/>
      <c r="G2013" s="8">
        <f>IF(B2013="","",IFERROR(VLOOKUP(--B2013,'CATALOGO CECO'!$A$2:$H$550,2,FALSE),"CECO NO EXISTE"))</f>
        <v/>
      </c>
      <c r="H2013" s="8">
        <f>IF(B2013="","",IFERROR(VLOOKUP(--B2013,'CATALOGO CECO'!$A$2:$H$550,3,FALSE),""))</f>
        <v/>
      </c>
      <c r="I2013" s="8">
        <f>IF(B2013="","",IFERROR(VLOOKUP(--B2013,'CATALOGO CECO'!$A$2:$H$550,5,FALSE),""))</f>
        <v/>
      </c>
      <c r="J2013" s="8">
        <f>IF(B2013="","",IFERROR(VLOOKUP(--B2013,'CATALOGO CECO'!$A$2:$H$550,8,FALSE),""))</f>
        <v/>
      </c>
      <c r="K2013" s="8">
        <f>IF(COUNTA(A2013:F2013)=0,"",IF(OR(LEN(A2013)&lt;&gt;7,MID(A2013,5,1)&lt;&gt;"-",ISERROR(--LEFT(A2013,4)),ISERROR(--RIGHT(A2013,2))),"ERROR: PERIODO debe ser AAAA-MM",IF(B2013="","ERROR: falta CODIGO CECO",IF(G2013="CECO NO EXISTE","ERROR: CECO no existe en el catálogo",IF(C2013="","ERROR: falta CUENTA",IF(ISERROR(--C2013),"ERROR: CUENTA debe tener solo dígitos",IF(ISERROR(FIND(LEFT(C2013,1),"567")),"ERROR: CUENTA fuera de las clases de costo",IF(NOT(ISNUMBER(E2013)),"ERROR: VALOR debe ser numérico",IF(E2013=0,"AVISO: valor cero (no se carga)",IF(J2013&lt;&gt;"ACTIVO","NO SE CARGA: CECO en estado "&amp;J2013,"OK"))))))))))</f>
        <v/>
      </c>
    </row>
    <row r="2014">
      <c r="A2014" s="5" t="n"/>
      <c r="B2014" s="6" t="n"/>
      <c r="C2014" s="5" t="n"/>
      <c r="D2014" s="6" t="n"/>
      <c r="E2014" s="7" t="n"/>
      <c r="F2014" s="6" t="n"/>
      <c r="G2014" s="8">
        <f>IF(B2014="","",IFERROR(VLOOKUP(--B2014,'CATALOGO CECO'!$A$2:$H$550,2,FALSE),"CECO NO EXISTE"))</f>
        <v/>
      </c>
      <c r="H2014" s="8">
        <f>IF(B2014="","",IFERROR(VLOOKUP(--B2014,'CATALOGO CECO'!$A$2:$H$550,3,FALSE),""))</f>
        <v/>
      </c>
      <c r="I2014" s="8">
        <f>IF(B2014="","",IFERROR(VLOOKUP(--B2014,'CATALOGO CECO'!$A$2:$H$550,5,FALSE),""))</f>
        <v/>
      </c>
      <c r="J2014" s="8">
        <f>IF(B2014="","",IFERROR(VLOOKUP(--B2014,'CATALOGO CECO'!$A$2:$H$550,8,FALSE),""))</f>
        <v/>
      </c>
      <c r="K2014" s="8">
        <f>IF(COUNTA(A2014:F2014)=0,"",IF(OR(LEN(A2014)&lt;&gt;7,MID(A2014,5,1)&lt;&gt;"-",ISERROR(--LEFT(A2014,4)),ISERROR(--RIGHT(A2014,2))),"ERROR: PERIODO debe ser AAAA-MM",IF(B2014="","ERROR: falta CODIGO CECO",IF(G2014="CECO NO EXISTE","ERROR: CECO no existe en el catálogo",IF(C2014="","ERROR: falta CUENTA",IF(ISERROR(--C2014),"ERROR: CUENTA debe tener solo dígitos",IF(ISERROR(FIND(LEFT(C2014,1),"567")),"ERROR: CUENTA fuera de las clases de costo",IF(NOT(ISNUMBER(E2014)),"ERROR: VALOR debe ser numérico",IF(E2014=0,"AVISO: valor cero (no se carga)",IF(J2014&lt;&gt;"ACTIVO","NO SE CARGA: CECO en estado "&amp;J2014,"OK"))))))))))</f>
        <v/>
      </c>
    </row>
    <row r="2015">
      <c r="A2015" s="5" t="n"/>
      <c r="B2015" s="6" t="n"/>
      <c r="C2015" s="5" t="n"/>
      <c r="D2015" s="6" t="n"/>
      <c r="E2015" s="7" t="n"/>
      <c r="F2015" s="6" t="n"/>
      <c r="G2015" s="8">
        <f>IF(B2015="","",IFERROR(VLOOKUP(--B2015,'CATALOGO CECO'!$A$2:$H$550,2,FALSE),"CECO NO EXISTE"))</f>
        <v/>
      </c>
      <c r="H2015" s="8">
        <f>IF(B2015="","",IFERROR(VLOOKUP(--B2015,'CATALOGO CECO'!$A$2:$H$550,3,FALSE),""))</f>
        <v/>
      </c>
      <c r="I2015" s="8">
        <f>IF(B2015="","",IFERROR(VLOOKUP(--B2015,'CATALOGO CECO'!$A$2:$H$550,5,FALSE),""))</f>
        <v/>
      </c>
      <c r="J2015" s="8">
        <f>IF(B2015="","",IFERROR(VLOOKUP(--B2015,'CATALOGO CECO'!$A$2:$H$550,8,FALSE),""))</f>
        <v/>
      </c>
      <c r="K2015" s="8">
        <f>IF(COUNTA(A2015:F2015)=0,"",IF(OR(LEN(A2015)&lt;&gt;7,MID(A2015,5,1)&lt;&gt;"-",ISERROR(--LEFT(A2015,4)),ISERROR(--RIGHT(A2015,2))),"ERROR: PERIODO debe ser AAAA-MM",IF(B2015="","ERROR: falta CODIGO CECO",IF(G2015="CECO NO EXISTE","ERROR: CECO no existe en el catálogo",IF(C2015="","ERROR: falta CUENTA",IF(ISERROR(--C2015),"ERROR: CUENTA debe tener solo dígitos",IF(ISERROR(FIND(LEFT(C2015,1),"567")),"ERROR: CUENTA fuera de las clases de costo",IF(NOT(ISNUMBER(E2015)),"ERROR: VALOR debe ser numérico",IF(E2015=0,"AVISO: valor cero (no se carga)",IF(J2015&lt;&gt;"ACTIVO","NO SE CARGA: CECO en estado "&amp;J2015,"OK"))))))))))</f>
        <v/>
      </c>
    </row>
    <row r="2016">
      <c r="A2016" s="5" t="n"/>
      <c r="B2016" s="6" t="n"/>
      <c r="C2016" s="5" t="n"/>
      <c r="D2016" s="6" t="n"/>
      <c r="E2016" s="7" t="n"/>
      <c r="F2016" s="6" t="n"/>
      <c r="G2016" s="8">
        <f>IF(B2016="","",IFERROR(VLOOKUP(--B2016,'CATALOGO CECO'!$A$2:$H$550,2,FALSE),"CECO NO EXISTE"))</f>
        <v/>
      </c>
      <c r="H2016" s="8">
        <f>IF(B2016="","",IFERROR(VLOOKUP(--B2016,'CATALOGO CECO'!$A$2:$H$550,3,FALSE),""))</f>
        <v/>
      </c>
      <c r="I2016" s="8">
        <f>IF(B2016="","",IFERROR(VLOOKUP(--B2016,'CATALOGO CECO'!$A$2:$H$550,5,FALSE),""))</f>
        <v/>
      </c>
      <c r="J2016" s="8">
        <f>IF(B2016="","",IFERROR(VLOOKUP(--B2016,'CATALOGO CECO'!$A$2:$H$550,8,FALSE),""))</f>
        <v/>
      </c>
      <c r="K2016" s="8">
        <f>IF(COUNTA(A2016:F2016)=0,"",IF(OR(LEN(A2016)&lt;&gt;7,MID(A2016,5,1)&lt;&gt;"-",ISERROR(--LEFT(A2016,4)),ISERROR(--RIGHT(A2016,2))),"ERROR: PERIODO debe ser AAAA-MM",IF(B2016="","ERROR: falta CODIGO CECO",IF(G2016="CECO NO EXISTE","ERROR: CECO no existe en el catálogo",IF(C2016="","ERROR: falta CUENTA",IF(ISERROR(--C2016),"ERROR: CUENTA debe tener solo dígitos",IF(ISERROR(FIND(LEFT(C2016,1),"567")),"ERROR: CUENTA fuera de las clases de costo",IF(NOT(ISNUMBER(E2016)),"ERROR: VALOR debe ser numérico",IF(E2016=0,"AVISO: valor cero (no se carga)",IF(J2016&lt;&gt;"ACTIVO","NO SE CARGA: CECO en estado "&amp;J2016,"OK"))))))))))</f>
        <v/>
      </c>
    </row>
    <row r="2017">
      <c r="A2017" s="5" t="n"/>
      <c r="B2017" s="6" t="n"/>
      <c r="C2017" s="5" t="n"/>
      <c r="D2017" s="6" t="n"/>
      <c r="E2017" s="7" t="n"/>
      <c r="F2017" s="6" t="n"/>
      <c r="G2017" s="8">
        <f>IF(B2017="","",IFERROR(VLOOKUP(--B2017,'CATALOGO CECO'!$A$2:$H$550,2,FALSE),"CECO NO EXISTE"))</f>
        <v/>
      </c>
      <c r="H2017" s="8">
        <f>IF(B2017="","",IFERROR(VLOOKUP(--B2017,'CATALOGO CECO'!$A$2:$H$550,3,FALSE),""))</f>
        <v/>
      </c>
      <c r="I2017" s="8">
        <f>IF(B2017="","",IFERROR(VLOOKUP(--B2017,'CATALOGO CECO'!$A$2:$H$550,5,FALSE),""))</f>
        <v/>
      </c>
      <c r="J2017" s="8">
        <f>IF(B2017="","",IFERROR(VLOOKUP(--B2017,'CATALOGO CECO'!$A$2:$H$550,8,FALSE),""))</f>
        <v/>
      </c>
      <c r="K2017" s="8">
        <f>IF(COUNTA(A2017:F2017)=0,"",IF(OR(LEN(A2017)&lt;&gt;7,MID(A2017,5,1)&lt;&gt;"-",ISERROR(--LEFT(A2017,4)),ISERROR(--RIGHT(A2017,2))),"ERROR: PERIODO debe ser AAAA-MM",IF(B2017="","ERROR: falta CODIGO CECO",IF(G2017="CECO NO EXISTE","ERROR: CECO no existe en el catálogo",IF(C2017="","ERROR: falta CUENTA",IF(ISERROR(--C2017),"ERROR: CUENTA debe tener solo dígitos",IF(ISERROR(FIND(LEFT(C2017,1),"567")),"ERROR: CUENTA fuera de las clases de costo",IF(NOT(ISNUMBER(E2017)),"ERROR: VALOR debe ser numérico",IF(E2017=0,"AVISO: valor cero (no se carga)",IF(J2017&lt;&gt;"ACTIVO","NO SE CARGA: CECO en estado "&amp;J2017,"OK"))))))))))</f>
        <v/>
      </c>
    </row>
    <row r="2018">
      <c r="A2018" s="5" t="n"/>
      <c r="B2018" s="6" t="n"/>
      <c r="C2018" s="5" t="n"/>
      <c r="D2018" s="6" t="n"/>
      <c r="E2018" s="7" t="n"/>
      <c r="F2018" s="6" t="n"/>
      <c r="G2018" s="8">
        <f>IF(B2018="","",IFERROR(VLOOKUP(--B2018,'CATALOGO CECO'!$A$2:$H$550,2,FALSE),"CECO NO EXISTE"))</f>
        <v/>
      </c>
      <c r="H2018" s="8">
        <f>IF(B2018="","",IFERROR(VLOOKUP(--B2018,'CATALOGO CECO'!$A$2:$H$550,3,FALSE),""))</f>
        <v/>
      </c>
      <c r="I2018" s="8">
        <f>IF(B2018="","",IFERROR(VLOOKUP(--B2018,'CATALOGO CECO'!$A$2:$H$550,5,FALSE),""))</f>
        <v/>
      </c>
      <c r="J2018" s="8">
        <f>IF(B2018="","",IFERROR(VLOOKUP(--B2018,'CATALOGO CECO'!$A$2:$H$550,8,FALSE),""))</f>
        <v/>
      </c>
      <c r="K2018" s="8">
        <f>IF(COUNTA(A2018:F2018)=0,"",IF(OR(LEN(A2018)&lt;&gt;7,MID(A2018,5,1)&lt;&gt;"-",ISERROR(--LEFT(A2018,4)),ISERROR(--RIGHT(A2018,2))),"ERROR: PERIODO debe ser AAAA-MM",IF(B2018="","ERROR: falta CODIGO CECO",IF(G2018="CECO NO EXISTE","ERROR: CECO no existe en el catálogo",IF(C2018="","ERROR: falta CUENTA",IF(ISERROR(--C2018),"ERROR: CUENTA debe tener solo dígitos",IF(ISERROR(FIND(LEFT(C2018,1),"567")),"ERROR: CUENTA fuera de las clases de costo",IF(NOT(ISNUMBER(E2018)),"ERROR: VALOR debe ser numérico",IF(E2018=0,"AVISO: valor cero (no se carga)",IF(J2018&lt;&gt;"ACTIVO","NO SE CARGA: CECO en estado "&amp;J2018,"OK"))))))))))</f>
        <v/>
      </c>
    </row>
    <row r="2019">
      <c r="A2019" s="5" t="n"/>
      <c r="B2019" s="6" t="n"/>
      <c r="C2019" s="5" t="n"/>
      <c r="D2019" s="6" t="n"/>
      <c r="E2019" s="7" t="n"/>
      <c r="F2019" s="6" t="n"/>
      <c r="G2019" s="8">
        <f>IF(B2019="","",IFERROR(VLOOKUP(--B2019,'CATALOGO CECO'!$A$2:$H$550,2,FALSE),"CECO NO EXISTE"))</f>
        <v/>
      </c>
      <c r="H2019" s="8">
        <f>IF(B2019="","",IFERROR(VLOOKUP(--B2019,'CATALOGO CECO'!$A$2:$H$550,3,FALSE),""))</f>
        <v/>
      </c>
      <c r="I2019" s="8">
        <f>IF(B2019="","",IFERROR(VLOOKUP(--B2019,'CATALOGO CECO'!$A$2:$H$550,5,FALSE),""))</f>
        <v/>
      </c>
      <c r="J2019" s="8">
        <f>IF(B2019="","",IFERROR(VLOOKUP(--B2019,'CATALOGO CECO'!$A$2:$H$550,8,FALSE),""))</f>
        <v/>
      </c>
      <c r="K2019" s="8">
        <f>IF(COUNTA(A2019:F2019)=0,"",IF(OR(LEN(A2019)&lt;&gt;7,MID(A2019,5,1)&lt;&gt;"-",ISERROR(--LEFT(A2019,4)),ISERROR(--RIGHT(A2019,2))),"ERROR: PERIODO debe ser AAAA-MM",IF(B2019="","ERROR: falta CODIGO CECO",IF(G2019="CECO NO EXISTE","ERROR: CECO no existe en el catálogo",IF(C2019="","ERROR: falta CUENTA",IF(ISERROR(--C2019),"ERROR: CUENTA debe tener solo dígitos",IF(ISERROR(FIND(LEFT(C2019,1),"567")),"ERROR: CUENTA fuera de las clases de costo",IF(NOT(ISNUMBER(E2019)),"ERROR: VALOR debe ser numérico",IF(E2019=0,"AVISO: valor cero (no se carga)",IF(J2019&lt;&gt;"ACTIVO","NO SE CARGA: CECO en estado "&amp;J2019,"OK"))))))))))</f>
        <v/>
      </c>
    </row>
    <row r="2020">
      <c r="A2020" s="5" t="n"/>
      <c r="B2020" s="6" t="n"/>
      <c r="C2020" s="5" t="n"/>
      <c r="D2020" s="6" t="n"/>
      <c r="E2020" s="7" t="n"/>
      <c r="F2020" s="6" t="n"/>
      <c r="G2020" s="8">
        <f>IF(B2020="","",IFERROR(VLOOKUP(--B2020,'CATALOGO CECO'!$A$2:$H$550,2,FALSE),"CECO NO EXISTE"))</f>
        <v/>
      </c>
      <c r="H2020" s="8">
        <f>IF(B2020="","",IFERROR(VLOOKUP(--B2020,'CATALOGO CECO'!$A$2:$H$550,3,FALSE),""))</f>
        <v/>
      </c>
      <c r="I2020" s="8">
        <f>IF(B2020="","",IFERROR(VLOOKUP(--B2020,'CATALOGO CECO'!$A$2:$H$550,5,FALSE),""))</f>
        <v/>
      </c>
      <c r="J2020" s="8">
        <f>IF(B2020="","",IFERROR(VLOOKUP(--B2020,'CATALOGO CECO'!$A$2:$H$550,8,FALSE),""))</f>
        <v/>
      </c>
      <c r="K2020" s="8">
        <f>IF(COUNTA(A2020:F2020)=0,"",IF(OR(LEN(A2020)&lt;&gt;7,MID(A2020,5,1)&lt;&gt;"-",ISERROR(--LEFT(A2020,4)),ISERROR(--RIGHT(A2020,2))),"ERROR: PERIODO debe ser AAAA-MM",IF(B2020="","ERROR: falta CODIGO CECO",IF(G2020="CECO NO EXISTE","ERROR: CECO no existe en el catálogo",IF(C2020="","ERROR: falta CUENTA",IF(ISERROR(--C2020),"ERROR: CUENTA debe tener solo dígitos",IF(ISERROR(FIND(LEFT(C2020,1),"567")),"ERROR: CUENTA fuera de las clases de costo",IF(NOT(ISNUMBER(E2020)),"ERROR: VALOR debe ser numérico",IF(E2020=0,"AVISO: valor cero (no se carga)",IF(J2020&lt;&gt;"ACTIVO","NO SE CARGA: CECO en estado "&amp;J2020,"OK"))))))))))</f>
        <v/>
      </c>
    </row>
    <row r="2021">
      <c r="A2021" s="5" t="n"/>
      <c r="B2021" s="6" t="n"/>
      <c r="C2021" s="5" t="n"/>
      <c r="D2021" s="6" t="n"/>
      <c r="E2021" s="7" t="n"/>
      <c r="F2021" s="6" t="n"/>
      <c r="G2021" s="8">
        <f>IF(B2021="","",IFERROR(VLOOKUP(--B2021,'CATALOGO CECO'!$A$2:$H$550,2,FALSE),"CECO NO EXISTE"))</f>
        <v/>
      </c>
      <c r="H2021" s="8">
        <f>IF(B2021="","",IFERROR(VLOOKUP(--B2021,'CATALOGO CECO'!$A$2:$H$550,3,FALSE),""))</f>
        <v/>
      </c>
      <c r="I2021" s="8">
        <f>IF(B2021="","",IFERROR(VLOOKUP(--B2021,'CATALOGO CECO'!$A$2:$H$550,5,FALSE),""))</f>
        <v/>
      </c>
      <c r="J2021" s="8">
        <f>IF(B2021="","",IFERROR(VLOOKUP(--B2021,'CATALOGO CECO'!$A$2:$H$550,8,FALSE),""))</f>
        <v/>
      </c>
      <c r="K2021" s="8">
        <f>IF(COUNTA(A2021:F2021)=0,"",IF(OR(LEN(A2021)&lt;&gt;7,MID(A2021,5,1)&lt;&gt;"-",ISERROR(--LEFT(A2021,4)),ISERROR(--RIGHT(A2021,2))),"ERROR: PERIODO debe ser AAAA-MM",IF(B2021="","ERROR: falta CODIGO CECO",IF(G2021="CECO NO EXISTE","ERROR: CECO no existe en el catálogo",IF(C2021="","ERROR: falta CUENTA",IF(ISERROR(--C2021),"ERROR: CUENTA debe tener solo dígitos",IF(ISERROR(FIND(LEFT(C2021,1),"567")),"ERROR: CUENTA fuera de las clases de costo",IF(NOT(ISNUMBER(E2021)),"ERROR: VALOR debe ser numérico",IF(E2021=0,"AVISO: valor cero (no se carga)",IF(J2021&lt;&gt;"ACTIVO","NO SE CARGA: CECO en estado "&amp;J2021,"OK"))))))))))</f>
        <v/>
      </c>
    </row>
    <row r="2022">
      <c r="A2022" s="5" t="n"/>
      <c r="B2022" s="6" t="n"/>
      <c r="C2022" s="5" t="n"/>
      <c r="D2022" s="6" t="n"/>
      <c r="E2022" s="7" t="n"/>
      <c r="F2022" s="6" t="n"/>
      <c r="G2022" s="8">
        <f>IF(B2022="","",IFERROR(VLOOKUP(--B2022,'CATALOGO CECO'!$A$2:$H$550,2,FALSE),"CECO NO EXISTE"))</f>
        <v/>
      </c>
      <c r="H2022" s="8">
        <f>IF(B2022="","",IFERROR(VLOOKUP(--B2022,'CATALOGO CECO'!$A$2:$H$550,3,FALSE),""))</f>
        <v/>
      </c>
      <c r="I2022" s="8">
        <f>IF(B2022="","",IFERROR(VLOOKUP(--B2022,'CATALOGO CECO'!$A$2:$H$550,5,FALSE),""))</f>
        <v/>
      </c>
      <c r="J2022" s="8">
        <f>IF(B2022="","",IFERROR(VLOOKUP(--B2022,'CATALOGO CECO'!$A$2:$H$550,8,FALSE),""))</f>
        <v/>
      </c>
      <c r="K2022" s="8">
        <f>IF(COUNTA(A2022:F2022)=0,"",IF(OR(LEN(A2022)&lt;&gt;7,MID(A2022,5,1)&lt;&gt;"-",ISERROR(--LEFT(A2022,4)),ISERROR(--RIGHT(A2022,2))),"ERROR: PERIODO debe ser AAAA-MM",IF(B2022="","ERROR: falta CODIGO CECO",IF(G2022="CECO NO EXISTE","ERROR: CECO no existe en el catálogo",IF(C2022="","ERROR: falta CUENTA",IF(ISERROR(--C2022),"ERROR: CUENTA debe tener solo dígitos",IF(ISERROR(FIND(LEFT(C2022,1),"567")),"ERROR: CUENTA fuera de las clases de costo",IF(NOT(ISNUMBER(E2022)),"ERROR: VALOR debe ser numérico",IF(E2022=0,"AVISO: valor cero (no se carga)",IF(J2022&lt;&gt;"ACTIVO","NO SE CARGA: CECO en estado "&amp;J2022,"OK"))))))))))</f>
        <v/>
      </c>
    </row>
    <row r="2023">
      <c r="A2023" s="5" t="n"/>
      <c r="B2023" s="6" t="n"/>
      <c r="C2023" s="5" t="n"/>
      <c r="D2023" s="6" t="n"/>
      <c r="E2023" s="7" t="n"/>
      <c r="F2023" s="6" t="n"/>
      <c r="G2023" s="8">
        <f>IF(B2023="","",IFERROR(VLOOKUP(--B2023,'CATALOGO CECO'!$A$2:$H$550,2,FALSE),"CECO NO EXISTE"))</f>
        <v/>
      </c>
      <c r="H2023" s="8">
        <f>IF(B2023="","",IFERROR(VLOOKUP(--B2023,'CATALOGO CECO'!$A$2:$H$550,3,FALSE),""))</f>
        <v/>
      </c>
      <c r="I2023" s="8">
        <f>IF(B2023="","",IFERROR(VLOOKUP(--B2023,'CATALOGO CECO'!$A$2:$H$550,5,FALSE),""))</f>
        <v/>
      </c>
      <c r="J2023" s="8">
        <f>IF(B2023="","",IFERROR(VLOOKUP(--B2023,'CATALOGO CECO'!$A$2:$H$550,8,FALSE),""))</f>
        <v/>
      </c>
      <c r="K2023" s="8">
        <f>IF(COUNTA(A2023:F2023)=0,"",IF(OR(LEN(A2023)&lt;&gt;7,MID(A2023,5,1)&lt;&gt;"-",ISERROR(--LEFT(A2023,4)),ISERROR(--RIGHT(A2023,2))),"ERROR: PERIODO debe ser AAAA-MM",IF(B2023="","ERROR: falta CODIGO CECO",IF(G2023="CECO NO EXISTE","ERROR: CECO no existe en el catálogo",IF(C2023="","ERROR: falta CUENTA",IF(ISERROR(--C2023),"ERROR: CUENTA debe tener solo dígitos",IF(ISERROR(FIND(LEFT(C2023,1),"567")),"ERROR: CUENTA fuera de las clases de costo",IF(NOT(ISNUMBER(E2023)),"ERROR: VALOR debe ser numérico",IF(E2023=0,"AVISO: valor cero (no se carga)",IF(J2023&lt;&gt;"ACTIVO","NO SE CARGA: CECO en estado "&amp;J2023,"OK"))))))))))</f>
        <v/>
      </c>
    </row>
    <row r="2024">
      <c r="A2024" s="5" t="n"/>
      <c r="B2024" s="6" t="n"/>
      <c r="C2024" s="5" t="n"/>
      <c r="D2024" s="6" t="n"/>
      <c r="E2024" s="7" t="n"/>
      <c r="F2024" s="6" t="n"/>
      <c r="G2024" s="8">
        <f>IF(B2024="","",IFERROR(VLOOKUP(--B2024,'CATALOGO CECO'!$A$2:$H$550,2,FALSE),"CECO NO EXISTE"))</f>
        <v/>
      </c>
      <c r="H2024" s="8">
        <f>IF(B2024="","",IFERROR(VLOOKUP(--B2024,'CATALOGO CECO'!$A$2:$H$550,3,FALSE),""))</f>
        <v/>
      </c>
      <c r="I2024" s="8">
        <f>IF(B2024="","",IFERROR(VLOOKUP(--B2024,'CATALOGO CECO'!$A$2:$H$550,5,FALSE),""))</f>
        <v/>
      </c>
      <c r="J2024" s="8">
        <f>IF(B2024="","",IFERROR(VLOOKUP(--B2024,'CATALOGO CECO'!$A$2:$H$550,8,FALSE),""))</f>
        <v/>
      </c>
      <c r="K2024" s="8">
        <f>IF(COUNTA(A2024:F2024)=0,"",IF(OR(LEN(A2024)&lt;&gt;7,MID(A2024,5,1)&lt;&gt;"-",ISERROR(--LEFT(A2024,4)),ISERROR(--RIGHT(A2024,2))),"ERROR: PERIODO debe ser AAAA-MM",IF(B2024="","ERROR: falta CODIGO CECO",IF(G2024="CECO NO EXISTE","ERROR: CECO no existe en el catálogo",IF(C2024="","ERROR: falta CUENTA",IF(ISERROR(--C2024),"ERROR: CUENTA debe tener solo dígitos",IF(ISERROR(FIND(LEFT(C2024,1),"567")),"ERROR: CUENTA fuera de las clases de costo",IF(NOT(ISNUMBER(E2024)),"ERROR: VALOR debe ser numérico",IF(E2024=0,"AVISO: valor cero (no se carga)",IF(J2024&lt;&gt;"ACTIVO","NO SE CARGA: CECO en estado "&amp;J2024,"OK"))))))))))</f>
        <v/>
      </c>
    </row>
    <row r="2025">
      <c r="A2025" s="5" t="n"/>
      <c r="B2025" s="6" t="n"/>
      <c r="C2025" s="5" t="n"/>
      <c r="D2025" s="6" t="n"/>
      <c r="E2025" s="7" t="n"/>
      <c r="F2025" s="6" t="n"/>
      <c r="G2025" s="8">
        <f>IF(B2025="","",IFERROR(VLOOKUP(--B2025,'CATALOGO CECO'!$A$2:$H$550,2,FALSE),"CECO NO EXISTE"))</f>
        <v/>
      </c>
      <c r="H2025" s="8">
        <f>IF(B2025="","",IFERROR(VLOOKUP(--B2025,'CATALOGO CECO'!$A$2:$H$550,3,FALSE),""))</f>
        <v/>
      </c>
      <c r="I2025" s="8">
        <f>IF(B2025="","",IFERROR(VLOOKUP(--B2025,'CATALOGO CECO'!$A$2:$H$550,5,FALSE),""))</f>
        <v/>
      </c>
      <c r="J2025" s="8">
        <f>IF(B2025="","",IFERROR(VLOOKUP(--B2025,'CATALOGO CECO'!$A$2:$H$550,8,FALSE),""))</f>
        <v/>
      </c>
      <c r="K2025" s="8">
        <f>IF(COUNTA(A2025:F2025)=0,"",IF(OR(LEN(A2025)&lt;&gt;7,MID(A2025,5,1)&lt;&gt;"-",ISERROR(--LEFT(A2025,4)),ISERROR(--RIGHT(A2025,2))),"ERROR: PERIODO debe ser AAAA-MM",IF(B2025="","ERROR: falta CODIGO CECO",IF(G2025="CECO NO EXISTE","ERROR: CECO no existe en el catálogo",IF(C2025="","ERROR: falta CUENTA",IF(ISERROR(--C2025),"ERROR: CUENTA debe tener solo dígitos",IF(ISERROR(FIND(LEFT(C2025,1),"567")),"ERROR: CUENTA fuera de las clases de costo",IF(NOT(ISNUMBER(E2025)),"ERROR: VALOR debe ser numérico",IF(E2025=0,"AVISO: valor cero (no se carga)",IF(J2025&lt;&gt;"ACTIVO","NO SE CARGA: CECO en estado "&amp;J2025,"OK"))))))))))</f>
        <v/>
      </c>
    </row>
    <row r="2026">
      <c r="A2026" s="5" t="n"/>
      <c r="B2026" s="6" t="n"/>
      <c r="C2026" s="5" t="n"/>
      <c r="D2026" s="6" t="n"/>
      <c r="E2026" s="7" t="n"/>
      <c r="F2026" s="6" t="n"/>
      <c r="G2026" s="8">
        <f>IF(B2026="","",IFERROR(VLOOKUP(--B2026,'CATALOGO CECO'!$A$2:$H$550,2,FALSE),"CECO NO EXISTE"))</f>
        <v/>
      </c>
      <c r="H2026" s="8">
        <f>IF(B2026="","",IFERROR(VLOOKUP(--B2026,'CATALOGO CECO'!$A$2:$H$550,3,FALSE),""))</f>
        <v/>
      </c>
      <c r="I2026" s="8">
        <f>IF(B2026="","",IFERROR(VLOOKUP(--B2026,'CATALOGO CECO'!$A$2:$H$550,5,FALSE),""))</f>
        <v/>
      </c>
      <c r="J2026" s="8">
        <f>IF(B2026="","",IFERROR(VLOOKUP(--B2026,'CATALOGO CECO'!$A$2:$H$550,8,FALSE),""))</f>
        <v/>
      </c>
      <c r="K2026" s="8">
        <f>IF(COUNTA(A2026:F2026)=0,"",IF(OR(LEN(A2026)&lt;&gt;7,MID(A2026,5,1)&lt;&gt;"-",ISERROR(--LEFT(A2026,4)),ISERROR(--RIGHT(A2026,2))),"ERROR: PERIODO debe ser AAAA-MM",IF(B2026="","ERROR: falta CODIGO CECO",IF(G2026="CECO NO EXISTE","ERROR: CECO no existe en el catálogo",IF(C2026="","ERROR: falta CUENTA",IF(ISERROR(--C2026),"ERROR: CUENTA debe tener solo dígitos",IF(ISERROR(FIND(LEFT(C2026,1),"567")),"ERROR: CUENTA fuera de las clases de costo",IF(NOT(ISNUMBER(E2026)),"ERROR: VALOR debe ser numérico",IF(E2026=0,"AVISO: valor cero (no se carga)",IF(J2026&lt;&gt;"ACTIVO","NO SE CARGA: CECO en estado "&amp;J2026,"OK"))))))))))</f>
        <v/>
      </c>
    </row>
    <row r="2027">
      <c r="A2027" s="5" t="n"/>
      <c r="B2027" s="6" t="n"/>
      <c r="C2027" s="5" t="n"/>
      <c r="D2027" s="6" t="n"/>
      <c r="E2027" s="7" t="n"/>
      <c r="F2027" s="6" t="n"/>
      <c r="G2027" s="8">
        <f>IF(B2027="","",IFERROR(VLOOKUP(--B2027,'CATALOGO CECO'!$A$2:$H$550,2,FALSE),"CECO NO EXISTE"))</f>
        <v/>
      </c>
      <c r="H2027" s="8">
        <f>IF(B2027="","",IFERROR(VLOOKUP(--B2027,'CATALOGO CECO'!$A$2:$H$550,3,FALSE),""))</f>
        <v/>
      </c>
      <c r="I2027" s="8">
        <f>IF(B2027="","",IFERROR(VLOOKUP(--B2027,'CATALOGO CECO'!$A$2:$H$550,5,FALSE),""))</f>
        <v/>
      </c>
      <c r="J2027" s="8">
        <f>IF(B2027="","",IFERROR(VLOOKUP(--B2027,'CATALOGO CECO'!$A$2:$H$550,8,FALSE),""))</f>
        <v/>
      </c>
      <c r="K2027" s="8">
        <f>IF(COUNTA(A2027:F2027)=0,"",IF(OR(LEN(A2027)&lt;&gt;7,MID(A2027,5,1)&lt;&gt;"-",ISERROR(--LEFT(A2027,4)),ISERROR(--RIGHT(A2027,2))),"ERROR: PERIODO debe ser AAAA-MM",IF(B2027="","ERROR: falta CODIGO CECO",IF(G2027="CECO NO EXISTE","ERROR: CECO no existe en el catálogo",IF(C2027="","ERROR: falta CUENTA",IF(ISERROR(--C2027),"ERROR: CUENTA debe tener solo dígitos",IF(ISERROR(FIND(LEFT(C2027,1),"567")),"ERROR: CUENTA fuera de las clases de costo",IF(NOT(ISNUMBER(E2027)),"ERROR: VALOR debe ser numérico",IF(E2027=0,"AVISO: valor cero (no se carga)",IF(J2027&lt;&gt;"ACTIVO","NO SE CARGA: CECO en estado "&amp;J2027,"OK"))))))))))</f>
        <v/>
      </c>
    </row>
    <row r="2028">
      <c r="A2028" s="5" t="n"/>
      <c r="B2028" s="6" t="n"/>
      <c r="C2028" s="5" t="n"/>
      <c r="D2028" s="6" t="n"/>
      <c r="E2028" s="7" t="n"/>
      <c r="F2028" s="6" t="n"/>
      <c r="G2028" s="8">
        <f>IF(B2028="","",IFERROR(VLOOKUP(--B2028,'CATALOGO CECO'!$A$2:$H$550,2,FALSE),"CECO NO EXISTE"))</f>
        <v/>
      </c>
      <c r="H2028" s="8">
        <f>IF(B2028="","",IFERROR(VLOOKUP(--B2028,'CATALOGO CECO'!$A$2:$H$550,3,FALSE),""))</f>
        <v/>
      </c>
      <c r="I2028" s="8">
        <f>IF(B2028="","",IFERROR(VLOOKUP(--B2028,'CATALOGO CECO'!$A$2:$H$550,5,FALSE),""))</f>
        <v/>
      </c>
      <c r="J2028" s="8">
        <f>IF(B2028="","",IFERROR(VLOOKUP(--B2028,'CATALOGO CECO'!$A$2:$H$550,8,FALSE),""))</f>
        <v/>
      </c>
      <c r="K2028" s="8">
        <f>IF(COUNTA(A2028:F2028)=0,"",IF(OR(LEN(A2028)&lt;&gt;7,MID(A2028,5,1)&lt;&gt;"-",ISERROR(--LEFT(A2028,4)),ISERROR(--RIGHT(A2028,2))),"ERROR: PERIODO debe ser AAAA-MM",IF(B2028="","ERROR: falta CODIGO CECO",IF(G2028="CECO NO EXISTE","ERROR: CECO no existe en el catálogo",IF(C2028="","ERROR: falta CUENTA",IF(ISERROR(--C2028),"ERROR: CUENTA debe tener solo dígitos",IF(ISERROR(FIND(LEFT(C2028,1),"567")),"ERROR: CUENTA fuera de las clases de costo",IF(NOT(ISNUMBER(E2028)),"ERROR: VALOR debe ser numérico",IF(E2028=0,"AVISO: valor cero (no se carga)",IF(J2028&lt;&gt;"ACTIVO","NO SE CARGA: CECO en estado "&amp;J2028,"OK"))))))))))</f>
        <v/>
      </c>
    </row>
    <row r="2029">
      <c r="A2029" s="5" t="n"/>
      <c r="B2029" s="6" t="n"/>
      <c r="C2029" s="5" t="n"/>
      <c r="D2029" s="6" t="n"/>
      <c r="E2029" s="7" t="n"/>
      <c r="F2029" s="6" t="n"/>
      <c r="G2029" s="8">
        <f>IF(B2029="","",IFERROR(VLOOKUP(--B2029,'CATALOGO CECO'!$A$2:$H$550,2,FALSE),"CECO NO EXISTE"))</f>
        <v/>
      </c>
      <c r="H2029" s="8">
        <f>IF(B2029="","",IFERROR(VLOOKUP(--B2029,'CATALOGO CECO'!$A$2:$H$550,3,FALSE),""))</f>
        <v/>
      </c>
      <c r="I2029" s="8">
        <f>IF(B2029="","",IFERROR(VLOOKUP(--B2029,'CATALOGO CECO'!$A$2:$H$550,5,FALSE),""))</f>
        <v/>
      </c>
      <c r="J2029" s="8">
        <f>IF(B2029="","",IFERROR(VLOOKUP(--B2029,'CATALOGO CECO'!$A$2:$H$550,8,FALSE),""))</f>
        <v/>
      </c>
      <c r="K2029" s="8">
        <f>IF(COUNTA(A2029:F2029)=0,"",IF(OR(LEN(A2029)&lt;&gt;7,MID(A2029,5,1)&lt;&gt;"-",ISERROR(--LEFT(A2029,4)),ISERROR(--RIGHT(A2029,2))),"ERROR: PERIODO debe ser AAAA-MM",IF(B2029="","ERROR: falta CODIGO CECO",IF(G2029="CECO NO EXISTE","ERROR: CECO no existe en el catálogo",IF(C2029="","ERROR: falta CUENTA",IF(ISERROR(--C2029),"ERROR: CUENTA debe tener solo dígitos",IF(ISERROR(FIND(LEFT(C2029,1),"567")),"ERROR: CUENTA fuera de las clases de costo",IF(NOT(ISNUMBER(E2029)),"ERROR: VALOR debe ser numérico",IF(E2029=0,"AVISO: valor cero (no se carga)",IF(J2029&lt;&gt;"ACTIVO","NO SE CARGA: CECO en estado "&amp;J2029,"OK"))))))))))</f>
        <v/>
      </c>
    </row>
    <row r="2030">
      <c r="A2030" s="5" t="n"/>
      <c r="B2030" s="6" t="n"/>
      <c r="C2030" s="5" t="n"/>
      <c r="D2030" s="6" t="n"/>
      <c r="E2030" s="7" t="n"/>
      <c r="F2030" s="6" t="n"/>
      <c r="G2030" s="8">
        <f>IF(B2030="","",IFERROR(VLOOKUP(--B2030,'CATALOGO CECO'!$A$2:$H$550,2,FALSE),"CECO NO EXISTE"))</f>
        <v/>
      </c>
      <c r="H2030" s="8">
        <f>IF(B2030="","",IFERROR(VLOOKUP(--B2030,'CATALOGO CECO'!$A$2:$H$550,3,FALSE),""))</f>
        <v/>
      </c>
      <c r="I2030" s="8">
        <f>IF(B2030="","",IFERROR(VLOOKUP(--B2030,'CATALOGO CECO'!$A$2:$H$550,5,FALSE),""))</f>
        <v/>
      </c>
      <c r="J2030" s="8">
        <f>IF(B2030="","",IFERROR(VLOOKUP(--B2030,'CATALOGO CECO'!$A$2:$H$550,8,FALSE),""))</f>
        <v/>
      </c>
      <c r="K2030" s="8">
        <f>IF(COUNTA(A2030:F2030)=0,"",IF(OR(LEN(A2030)&lt;&gt;7,MID(A2030,5,1)&lt;&gt;"-",ISERROR(--LEFT(A2030,4)),ISERROR(--RIGHT(A2030,2))),"ERROR: PERIODO debe ser AAAA-MM",IF(B2030="","ERROR: falta CODIGO CECO",IF(G2030="CECO NO EXISTE","ERROR: CECO no existe en el catálogo",IF(C2030="","ERROR: falta CUENTA",IF(ISERROR(--C2030),"ERROR: CUENTA debe tener solo dígitos",IF(ISERROR(FIND(LEFT(C2030,1),"567")),"ERROR: CUENTA fuera de las clases de costo",IF(NOT(ISNUMBER(E2030)),"ERROR: VALOR debe ser numérico",IF(E2030=0,"AVISO: valor cero (no se carga)",IF(J2030&lt;&gt;"ACTIVO","NO SE CARGA: CECO en estado "&amp;J2030,"OK"))))))))))</f>
        <v/>
      </c>
    </row>
    <row r="2031">
      <c r="A2031" s="5" t="n"/>
      <c r="B2031" s="6" t="n"/>
      <c r="C2031" s="5" t="n"/>
      <c r="D2031" s="6" t="n"/>
      <c r="E2031" s="7" t="n"/>
      <c r="F2031" s="6" t="n"/>
      <c r="G2031" s="8">
        <f>IF(B2031="","",IFERROR(VLOOKUP(--B2031,'CATALOGO CECO'!$A$2:$H$550,2,FALSE),"CECO NO EXISTE"))</f>
        <v/>
      </c>
      <c r="H2031" s="8">
        <f>IF(B2031="","",IFERROR(VLOOKUP(--B2031,'CATALOGO CECO'!$A$2:$H$550,3,FALSE),""))</f>
        <v/>
      </c>
      <c r="I2031" s="8">
        <f>IF(B2031="","",IFERROR(VLOOKUP(--B2031,'CATALOGO CECO'!$A$2:$H$550,5,FALSE),""))</f>
        <v/>
      </c>
      <c r="J2031" s="8">
        <f>IF(B2031="","",IFERROR(VLOOKUP(--B2031,'CATALOGO CECO'!$A$2:$H$550,8,FALSE),""))</f>
        <v/>
      </c>
      <c r="K2031" s="8">
        <f>IF(COUNTA(A2031:F2031)=0,"",IF(OR(LEN(A2031)&lt;&gt;7,MID(A2031,5,1)&lt;&gt;"-",ISERROR(--LEFT(A2031,4)),ISERROR(--RIGHT(A2031,2))),"ERROR: PERIODO debe ser AAAA-MM",IF(B2031="","ERROR: falta CODIGO CECO",IF(G2031="CECO NO EXISTE","ERROR: CECO no existe en el catálogo",IF(C2031="","ERROR: falta CUENTA",IF(ISERROR(--C2031),"ERROR: CUENTA debe tener solo dígitos",IF(ISERROR(FIND(LEFT(C2031,1),"567")),"ERROR: CUENTA fuera de las clases de costo",IF(NOT(ISNUMBER(E2031)),"ERROR: VALOR debe ser numérico",IF(E2031=0,"AVISO: valor cero (no se carga)",IF(J2031&lt;&gt;"ACTIVO","NO SE CARGA: CECO en estado "&amp;J2031,"OK"))))))))))</f>
        <v/>
      </c>
    </row>
    <row r="2032">
      <c r="A2032" s="5" t="n"/>
      <c r="B2032" s="6" t="n"/>
      <c r="C2032" s="5" t="n"/>
      <c r="D2032" s="6" t="n"/>
      <c r="E2032" s="7" t="n"/>
      <c r="F2032" s="6" t="n"/>
      <c r="G2032" s="8">
        <f>IF(B2032="","",IFERROR(VLOOKUP(--B2032,'CATALOGO CECO'!$A$2:$H$550,2,FALSE),"CECO NO EXISTE"))</f>
        <v/>
      </c>
      <c r="H2032" s="8">
        <f>IF(B2032="","",IFERROR(VLOOKUP(--B2032,'CATALOGO CECO'!$A$2:$H$550,3,FALSE),""))</f>
        <v/>
      </c>
      <c r="I2032" s="8">
        <f>IF(B2032="","",IFERROR(VLOOKUP(--B2032,'CATALOGO CECO'!$A$2:$H$550,5,FALSE),""))</f>
        <v/>
      </c>
      <c r="J2032" s="8">
        <f>IF(B2032="","",IFERROR(VLOOKUP(--B2032,'CATALOGO CECO'!$A$2:$H$550,8,FALSE),""))</f>
        <v/>
      </c>
      <c r="K2032" s="8">
        <f>IF(COUNTA(A2032:F2032)=0,"",IF(OR(LEN(A2032)&lt;&gt;7,MID(A2032,5,1)&lt;&gt;"-",ISERROR(--LEFT(A2032,4)),ISERROR(--RIGHT(A2032,2))),"ERROR: PERIODO debe ser AAAA-MM",IF(B2032="","ERROR: falta CODIGO CECO",IF(G2032="CECO NO EXISTE","ERROR: CECO no existe en el catálogo",IF(C2032="","ERROR: falta CUENTA",IF(ISERROR(--C2032),"ERROR: CUENTA debe tener solo dígitos",IF(ISERROR(FIND(LEFT(C2032,1),"567")),"ERROR: CUENTA fuera de las clases de costo",IF(NOT(ISNUMBER(E2032)),"ERROR: VALOR debe ser numérico",IF(E2032=0,"AVISO: valor cero (no se carga)",IF(J2032&lt;&gt;"ACTIVO","NO SE CARGA: CECO en estado "&amp;J2032,"OK"))))))))))</f>
        <v/>
      </c>
    </row>
    <row r="2033">
      <c r="A2033" s="5" t="n"/>
      <c r="B2033" s="6" t="n"/>
      <c r="C2033" s="5" t="n"/>
      <c r="D2033" s="6" t="n"/>
      <c r="E2033" s="7" t="n"/>
      <c r="F2033" s="6" t="n"/>
      <c r="G2033" s="8">
        <f>IF(B2033="","",IFERROR(VLOOKUP(--B2033,'CATALOGO CECO'!$A$2:$H$550,2,FALSE),"CECO NO EXISTE"))</f>
        <v/>
      </c>
      <c r="H2033" s="8">
        <f>IF(B2033="","",IFERROR(VLOOKUP(--B2033,'CATALOGO CECO'!$A$2:$H$550,3,FALSE),""))</f>
        <v/>
      </c>
      <c r="I2033" s="8">
        <f>IF(B2033="","",IFERROR(VLOOKUP(--B2033,'CATALOGO CECO'!$A$2:$H$550,5,FALSE),""))</f>
        <v/>
      </c>
      <c r="J2033" s="8">
        <f>IF(B2033="","",IFERROR(VLOOKUP(--B2033,'CATALOGO CECO'!$A$2:$H$550,8,FALSE),""))</f>
        <v/>
      </c>
      <c r="K2033" s="8">
        <f>IF(COUNTA(A2033:F2033)=0,"",IF(OR(LEN(A2033)&lt;&gt;7,MID(A2033,5,1)&lt;&gt;"-",ISERROR(--LEFT(A2033,4)),ISERROR(--RIGHT(A2033,2))),"ERROR: PERIODO debe ser AAAA-MM",IF(B2033="","ERROR: falta CODIGO CECO",IF(G2033="CECO NO EXISTE","ERROR: CECO no existe en el catálogo",IF(C2033="","ERROR: falta CUENTA",IF(ISERROR(--C2033),"ERROR: CUENTA debe tener solo dígitos",IF(ISERROR(FIND(LEFT(C2033,1),"567")),"ERROR: CUENTA fuera de las clases de costo",IF(NOT(ISNUMBER(E2033)),"ERROR: VALOR debe ser numérico",IF(E2033=0,"AVISO: valor cero (no se carga)",IF(J2033&lt;&gt;"ACTIVO","NO SE CARGA: CECO en estado "&amp;J2033,"OK"))))))))))</f>
        <v/>
      </c>
    </row>
    <row r="2034">
      <c r="A2034" s="5" t="n"/>
      <c r="B2034" s="6" t="n"/>
      <c r="C2034" s="5" t="n"/>
      <c r="D2034" s="6" t="n"/>
      <c r="E2034" s="7" t="n"/>
      <c r="F2034" s="6" t="n"/>
      <c r="G2034" s="8">
        <f>IF(B2034="","",IFERROR(VLOOKUP(--B2034,'CATALOGO CECO'!$A$2:$H$550,2,FALSE),"CECO NO EXISTE"))</f>
        <v/>
      </c>
      <c r="H2034" s="8">
        <f>IF(B2034="","",IFERROR(VLOOKUP(--B2034,'CATALOGO CECO'!$A$2:$H$550,3,FALSE),""))</f>
        <v/>
      </c>
      <c r="I2034" s="8">
        <f>IF(B2034="","",IFERROR(VLOOKUP(--B2034,'CATALOGO CECO'!$A$2:$H$550,5,FALSE),""))</f>
        <v/>
      </c>
      <c r="J2034" s="8">
        <f>IF(B2034="","",IFERROR(VLOOKUP(--B2034,'CATALOGO CECO'!$A$2:$H$550,8,FALSE),""))</f>
        <v/>
      </c>
      <c r="K2034" s="8">
        <f>IF(COUNTA(A2034:F2034)=0,"",IF(OR(LEN(A2034)&lt;&gt;7,MID(A2034,5,1)&lt;&gt;"-",ISERROR(--LEFT(A2034,4)),ISERROR(--RIGHT(A2034,2))),"ERROR: PERIODO debe ser AAAA-MM",IF(B2034="","ERROR: falta CODIGO CECO",IF(G2034="CECO NO EXISTE","ERROR: CECO no existe en el catálogo",IF(C2034="","ERROR: falta CUENTA",IF(ISERROR(--C2034),"ERROR: CUENTA debe tener solo dígitos",IF(ISERROR(FIND(LEFT(C2034,1),"567")),"ERROR: CUENTA fuera de las clases de costo",IF(NOT(ISNUMBER(E2034)),"ERROR: VALOR debe ser numérico",IF(E2034=0,"AVISO: valor cero (no se carga)",IF(J2034&lt;&gt;"ACTIVO","NO SE CARGA: CECO en estado "&amp;J2034,"OK"))))))))))</f>
        <v/>
      </c>
    </row>
    <row r="2035">
      <c r="A2035" s="5" t="n"/>
      <c r="B2035" s="6" t="n"/>
      <c r="C2035" s="5" t="n"/>
      <c r="D2035" s="6" t="n"/>
      <c r="E2035" s="7" t="n"/>
      <c r="F2035" s="6" t="n"/>
      <c r="G2035" s="8">
        <f>IF(B2035="","",IFERROR(VLOOKUP(--B2035,'CATALOGO CECO'!$A$2:$H$550,2,FALSE),"CECO NO EXISTE"))</f>
        <v/>
      </c>
      <c r="H2035" s="8">
        <f>IF(B2035="","",IFERROR(VLOOKUP(--B2035,'CATALOGO CECO'!$A$2:$H$550,3,FALSE),""))</f>
        <v/>
      </c>
      <c r="I2035" s="8">
        <f>IF(B2035="","",IFERROR(VLOOKUP(--B2035,'CATALOGO CECO'!$A$2:$H$550,5,FALSE),""))</f>
        <v/>
      </c>
      <c r="J2035" s="8">
        <f>IF(B2035="","",IFERROR(VLOOKUP(--B2035,'CATALOGO CECO'!$A$2:$H$550,8,FALSE),""))</f>
        <v/>
      </c>
      <c r="K2035" s="8">
        <f>IF(COUNTA(A2035:F2035)=0,"",IF(OR(LEN(A2035)&lt;&gt;7,MID(A2035,5,1)&lt;&gt;"-",ISERROR(--LEFT(A2035,4)),ISERROR(--RIGHT(A2035,2))),"ERROR: PERIODO debe ser AAAA-MM",IF(B2035="","ERROR: falta CODIGO CECO",IF(G2035="CECO NO EXISTE","ERROR: CECO no existe en el catálogo",IF(C2035="","ERROR: falta CUENTA",IF(ISERROR(--C2035),"ERROR: CUENTA debe tener solo dígitos",IF(ISERROR(FIND(LEFT(C2035,1),"567")),"ERROR: CUENTA fuera de las clases de costo",IF(NOT(ISNUMBER(E2035)),"ERROR: VALOR debe ser numérico",IF(E2035=0,"AVISO: valor cero (no se carga)",IF(J2035&lt;&gt;"ACTIVO","NO SE CARGA: CECO en estado "&amp;J2035,"OK"))))))))))</f>
        <v/>
      </c>
    </row>
    <row r="2036">
      <c r="A2036" s="5" t="n"/>
      <c r="B2036" s="6" t="n"/>
      <c r="C2036" s="5" t="n"/>
      <c r="D2036" s="6" t="n"/>
      <c r="E2036" s="7" t="n"/>
      <c r="F2036" s="6" t="n"/>
      <c r="G2036" s="8">
        <f>IF(B2036="","",IFERROR(VLOOKUP(--B2036,'CATALOGO CECO'!$A$2:$H$550,2,FALSE),"CECO NO EXISTE"))</f>
        <v/>
      </c>
      <c r="H2036" s="8">
        <f>IF(B2036="","",IFERROR(VLOOKUP(--B2036,'CATALOGO CECO'!$A$2:$H$550,3,FALSE),""))</f>
        <v/>
      </c>
      <c r="I2036" s="8">
        <f>IF(B2036="","",IFERROR(VLOOKUP(--B2036,'CATALOGO CECO'!$A$2:$H$550,5,FALSE),""))</f>
        <v/>
      </c>
      <c r="J2036" s="8">
        <f>IF(B2036="","",IFERROR(VLOOKUP(--B2036,'CATALOGO CECO'!$A$2:$H$550,8,FALSE),""))</f>
        <v/>
      </c>
      <c r="K2036" s="8">
        <f>IF(COUNTA(A2036:F2036)=0,"",IF(OR(LEN(A2036)&lt;&gt;7,MID(A2036,5,1)&lt;&gt;"-",ISERROR(--LEFT(A2036,4)),ISERROR(--RIGHT(A2036,2))),"ERROR: PERIODO debe ser AAAA-MM",IF(B2036="","ERROR: falta CODIGO CECO",IF(G2036="CECO NO EXISTE","ERROR: CECO no existe en el catálogo",IF(C2036="","ERROR: falta CUENTA",IF(ISERROR(--C2036),"ERROR: CUENTA debe tener solo dígitos",IF(ISERROR(FIND(LEFT(C2036,1),"567")),"ERROR: CUENTA fuera de las clases de costo",IF(NOT(ISNUMBER(E2036)),"ERROR: VALOR debe ser numérico",IF(E2036=0,"AVISO: valor cero (no se carga)",IF(J2036&lt;&gt;"ACTIVO","NO SE CARGA: CECO en estado "&amp;J2036,"OK"))))))))))</f>
        <v/>
      </c>
    </row>
    <row r="2037">
      <c r="A2037" s="5" t="n"/>
      <c r="B2037" s="6" t="n"/>
      <c r="C2037" s="5" t="n"/>
      <c r="D2037" s="6" t="n"/>
      <c r="E2037" s="7" t="n"/>
      <c r="F2037" s="6" t="n"/>
      <c r="G2037" s="8">
        <f>IF(B2037="","",IFERROR(VLOOKUP(--B2037,'CATALOGO CECO'!$A$2:$H$550,2,FALSE),"CECO NO EXISTE"))</f>
        <v/>
      </c>
      <c r="H2037" s="8">
        <f>IF(B2037="","",IFERROR(VLOOKUP(--B2037,'CATALOGO CECO'!$A$2:$H$550,3,FALSE),""))</f>
        <v/>
      </c>
      <c r="I2037" s="8">
        <f>IF(B2037="","",IFERROR(VLOOKUP(--B2037,'CATALOGO CECO'!$A$2:$H$550,5,FALSE),""))</f>
        <v/>
      </c>
      <c r="J2037" s="8">
        <f>IF(B2037="","",IFERROR(VLOOKUP(--B2037,'CATALOGO CECO'!$A$2:$H$550,8,FALSE),""))</f>
        <v/>
      </c>
      <c r="K2037" s="8">
        <f>IF(COUNTA(A2037:F2037)=0,"",IF(OR(LEN(A2037)&lt;&gt;7,MID(A2037,5,1)&lt;&gt;"-",ISERROR(--LEFT(A2037,4)),ISERROR(--RIGHT(A2037,2))),"ERROR: PERIODO debe ser AAAA-MM",IF(B2037="","ERROR: falta CODIGO CECO",IF(G2037="CECO NO EXISTE","ERROR: CECO no existe en el catálogo",IF(C2037="","ERROR: falta CUENTA",IF(ISERROR(--C2037),"ERROR: CUENTA debe tener solo dígitos",IF(ISERROR(FIND(LEFT(C2037,1),"567")),"ERROR: CUENTA fuera de las clases de costo",IF(NOT(ISNUMBER(E2037)),"ERROR: VALOR debe ser numérico",IF(E2037=0,"AVISO: valor cero (no se carga)",IF(J2037&lt;&gt;"ACTIVO","NO SE CARGA: CECO en estado "&amp;J2037,"OK"))))))))))</f>
        <v/>
      </c>
    </row>
    <row r="2038">
      <c r="A2038" s="5" t="n"/>
      <c r="B2038" s="6" t="n"/>
      <c r="C2038" s="5" t="n"/>
      <c r="D2038" s="6" t="n"/>
      <c r="E2038" s="7" t="n"/>
      <c r="F2038" s="6" t="n"/>
      <c r="G2038" s="8">
        <f>IF(B2038="","",IFERROR(VLOOKUP(--B2038,'CATALOGO CECO'!$A$2:$H$550,2,FALSE),"CECO NO EXISTE"))</f>
        <v/>
      </c>
      <c r="H2038" s="8">
        <f>IF(B2038="","",IFERROR(VLOOKUP(--B2038,'CATALOGO CECO'!$A$2:$H$550,3,FALSE),""))</f>
        <v/>
      </c>
      <c r="I2038" s="8">
        <f>IF(B2038="","",IFERROR(VLOOKUP(--B2038,'CATALOGO CECO'!$A$2:$H$550,5,FALSE),""))</f>
        <v/>
      </c>
      <c r="J2038" s="8">
        <f>IF(B2038="","",IFERROR(VLOOKUP(--B2038,'CATALOGO CECO'!$A$2:$H$550,8,FALSE),""))</f>
        <v/>
      </c>
      <c r="K2038" s="8">
        <f>IF(COUNTA(A2038:F2038)=0,"",IF(OR(LEN(A2038)&lt;&gt;7,MID(A2038,5,1)&lt;&gt;"-",ISERROR(--LEFT(A2038,4)),ISERROR(--RIGHT(A2038,2))),"ERROR: PERIODO debe ser AAAA-MM",IF(B2038="","ERROR: falta CODIGO CECO",IF(G2038="CECO NO EXISTE","ERROR: CECO no existe en el catálogo",IF(C2038="","ERROR: falta CUENTA",IF(ISERROR(--C2038),"ERROR: CUENTA debe tener solo dígitos",IF(ISERROR(FIND(LEFT(C2038,1),"567")),"ERROR: CUENTA fuera de las clases de costo",IF(NOT(ISNUMBER(E2038)),"ERROR: VALOR debe ser numérico",IF(E2038=0,"AVISO: valor cero (no se carga)",IF(J2038&lt;&gt;"ACTIVO","NO SE CARGA: CECO en estado "&amp;J2038,"OK"))))))))))</f>
        <v/>
      </c>
    </row>
    <row r="2039">
      <c r="A2039" s="5" t="n"/>
      <c r="B2039" s="6" t="n"/>
      <c r="C2039" s="5" t="n"/>
      <c r="D2039" s="6" t="n"/>
      <c r="E2039" s="7" t="n"/>
      <c r="F2039" s="6" t="n"/>
      <c r="G2039" s="8">
        <f>IF(B2039="","",IFERROR(VLOOKUP(--B2039,'CATALOGO CECO'!$A$2:$H$550,2,FALSE),"CECO NO EXISTE"))</f>
        <v/>
      </c>
      <c r="H2039" s="8">
        <f>IF(B2039="","",IFERROR(VLOOKUP(--B2039,'CATALOGO CECO'!$A$2:$H$550,3,FALSE),""))</f>
        <v/>
      </c>
      <c r="I2039" s="8">
        <f>IF(B2039="","",IFERROR(VLOOKUP(--B2039,'CATALOGO CECO'!$A$2:$H$550,5,FALSE),""))</f>
        <v/>
      </c>
      <c r="J2039" s="8">
        <f>IF(B2039="","",IFERROR(VLOOKUP(--B2039,'CATALOGO CECO'!$A$2:$H$550,8,FALSE),""))</f>
        <v/>
      </c>
      <c r="K2039" s="8">
        <f>IF(COUNTA(A2039:F2039)=0,"",IF(OR(LEN(A2039)&lt;&gt;7,MID(A2039,5,1)&lt;&gt;"-",ISERROR(--LEFT(A2039,4)),ISERROR(--RIGHT(A2039,2))),"ERROR: PERIODO debe ser AAAA-MM",IF(B2039="","ERROR: falta CODIGO CECO",IF(G2039="CECO NO EXISTE","ERROR: CECO no existe en el catálogo",IF(C2039="","ERROR: falta CUENTA",IF(ISERROR(--C2039),"ERROR: CUENTA debe tener solo dígitos",IF(ISERROR(FIND(LEFT(C2039,1),"567")),"ERROR: CUENTA fuera de las clases de costo",IF(NOT(ISNUMBER(E2039)),"ERROR: VALOR debe ser numérico",IF(E2039=0,"AVISO: valor cero (no se carga)",IF(J2039&lt;&gt;"ACTIVO","NO SE CARGA: CECO en estado "&amp;J2039,"OK"))))))))))</f>
        <v/>
      </c>
    </row>
    <row r="2040">
      <c r="A2040" s="5" t="n"/>
      <c r="B2040" s="6" t="n"/>
      <c r="C2040" s="5" t="n"/>
      <c r="D2040" s="6" t="n"/>
      <c r="E2040" s="7" t="n"/>
      <c r="F2040" s="6" t="n"/>
      <c r="G2040" s="8">
        <f>IF(B2040="","",IFERROR(VLOOKUP(--B2040,'CATALOGO CECO'!$A$2:$H$550,2,FALSE),"CECO NO EXISTE"))</f>
        <v/>
      </c>
      <c r="H2040" s="8">
        <f>IF(B2040="","",IFERROR(VLOOKUP(--B2040,'CATALOGO CECO'!$A$2:$H$550,3,FALSE),""))</f>
        <v/>
      </c>
      <c r="I2040" s="8">
        <f>IF(B2040="","",IFERROR(VLOOKUP(--B2040,'CATALOGO CECO'!$A$2:$H$550,5,FALSE),""))</f>
        <v/>
      </c>
      <c r="J2040" s="8">
        <f>IF(B2040="","",IFERROR(VLOOKUP(--B2040,'CATALOGO CECO'!$A$2:$H$550,8,FALSE),""))</f>
        <v/>
      </c>
      <c r="K2040" s="8">
        <f>IF(COUNTA(A2040:F2040)=0,"",IF(OR(LEN(A2040)&lt;&gt;7,MID(A2040,5,1)&lt;&gt;"-",ISERROR(--LEFT(A2040,4)),ISERROR(--RIGHT(A2040,2))),"ERROR: PERIODO debe ser AAAA-MM",IF(B2040="","ERROR: falta CODIGO CECO",IF(G2040="CECO NO EXISTE","ERROR: CECO no existe en el catálogo",IF(C2040="","ERROR: falta CUENTA",IF(ISERROR(--C2040),"ERROR: CUENTA debe tener solo dígitos",IF(ISERROR(FIND(LEFT(C2040,1),"567")),"ERROR: CUENTA fuera de las clases de costo",IF(NOT(ISNUMBER(E2040)),"ERROR: VALOR debe ser numérico",IF(E2040=0,"AVISO: valor cero (no se carga)",IF(J2040&lt;&gt;"ACTIVO","NO SE CARGA: CECO en estado "&amp;J2040,"OK"))))))))))</f>
        <v/>
      </c>
    </row>
    <row r="2041">
      <c r="A2041" s="5" t="n"/>
      <c r="B2041" s="6" t="n"/>
      <c r="C2041" s="5" t="n"/>
      <c r="D2041" s="6" t="n"/>
      <c r="E2041" s="7" t="n"/>
      <c r="F2041" s="6" t="n"/>
      <c r="G2041" s="8">
        <f>IF(B2041="","",IFERROR(VLOOKUP(--B2041,'CATALOGO CECO'!$A$2:$H$550,2,FALSE),"CECO NO EXISTE"))</f>
        <v/>
      </c>
      <c r="H2041" s="8">
        <f>IF(B2041="","",IFERROR(VLOOKUP(--B2041,'CATALOGO CECO'!$A$2:$H$550,3,FALSE),""))</f>
        <v/>
      </c>
      <c r="I2041" s="8">
        <f>IF(B2041="","",IFERROR(VLOOKUP(--B2041,'CATALOGO CECO'!$A$2:$H$550,5,FALSE),""))</f>
        <v/>
      </c>
      <c r="J2041" s="8">
        <f>IF(B2041="","",IFERROR(VLOOKUP(--B2041,'CATALOGO CECO'!$A$2:$H$550,8,FALSE),""))</f>
        <v/>
      </c>
      <c r="K2041" s="8">
        <f>IF(COUNTA(A2041:F2041)=0,"",IF(OR(LEN(A2041)&lt;&gt;7,MID(A2041,5,1)&lt;&gt;"-",ISERROR(--LEFT(A2041,4)),ISERROR(--RIGHT(A2041,2))),"ERROR: PERIODO debe ser AAAA-MM",IF(B2041="","ERROR: falta CODIGO CECO",IF(G2041="CECO NO EXISTE","ERROR: CECO no existe en el catálogo",IF(C2041="","ERROR: falta CUENTA",IF(ISERROR(--C2041),"ERROR: CUENTA debe tener solo dígitos",IF(ISERROR(FIND(LEFT(C2041,1),"567")),"ERROR: CUENTA fuera de las clases de costo",IF(NOT(ISNUMBER(E2041)),"ERROR: VALOR debe ser numérico",IF(E2041=0,"AVISO: valor cero (no se carga)",IF(J2041&lt;&gt;"ACTIVO","NO SE CARGA: CECO en estado "&amp;J2041,"OK"))))))))))</f>
        <v/>
      </c>
    </row>
    <row r="2042">
      <c r="A2042" s="5" t="n"/>
      <c r="B2042" s="6" t="n"/>
      <c r="C2042" s="5" t="n"/>
      <c r="D2042" s="6" t="n"/>
      <c r="E2042" s="7" t="n"/>
      <c r="F2042" s="6" t="n"/>
      <c r="G2042" s="8">
        <f>IF(B2042="","",IFERROR(VLOOKUP(--B2042,'CATALOGO CECO'!$A$2:$H$550,2,FALSE),"CECO NO EXISTE"))</f>
        <v/>
      </c>
      <c r="H2042" s="8">
        <f>IF(B2042="","",IFERROR(VLOOKUP(--B2042,'CATALOGO CECO'!$A$2:$H$550,3,FALSE),""))</f>
        <v/>
      </c>
      <c r="I2042" s="8">
        <f>IF(B2042="","",IFERROR(VLOOKUP(--B2042,'CATALOGO CECO'!$A$2:$H$550,5,FALSE),""))</f>
        <v/>
      </c>
      <c r="J2042" s="8">
        <f>IF(B2042="","",IFERROR(VLOOKUP(--B2042,'CATALOGO CECO'!$A$2:$H$550,8,FALSE),""))</f>
        <v/>
      </c>
      <c r="K2042" s="8">
        <f>IF(COUNTA(A2042:F2042)=0,"",IF(OR(LEN(A2042)&lt;&gt;7,MID(A2042,5,1)&lt;&gt;"-",ISERROR(--LEFT(A2042,4)),ISERROR(--RIGHT(A2042,2))),"ERROR: PERIODO debe ser AAAA-MM",IF(B2042="","ERROR: falta CODIGO CECO",IF(G2042="CECO NO EXISTE","ERROR: CECO no existe en el catálogo",IF(C2042="","ERROR: falta CUENTA",IF(ISERROR(--C2042),"ERROR: CUENTA debe tener solo dígitos",IF(ISERROR(FIND(LEFT(C2042,1),"567")),"ERROR: CUENTA fuera de las clases de costo",IF(NOT(ISNUMBER(E2042)),"ERROR: VALOR debe ser numérico",IF(E2042=0,"AVISO: valor cero (no se carga)",IF(J2042&lt;&gt;"ACTIVO","NO SE CARGA: CECO en estado "&amp;J2042,"OK"))))))))))</f>
        <v/>
      </c>
    </row>
    <row r="2043">
      <c r="A2043" s="5" t="n"/>
      <c r="B2043" s="6" t="n"/>
      <c r="C2043" s="5" t="n"/>
      <c r="D2043" s="6" t="n"/>
      <c r="E2043" s="7" t="n"/>
      <c r="F2043" s="6" t="n"/>
      <c r="G2043" s="8">
        <f>IF(B2043="","",IFERROR(VLOOKUP(--B2043,'CATALOGO CECO'!$A$2:$H$550,2,FALSE),"CECO NO EXISTE"))</f>
        <v/>
      </c>
      <c r="H2043" s="8">
        <f>IF(B2043="","",IFERROR(VLOOKUP(--B2043,'CATALOGO CECO'!$A$2:$H$550,3,FALSE),""))</f>
        <v/>
      </c>
      <c r="I2043" s="8">
        <f>IF(B2043="","",IFERROR(VLOOKUP(--B2043,'CATALOGO CECO'!$A$2:$H$550,5,FALSE),""))</f>
        <v/>
      </c>
      <c r="J2043" s="8">
        <f>IF(B2043="","",IFERROR(VLOOKUP(--B2043,'CATALOGO CECO'!$A$2:$H$550,8,FALSE),""))</f>
        <v/>
      </c>
      <c r="K2043" s="8">
        <f>IF(COUNTA(A2043:F2043)=0,"",IF(OR(LEN(A2043)&lt;&gt;7,MID(A2043,5,1)&lt;&gt;"-",ISERROR(--LEFT(A2043,4)),ISERROR(--RIGHT(A2043,2))),"ERROR: PERIODO debe ser AAAA-MM",IF(B2043="","ERROR: falta CODIGO CECO",IF(G2043="CECO NO EXISTE","ERROR: CECO no existe en el catálogo",IF(C2043="","ERROR: falta CUENTA",IF(ISERROR(--C2043),"ERROR: CUENTA debe tener solo dígitos",IF(ISERROR(FIND(LEFT(C2043,1),"567")),"ERROR: CUENTA fuera de las clases de costo",IF(NOT(ISNUMBER(E2043)),"ERROR: VALOR debe ser numérico",IF(E2043=0,"AVISO: valor cero (no se carga)",IF(J2043&lt;&gt;"ACTIVO","NO SE CARGA: CECO en estado "&amp;J2043,"OK"))))))))))</f>
        <v/>
      </c>
    </row>
    <row r="2044">
      <c r="A2044" s="5" t="n"/>
      <c r="B2044" s="6" t="n"/>
      <c r="C2044" s="5" t="n"/>
      <c r="D2044" s="6" t="n"/>
      <c r="E2044" s="7" t="n"/>
      <c r="F2044" s="6" t="n"/>
      <c r="G2044" s="8">
        <f>IF(B2044="","",IFERROR(VLOOKUP(--B2044,'CATALOGO CECO'!$A$2:$H$550,2,FALSE),"CECO NO EXISTE"))</f>
        <v/>
      </c>
      <c r="H2044" s="8">
        <f>IF(B2044="","",IFERROR(VLOOKUP(--B2044,'CATALOGO CECO'!$A$2:$H$550,3,FALSE),""))</f>
        <v/>
      </c>
      <c r="I2044" s="8">
        <f>IF(B2044="","",IFERROR(VLOOKUP(--B2044,'CATALOGO CECO'!$A$2:$H$550,5,FALSE),""))</f>
        <v/>
      </c>
      <c r="J2044" s="8">
        <f>IF(B2044="","",IFERROR(VLOOKUP(--B2044,'CATALOGO CECO'!$A$2:$H$550,8,FALSE),""))</f>
        <v/>
      </c>
      <c r="K2044" s="8">
        <f>IF(COUNTA(A2044:F2044)=0,"",IF(OR(LEN(A2044)&lt;&gt;7,MID(A2044,5,1)&lt;&gt;"-",ISERROR(--LEFT(A2044,4)),ISERROR(--RIGHT(A2044,2))),"ERROR: PERIODO debe ser AAAA-MM",IF(B2044="","ERROR: falta CODIGO CECO",IF(G2044="CECO NO EXISTE","ERROR: CECO no existe en el catálogo",IF(C2044="","ERROR: falta CUENTA",IF(ISERROR(--C2044),"ERROR: CUENTA debe tener solo dígitos",IF(ISERROR(FIND(LEFT(C2044,1),"567")),"ERROR: CUENTA fuera de las clases de costo",IF(NOT(ISNUMBER(E2044)),"ERROR: VALOR debe ser numérico",IF(E2044=0,"AVISO: valor cero (no se carga)",IF(J2044&lt;&gt;"ACTIVO","NO SE CARGA: CECO en estado "&amp;J2044,"OK"))))))))))</f>
        <v/>
      </c>
    </row>
    <row r="2045">
      <c r="A2045" s="5" t="n"/>
      <c r="B2045" s="6" t="n"/>
      <c r="C2045" s="5" t="n"/>
      <c r="D2045" s="6" t="n"/>
      <c r="E2045" s="7" t="n"/>
      <c r="F2045" s="6" t="n"/>
      <c r="G2045" s="8">
        <f>IF(B2045="","",IFERROR(VLOOKUP(--B2045,'CATALOGO CECO'!$A$2:$H$550,2,FALSE),"CECO NO EXISTE"))</f>
        <v/>
      </c>
      <c r="H2045" s="8">
        <f>IF(B2045="","",IFERROR(VLOOKUP(--B2045,'CATALOGO CECO'!$A$2:$H$550,3,FALSE),""))</f>
        <v/>
      </c>
      <c r="I2045" s="8">
        <f>IF(B2045="","",IFERROR(VLOOKUP(--B2045,'CATALOGO CECO'!$A$2:$H$550,5,FALSE),""))</f>
        <v/>
      </c>
      <c r="J2045" s="8">
        <f>IF(B2045="","",IFERROR(VLOOKUP(--B2045,'CATALOGO CECO'!$A$2:$H$550,8,FALSE),""))</f>
        <v/>
      </c>
      <c r="K2045" s="8">
        <f>IF(COUNTA(A2045:F2045)=0,"",IF(OR(LEN(A2045)&lt;&gt;7,MID(A2045,5,1)&lt;&gt;"-",ISERROR(--LEFT(A2045,4)),ISERROR(--RIGHT(A2045,2))),"ERROR: PERIODO debe ser AAAA-MM",IF(B2045="","ERROR: falta CODIGO CECO",IF(G2045="CECO NO EXISTE","ERROR: CECO no existe en el catálogo",IF(C2045="","ERROR: falta CUENTA",IF(ISERROR(--C2045),"ERROR: CUENTA debe tener solo dígitos",IF(ISERROR(FIND(LEFT(C2045,1),"567")),"ERROR: CUENTA fuera de las clases de costo",IF(NOT(ISNUMBER(E2045)),"ERROR: VALOR debe ser numérico",IF(E2045=0,"AVISO: valor cero (no se carga)",IF(J2045&lt;&gt;"ACTIVO","NO SE CARGA: CECO en estado "&amp;J2045,"OK"))))))))))</f>
        <v/>
      </c>
    </row>
    <row r="2046">
      <c r="A2046" s="5" t="n"/>
      <c r="B2046" s="6" t="n"/>
      <c r="C2046" s="5" t="n"/>
      <c r="D2046" s="6" t="n"/>
      <c r="E2046" s="7" t="n"/>
      <c r="F2046" s="6" t="n"/>
      <c r="G2046" s="8">
        <f>IF(B2046="","",IFERROR(VLOOKUP(--B2046,'CATALOGO CECO'!$A$2:$H$550,2,FALSE),"CECO NO EXISTE"))</f>
        <v/>
      </c>
      <c r="H2046" s="8">
        <f>IF(B2046="","",IFERROR(VLOOKUP(--B2046,'CATALOGO CECO'!$A$2:$H$550,3,FALSE),""))</f>
        <v/>
      </c>
      <c r="I2046" s="8">
        <f>IF(B2046="","",IFERROR(VLOOKUP(--B2046,'CATALOGO CECO'!$A$2:$H$550,5,FALSE),""))</f>
        <v/>
      </c>
      <c r="J2046" s="8">
        <f>IF(B2046="","",IFERROR(VLOOKUP(--B2046,'CATALOGO CECO'!$A$2:$H$550,8,FALSE),""))</f>
        <v/>
      </c>
      <c r="K2046" s="8">
        <f>IF(COUNTA(A2046:F2046)=0,"",IF(OR(LEN(A2046)&lt;&gt;7,MID(A2046,5,1)&lt;&gt;"-",ISERROR(--LEFT(A2046,4)),ISERROR(--RIGHT(A2046,2))),"ERROR: PERIODO debe ser AAAA-MM",IF(B2046="","ERROR: falta CODIGO CECO",IF(G2046="CECO NO EXISTE","ERROR: CECO no existe en el catálogo",IF(C2046="","ERROR: falta CUENTA",IF(ISERROR(--C2046),"ERROR: CUENTA debe tener solo dígitos",IF(ISERROR(FIND(LEFT(C2046,1),"567")),"ERROR: CUENTA fuera de las clases de costo",IF(NOT(ISNUMBER(E2046)),"ERROR: VALOR debe ser numérico",IF(E2046=0,"AVISO: valor cero (no se carga)",IF(J2046&lt;&gt;"ACTIVO","NO SE CARGA: CECO en estado "&amp;J2046,"OK"))))))))))</f>
        <v/>
      </c>
    </row>
    <row r="2047">
      <c r="A2047" s="5" t="n"/>
      <c r="B2047" s="6" t="n"/>
      <c r="C2047" s="5" t="n"/>
      <c r="D2047" s="6" t="n"/>
      <c r="E2047" s="7" t="n"/>
      <c r="F2047" s="6" t="n"/>
      <c r="G2047" s="8">
        <f>IF(B2047="","",IFERROR(VLOOKUP(--B2047,'CATALOGO CECO'!$A$2:$H$550,2,FALSE),"CECO NO EXISTE"))</f>
        <v/>
      </c>
      <c r="H2047" s="8">
        <f>IF(B2047="","",IFERROR(VLOOKUP(--B2047,'CATALOGO CECO'!$A$2:$H$550,3,FALSE),""))</f>
        <v/>
      </c>
      <c r="I2047" s="8">
        <f>IF(B2047="","",IFERROR(VLOOKUP(--B2047,'CATALOGO CECO'!$A$2:$H$550,5,FALSE),""))</f>
        <v/>
      </c>
      <c r="J2047" s="8">
        <f>IF(B2047="","",IFERROR(VLOOKUP(--B2047,'CATALOGO CECO'!$A$2:$H$550,8,FALSE),""))</f>
        <v/>
      </c>
      <c r="K2047" s="8">
        <f>IF(COUNTA(A2047:F2047)=0,"",IF(OR(LEN(A2047)&lt;&gt;7,MID(A2047,5,1)&lt;&gt;"-",ISERROR(--LEFT(A2047,4)),ISERROR(--RIGHT(A2047,2))),"ERROR: PERIODO debe ser AAAA-MM",IF(B2047="","ERROR: falta CODIGO CECO",IF(G2047="CECO NO EXISTE","ERROR: CECO no existe en el catálogo",IF(C2047="","ERROR: falta CUENTA",IF(ISERROR(--C2047),"ERROR: CUENTA debe tener solo dígitos",IF(ISERROR(FIND(LEFT(C2047,1),"567")),"ERROR: CUENTA fuera de las clases de costo",IF(NOT(ISNUMBER(E2047)),"ERROR: VALOR debe ser numérico",IF(E2047=0,"AVISO: valor cero (no se carga)",IF(J2047&lt;&gt;"ACTIVO","NO SE CARGA: CECO en estado "&amp;J2047,"OK"))))))))))</f>
        <v/>
      </c>
    </row>
    <row r="2048">
      <c r="A2048" s="5" t="n"/>
      <c r="B2048" s="6" t="n"/>
      <c r="C2048" s="5" t="n"/>
      <c r="D2048" s="6" t="n"/>
      <c r="E2048" s="7" t="n"/>
      <c r="F2048" s="6" t="n"/>
      <c r="G2048" s="8">
        <f>IF(B2048="","",IFERROR(VLOOKUP(--B2048,'CATALOGO CECO'!$A$2:$H$550,2,FALSE),"CECO NO EXISTE"))</f>
        <v/>
      </c>
      <c r="H2048" s="8">
        <f>IF(B2048="","",IFERROR(VLOOKUP(--B2048,'CATALOGO CECO'!$A$2:$H$550,3,FALSE),""))</f>
        <v/>
      </c>
      <c r="I2048" s="8">
        <f>IF(B2048="","",IFERROR(VLOOKUP(--B2048,'CATALOGO CECO'!$A$2:$H$550,5,FALSE),""))</f>
        <v/>
      </c>
      <c r="J2048" s="8">
        <f>IF(B2048="","",IFERROR(VLOOKUP(--B2048,'CATALOGO CECO'!$A$2:$H$550,8,FALSE),""))</f>
        <v/>
      </c>
      <c r="K2048" s="8">
        <f>IF(COUNTA(A2048:F2048)=0,"",IF(OR(LEN(A2048)&lt;&gt;7,MID(A2048,5,1)&lt;&gt;"-",ISERROR(--LEFT(A2048,4)),ISERROR(--RIGHT(A2048,2))),"ERROR: PERIODO debe ser AAAA-MM",IF(B2048="","ERROR: falta CODIGO CECO",IF(G2048="CECO NO EXISTE","ERROR: CECO no existe en el catálogo",IF(C2048="","ERROR: falta CUENTA",IF(ISERROR(--C2048),"ERROR: CUENTA debe tener solo dígitos",IF(ISERROR(FIND(LEFT(C2048,1),"567")),"ERROR: CUENTA fuera de las clases de costo",IF(NOT(ISNUMBER(E2048)),"ERROR: VALOR debe ser numérico",IF(E2048=0,"AVISO: valor cero (no se carga)",IF(J2048&lt;&gt;"ACTIVO","NO SE CARGA: CECO en estado "&amp;J2048,"OK"))))))))))</f>
        <v/>
      </c>
    </row>
    <row r="2049">
      <c r="A2049" s="5" t="n"/>
      <c r="B2049" s="6" t="n"/>
      <c r="C2049" s="5" t="n"/>
      <c r="D2049" s="6" t="n"/>
      <c r="E2049" s="7" t="n"/>
      <c r="F2049" s="6" t="n"/>
      <c r="G2049" s="8">
        <f>IF(B2049="","",IFERROR(VLOOKUP(--B2049,'CATALOGO CECO'!$A$2:$H$550,2,FALSE),"CECO NO EXISTE"))</f>
        <v/>
      </c>
      <c r="H2049" s="8">
        <f>IF(B2049="","",IFERROR(VLOOKUP(--B2049,'CATALOGO CECO'!$A$2:$H$550,3,FALSE),""))</f>
        <v/>
      </c>
      <c r="I2049" s="8">
        <f>IF(B2049="","",IFERROR(VLOOKUP(--B2049,'CATALOGO CECO'!$A$2:$H$550,5,FALSE),""))</f>
        <v/>
      </c>
      <c r="J2049" s="8">
        <f>IF(B2049="","",IFERROR(VLOOKUP(--B2049,'CATALOGO CECO'!$A$2:$H$550,8,FALSE),""))</f>
        <v/>
      </c>
      <c r="K2049" s="8">
        <f>IF(COUNTA(A2049:F2049)=0,"",IF(OR(LEN(A2049)&lt;&gt;7,MID(A2049,5,1)&lt;&gt;"-",ISERROR(--LEFT(A2049,4)),ISERROR(--RIGHT(A2049,2))),"ERROR: PERIODO debe ser AAAA-MM",IF(B2049="","ERROR: falta CODIGO CECO",IF(G2049="CECO NO EXISTE","ERROR: CECO no existe en el catálogo",IF(C2049="","ERROR: falta CUENTA",IF(ISERROR(--C2049),"ERROR: CUENTA debe tener solo dígitos",IF(ISERROR(FIND(LEFT(C2049,1),"567")),"ERROR: CUENTA fuera de las clases de costo",IF(NOT(ISNUMBER(E2049)),"ERROR: VALOR debe ser numérico",IF(E2049=0,"AVISO: valor cero (no se carga)",IF(J2049&lt;&gt;"ACTIVO","NO SE CARGA: CECO en estado "&amp;J2049,"OK"))))))))))</f>
        <v/>
      </c>
    </row>
    <row r="2050">
      <c r="A2050" s="5" t="n"/>
      <c r="B2050" s="6" t="n"/>
      <c r="C2050" s="5" t="n"/>
      <c r="D2050" s="6" t="n"/>
      <c r="E2050" s="7" t="n"/>
      <c r="F2050" s="6" t="n"/>
      <c r="G2050" s="8">
        <f>IF(B2050="","",IFERROR(VLOOKUP(--B2050,'CATALOGO CECO'!$A$2:$H$550,2,FALSE),"CECO NO EXISTE"))</f>
        <v/>
      </c>
      <c r="H2050" s="8">
        <f>IF(B2050="","",IFERROR(VLOOKUP(--B2050,'CATALOGO CECO'!$A$2:$H$550,3,FALSE),""))</f>
        <v/>
      </c>
      <c r="I2050" s="8">
        <f>IF(B2050="","",IFERROR(VLOOKUP(--B2050,'CATALOGO CECO'!$A$2:$H$550,5,FALSE),""))</f>
        <v/>
      </c>
      <c r="J2050" s="8">
        <f>IF(B2050="","",IFERROR(VLOOKUP(--B2050,'CATALOGO CECO'!$A$2:$H$550,8,FALSE),""))</f>
        <v/>
      </c>
      <c r="K2050" s="8">
        <f>IF(COUNTA(A2050:F2050)=0,"",IF(OR(LEN(A2050)&lt;&gt;7,MID(A2050,5,1)&lt;&gt;"-",ISERROR(--LEFT(A2050,4)),ISERROR(--RIGHT(A2050,2))),"ERROR: PERIODO debe ser AAAA-MM",IF(B2050="","ERROR: falta CODIGO CECO",IF(G2050="CECO NO EXISTE","ERROR: CECO no existe en el catálogo",IF(C2050="","ERROR: falta CUENTA",IF(ISERROR(--C2050),"ERROR: CUENTA debe tener solo dígitos",IF(ISERROR(FIND(LEFT(C2050,1),"567")),"ERROR: CUENTA fuera de las clases de costo",IF(NOT(ISNUMBER(E2050)),"ERROR: VALOR debe ser numérico",IF(E2050=0,"AVISO: valor cero (no se carga)",IF(J2050&lt;&gt;"ACTIVO","NO SE CARGA: CECO en estado "&amp;J2050,"OK"))))))))))</f>
        <v/>
      </c>
    </row>
    <row r="2051">
      <c r="A2051" s="5" t="n"/>
      <c r="B2051" s="6" t="n"/>
      <c r="C2051" s="5" t="n"/>
      <c r="D2051" s="6" t="n"/>
      <c r="E2051" s="7" t="n"/>
      <c r="F2051" s="6" t="n"/>
      <c r="G2051" s="8">
        <f>IF(B2051="","",IFERROR(VLOOKUP(--B2051,'CATALOGO CECO'!$A$2:$H$550,2,FALSE),"CECO NO EXISTE"))</f>
        <v/>
      </c>
      <c r="H2051" s="8">
        <f>IF(B2051="","",IFERROR(VLOOKUP(--B2051,'CATALOGO CECO'!$A$2:$H$550,3,FALSE),""))</f>
        <v/>
      </c>
      <c r="I2051" s="8">
        <f>IF(B2051="","",IFERROR(VLOOKUP(--B2051,'CATALOGO CECO'!$A$2:$H$550,5,FALSE),""))</f>
        <v/>
      </c>
      <c r="J2051" s="8">
        <f>IF(B2051="","",IFERROR(VLOOKUP(--B2051,'CATALOGO CECO'!$A$2:$H$550,8,FALSE),""))</f>
        <v/>
      </c>
      <c r="K2051" s="8">
        <f>IF(COUNTA(A2051:F2051)=0,"",IF(OR(LEN(A2051)&lt;&gt;7,MID(A2051,5,1)&lt;&gt;"-",ISERROR(--LEFT(A2051,4)),ISERROR(--RIGHT(A2051,2))),"ERROR: PERIODO debe ser AAAA-MM",IF(B2051="","ERROR: falta CODIGO CECO",IF(G2051="CECO NO EXISTE","ERROR: CECO no existe en el catálogo",IF(C2051="","ERROR: falta CUENTA",IF(ISERROR(--C2051),"ERROR: CUENTA debe tener solo dígitos",IF(ISERROR(FIND(LEFT(C2051,1),"567")),"ERROR: CUENTA fuera de las clases de costo",IF(NOT(ISNUMBER(E2051)),"ERROR: VALOR debe ser numérico",IF(E2051=0,"AVISO: valor cero (no se carga)",IF(J2051&lt;&gt;"ACTIVO","NO SE CARGA: CECO en estado "&amp;J2051,"OK"))))))))))</f>
        <v/>
      </c>
    </row>
    <row r="2052">
      <c r="A2052" s="5" t="n"/>
      <c r="B2052" s="6" t="n"/>
      <c r="C2052" s="5" t="n"/>
      <c r="D2052" s="6" t="n"/>
      <c r="E2052" s="7" t="n"/>
      <c r="F2052" s="6" t="n"/>
      <c r="G2052" s="8">
        <f>IF(B2052="","",IFERROR(VLOOKUP(--B2052,'CATALOGO CECO'!$A$2:$H$550,2,FALSE),"CECO NO EXISTE"))</f>
        <v/>
      </c>
      <c r="H2052" s="8">
        <f>IF(B2052="","",IFERROR(VLOOKUP(--B2052,'CATALOGO CECO'!$A$2:$H$550,3,FALSE),""))</f>
        <v/>
      </c>
      <c r="I2052" s="8">
        <f>IF(B2052="","",IFERROR(VLOOKUP(--B2052,'CATALOGO CECO'!$A$2:$H$550,5,FALSE),""))</f>
        <v/>
      </c>
      <c r="J2052" s="8">
        <f>IF(B2052="","",IFERROR(VLOOKUP(--B2052,'CATALOGO CECO'!$A$2:$H$550,8,FALSE),""))</f>
        <v/>
      </c>
      <c r="K2052" s="8">
        <f>IF(COUNTA(A2052:F2052)=0,"",IF(OR(LEN(A2052)&lt;&gt;7,MID(A2052,5,1)&lt;&gt;"-",ISERROR(--LEFT(A2052,4)),ISERROR(--RIGHT(A2052,2))),"ERROR: PERIODO debe ser AAAA-MM",IF(B2052="","ERROR: falta CODIGO CECO",IF(G2052="CECO NO EXISTE","ERROR: CECO no existe en el catálogo",IF(C2052="","ERROR: falta CUENTA",IF(ISERROR(--C2052),"ERROR: CUENTA debe tener solo dígitos",IF(ISERROR(FIND(LEFT(C2052,1),"567")),"ERROR: CUENTA fuera de las clases de costo",IF(NOT(ISNUMBER(E2052)),"ERROR: VALOR debe ser numérico",IF(E2052=0,"AVISO: valor cero (no se carga)",IF(J2052&lt;&gt;"ACTIVO","NO SE CARGA: CECO en estado "&amp;J2052,"OK"))))))))))</f>
        <v/>
      </c>
    </row>
    <row r="2053">
      <c r="A2053" s="5" t="n"/>
      <c r="B2053" s="6" t="n"/>
      <c r="C2053" s="5" t="n"/>
      <c r="D2053" s="6" t="n"/>
      <c r="E2053" s="7" t="n"/>
      <c r="F2053" s="6" t="n"/>
      <c r="G2053" s="8">
        <f>IF(B2053="","",IFERROR(VLOOKUP(--B2053,'CATALOGO CECO'!$A$2:$H$550,2,FALSE),"CECO NO EXISTE"))</f>
        <v/>
      </c>
      <c r="H2053" s="8">
        <f>IF(B2053="","",IFERROR(VLOOKUP(--B2053,'CATALOGO CECO'!$A$2:$H$550,3,FALSE),""))</f>
        <v/>
      </c>
      <c r="I2053" s="8">
        <f>IF(B2053="","",IFERROR(VLOOKUP(--B2053,'CATALOGO CECO'!$A$2:$H$550,5,FALSE),""))</f>
        <v/>
      </c>
      <c r="J2053" s="8">
        <f>IF(B2053="","",IFERROR(VLOOKUP(--B2053,'CATALOGO CECO'!$A$2:$H$550,8,FALSE),""))</f>
        <v/>
      </c>
      <c r="K2053" s="8">
        <f>IF(COUNTA(A2053:F2053)=0,"",IF(OR(LEN(A2053)&lt;&gt;7,MID(A2053,5,1)&lt;&gt;"-",ISERROR(--LEFT(A2053,4)),ISERROR(--RIGHT(A2053,2))),"ERROR: PERIODO debe ser AAAA-MM",IF(B2053="","ERROR: falta CODIGO CECO",IF(G2053="CECO NO EXISTE","ERROR: CECO no existe en el catálogo",IF(C2053="","ERROR: falta CUENTA",IF(ISERROR(--C2053),"ERROR: CUENTA debe tener solo dígitos",IF(ISERROR(FIND(LEFT(C2053,1),"567")),"ERROR: CUENTA fuera de las clases de costo",IF(NOT(ISNUMBER(E2053)),"ERROR: VALOR debe ser numérico",IF(E2053=0,"AVISO: valor cero (no se carga)",IF(J2053&lt;&gt;"ACTIVO","NO SE CARGA: CECO en estado "&amp;J2053,"OK"))))))))))</f>
        <v/>
      </c>
    </row>
    <row r="2054">
      <c r="A2054" s="5" t="n"/>
      <c r="B2054" s="6" t="n"/>
      <c r="C2054" s="5" t="n"/>
      <c r="D2054" s="6" t="n"/>
      <c r="E2054" s="7" t="n"/>
      <c r="F2054" s="6" t="n"/>
      <c r="G2054" s="8">
        <f>IF(B2054="","",IFERROR(VLOOKUP(--B2054,'CATALOGO CECO'!$A$2:$H$550,2,FALSE),"CECO NO EXISTE"))</f>
        <v/>
      </c>
      <c r="H2054" s="8">
        <f>IF(B2054="","",IFERROR(VLOOKUP(--B2054,'CATALOGO CECO'!$A$2:$H$550,3,FALSE),""))</f>
        <v/>
      </c>
      <c r="I2054" s="8">
        <f>IF(B2054="","",IFERROR(VLOOKUP(--B2054,'CATALOGO CECO'!$A$2:$H$550,5,FALSE),""))</f>
        <v/>
      </c>
      <c r="J2054" s="8">
        <f>IF(B2054="","",IFERROR(VLOOKUP(--B2054,'CATALOGO CECO'!$A$2:$H$550,8,FALSE),""))</f>
        <v/>
      </c>
      <c r="K2054" s="8">
        <f>IF(COUNTA(A2054:F2054)=0,"",IF(OR(LEN(A2054)&lt;&gt;7,MID(A2054,5,1)&lt;&gt;"-",ISERROR(--LEFT(A2054,4)),ISERROR(--RIGHT(A2054,2))),"ERROR: PERIODO debe ser AAAA-MM",IF(B2054="","ERROR: falta CODIGO CECO",IF(G2054="CECO NO EXISTE","ERROR: CECO no existe en el catálogo",IF(C2054="","ERROR: falta CUENTA",IF(ISERROR(--C2054),"ERROR: CUENTA debe tener solo dígitos",IF(ISERROR(FIND(LEFT(C2054,1),"567")),"ERROR: CUENTA fuera de las clases de costo",IF(NOT(ISNUMBER(E2054)),"ERROR: VALOR debe ser numérico",IF(E2054=0,"AVISO: valor cero (no se carga)",IF(J2054&lt;&gt;"ACTIVO","NO SE CARGA: CECO en estado "&amp;J2054,"OK"))))))))))</f>
        <v/>
      </c>
    </row>
    <row r="2055">
      <c r="A2055" s="5" t="n"/>
      <c r="B2055" s="6" t="n"/>
      <c r="C2055" s="5" t="n"/>
      <c r="D2055" s="6" t="n"/>
      <c r="E2055" s="7" t="n"/>
      <c r="F2055" s="6" t="n"/>
      <c r="G2055" s="8">
        <f>IF(B2055="","",IFERROR(VLOOKUP(--B2055,'CATALOGO CECO'!$A$2:$H$550,2,FALSE),"CECO NO EXISTE"))</f>
        <v/>
      </c>
      <c r="H2055" s="8">
        <f>IF(B2055="","",IFERROR(VLOOKUP(--B2055,'CATALOGO CECO'!$A$2:$H$550,3,FALSE),""))</f>
        <v/>
      </c>
      <c r="I2055" s="8">
        <f>IF(B2055="","",IFERROR(VLOOKUP(--B2055,'CATALOGO CECO'!$A$2:$H$550,5,FALSE),""))</f>
        <v/>
      </c>
      <c r="J2055" s="8">
        <f>IF(B2055="","",IFERROR(VLOOKUP(--B2055,'CATALOGO CECO'!$A$2:$H$550,8,FALSE),""))</f>
        <v/>
      </c>
      <c r="K2055" s="8">
        <f>IF(COUNTA(A2055:F2055)=0,"",IF(OR(LEN(A2055)&lt;&gt;7,MID(A2055,5,1)&lt;&gt;"-",ISERROR(--LEFT(A2055,4)),ISERROR(--RIGHT(A2055,2))),"ERROR: PERIODO debe ser AAAA-MM",IF(B2055="","ERROR: falta CODIGO CECO",IF(G2055="CECO NO EXISTE","ERROR: CECO no existe en el catálogo",IF(C2055="","ERROR: falta CUENTA",IF(ISERROR(--C2055),"ERROR: CUENTA debe tener solo dígitos",IF(ISERROR(FIND(LEFT(C2055,1),"567")),"ERROR: CUENTA fuera de las clases de costo",IF(NOT(ISNUMBER(E2055)),"ERROR: VALOR debe ser numérico",IF(E2055=0,"AVISO: valor cero (no se carga)",IF(J2055&lt;&gt;"ACTIVO","NO SE CARGA: CECO en estado "&amp;J2055,"OK"))))))))))</f>
        <v/>
      </c>
    </row>
    <row r="2056">
      <c r="A2056" s="5" t="n"/>
      <c r="B2056" s="6" t="n"/>
      <c r="C2056" s="5" t="n"/>
      <c r="D2056" s="6" t="n"/>
      <c r="E2056" s="7" t="n"/>
      <c r="F2056" s="6" t="n"/>
      <c r="G2056" s="8">
        <f>IF(B2056="","",IFERROR(VLOOKUP(--B2056,'CATALOGO CECO'!$A$2:$H$550,2,FALSE),"CECO NO EXISTE"))</f>
        <v/>
      </c>
      <c r="H2056" s="8">
        <f>IF(B2056="","",IFERROR(VLOOKUP(--B2056,'CATALOGO CECO'!$A$2:$H$550,3,FALSE),""))</f>
        <v/>
      </c>
      <c r="I2056" s="8">
        <f>IF(B2056="","",IFERROR(VLOOKUP(--B2056,'CATALOGO CECO'!$A$2:$H$550,5,FALSE),""))</f>
        <v/>
      </c>
      <c r="J2056" s="8">
        <f>IF(B2056="","",IFERROR(VLOOKUP(--B2056,'CATALOGO CECO'!$A$2:$H$550,8,FALSE),""))</f>
        <v/>
      </c>
      <c r="K2056" s="8">
        <f>IF(COUNTA(A2056:F2056)=0,"",IF(OR(LEN(A2056)&lt;&gt;7,MID(A2056,5,1)&lt;&gt;"-",ISERROR(--LEFT(A2056,4)),ISERROR(--RIGHT(A2056,2))),"ERROR: PERIODO debe ser AAAA-MM",IF(B2056="","ERROR: falta CODIGO CECO",IF(G2056="CECO NO EXISTE","ERROR: CECO no existe en el catálogo",IF(C2056="","ERROR: falta CUENTA",IF(ISERROR(--C2056),"ERROR: CUENTA debe tener solo dígitos",IF(ISERROR(FIND(LEFT(C2056,1),"567")),"ERROR: CUENTA fuera de las clases de costo",IF(NOT(ISNUMBER(E2056)),"ERROR: VALOR debe ser numérico",IF(E2056=0,"AVISO: valor cero (no se carga)",IF(J2056&lt;&gt;"ACTIVO","NO SE CARGA: CECO en estado "&amp;J2056,"OK"))))))))))</f>
        <v/>
      </c>
    </row>
    <row r="2057">
      <c r="A2057" s="5" t="n"/>
      <c r="B2057" s="6" t="n"/>
      <c r="C2057" s="5" t="n"/>
      <c r="D2057" s="6" t="n"/>
      <c r="E2057" s="7" t="n"/>
      <c r="F2057" s="6" t="n"/>
      <c r="G2057" s="8">
        <f>IF(B2057="","",IFERROR(VLOOKUP(--B2057,'CATALOGO CECO'!$A$2:$H$550,2,FALSE),"CECO NO EXISTE"))</f>
        <v/>
      </c>
      <c r="H2057" s="8">
        <f>IF(B2057="","",IFERROR(VLOOKUP(--B2057,'CATALOGO CECO'!$A$2:$H$550,3,FALSE),""))</f>
        <v/>
      </c>
      <c r="I2057" s="8">
        <f>IF(B2057="","",IFERROR(VLOOKUP(--B2057,'CATALOGO CECO'!$A$2:$H$550,5,FALSE),""))</f>
        <v/>
      </c>
      <c r="J2057" s="8">
        <f>IF(B2057="","",IFERROR(VLOOKUP(--B2057,'CATALOGO CECO'!$A$2:$H$550,8,FALSE),""))</f>
        <v/>
      </c>
      <c r="K2057" s="8">
        <f>IF(COUNTA(A2057:F2057)=0,"",IF(OR(LEN(A2057)&lt;&gt;7,MID(A2057,5,1)&lt;&gt;"-",ISERROR(--LEFT(A2057,4)),ISERROR(--RIGHT(A2057,2))),"ERROR: PERIODO debe ser AAAA-MM",IF(B2057="","ERROR: falta CODIGO CECO",IF(G2057="CECO NO EXISTE","ERROR: CECO no existe en el catálogo",IF(C2057="","ERROR: falta CUENTA",IF(ISERROR(--C2057),"ERROR: CUENTA debe tener solo dígitos",IF(ISERROR(FIND(LEFT(C2057,1),"567")),"ERROR: CUENTA fuera de las clases de costo",IF(NOT(ISNUMBER(E2057)),"ERROR: VALOR debe ser numérico",IF(E2057=0,"AVISO: valor cero (no se carga)",IF(J2057&lt;&gt;"ACTIVO","NO SE CARGA: CECO en estado "&amp;J2057,"OK"))))))))))</f>
        <v/>
      </c>
    </row>
    <row r="2058">
      <c r="A2058" s="5" t="n"/>
      <c r="B2058" s="6" t="n"/>
      <c r="C2058" s="5" t="n"/>
      <c r="D2058" s="6" t="n"/>
      <c r="E2058" s="7" t="n"/>
      <c r="F2058" s="6" t="n"/>
      <c r="G2058" s="8">
        <f>IF(B2058="","",IFERROR(VLOOKUP(--B2058,'CATALOGO CECO'!$A$2:$H$550,2,FALSE),"CECO NO EXISTE"))</f>
        <v/>
      </c>
      <c r="H2058" s="8">
        <f>IF(B2058="","",IFERROR(VLOOKUP(--B2058,'CATALOGO CECO'!$A$2:$H$550,3,FALSE),""))</f>
        <v/>
      </c>
      <c r="I2058" s="8">
        <f>IF(B2058="","",IFERROR(VLOOKUP(--B2058,'CATALOGO CECO'!$A$2:$H$550,5,FALSE),""))</f>
        <v/>
      </c>
      <c r="J2058" s="8">
        <f>IF(B2058="","",IFERROR(VLOOKUP(--B2058,'CATALOGO CECO'!$A$2:$H$550,8,FALSE),""))</f>
        <v/>
      </c>
      <c r="K2058" s="8">
        <f>IF(COUNTA(A2058:F2058)=0,"",IF(OR(LEN(A2058)&lt;&gt;7,MID(A2058,5,1)&lt;&gt;"-",ISERROR(--LEFT(A2058,4)),ISERROR(--RIGHT(A2058,2))),"ERROR: PERIODO debe ser AAAA-MM",IF(B2058="","ERROR: falta CODIGO CECO",IF(G2058="CECO NO EXISTE","ERROR: CECO no existe en el catálogo",IF(C2058="","ERROR: falta CUENTA",IF(ISERROR(--C2058),"ERROR: CUENTA debe tener solo dígitos",IF(ISERROR(FIND(LEFT(C2058,1),"567")),"ERROR: CUENTA fuera de las clases de costo",IF(NOT(ISNUMBER(E2058)),"ERROR: VALOR debe ser numérico",IF(E2058=0,"AVISO: valor cero (no se carga)",IF(J2058&lt;&gt;"ACTIVO","NO SE CARGA: CECO en estado "&amp;J2058,"OK"))))))))))</f>
        <v/>
      </c>
    </row>
    <row r="2059">
      <c r="A2059" s="5" t="n"/>
      <c r="B2059" s="6" t="n"/>
      <c r="C2059" s="5" t="n"/>
      <c r="D2059" s="6" t="n"/>
      <c r="E2059" s="7" t="n"/>
      <c r="F2059" s="6" t="n"/>
      <c r="G2059" s="8">
        <f>IF(B2059="","",IFERROR(VLOOKUP(--B2059,'CATALOGO CECO'!$A$2:$H$550,2,FALSE),"CECO NO EXISTE"))</f>
        <v/>
      </c>
      <c r="H2059" s="8">
        <f>IF(B2059="","",IFERROR(VLOOKUP(--B2059,'CATALOGO CECO'!$A$2:$H$550,3,FALSE),""))</f>
        <v/>
      </c>
      <c r="I2059" s="8">
        <f>IF(B2059="","",IFERROR(VLOOKUP(--B2059,'CATALOGO CECO'!$A$2:$H$550,5,FALSE),""))</f>
        <v/>
      </c>
      <c r="J2059" s="8">
        <f>IF(B2059="","",IFERROR(VLOOKUP(--B2059,'CATALOGO CECO'!$A$2:$H$550,8,FALSE),""))</f>
        <v/>
      </c>
      <c r="K2059" s="8">
        <f>IF(COUNTA(A2059:F2059)=0,"",IF(OR(LEN(A2059)&lt;&gt;7,MID(A2059,5,1)&lt;&gt;"-",ISERROR(--LEFT(A2059,4)),ISERROR(--RIGHT(A2059,2))),"ERROR: PERIODO debe ser AAAA-MM",IF(B2059="","ERROR: falta CODIGO CECO",IF(G2059="CECO NO EXISTE","ERROR: CECO no existe en el catálogo",IF(C2059="","ERROR: falta CUENTA",IF(ISERROR(--C2059),"ERROR: CUENTA debe tener solo dígitos",IF(ISERROR(FIND(LEFT(C2059,1),"567")),"ERROR: CUENTA fuera de las clases de costo",IF(NOT(ISNUMBER(E2059)),"ERROR: VALOR debe ser numérico",IF(E2059=0,"AVISO: valor cero (no se carga)",IF(J2059&lt;&gt;"ACTIVO","NO SE CARGA: CECO en estado "&amp;J2059,"OK"))))))))))</f>
        <v/>
      </c>
    </row>
    <row r="2060">
      <c r="A2060" s="5" t="n"/>
      <c r="B2060" s="6" t="n"/>
      <c r="C2060" s="5" t="n"/>
      <c r="D2060" s="6" t="n"/>
      <c r="E2060" s="7" t="n"/>
      <c r="F2060" s="6" t="n"/>
      <c r="G2060" s="8">
        <f>IF(B2060="","",IFERROR(VLOOKUP(--B2060,'CATALOGO CECO'!$A$2:$H$550,2,FALSE),"CECO NO EXISTE"))</f>
        <v/>
      </c>
      <c r="H2060" s="8">
        <f>IF(B2060="","",IFERROR(VLOOKUP(--B2060,'CATALOGO CECO'!$A$2:$H$550,3,FALSE),""))</f>
        <v/>
      </c>
      <c r="I2060" s="8">
        <f>IF(B2060="","",IFERROR(VLOOKUP(--B2060,'CATALOGO CECO'!$A$2:$H$550,5,FALSE),""))</f>
        <v/>
      </c>
      <c r="J2060" s="8">
        <f>IF(B2060="","",IFERROR(VLOOKUP(--B2060,'CATALOGO CECO'!$A$2:$H$550,8,FALSE),""))</f>
        <v/>
      </c>
      <c r="K2060" s="8">
        <f>IF(COUNTA(A2060:F2060)=0,"",IF(OR(LEN(A2060)&lt;&gt;7,MID(A2060,5,1)&lt;&gt;"-",ISERROR(--LEFT(A2060,4)),ISERROR(--RIGHT(A2060,2))),"ERROR: PERIODO debe ser AAAA-MM",IF(B2060="","ERROR: falta CODIGO CECO",IF(G2060="CECO NO EXISTE","ERROR: CECO no existe en el catálogo",IF(C2060="","ERROR: falta CUENTA",IF(ISERROR(--C2060),"ERROR: CUENTA debe tener solo dígitos",IF(ISERROR(FIND(LEFT(C2060,1),"567")),"ERROR: CUENTA fuera de las clases de costo",IF(NOT(ISNUMBER(E2060)),"ERROR: VALOR debe ser numérico",IF(E2060=0,"AVISO: valor cero (no se carga)",IF(J2060&lt;&gt;"ACTIVO","NO SE CARGA: CECO en estado "&amp;J2060,"OK"))))))))))</f>
        <v/>
      </c>
    </row>
    <row r="2061">
      <c r="A2061" s="5" t="n"/>
      <c r="B2061" s="6" t="n"/>
      <c r="C2061" s="5" t="n"/>
      <c r="D2061" s="6" t="n"/>
      <c r="E2061" s="7" t="n"/>
      <c r="F2061" s="6" t="n"/>
      <c r="G2061" s="8">
        <f>IF(B2061="","",IFERROR(VLOOKUP(--B2061,'CATALOGO CECO'!$A$2:$H$550,2,FALSE),"CECO NO EXISTE"))</f>
        <v/>
      </c>
      <c r="H2061" s="8">
        <f>IF(B2061="","",IFERROR(VLOOKUP(--B2061,'CATALOGO CECO'!$A$2:$H$550,3,FALSE),""))</f>
        <v/>
      </c>
      <c r="I2061" s="8">
        <f>IF(B2061="","",IFERROR(VLOOKUP(--B2061,'CATALOGO CECO'!$A$2:$H$550,5,FALSE),""))</f>
        <v/>
      </c>
      <c r="J2061" s="8">
        <f>IF(B2061="","",IFERROR(VLOOKUP(--B2061,'CATALOGO CECO'!$A$2:$H$550,8,FALSE),""))</f>
        <v/>
      </c>
      <c r="K2061" s="8">
        <f>IF(COUNTA(A2061:F2061)=0,"",IF(OR(LEN(A2061)&lt;&gt;7,MID(A2061,5,1)&lt;&gt;"-",ISERROR(--LEFT(A2061,4)),ISERROR(--RIGHT(A2061,2))),"ERROR: PERIODO debe ser AAAA-MM",IF(B2061="","ERROR: falta CODIGO CECO",IF(G2061="CECO NO EXISTE","ERROR: CECO no existe en el catálogo",IF(C2061="","ERROR: falta CUENTA",IF(ISERROR(--C2061),"ERROR: CUENTA debe tener solo dígitos",IF(ISERROR(FIND(LEFT(C2061,1),"567")),"ERROR: CUENTA fuera de las clases de costo",IF(NOT(ISNUMBER(E2061)),"ERROR: VALOR debe ser numérico",IF(E2061=0,"AVISO: valor cero (no se carga)",IF(J2061&lt;&gt;"ACTIVO","NO SE CARGA: CECO en estado "&amp;J2061,"OK"))))))))))</f>
        <v/>
      </c>
    </row>
    <row r="2062">
      <c r="A2062" s="5" t="n"/>
      <c r="B2062" s="6" t="n"/>
      <c r="C2062" s="5" t="n"/>
      <c r="D2062" s="6" t="n"/>
      <c r="E2062" s="7" t="n"/>
      <c r="F2062" s="6" t="n"/>
      <c r="G2062" s="8">
        <f>IF(B2062="","",IFERROR(VLOOKUP(--B2062,'CATALOGO CECO'!$A$2:$H$550,2,FALSE),"CECO NO EXISTE"))</f>
        <v/>
      </c>
      <c r="H2062" s="8">
        <f>IF(B2062="","",IFERROR(VLOOKUP(--B2062,'CATALOGO CECO'!$A$2:$H$550,3,FALSE),""))</f>
        <v/>
      </c>
      <c r="I2062" s="8">
        <f>IF(B2062="","",IFERROR(VLOOKUP(--B2062,'CATALOGO CECO'!$A$2:$H$550,5,FALSE),""))</f>
        <v/>
      </c>
      <c r="J2062" s="8">
        <f>IF(B2062="","",IFERROR(VLOOKUP(--B2062,'CATALOGO CECO'!$A$2:$H$550,8,FALSE),""))</f>
        <v/>
      </c>
      <c r="K2062" s="8">
        <f>IF(COUNTA(A2062:F2062)=0,"",IF(OR(LEN(A2062)&lt;&gt;7,MID(A2062,5,1)&lt;&gt;"-",ISERROR(--LEFT(A2062,4)),ISERROR(--RIGHT(A2062,2))),"ERROR: PERIODO debe ser AAAA-MM",IF(B2062="","ERROR: falta CODIGO CECO",IF(G2062="CECO NO EXISTE","ERROR: CECO no existe en el catálogo",IF(C2062="","ERROR: falta CUENTA",IF(ISERROR(--C2062),"ERROR: CUENTA debe tener solo dígitos",IF(ISERROR(FIND(LEFT(C2062,1),"567")),"ERROR: CUENTA fuera de las clases de costo",IF(NOT(ISNUMBER(E2062)),"ERROR: VALOR debe ser numérico",IF(E2062=0,"AVISO: valor cero (no se carga)",IF(J2062&lt;&gt;"ACTIVO","NO SE CARGA: CECO en estado "&amp;J2062,"OK"))))))))))</f>
        <v/>
      </c>
    </row>
    <row r="2063">
      <c r="A2063" s="5" t="n"/>
      <c r="B2063" s="6" t="n"/>
      <c r="C2063" s="5" t="n"/>
      <c r="D2063" s="6" t="n"/>
      <c r="E2063" s="7" t="n"/>
      <c r="F2063" s="6" t="n"/>
      <c r="G2063" s="8">
        <f>IF(B2063="","",IFERROR(VLOOKUP(--B2063,'CATALOGO CECO'!$A$2:$H$550,2,FALSE),"CECO NO EXISTE"))</f>
        <v/>
      </c>
      <c r="H2063" s="8">
        <f>IF(B2063="","",IFERROR(VLOOKUP(--B2063,'CATALOGO CECO'!$A$2:$H$550,3,FALSE),""))</f>
        <v/>
      </c>
      <c r="I2063" s="8">
        <f>IF(B2063="","",IFERROR(VLOOKUP(--B2063,'CATALOGO CECO'!$A$2:$H$550,5,FALSE),""))</f>
        <v/>
      </c>
      <c r="J2063" s="8">
        <f>IF(B2063="","",IFERROR(VLOOKUP(--B2063,'CATALOGO CECO'!$A$2:$H$550,8,FALSE),""))</f>
        <v/>
      </c>
      <c r="K2063" s="8">
        <f>IF(COUNTA(A2063:F2063)=0,"",IF(OR(LEN(A2063)&lt;&gt;7,MID(A2063,5,1)&lt;&gt;"-",ISERROR(--LEFT(A2063,4)),ISERROR(--RIGHT(A2063,2))),"ERROR: PERIODO debe ser AAAA-MM",IF(B2063="","ERROR: falta CODIGO CECO",IF(G2063="CECO NO EXISTE","ERROR: CECO no existe en el catálogo",IF(C2063="","ERROR: falta CUENTA",IF(ISERROR(--C2063),"ERROR: CUENTA debe tener solo dígitos",IF(ISERROR(FIND(LEFT(C2063,1),"567")),"ERROR: CUENTA fuera de las clases de costo",IF(NOT(ISNUMBER(E2063)),"ERROR: VALOR debe ser numérico",IF(E2063=0,"AVISO: valor cero (no se carga)",IF(J2063&lt;&gt;"ACTIVO","NO SE CARGA: CECO en estado "&amp;J2063,"OK"))))))))))</f>
        <v/>
      </c>
    </row>
    <row r="2064">
      <c r="A2064" s="5" t="n"/>
      <c r="B2064" s="6" t="n"/>
      <c r="C2064" s="5" t="n"/>
      <c r="D2064" s="6" t="n"/>
      <c r="E2064" s="7" t="n"/>
      <c r="F2064" s="6" t="n"/>
      <c r="G2064" s="8">
        <f>IF(B2064="","",IFERROR(VLOOKUP(--B2064,'CATALOGO CECO'!$A$2:$H$550,2,FALSE),"CECO NO EXISTE"))</f>
        <v/>
      </c>
      <c r="H2064" s="8">
        <f>IF(B2064="","",IFERROR(VLOOKUP(--B2064,'CATALOGO CECO'!$A$2:$H$550,3,FALSE),""))</f>
        <v/>
      </c>
      <c r="I2064" s="8">
        <f>IF(B2064="","",IFERROR(VLOOKUP(--B2064,'CATALOGO CECO'!$A$2:$H$550,5,FALSE),""))</f>
        <v/>
      </c>
      <c r="J2064" s="8">
        <f>IF(B2064="","",IFERROR(VLOOKUP(--B2064,'CATALOGO CECO'!$A$2:$H$550,8,FALSE),""))</f>
        <v/>
      </c>
      <c r="K2064" s="8">
        <f>IF(COUNTA(A2064:F2064)=0,"",IF(OR(LEN(A2064)&lt;&gt;7,MID(A2064,5,1)&lt;&gt;"-",ISERROR(--LEFT(A2064,4)),ISERROR(--RIGHT(A2064,2))),"ERROR: PERIODO debe ser AAAA-MM",IF(B2064="","ERROR: falta CODIGO CECO",IF(G2064="CECO NO EXISTE","ERROR: CECO no existe en el catálogo",IF(C2064="","ERROR: falta CUENTA",IF(ISERROR(--C2064),"ERROR: CUENTA debe tener solo dígitos",IF(ISERROR(FIND(LEFT(C2064,1),"567")),"ERROR: CUENTA fuera de las clases de costo",IF(NOT(ISNUMBER(E2064)),"ERROR: VALOR debe ser numérico",IF(E2064=0,"AVISO: valor cero (no se carga)",IF(J2064&lt;&gt;"ACTIVO","NO SE CARGA: CECO en estado "&amp;J2064,"OK"))))))))))</f>
        <v/>
      </c>
    </row>
    <row r="2065">
      <c r="A2065" s="5" t="n"/>
      <c r="B2065" s="6" t="n"/>
      <c r="C2065" s="5" t="n"/>
      <c r="D2065" s="6" t="n"/>
      <c r="E2065" s="7" t="n"/>
      <c r="F2065" s="6" t="n"/>
      <c r="G2065" s="8">
        <f>IF(B2065="","",IFERROR(VLOOKUP(--B2065,'CATALOGO CECO'!$A$2:$H$550,2,FALSE),"CECO NO EXISTE"))</f>
        <v/>
      </c>
      <c r="H2065" s="8">
        <f>IF(B2065="","",IFERROR(VLOOKUP(--B2065,'CATALOGO CECO'!$A$2:$H$550,3,FALSE),""))</f>
        <v/>
      </c>
      <c r="I2065" s="8">
        <f>IF(B2065="","",IFERROR(VLOOKUP(--B2065,'CATALOGO CECO'!$A$2:$H$550,5,FALSE),""))</f>
        <v/>
      </c>
      <c r="J2065" s="8">
        <f>IF(B2065="","",IFERROR(VLOOKUP(--B2065,'CATALOGO CECO'!$A$2:$H$550,8,FALSE),""))</f>
        <v/>
      </c>
      <c r="K2065" s="8">
        <f>IF(COUNTA(A2065:F2065)=0,"",IF(OR(LEN(A2065)&lt;&gt;7,MID(A2065,5,1)&lt;&gt;"-",ISERROR(--LEFT(A2065,4)),ISERROR(--RIGHT(A2065,2))),"ERROR: PERIODO debe ser AAAA-MM",IF(B2065="","ERROR: falta CODIGO CECO",IF(G2065="CECO NO EXISTE","ERROR: CECO no existe en el catálogo",IF(C2065="","ERROR: falta CUENTA",IF(ISERROR(--C2065),"ERROR: CUENTA debe tener solo dígitos",IF(ISERROR(FIND(LEFT(C2065,1),"567")),"ERROR: CUENTA fuera de las clases de costo",IF(NOT(ISNUMBER(E2065)),"ERROR: VALOR debe ser numérico",IF(E2065=0,"AVISO: valor cero (no se carga)",IF(J2065&lt;&gt;"ACTIVO","NO SE CARGA: CECO en estado "&amp;J2065,"OK"))))))))))</f>
        <v/>
      </c>
    </row>
    <row r="2066">
      <c r="A2066" s="5" t="n"/>
      <c r="B2066" s="6" t="n"/>
      <c r="C2066" s="5" t="n"/>
      <c r="D2066" s="6" t="n"/>
      <c r="E2066" s="7" t="n"/>
      <c r="F2066" s="6" t="n"/>
      <c r="G2066" s="8">
        <f>IF(B2066="","",IFERROR(VLOOKUP(--B2066,'CATALOGO CECO'!$A$2:$H$550,2,FALSE),"CECO NO EXISTE"))</f>
        <v/>
      </c>
      <c r="H2066" s="8">
        <f>IF(B2066="","",IFERROR(VLOOKUP(--B2066,'CATALOGO CECO'!$A$2:$H$550,3,FALSE),""))</f>
        <v/>
      </c>
      <c r="I2066" s="8">
        <f>IF(B2066="","",IFERROR(VLOOKUP(--B2066,'CATALOGO CECO'!$A$2:$H$550,5,FALSE),""))</f>
        <v/>
      </c>
      <c r="J2066" s="8">
        <f>IF(B2066="","",IFERROR(VLOOKUP(--B2066,'CATALOGO CECO'!$A$2:$H$550,8,FALSE),""))</f>
        <v/>
      </c>
      <c r="K2066" s="8">
        <f>IF(COUNTA(A2066:F2066)=0,"",IF(OR(LEN(A2066)&lt;&gt;7,MID(A2066,5,1)&lt;&gt;"-",ISERROR(--LEFT(A2066,4)),ISERROR(--RIGHT(A2066,2))),"ERROR: PERIODO debe ser AAAA-MM",IF(B2066="","ERROR: falta CODIGO CECO",IF(G2066="CECO NO EXISTE","ERROR: CECO no existe en el catálogo",IF(C2066="","ERROR: falta CUENTA",IF(ISERROR(--C2066),"ERROR: CUENTA debe tener solo dígitos",IF(ISERROR(FIND(LEFT(C2066,1),"567")),"ERROR: CUENTA fuera de las clases de costo",IF(NOT(ISNUMBER(E2066)),"ERROR: VALOR debe ser numérico",IF(E2066=0,"AVISO: valor cero (no se carga)",IF(J2066&lt;&gt;"ACTIVO","NO SE CARGA: CECO en estado "&amp;J2066,"OK"))))))))))</f>
        <v/>
      </c>
    </row>
    <row r="2067">
      <c r="A2067" s="5" t="n"/>
      <c r="B2067" s="6" t="n"/>
      <c r="C2067" s="5" t="n"/>
      <c r="D2067" s="6" t="n"/>
      <c r="E2067" s="7" t="n"/>
      <c r="F2067" s="6" t="n"/>
      <c r="G2067" s="8">
        <f>IF(B2067="","",IFERROR(VLOOKUP(--B2067,'CATALOGO CECO'!$A$2:$H$550,2,FALSE),"CECO NO EXISTE"))</f>
        <v/>
      </c>
      <c r="H2067" s="8">
        <f>IF(B2067="","",IFERROR(VLOOKUP(--B2067,'CATALOGO CECO'!$A$2:$H$550,3,FALSE),""))</f>
        <v/>
      </c>
      <c r="I2067" s="8">
        <f>IF(B2067="","",IFERROR(VLOOKUP(--B2067,'CATALOGO CECO'!$A$2:$H$550,5,FALSE),""))</f>
        <v/>
      </c>
      <c r="J2067" s="8">
        <f>IF(B2067="","",IFERROR(VLOOKUP(--B2067,'CATALOGO CECO'!$A$2:$H$550,8,FALSE),""))</f>
        <v/>
      </c>
      <c r="K2067" s="8">
        <f>IF(COUNTA(A2067:F2067)=0,"",IF(OR(LEN(A2067)&lt;&gt;7,MID(A2067,5,1)&lt;&gt;"-",ISERROR(--LEFT(A2067,4)),ISERROR(--RIGHT(A2067,2))),"ERROR: PERIODO debe ser AAAA-MM",IF(B2067="","ERROR: falta CODIGO CECO",IF(G2067="CECO NO EXISTE","ERROR: CECO no existe en el catálogo",IF(C2067="","ERROR: falta CUENTA",IF(ISERROR(--C2067),"ERROR: CUENTA debe tener solo dígitos",IF(ISERROR(FIND(LEFT(C2067,1),"567")),"ERROR: CUENTA fuera de las clases de costo",IF(NOT(ISNUMBER(E2067)),"ERROR: VALOR debe ser numérico",IF(E2067=0,"AVISO: valor cero (no se carga)",IF(J2067&lt;&gt;"ACTIVO","NO SE CARGA: CECO en estado "&amp;J2067,"OK"))))))))))</f>
        <v/>
      </c>
    </row>
    <row r="2068">
      <c r="A2068" s="5" t="n"/>
      <c r="B2068" s="6" t="n"/>
      <c r="C2068" s="5" t="n"/>
      <c r="D2068" s="6" t="n"/>
      <c r="E2068" s="7" t="n"/>
      <c r="F2068" s="6" t="n"/>
      <c r="G2068" s="8">
        <f>IF(B2068="","",IFERROR(VLOOKUP(--B2068,'CATALOGO CECO'!$A$2:$H$550,2,FALSE),"CECO NO EXISTE"))</f>
        <v/>
      </c>
      <c r="H2068" s="8">
        <f>IF(B2068="","",IFERROR(VLOOKUP(--B2068,'CATALOGO CECO'!$A$2:$H$550,3,FALSE),""))</f>
        <v/>
      </c>
      <c r="I2068" s="8">
        <f>IF(B2068="","",IFERROR(VLOOKUP(--B2068,'CATALOGO CECO'!$A$2:$H$550,5,FALSE),""))</f>
        <v/>
      </c>
      <c r="J2068" s="8">
        <f>IF(B2068="","",IFERROR(VLOOKUP(--B2068,'CATALOGO CECO'!$A$2:$H$550,8,FALSE),""))</f>
        <v/>
      </c>
      <c r="K2068" s="8">
        <f>IF(COUNTA(A2068:F2068)=0,"",IF(OR(LEN(A2068)&lt;&gt;7,MID(A2068,5,1)&lt;&gt;"-",ISERROR(--LEFT(A2068,4)),ISERROR(--RIGHT(A2068,2))),"ERROR: PERIODO debe ser AAAA-MM",IF(B2068="","ERROR: falta CODIGO CECO",IF(G2068="CECO NO EXISTE","ERROR: CECO no existe en el catálogo",IF(C2068="","ERROR: falta CUENTA",IF(ISERROR(--C2068),"ERROR: CUENTA debe tener solo dígitos",IF(ISERROR(FIND(LEFT(C2068,1),"567")),"ERROR: CUENTA fuera de las clases de costo",IF(NOT(ISNUMBER(E2068)),"ERROR: VALOR debe ser numérico",IF(E2068=0,"AVISO: valor cero (no se carga)",IF(J2068&lt;&gt;"ACTIVO","NO SE CARGA: CECO en estado "&amp;J2068,"OK"))))))))))</f>
        <v/>
      </c>
    </row>
    <row r="2069">
      <c r="A2069" s="5" t="n"/>
      <c r="B2069" s="6" t="n"/>
      <c r="C2069" s="5" t="n"/>
      <c r="D2069" s="6" t="n"/>
      <c r="E2069" s="7" t="n"/>
      <c r="F2069" s="6" t="n"/>
      <c r="G2069" s="8">
        <f>IF(B2069="","",IFERROR(VLOOKUP(--B2069,'CATALOGO CECO'!$A$2:$H$550,2,FALSE),"CECO NO EXISTE"))</f>
        <v/>
      </c>
      <c r="H2069" s="8">
        <f>IF(B2069="","",IFERROR(VLOOKUP(--B2069,'CATALOGO CECO'!$A$2:$H$550,3,FALSE),""))</f>
        <v/>
      </c>
      <c r="I2069" s="8">
        <f>IF(B2069="","",IFERROR(VLOOKUP(--B2069,'CATALOGO CECO'!$A$2:$H$550,5,FALSE),""))</f>
        <v/>
      </c>
      <c r="J2069" s="8">
        <f>IF(B2069="","",IFERROR(VLOOKUP(--B2069,'CATALOGO CECO'!$A$2:$H$550,8,FALSE),""))</f>
        <v/>
      </c>
      <c r="K2069" s="8">
        <f>IF(COUNTA(A2069:F2069)=0,"",IF(OR(LEN(A2069)&lt;&gt;7,MID(A2069,5,1)&lt;&gt;"-",ISERROR(--LEFT(A2069,4)),ISERROR(--RIGHT(A2069,2))),"ERROR: PERIODO debe ser AAAA-MM",IF(B2069="","ERROR: falta CODIGO CECO",IF(G2069="CECO NO EXISTE","ERROR: CECO no existe en el catálogo",IF(C2069="","ERROR: falta CUENTA",IF(ISERROR(--C2069),"ERROR: CUENTA debe tener solo dígitos",IF(ISERROR(FIND(LEFT(C2069,1),"567")),"ERROR: CUENTA fuera de las clases de costo",IF(NOT(ISNUMBER(E2069)),"ERROR: VALOR debe ser numérico",IF(E2069=0,"AVISO: valor cero (no se carga)",IF(J2069&lt;&gt;"ACTIVO","NO SE CARGA: CECO en estado "&amp;J2069,"OK"))))))))))</f>
        <v/>
      </c>
    </row>
    <row r="2070">
      <c r="A2070" s="5" t="n"/>
      <c r="B2070" s="6" t="n"/>
      <c r="C2070" s="5" t="n"/>
      <c r="D2070" s="6" t="n"/>
      <c r="E2070" s="7" t="n"/>
      <c r="F2070" s="6" t="n"/>
      <c r="G2070" s="8">
        <f>IF(B2070="","",IFERROR(VLOOKUP(--B2070,'CATALOGO CECO'!$A$2:$H$550,2,FALSE),"CECO NO EXISTE"))</f>
        <v/>
      </c>
      <c r="H2070" s="8">
        <f>IF(B2070="","",IFERROR(VLOOKUP(--B2070,'CATALOGO CECO'!$A$2:$H$550,3,FALSE),""))</f>
        <v/>
      </c>
      <c r="I2070" s="8">
        <f>IF(B2070="","",IFERROR(VLOOKUP(--B2070,'CATALOGO CECO'!$A$2:$H$550,5,FALSE),""))</f>
        <v/>
      </c>
      <c r="J2070" s="8">
        <f>IF(B2070="","",IFERROR(VLOOKUP(--B2070,'CATALOGO CECO'!$A$2:$H$550,8,FALSE),""))</f>
        <v/>
      </c>
      <c r="K2070" s="8">
        <f>IF(COUNTA(A2070:F2070)=0,"",IF(OR(LEN(A2070)&lt;&gt;7,MID(A2070,5,1)&lt;&gt;"-",ISERROR(--LEFT(A2070,4)),ISERROR(--RIGHT(A2070,2))),"ERROR: PERIODO debe ser AAAA-MM",IF(B2070="","ERROR: falta CODIGO CECO",IF(G2070="CECO NO EXISTE","ERROR: CECO no existe en el catálogo",IF(C2070="","ERROR: falta CUENTA",IF(ISERROR(--C2070),"ERROR: CUENTA debe tener solo dígitos",IF(ISERROR(FIND(LEFT(C2070,1),"567")),"ERROR: CUENTA fuera de las clases de costo",IF(NOT(ISNUMBER(E2070)),"ERROR: VALOR debe ser numérico",IF(E2070=0,"AVISO: valor cero (no se carga)",IF(J2070&lt;&gt;"ACTIVO","NO SE CARGA: CECO en estado "&amp;J2070,"OK"))))))))))</f>
        <v/>
      </c>
    </row>
    <row r="2071">
      <c r="A2071" s="5" t="n"/>
      <c r="B2071" s="6" t="n"/>
      <c r="C2071" s="5" t="n"/>
      <c r="D2071" s="6" t="n"/>
      <c r="E2071" s="7" t="n"/>
      <c r="F2071" s="6" t="n"/>
      <c r="G2071" s="8">
        <f>IF(B2071="","",IFERROR(VLOOKUP(--B2071,'CATALOGO CECO'!$A$2:$H$550,2,FALSE),"CECO NO EXISTE"))</f>
        <v/>
      </c>
      <c r="H2071" s="8">
        <f>IF(B2071="","",IFERROR(VLOOKUP(--B2071,'CATALOGO CECO'!$A$2:$H$550,3,FALSE),""))</f>
        <v/>
      </c>
      <c r="I2071" s="8">
        <f>IF(B2071="","",IFERROR(VLOOKUP(--B2071,'CATALOGO CECO'!$A$2:$H$550,5,FALSE),""))</f>
        <v/>
      </c>
      <c r="J2071" s="8">
        <f>IF(B2071="","",IFERROR(VLOOKUP(--B2071,'CATALOGO CECO'!$A$2:$H$550,8,FALSE),""))</f>
        <v/>
      </c>
      <c r="K2071" s="8">
        <f>IF(COUNTA(A2071:F2071)=0,"",IF(OR(LEN(A2071)&lt;&gt;7,MID(A2071,5,1)&lt;&gt;"-",ISERROR(--LEFT(A2071,4)),ISERROR(--RIGHT(A2071,2))),"ERROR: PERIODO debe ser AAAA-MM",IF(B2071="","ERROR: falta CODIGO CECO",IF(G2071="CECO NO EXISTE","ERROR: CECO no existe en el catálogo",IF(C2071="","ERROR: falta CUENTA",IF(ISERROR(--C2071),"ERROR: CUENTA debe tener solo dígitos",IF(ISERROR(FIND(LEFT(C2071,1),"567")),"ERROR: CUENTA fuera de las clases de costo",IF(NOT(ISNUMBER(E2071)),"ERROR: VALOR debe ser numérico",IF(E2071=0,"AVISO: valor cero (no se carga)",IF(J2071&lt;&gt;"ACTIVO","NO SE CARGA: CECO en estado "&amp;J2071,"OK"))))))))))</f>
        <v/>
      </c>
    </row>
    <row r="2072">
      <c r="A2072" s="5" t="n"/>
      <c r="B2072" s="6" t="n"/>
      <c r="C2072" s="5" t="n"/>
      <c r="D2072" s="6" t="n"/>
      <c r="E2072" s="7" t="n"/>
      <c r="F2072" s="6" t="n"/>
      <c r="G2072" s="8">
        <f>IF(B2072="","",IFERROR(VLOOKUP(--B2072,'CATALOGO CECO'!$A$2:$H$550,2,FALSE),"CECO NO EXISTE"))</f>
        <v/>
      </c>
      <c r="H2072" s="8">
        <f>IF(B2072="","",IFERROR(VLOOKUP(--B2072,'CATALOGO CECO'!$A$2:$H$550,3,FALSE),""))</f>
        <v/>
      </c>
      <c r="I2072" s="8">
        <f>IF(B2072="","",IFERROR(VLOOKUP(--B2072,'CATALOGO CECO'!$A$2:$H$550,5,FALSE),""))</f>
        <v/>
      </c>
      <c r="J2072" s="8">
        <f>IF(B2072="","",IFERROR(VLOOKUP(--B2072,'CATALOGO CECO'!$A$2:$H$550,8,FALSE),""))</f>
        <v/>
      </c>
      <c r="K2072" s="8">
        <f>IF(COUNTA(A2072:F2072)=0,"",IF(OR(LEN(A2072)&lt;&gt;7,MID(A2072,5,1)&lt;&gt;"-",ISERROR(--LEFT(A2072,4)),ISERROR(--RIGHT(A2072,2))),"ERROR: PERIODO debe ser AAAA-MM",IF(B2072="","ERROR: falta CODIGO CECO",IF(G2072="CECO NO EXISTE","ERROR: CECO no existe en el catálogo",IF(C2072="","ERROR: falta CUENTA",IF(ISERROR(--C2072),"ERROR: CUENTA debe tener solo dígitos",IF(ISERROR(FIND(LEFT(C2072,1),"567")),"ERROR: CUENTA fuera de las clases de costo",IF(NOT(ISNUMBER(E2072)),"ERROR: VALOR debe ser numérico",IF(E2072=0,"AVISO: valor cero (no se carga)",IF(J2072&lt;&gt;"ACTIVO","NO SE CARGA: CECO en estado "&amp;J2072,"OK"))))))))))</f>
        <v/>
      </c>
    </row>
    <row r="2073">
      <c r="A2073" s="5" t="n"/>
      <c r="B2073" s="6" t="n"/>
      <c r="C2073" s="5" t="n"/>
      <c r="D2073" s="6" t="n"/>
      <c r="E2073" s="7" t="n"/>
      <c r="F2073" s="6" t="n"/>
      <c r="G2073" s="8">
        <f>IF(B2073="","",IFERROR(VLOOKUP(--B2073,'CATALOGO CECO'!$A$2:$H$550,2,FALSE),"CECO NO EXISTE"))</f>
        <v/>
      </c>
      <c r="H2073" s="8">
        <f>IF(B2073="","",IFERROR(VLOOKUP(--B2073,'CATALOGO CECO'!$A$2:$H$550,3,FALSE),""))</f>
        <v/>
      </c>
      <c r="I2073" s="8">
        <f>IF(B2073="","",IFERROR(VLOOKUP(--B2073,'CATALOGO CECO'!$A$2:$H$550,5,FALSE),""))</f>
        <v/>
      </c>
      <c r="J2073" s="8">
        <f>IF(B2073="","",IFERROR(VLOOKUP(--B2073,'CATALOGO CECO'!$A$2:$H$550,8,FALSE),""))</f>
        <v/>
      </c>
      <c r="K2073" s="8">
        <f>IF(COUNTA(A2073:F2073)=0,"",IF(OR(LEN(A2073)&lt;&gt;7,MID(A2073,5,1)&lt;&gt;"-",ISERROR(--LEFT(A2073,4)),ISERROR(--RIGHT(A2073,2))),"ERROR: PERIODO debe ser AAAA-MM",IF(B2073="","ERROR: falta CODIGO CECO",IF(G2073="CECO NO EXISTE","ERROR: CECO no existe en el catálogo",IF(C2073="","ERROR: falta CUENTA",IF(ISERROR(--C2073),"ERROR: CUENTA debe tener solo dígitos",IF(ISERROR(FIND(LEFT(C2073,1),"567")),"ERROR: CUENTA fuera de las clases de costo",IF(NOT(ISNUMBER(E2073)),"ERROR: VALOR debe ser numérico",IF(E2073=0,"AVISO: valor cero (no se carga)",IF(J2073&lt;&gt;"ACTIVO","NO SE CARGA: CECO en estado "&amp;J2073,"OK"))))))))))</f>
        <v/>
      </c>
    </row>
    <row r="2074">
      <c r="A2074" s="5" t="n"/>
      <c r="B2074" s="6" t="n"/>
      <c r="C2074" s="5" t="n"/>
      <c r="D2074" s="6" t="n"/>
      <c r="E2074" s="7" t="n"/>
      <c r="F2074" s="6" t="n"/>
      <c r="G2074" s="8">
        <f>IF(B2074="","",IFERROR(VLOOKUP(--B2074,'CATALOGO CECO'!$A$2:$H$550,2,FALSE),"CECO NO EXISTE"))</f>
        <v/>
      </c>
      <c r="H2074" s="8">
        <f>IF(B2074="","",IFERROR(VLOOKUP(--B2074,'CATALOGO CECO'!$A$2:$H$550,3,FALSE),""))</f>
        <v/>
      </c>
      <c r="I2074" s="8">
        <f>IF(B2074="","",IFERROR(VLOOKUP(--B2074,'CATALOGO CECO'!$A$2:$H$550,5,FALSE),""))</f>
        <v/>
      </c>
      <c r="J2074" s="8">
        <f>IF(B2074="","",IFERROR(VLOOKUP(--B2074,'CATALOGO CECO'!$A$2:$H$550,8,FALSE),""))</f>
        <v/>
      </c>
      <c r="K2074" s="8">
        <f>IF(COUNTA(A2074:F2074)=0,"",IF(OR(LEN(A2074)&lt;&gt;7,MID(A2074,5,1)&lt;&gt;"-",ISERROR(--LEFT(A2074,4)),ISERROR(--RIGHT(A2074,2))),"ERROR: PERIODO debe ser AAAA-MM",IF(B2074="","ERROR: falta CODIGO CECO",IF(G2074="CECO NO EXISTE","ERROR: CECO no existe en el catálogo",IF(C2074="","ERROR: falta CUENTA",IF(ISERROR(--C2074),"ERROR: CUENTA debe tener solo dígitos",IF(ISERROR(FIND(LEFT(C2074,1),"567")),"ERROR: CUENTA fuera de las clases de costo",IF(NOT(ISNUMBER(E2074)),"ERROR: VALOR debe ser numérico",IF(E2074=0,"AVISO: valor cero (no se carga)",IF(J2074&lt;&gt;"ACTIVO","NO SE CARGA: CECO en estado "&amp;J2074,"OK"))))))))))</f>
        <v/>
      </c>
    </row>
    <row r="2075">
      <c r="A2075" s="5" t="n"/>
      <c r="B2075" s="6" t="n"/>
      <c r="C2075" s="5" t="n"/>
      <c r="D2075" s="6" t="n"/>
      <c r="E2075" s="7" t="n"/>
      <c r="F2075" s="6" t="n"/>
      <c r="G2075" s="8">
        <f>IF(B2075="","",IFERROR(VLOOKUP(--B2075,'CATALOGO CECO'!$A$2:$H$550,2,FALSE),"CECO NO EXISTE"))</f>
        <v/>
      </c>
      <c r="H2075" s="8">
        <f>IF(B2075="","",IFERROR(VLOOKUP(--B2075,'CATALOGO CECO'!$A$2:$H$550,3,FALSE),""))</f>
        <v/>
      </c>
      <c r="I2075" s="8">
        <f>IF(B2075="","",IFERROR(VLOOKUP(--B2075,'CATALOGO CECO'!$A$2:$H$550,5,FALSE),""))</f>
        <v/>
      </c>
      <c r="J2075" s="8">
        <f>IF(B2075="","",IFERROR(VLOOKUP(--B2075,'CATALOGO CECO'!$A$2:$H$550,8,FALSE),""))</f>
        <v/>
      </c>
      <c r="K2075" s="8">
        <f>IF(COUNTA(A2075:F2075)=0,"",IF(OR(LEN(A2075)&lt;&gt;7,MID(A2075,5,1)&lt;&gt;"-",ISERROR(--LEFT(A2075,4)),ISERROR(--RIGHT(A2075,2))),"ERROR: PERIODO debe ser AAAA-MM",IF(B2075="","ERROR: falta CODIGO CECO",IF(G2075="CECO NO EXISTE","ERROR: CECO no existe en el catálogo",IF(C2075="","ERROR: falta CUENTA",IF(ISERROR(--C2075),"ERROR: CUENTA debe tener solo dígitos",IF(ISERROR(FIND(LEFT(C2075,1),"567")),"ERROR: CUENTA fuera de las clases de costo",IF(NOT(ISNUMBER(E2075)),"ERROR: VALOR debe ser numérico",IF(E2075=0,"AVISO: valor cero (no se carga)",IF(J2075&lt;&gt;"ACTIVO","NO SE CARGA: CECO en estado "&amp;J2075,"OK"))))))))))</f>
        <v/>
      </c>
    </row>
    <row r="2076">
      <c r="A2076" s="5" t="n"/>
      <c r="B2076" s="6" t="n"/>
      <c r="C2076" s="5" t="n"/>
      <c r="D2076" s="6" t="n"/>
      <c r="E2076" s="7" t="n"/>
      <c r="F2076" s="6" t="n"/>
      <c r="G2076" s="8">
        <f>IF(B2076="","",IFERROR(VLOOKUP(--B2076,'CATALOGO CECO'!$A$2:$H$550,2,FALSE),"CECO NO EXISTE"))</f>
        <v/>
      </c>
      <c r="H2076" s="8">
        <f>IF(B2076="","",IFERROR(VLOOKUP(--B2076,'CATALOGO CECO'!$A$2:$H$550,3,FALSE),""))</f>
        <v/>
      </c>
      <c r="I2076" s="8">
        <f>IF(B2076="","",IFERROR(VLOOKUP(--B2076,'CATALOGO CECO'!$A$2:$H$550,5,FALSE),""))</f>
        <v/>
      </c>
      <c r="J2076" s="8">
        <f>IF(B2076="","",IFERROR(VLOOKUP(--B2076,'CATALOGO CECO'!$A$2:$H$550,8,FALSE),""))</f>
        <v/>
      </c>
      <c r="K2076" s="8">
        <f>IF(COUNTA(A2076:F2076)=0,"",IF(OR(LEN(A2076)&lt;&gt;7,MID(A2076,5,1)&lt;&gt;"-",ISERROR(--LEFT(A2076,4)),ISERROR(--RIGHT(A2076,2))),"ERROR: PERIODO debe ser AAAA-MM",IF(B2076="","ERROR: falta CODIGO CECO",IF(G2076="CECO NO EXISTE","ERROR: CECO no existe en el catálogo",IF(C2076="","ERROR: falta CUENTA",IF(ISERROR(--C2076),"ERROR: CUENTA debe tener solo dígitos",IF(ISERROR(FIND(LEFT(C2076,1),"567")),"ERROR: CUENTA fuera de las clases de costo",IF(NOT(ISNUMBER(E2076)),"ERROR: VALOR debe ser numérico",IF(E2076=0,"AVISO: valor cero (no se carga)",IF(J2076&lt;&gt;"ACTIVO","NO SE CARGA: CECO en estado "&amp;J2076,"OK"))))))))))</f>
        <v/>
      </c>
    </row>
    <row r="2077">
      <c r="A2077" s="5" t="n"/>
      <c r="B2077" s="6" t="n"/>
      <c r="C2077" s="5" t="n"/>
      <c r="D2077" s="6" t="n"/>
      <c r="E2077" s="7" t="n"/>
      <c r="F2077" s="6" t="n"/>
      <c r="G2077" s="8">
        <f>IF(B2077="","",IFERROR(VLOOKUP(--B2077,'CATALOGO CECO'!$A$2:$H$550,2,FALSE),"CECO NO EXISTE"))</f>
        <v/>
      </c>
      <c r="H2077" s="8">
        <f>IF(B2077="","",IFERROR(VLOOKUP(--B2077,'CATALOGO CECO'!$A$2:$H$550,3,FALSE),""))</f>
        <v/>
      </c>
      <c r="I2077" s="8">
        <f>IF(B2077="","",IFERROR(VLOOKUP(--B2077,'CATALOGO CECO'!$A$2:$H$550,5,FALSE),""))</f>
        <v/>
      </c>
      <c r="J2077" s="8">
        <f>IF(B2077="","",IFERROR(VLOOKUP(--B2077,'CATALOGO CECO'!$A$2:$H$550,8,FALSE),""))</f>
        <v/>
      </c>
      <c r="K2077" s="8">
        <f>IF(COUNTA(A2077:F2077)=0,"",IF(OR(LEN(A2077)&lt;&gt;7,MID(A2077,5,1)&lt;&gt;"-",ISERROR(--LEFT(A2077,4)),ISERROR(--RIGHT(A2077,2))),"ERROR: PERIODO debe ser AAAA-MM",IF(B2077="","ERROR: falta CODIGO CECO",IF(G2077="CECO NO EXISTE","ERROR: CECO no existe en el catálogo",IF(C2077="","ERROR: falta CUENTA",IF(ISERROR(--C2077),"ERROR: CUENTA debe tener solo dígitos",IF(ISERROR(FIND(LEFT(C2077,1),"567")),"ERROR: CUENTA fuera de las clases de costo",IF(NOT(ISNUMBER(E2077)),"ERROR: VALOR debe ser numérico",IF(E2077=0,"AVISO: valor cero (no se carga)",IF(J2077&lt;&gt;"ACTIVO","NO SE CARGA: CECO en estado "&amp;J2077,"OK"))))))))))</f>
        <v/>
      </c>
    </row>
    <row r="2078">
      <c r="A2078" s="5" t="n"/>
      <c r="B2078" s="6" t="n"/>
      <c r="C2078" s="5" t="n"/>
      <c r="D2078" s="6" t="n"/>
      <c r="E2078" s="7" t="n"/>
      <c r="F2078" s="6" t="n"/>
      <c r="G2078" s="8">
        <f>IF(B2078="","",IFERROR(VLOOKUP(--B2078,'CATALOGO CECO'!$A$2:$H$550,2,FALSE),"CECO NO EXISTE"))</f>
        <v/>
      </c>
      <c r="H2078" s="8">
        <f>IF(B2078="","",IFERROR(VLOOKUP(--B2078,'CATALOGO CECO'!$A$2:$H$550,3,FALSE),""))</f>
        <v/>
      </c>
      <c r="I2078" s="8">
        <f>IF(B2078="","",IFERROR(VLOOKUP(--B2078,'CATALOGO CECO'!$A$2:$H$550,5,FALSE),""))</f>
        <v/>
      </c>
      <c r="J2078" s="8">
        <f>IF(B2078="","",IFERROR(VLOOKUP(--B2078,'CATALOGO CECO'!$A$2:$H$550,8,FALSE),""))</f>
        <v/>
      </c>
      <c r="K2078" s="8">
        <f>IF(COUNTA(A2078:F2078)=0,"",IF(OR(LEN(A2078)&lt;&gt;7,MID(A2078,5,1)&lt;&gt;"-",ISERROR(--LEFT(A2078,4)),ISERROR(--RIGHT(A2078,2))),"ERROR: PERIODO debe ser AAAA-MM",IF(B2078="","ERROR: falta CODIGO CECO",IF(G2078="CECO NO EXISTE","ERROR: CECO no existe en el catálogo",IF(C2078="","ERROR: falta CUENTA",IF(ISERROR(--C2078),"ERROR: CUENTA debe tener solo dígitos",IF(ISERROR(FIND(LEFT(C2078,1),"567")),"ERROR: CUENTA fuera de las clases de costo",IF(NOT(ISNUMBER(E2078)),"ERROR: VALOR debe ser numérico",IF(E2078=0,"AVISO: valor cero (no se carga)",IF(J2078&lt;&gt;"ACTIVO","NO SE CARGA: CECO en estado "&amp;J2078,"OK"))))))))))</f>
        <v/>
      </c>
    </row>
    <row r="2079">
      <c r="A2079" s="5" t="n"/>
      <c r="B2079" s="6" t="n"/>
      <c r="C2079" s="5" t="n"/>
      <c r="D2079" s="6" t="n"/>
      <c r="E2079" s="7" t="n"/>
      <c r="F2079" s="6" t="n"/>
      <c r="G2079" s="8">
        <f>IF(B2079="","",IFERROR(VLOOKUP(--B2079,'CATALOGO CECO'!$A$2:$H$550,2,FALSE),"CECO NO EXISTE"))</f>
        <v/>
      </c>
      <c r="H2079" s="8">
        <f>IF(B2079="","",IFERROR(VLOOKUP(--B2079,'CATALOGO CECO'!$A$2:$H$550,3,FALSE),""))</f>
        <v/>
      </c>
      <c r="I2079" s="8">
        <f>IF(B2079="","",IFERROR(VLOOKUP(--B2079,'CATALOGO CECO'!$A$2:$H$550,5,FALSE),""))</f>
        <v/>
      </c>
      <c r="J2079" s="8">
        <f>IF(B2079="","",IFERROR(VLOOKUP(--B2079,'CATALOGO CECO'!$A$2:$H$550,8,FALSE),""))</f>
        <v/>
      </c>
      <c r="K2079" s="8">
        <f>IF(COUNTA(A2079:F2079)=0,"",IF(OR(LEN(A2079)&lt;&gt;7,MID(A2079,5,1)&lt;&gt;"-",ISERROR(--LEFT(A2079,4)),ISERROR(--RIGHT(A2079,2))),"ERROR: PERIODO debe ser AAAA-MM",IF(B2079="","ERROR: falta CODIGO CECO",IF(G2079="CECO NO EXISTE","ERROR: CECO no existe en el catálogo",IF(C2079="","ERROR: falta CUENTA",IF(ISERROR(--C2079),"ERROR: CUENTA debe tener solo dígitos",IF(ISERROR(FIND(LEFT(C2079,1),"567")),"ERROR: CUENTA fuera de las clases de costo",IF(NOT(ISNUMBER(E2079)),"ERROR: VALOR debe ser numérico",IF(E2079=0,"AVISO: valor cero (no se carga)",IF(J2079&lt;&gt;"ACTIVO","NO SE CARGA: CECO en estado "&amp;J2079,"OK"))))))))))</f>
        <v/>
      </c>
    </row>
    <row r="2080">
      <c r="A2080" s="5" t="n"/>
      <c r="B2080" s="6" t="n"/>
      <c r="C2080" s="5" t="n"/>
      <c r="D2080" s="6" t="n"/>
      <c r="E2080" s="7" t="n"/>
      <c r="F2080" s="6" t="n"/>
      <c r="G2080" s="8">
        <f>IF(B2080="","",IFERROR(VLOOKUP(--B2080,'CATALOGO CECO'!$A$2:$H$550,2,FALSE),"CECO NO EXISTE"))</f>
        <v/>
      </c>
      <c r="H2080" s="8">
        <f>IF(B2080="","",IFERROR(VLOOKUP(--B2080,'CATALOGO CECO'!$A$2:$H$550,3,FALSE),""))</f>
        <v/>
      </c>
      <c r="I2080" s="8">
        <f>IF(B2080="","",IFERROR(VLOOKUP(--B2080,'CATALOGO CECO'!$A$2:$H$550,5,FALSE),""))</f>
        <v/>
      </c>
      <c r="J2080" s="8">
        <f>IF(B2080="","",IFERROR(VLOOKUP(--B2080,'CATALOGO CECO'!$A$2:$H$550,8,FALSE),""))</f>
        <v/>
      </c>
      <c r="K2080" s="8">
        <f>IF(COUNTA(A2080:F2080)=0,"",IF(OR(LEN(A2080)&lt;&gt;7,MID(A2080,5,1)&lt;&gt;"-",ISERROR(--LEFT(A2080,4)),ISERROR(--RIGHT(A2080,2))),"ERROR: PERIODO debe ser AAAA-MM",IF(B2080="","ERROR: falta CODIGO CECO",IF(G2080="CECO NO EXISTE","ERROR: CECO no existe en el catálogo",IF(C2080="","ERROR: falta CUENTA",IF(ISERROR(--C2080),"ERROR: CUENTA debe tener solo dígitos",IF(ISERROR(FIND(LEFT(C2080,1),"567")),"ERROR: CUENTA fuera de las clases de costo",IF(NOT(ISNUMBER(E2080)),"ERROR: VALOR debe ser numérico",IF(E2080=0,"AVISO: valor cero (no se carga)",IF(J2080&lt;&gt;"ACTIVO","NO SE CARGA: CECO en estado "&amp;J2080,"OK"))))))))))</f>
        <v/>
      </c>
    </row>
    <row r="2081">
      <c r="A2081" s="5" t="n"/>
      <c r="B2081" s="6" t="n"/>
      <c r="C2081" s="5" t="n"/>
      <c r="D2081" s="6" t="n"/>
      <c r="E2081" s="7" t="n"/>
      <c r="F2081" s="6" t="n"/>
      <c r="G2081" s="8">
        <f>IF(B2081="","",IFERROR(VLOOKUP(--B2081,'CATALOGO CECO'!$A$2:$H$550,2,FALSE),"CECO NO EXISTE"))</f>
        <v/>
      </c>
      <c r="H2081" s="8">
        <f>IF(B2081="","",IFERROR(VLOOKUP(--B2081,'CATALOGO CECO'!$A$2:$H$550,3,FALSE),""))</f>
        <v/>
      </c>
      <c r="I2081" s="8">
        <f>IF(B2081="","",IFERROR(VLOOKUP(--B2081,'CATALOGO CECO'!$A$2:$H$550,5,FALSE),""))</f>
        <v/>
      </c>
      <c r="J2081" s="8">
        <f>IF(B2081="","",IFERROR(VLOOKUP(--B2081,'CATALOGO CECO'!$A$2:$H$550,8,FALSE),""))</f>
        <v/>
      </c>
      <c r="K2081" s="8">
        <f>IF(COUNTA(A2081:F2081)=0,"",IF(OR(LEN(A2081)&lt;&gt;7,MID(A2081,5,1)&lt;&gt;"-",ISERROR(--LEFT(A2081,4)),ISERROR(--RIGHT(A2081,2))),"ERROR: PERIODO debe ser AAAA-MM",IF(B2081="","ERROR: falta CODIGO CECO",IF(G2081="CECO NO EXISTE","ERROR: CECO no existe en el catálogo",IF(C2081="","ERROR: falta CUENTA",IF(ISERROR(--C2081),"ERROR: CUENTA debe tener solo dígitos",IF(ISERROR(FIND(LEFT(C2081,1),"567")),"ERROR: CUENTA fuera de las clases de costo",IF(NOT(ISNUMBER(E2081)),"ERROR: VALOR debe ser numérico",IF(E2081=0,"AVISO: valor cero (no se carga)",IF(J2081&lt;&gt;"ACTIVO","NO SE CARGA: CECO en estado "&amp;J2081,"OK"))))))))))</f>
        <v/>
      </c>
    </row>
    <row r="2082">
      <c r="A2082" s="5" t="n"/>
      <c r="B2082" s="6" t="n"/>
      <c r="C2082" s="5" t="n"/>
      <c r="D2082" s="6" t="n"/>
      <c r="E2082" s="7" t="n"/>
      <c r="F2082" s="6" t="n"/>
      <c r="G2082" s="8">
        <f>IF(B2082="","",IFERROR(VLOOKUP(--B2082,'CATALOGO CECO'!$A$2:$H$550,2,FALSE),"CECO NO EXISTE"))</f>
        <v/>
      </c>
      <c r="H2082" s="8">
        <f>IF(B2082="","",IFERROR(VLOOKUP(--B2082,'CATALOGO CECO'!$A$2:$H$550,3,FALSE),""))</f>
        <v/>
      </c>
      <c r="I2082" s="8">
        <f>IF(B2082="","",IFERROR(VLOOKUP(--B2082,'CATALOGO CECO'!$A$2:$H$550,5,FALSE),""))</f>
        <v/>
      </c>
      <c r="J2082" s="8">
        <f>IF(B2082="","",IFERROR(VLOOKUP(--B2082,'CATALOGO CECO'!$A$2:$H$550,8,FALSE),""))</f>
        <v/>
      </c>
      <c r="K2082" s="8">
        <f>IF(COUNTA(A2082:F2082)=0,"",IF(OR(LEN(A2082)&lt;&gt;7,MID(A2082,5,1)&lt;&gt;"-",ISERROR(--LEFT(A2082,4)),ISERROR(--RIGHT(A2082,2))),"ERROR: PERIODO debe ser AAAA-MM",IF(B2082="","ERROR: falta CODIGO CECO",IF(G2082="CECO NO EXISTE","ERROR: CECO no existe en el catálogo",IF(C2082="","ERROR: falta CUENTA",IF(ISERROR(--C2082),"ERROR: CUENTA debe tener solo dígitos",IF(ISERROR(FIND(LEFT(C2082,1),"567")),"ERROR: CUENTA fuera de las clases de costo",IF(NOT(ISNUMBER(E2082)),"ERROR: VALOR debe ser numérico",IF(E2082=0,"AVISO: valor cero (no se carga)",IF(J2082&lt;&gt;"ACTIVO","NO SE CARGA: CECO en estado "&amp;J2082,"OK"))))))))))</f>
        <v/>
      </c>
    </row>
    <row r="2083">
      <c r="A2083" s="5" t="n"/>
      <c r="B2083" s="6" t="n"/>
      <c r="C2083" s="5" t="n"/>
      <c r="D2083" s="6" t="n"/>
      <c r="E2083" s="7" t="n"/>
      <c r="F2083" s="6" t="n"/>
      <c r="G2083" s="8">
        <f>IF(B2083="","",IFERROR(VLOOKUP(--B2083,'CATALOGO CECO'!$A$2:$H$550,2,FALSE),"CECO NO EXISTE"))</f>
        <v/>
      </c>
      <c r="H2083" s="8">
        <f>IF(B2083="","",IFERROR(VLOOKUP(--B2083,'CATALOGO CECO'!$A$2:$H$550,3,FALSE),""))</f>
        <v/>
      </c>
      <c r="I2083" s="8">
        <f>IF(B2083="","",IFERROR(VLOOKUP(--B2083,'CATALOGO CECO'!$A$2:$H$550,5,FALSE),""))</f>
        <v/>
      </c>
      <c r="J2083" s="8">
        <f>IF(B2083="","",IFERROR(VLOOKUP(--B2083,'CATALOGO CECO'!$A$2:$H$550,8,FALSE),""))</f>
        <v/>
      </c>
      <c r="K2083" s="8">
        <f>IF(COUNTA(A2083:F2083)=0,"",IF(OR(LEN(A2083)&lt;&gt;7,MID(A2083,5,1)&lt;&gt;"-",ISERROR(--LEFT(A2083,4)),ISERROR(--RIGHT(A2083,2))),"ERROR: PERIODO debe ser AAAA-MM",IF(B2083="","ERROR: falta CODIGO CECO",IF(G2083="CECO NO EXISTE","ERROR: CECO no existe en el catálogo",IF(C2083="","ERROR: falta CUENTA",IF(ISERROR(--C2083),"ERROR: CUENTA debe tener solo dígitos",IF(ISERROR(FIND(LEFT(C2083,1),"567")),"ERROR: CUENTA fuera de las clases de costo",IF(NOT(ISNUMBER(E2083)),"ERROR: VALOR debe ser numérico",IF(E2083=0,"AVISO: valor cero (no se carga)",IF(J2083&lt;&gt;"ACTIVO","NO SE CARGA: CECO en estado "&amp;J2083,"OK"))))))))))</f>
        <v/>
      </c>
    </row>
    <row r="2084">
      <c r="A2084" s="5" t="n"/>
      <c r="B2084" s="6" t="n"/>
      <c r="C2084" s="5" t="n"/>
      <c r="D2084" s="6" t="n"/>
      <c r="E2084" s="7" t="n"/>
      <c r="F2084" s="6" t="n"/>
      <c r="G2084" s="8">
        <f>IF(B2084="","",IFERROR(VLOOKUP(--B2084,'CATALOGO CECO'!$A$2:$H$550,2,FALSE),"CECO NO EXISTE"))</f>
        <v/>
      </c>
      <c r="H2084" s="8">
        <f>IF(B2084="","",IFERROR(VLOOKUP(--B2084,'CATALOGO CECO'!$A$2:$H$550,3,FALSE),""))</f>
        <v/>
      </c>
      <c r="I2084" s="8">
        <f>IF(B2084="","",IFERROR(VLOOKUP(--B2084,'CATALOGO CECO'!$A$2:$H$550,5,FALSE),""))</f>
        <v/>
      </c>
      <c r="J2084" s="8">
        <f>IF(B2084="","",IFERROR(VLOOKUP(--B2084,'CATALOGO CECO'!$A$2:$H$550,8,FALSE),""))</f>
        <v/>
      </c>
      <c r="K2084" s="8">
        <f>IF(COUNTA(A2084:F2084)=0,"",IF(OR(LEN(A2084)&lt;&gt;7,MID(A2084,5,1)&lt;&gt;"-",ISERROR(--LEFT(A2084,4)),ISERROR(--RIGHT(A2084,2))),"ERROR: PERIODO debe ser AAAA-MM",IF(B2084="","ERROR: falta CODIGO CECO",IF(G2084="CECO NO EXISTE","ERROR: CECO no existe en el catálogo",IF(C2084="","ERROR: falta CUENTA",IF(ISERROR(--C2084),"ERROR: CUENTA debe tener solo dígitos",IF(ISERROR(FIND(LEFT(C2084,1),"567")),"ERROR: CUENTA fuera de las clases de costo",IF(NOT(ISNUMBER(E2084)),"ERROR: VALOR debe ser numérico",IF(E2084=0,"AVISO: valor cero (no se carga)",IF(J2084&lt;&gt;"ACTIVO","NO SE CARGA: CECO en estado "&amp;J2084,"OK"))))))))))</f>
        <v/>
      </c>
    </row>
    <row r="2085">
      <c r="A2085" s="5" t="n"/>
      <c r="B2085" s="6" t="n"/>
      <c r="C2085" s="5" t="n"/>
      <c r="D2085" s="6" t="n"/>
      <c r="E2085" s="7" t="n"/>
      <c r="F2085" s="6" t="n"/>
      <c r="G2085" s="8">
        <f>IF(B2085="","",IFERROR(VLOOKUP(--B2085,'CATALOGO CECO'!$A$2:$H$550,2,FALSE),"CECO NO EXISTE"))</f>
        <v/>
      </c>
      <c r="H2085" s="8">
        <f>IF(B2085="","",IFERROR(VLOOKUP(--B2085,'CATALOGO CECO'!$A$2:$H$550,3,FALSE),""))</f>
        <v/>
      </c>
      <c r="I2085" s="8">
        <f>IF(B2085="","",IFERROR(VLOOKUP(--B2085,'CATALOGO CECO'!$A$2:$H$550,5,FALSE),""))</f>
        <v/>
      </c>
      <c r="J2085" s="8">
        <f>IF(B2085="","",IFERROR(VLOOKUP(--B2085,'CATALOGO CECO'!$A$2:$H$550,8,FALSE),""))</f>
        <v/>
      </c>
      <c r="K2085" s="8">
        <f>IF(COUNTA(A2085:F2085)=0,"",IF(OR(LEN(A2085)&lt;&gt;7,MID(A2085,5,1)&lt;&gt;"-",ISERROR(--LEFT(A2085,4)),ISERROR(--RIGHT(A2085,2))),"ERROR: PERIODO debe ser AAAA-MM",IF(B2085="","ERROR: falta CODIGO CECO",IF(G2085="CECO NO EXISTE","ERROR: CECO no existe en el catálogo",IF(C2085="","ERROR: falta CUENTA",IF(ISERROR(--C2085),"ERROR: CUENTA debe tener solo dígitos",IF(ISERROR(FIND(LEFT(C2085,1),"567")),"ERROR: CUENTA fuera de las clases de costo",IF(NOT(ISNUMBER(E2085)),"ERROR: VALOR debe ser numérico",IF(E2085=0,"AVISO: valor cero (no se carga)",IF(J2085&lt;&gt;"ACTIVO","NO SE CARGA: CECO en estado "&amp;J2085,"OK"))))))))))</f>
        <v/>
      </c>
    </row>
    <row r="2086">
      <c r="A2086" s="5" t="n"/>
      <c r="B2086" s="6" t="n"/>
      <c r="C2086" s="5" t="n"/>
      <c r="D2086" s="6" t="n"/>
      <c r="E2086" s="7" t="n"/>
      <c r="F2086" s="6" t="n"/>
      <c r="G2086" s="8">
        <f>IF(B2086="","",IFERROR(VLOOKUP(--B2086,'CATALOGO CECO'!$A$2:$H$550,2,FALSE),"CECO NO EXISTE"))</f>
        <v/>
      </c>
      <c r="H2086" s="8">
        <f>IF(B2086="","",IFERROR(VLOOKUP(--B2086,'CATALOGO CECO'!$A$2:$H$550,3,FALSE),""))</f>
        <v/>
      </c>
      <c r="I2086" s="8">
        <f>IF(B2086="","",IFERROR(VLOOKUP(--B2086,'CATALOGO CECO'!$A$2:$H$550,5,FALSE),""))</f>
        <v/>
      </c>
      <c r="J2086" s="8">
        <f>IF(B2086="","",IFERROR(VLOOKUP(--B2086,'CATALOGO CECO'!$A$2:$H$550,8,FALSE),""))</f>
        <v/>
      </c>
      <c r="K2086" s="8">
        <f>IF(COUNTA(A2086:F2086)=0,"",IF(OR(LEN(A2086)&lt;&gt;7,MID(A2086,5,1)&lt;&gt;"-",ISERROR(--LEFT(A2086,4)),ISERROR(--RIGHT(A2086,2))),"ERROR: PERIODO debe ser AAAA-MM",IF(B2086="","ERROR: falta CODIGO CECO",IF(G2086="CECO NO EXISTE","ERROR: CECO no existe en el catálogo",IF(C2086="","ERROR: falta CUENTA",IF(ISERROR(--C2086),"ERROR: CUENTA debe tener solo dígitos",IF(ISERROR(FIND(LEFT(C2086,1),"567")),"ERROR: CUENTA fuera de las clases de costo",IF(NOT(ISNUMBER(E2086)),"ERROR: VALOR debe ser numérico",IF(E2086=0,"AVISO: valor cero (no se carga)",IF(J2086&lt;&gt;"ACTIVO","NO SE CARGA: CECO en estado "&amp;J2086,"OK"))))))))))</f>
        <v/>
      </c>
    </row>
    <row r="2087">
      <c r="A2087" s="5" t="n"/>
      <c r="B2087" s="6" t="n"/>
      <c r="C2087" s="5" t="n"/>
      <c r="D2087" s="6" t="n"/>
      <c r="E2087" s="7" t="n"/>
      <c r="F2087" s="6" t="n"/>
      <c r="G2087" s="8">
        <f>IF(B2087="","",IFERROR(VLOOKUP(--B2087,'CATALOGO CECO'!$A$2:$H$550,2,FALSE),"CECO NO EXISTE"))</f>
        <v/>
      </c>
      <c r="H2087" s="8">
        <f>IF(B2087="","",IFERROR(VLOOKUP(--B2087,'CATALOGO CECO'!$A$2:$H$550,3,FALSE),""))</f>
        <v/>
      </c>
      <c r="I2087" s="8">
        <f>IF(B2087="","",IFERROR(VLOOKUP(--B2087,'CATALOGO CECO'!$A$2:$H$550,5,FALSE),""))</f>
        <v/>
      </c>
      <c r="J2087" s="8">
        <f>IF(B2087="","",IFERROR(VLOOKUP(--B2087,'CATALOGO CECO'!$A$2:$H$550,8,FALSE),""))</f>
        <v/>
      </c>
      <c r="K2087" s="8">
        <f>IF(COUNTA(A2087:F2087)=0,"",IF(OR(LEN(A2087)&lt;&gt;7,MID(A2087,5,1)&lt;&gt;"-",ISERROR(--LEFT(A2087,4)),ISERROR(--RIGHT(A2087,2))),"ERROR: PERIODO debe ser AAAA-MM",IF(B2087="","ERROR: falta CODIGO CECO",IF(G2087="CECO NO EXISTE","ERROR: CECO no existe en el catálogo",IF(C2087="","ERROR: falta CUENTA",IF(ISERROR(--C2087),"ERROR: CUENTA debe tener solo dígitos",IF(ISERROR(FIND(LEFT(C2087,1),"567")),"ERROR: CUENTA fuera de las clases de costo",IF(NOT(ISNUMBER(E2087)),"ERROR: VALOR debe ser numérico",IF(E2087=0,"AVISO: valor cero (no se carga)",IF(J2087&lt;&gt;"ACTIVO","NO SE CARGA: CECO en estado "&amp;J2087,"OK"))))))))))</f>
        <v/>
      </c>
    </row>
    <row r="2088">
      <c r="A2088" s="5" t="n"/>
      <c r="B2088" s="6" t="n"/>
      <c r="C2088" s="5" t="n"/>
      <c r="D2088" s="6" t="n"/>
      <c r="E2088" s="7" t="n"/>
      <c r="F2088" s="6" t="n"/>
      <c r="G2088" s="8">
        <f>IF(B2088="","",IFERROR(VLOOKUP(--B2088,'CATALOGO CECO'!$A$2:$H$550,2,FALSE),"CECO NO EXISTE"))</f>
        <v/>
      </c>
      <c r="H2088" s="8">
        <f>IF(B2088="","",IFERROR(VLOOKUP(--B2088,'CATALOGO CECO'!$A$2:$H$550,3,FALSE),""))</f>
        <v/>
      </c>
      <c r="I2088" s="8">
        <f>IF(B2088="","",IFERROR(VLOOKUP(--B2088,'CATALOGO CECO'!$A$2:$H$550,5,FALSE),""))</f>
        <v/>
      </c>
      <c r="J2088" s="8">
        <f>IF(B2088="","",IFERROR(VLOOKUP(--B2088,'CATALOGO CECO'!$A$2:$H$550,8,FALSE),""))</f>
        <v/>
      </c>
      <c r="K2088" s="8">
        <f>IF(COUNTA(A2088:F2088)=0,"",IF(OR(LEN(A2088)&lt;&gt;7,MID(A2088,5,1)&lt;&gt;"-",ISERROR(--LEFT(A2088,4)),ISERROR(--RIGHT(A2088,2))),"ERROR: PERIODO debe ser AAAA-MM",IF(B2088="","ERROR: falta CODIGO CECO",IF(G2088="CECO NO EXISTE","ERROR: CECO no existe en el catálogo",IF(C2088="","ERROR: falta CUENTA",IF(ISERROR(--C2088),"ERROR: CUENTA debe tener solo dígitos",IF(ISERROR(FIND(LEFT(C2088,1),"567")),"ERROR: CUENTA fuera de las clases de costo",IF(NOT(ISNUMBER(E2088)),"ERROR: VALOR debe ser numérico",IF(E2088=0,"AVISO: valor cero (no se carga)",IF(J2088&lt;&gt;"ACTIVO","NO SE CARGA: CECO en estado "&amp;J2088,"OK"))))))))))</f>
        <v/>
      </c>
    </row>
    <row r="2089">
      <c r="A2089" s="5" t="n"/>
      <c r="B2089" s="6" t="n"/>
      <c r="C2089" s="5" t="n"/>
      <c r="D2089" s="6" t="n"/>
      <c r="E2089" s="7" t="n"/>
      <c r="F2089" s="6" t="n"/>
      <c r="G2089" s="8">
        <f>IF(B2089="","",IFERROR(VLOOKUP(--B2089,'CATALOGO CECO'!$A$2:$H$550,2,FALSE),"CECO NO EXISTE"))</f>
        <v/>
      </c>
      <c r="H2089" s="8">
        <f>IF(B2089="","",IFERROR(VLOOKUP(--B2089,'CATALOGO CECO'!$A$2:$H$550,3,FALSE),""))</f>
        <v/>
      </c>
      <c r="I2089" s="8">
        <f>IF(B2089="","",IFERROR(VLOOKUP(--B2089,'CATALOGO CECO'!$A$2:$H$550,5,FALSE),""))</f>
        <v/>
      </c>
      <c r="J2089" s="8">
        <f>IF(B2089="","",IFERROR(VLOOKUP(--B2089,'CATALOGO CECO'!$A$2:$H$550,8,FALSE),""))</f>
        <v/>
      </c>
      <c r="K2089" s="8">
        <f>IF(COUNTA(A2089:F2089)=0,"",IF(OR(LEN(A2089)&lt;&gt;7,MID(A2089,5,1)&lt;&gt;"-",ISERROR(--LEFT(A2089,4)),ISERROR(--RIGHT(A2089,2))),"ERROR: PERIODO debe ser AAAA-MM",IF(B2089="","ERROR: falta CODIGO CECO",IF(G2089="CECO NO EXISTE","ERROR: CECO no existe en el catálogo",IF(C2089="","ERROR: falta CUENTA",IF(ISERROR(--C2089),"ERROR: CUENTA debe tener solo dígitos",IF(ISERROR(FIND(LEFT(C2089,1),"567")),"ERROR: CUENTA fuera de las clases de costo",IF(NOT(ISNUMBER(E2089)),"ERROR: VALOR debe ser numérico",IF(E2089=0,"AVISO: valor cero (no se carga)",IF(J2089&lt;&gt;"ACTIVO","NO SE CARGA: CECO en estado "&amp;J2089,"OK"))))))))))</f>
        <v/>
      </c>
    </row>
    <row r="2090">
      <c r="A2090" s="5" t="n"/>
      <c r="B2090" s="6" t="n"/>
      <c r="C2090" s="5" t="n"/>
      <c r="D2090" s="6" t="n"/>
      <c r="E2090" s="7" t="n"/>
      <c r="F2090" s="6" t="n"/>
      <c r="G2090" s="8">
        <f>IF(B2090="","",IFERROR(VLOOKUP(--B2090,'CATALOGO CECO'!$A$2:$H$550,2,FALSE),"CECO NO EXISTE"))</f>
        <v/>
      </c>
      <c r="H2090" s="8">
        <f>IF(B2090="","",IFERROR(VLOOKUP(--B2090,'CATALOGO CECO'!$A$2:$H$550,3,FALSE),""))</f>
        <v/>
      </c>
      <c r="I2090" s="8">
        <f>IF(B2090="","",IFERROR(VLOOKUP(--B2090,'CATALOGO CECO'!$A$2:$H$550,5,FALSE),""))</f>
        <v/>
      </c>
      <c r="J2090" s="8">
        <f>IF(B2090="","",IFERROR(VLOOKUP(--B2090,'CATALOGO CECO'!$A$2:$H$550,8,FALSE),""))</f>
        <v/>
      </c>
      <c r="K2090" s="8">
        <f>IF(COUNTA(A2090:F2090)=0,"",IF(OR(LEN(A2090)&lt;&gt;7,MID(A2090,5,1)&lt;&gt;"-",ISERROR(--LEFT(A2090,4)),ISERROR(--RIGHT(A2090,2))),"ERROR: PERIODO debe ser AAAA-MM",IF(B2090="","ERROR: falta CODIGO CECO",IF(G2090="CECO NO EXISTE","ERROR: CECO no existe en el catálogo",IF(C2090="","ERROR: falta CUENTA",IF(ISERROR(--C2090),"ERROR: CUENTA debe tener solo dígitos",IF(ISERROR(FIND(LEFT(C2090,1),"567")),"ERROR: CUENTA fuera de las clases de costo",IF(NOT(ISNUMBER(E2090)),"ERROR: VALOR debe ser numérico",IF(E2090=0,"AVISO: valor cero (no se carga)",IF(J2090&lt;&gt;"ACTIVO","NO SE CARGA: CECO en estado "&amp;J2090,"OK"))))))))))</f>
        <v/>
      </c>
    </row>
    <row r="2091">
      <c r="A2091" s="5" t="n"/>
      <c r="B2091" s="6" t="n"/>
      <c r="C2091" s="5" t="n"/>
      <c r="D2091" s="6" t="n"/>
      <c r="E2091" s="7" t="n"/>
      <c r="F2091" s="6" t="n"/>
      <c r="G2091" s="8">
        <f>IF(B2091="","",IFERROR(VLOOKUP(--B2091,'CATALOGO CECO'!$A$2:$H$550,2,FALSE),"CECO NO EXISTE"))</f>
        <v/>
      </c>
      <c r="H2091" s="8">
        <f>IF(B2091="","",IFERROR(VLOOKUP(--B2091,'CATALOGO CECO'!$A$2:$H$550,3,FALSE),""))</f>
        <v/>
      </c>
      <c r="I2091" s="8">
        <f>IF(B2091="","",IFERROR(VLOOKUP(--B2091,'CATALOGO CECO'!$A$2:$H$550,5,FALSE),""))</f>
        <v/>
      </c>
      <c r="J2091" s="8">
        <f>IF(B2091="","",IFERROR(VLOOKUP(--B2091,'CATALOGO CECO'!$A$2:$H$550,8,FALSE),""))</f>
        <v/>
      </c>
      <c r="K2091" s="8">
        <f>IF(COUNTA(A2091:F2091)=0,"",IF(OR(LEN(A2091)&lt;&gt;7,MID(A2091,5,1)&lt;&gt;"-",ISERROR(--LEFT(A2091,4)),ISERROR(--RIGHT(A2091,2))),"ERROR: PERIODO debe ser AAAA-MM",IF(B2091="","ERROR: falta CODIGO CECO",IF(G2091="CECO NO EXISTE","ERROR: CECO no existe en el catálogo",IF(C2091="","ERROR: falta CUENTA",IF(ISERROR(--C2091),"ERROR: CUENTA debe tener solo dígitos",IF(ISERROR(FIND(LEFT(C2091,1),"567")),"ERROR: CUENTA fuera de las clases de costo",IF(NOT(ISNUMBER(E2091)),"ERROR: VALOR debe ser numérico",IF(E2091=0,"AVISO: valor cero (no se carga)",IF(J2091&lt;&gt;"ACTIVO","NO SE CARGA: CECO en estado "&amp;J2091,"OK"))))))))))</f>
        <v/>
      </c>
    </row>
    <row r="2092">
      <c r="A2092" s="5" t="n"/>
      <c r="B2092" s="6" t="n"/>
      <c r="C2092" s="5" t="n"/>
      <c r="D2092" s="6" t="n"/>
      <c r="E2092" s="7" t="n"/>
      <c r="F2092" s="6" t="n"/>
      <c r="G2092" s="8">
        <f>IF(B2092="","",IFERROR(VLOOKUP(--B2092,'CATALOGO CECO'!$A$2:$H$550,2,FALSE),"CECO NO EXISTE"))</f>
        <v/>
      </c>
      <c r="H2092" s="8">
        <f>IF(B2092="","",IFERROR(VLOOKUP(--B2092,'CATALOGO CECO'!$A$2:$H$550,3,FALSE),""))</f>
        <v/>
      </c>
      <c r="I2092" s="8">
        <f>IF(B2092="","",IFERROR(VLOOKUP(--B2092,'CATALOGO CECO'!$A$2:$H$550,5,FALSE),""))</f>
        <v/>
      </c>
      <c r="J2092" s="8">
        <f>IF(B2092="","",IFERROR(VLOOKUP(--B2092,'CATALOGO CECO'!$A$2:$H$550,8,FALSE),""))</f>
        <v/>
      </c>
      <c r="K2092" s="8">
        <f>IF(COUNTA(A2092:F2092)=0,"",IF(OR(LEN(A2092)&lt;&gt;7,MID(A2092,5,1)&lt;&gt;"-",ISERROR(--LEFT(A2092,4)),ISERROR(--RIGHT(A2092,2))),"ERROR: PERIODO debe ser AAAA-MM",IF(B2092="","ERROR: falta CODIGO CECO",IF(G2092="CECO NO EXISTE","ERROR: CECO no existe en el catálogo",IF(C2092="","ERROR: falta CUENTA",IF(ISERROR(--C2092),"ERROR: CUENTA debe tener solo dígitos",IF(ISERROR(FIND(LEFT(C2092,1),"567")),"ERROR: CUENTA fuera de las clases de costo",IF(NOT(ISNUMBER(E2092)),"ERROR: VALOR debe ser numérico",IF(E2092=0,"AVISO: valor cero (no se carga)",IF(J2092&lt;&gt;"ACTIVO","NO SE CARGA: CECO en estado "&amp;J2092,"OK"))))))))))</f>
        <v/>
      </c>
    </row>
    <row r="2093">
      <c r="A2093" s="5" t="n"/>
      <c r="B2093" s="6" t="n"/>
      <c r="C2093" s="5" t="n"/>
      <c r="D2093" s="6" t="n"/>
      <c r="E2093" s="7" t="n"/>
      <c r="F2093" s="6" t="n"/>
      <c r="G2093" s="8">
        <f>IF(B2093="","",IFERROR(VLOOKUP(--B2093,'CATALOGO CECO'!$A$2:$H$550,2,FALSE),"CECO NO EXISTE"))</f>
        <v/>
      </c>
      <c r="H2093" s="8">
        <f>IF(B2093="","",IFERROR(VLOOKUP(--B2093,'CATALOGO CECO'!$A$2:$H$550,3,FALSE),""))</f>
        <v/>
      </c>
      <c r="I2093" s="8">
        <f>IF(B2093="","",IFERROR(VLOOKUP(--B2093,'CATALOGO CECO'!$A$2:$H$550,5,FALSE),""))</f>
        <v/>
      </c>
      <c r="J2093" s="8">
        <f>IF(B2093="","",IFERROR(VLOOKUP(--B2093,'CATALOGO CECO'!$A$2:$H$550,8,FALSE),""))</f>
        <v/>
      </c>
      <c r="K2093" s="8">
        <f>IF(COUNTA(A2093:F2093)=0,"",IF(OR(LEN(A2093)&lt;&gt;7,MID(A2093,5,1)&lt;&gt;"-",ISERROR(--LEFT(A2093,4)),ISERROR(--RIGHT(A2093,2))),"ERROR: PERIODO debe ser AAAA-MM",IF(B2093="","ERROR: falta CODIGO CECO",IF(G2093="CECO NO EXISTE","ERROR: CECO no existe en el catálogo",IF(C2093="","ERROR: falta CUENTA",IF(ISERROR(--C2093),"ERROR: CUENTA debe tener solo dígitos",IF(ISERROR(FIND(LEFT(C2093,1),"567")),"ERROR: CUENTA fuera de las clases de costo",IF(NOT(ISNUMBER(E2093)),"ERROR: VALOR debe ser numérico",IF(E2093=0,"AVISO: valor cero (no se carga)",IF(J2093&lt;&gt;"ACTIVO","NO SE CARGA: CECO en estado "&amp;J2093,"OK"))))))))))</f>
        <v/>
      </c>
    </row>
    <row r="2094">
      <c r="A2094" s="5" t="n"/>
      <c r="B2094" s="6" t="n"/>
      <c r="C2094" s="5" t="n"/>
      <c r="D2094" s="6" t="n"/>
      <c r="E2094" s="7" t="n"/>
      <c r="F2094" s="6" t="n"/>
      <c r="G2094" s="8">
        <f>IF(B2094="","",IFERROR(VLOOKUP(--B2094,'CATALOGO CECO'!$A$2:$H$550,2,FALSE),"CECO NO EXISTE"))</f>
        <v/>
      </c>
      <c r="H2094" s="8">
        <f>IF(B2094="","",IFERROR(VLOOKUP(--B2094,'CATALOGO CECO'!$A$2:$H$550,3,FALSE),""))</f>
        <v/>
      </c>
      <c r="I2094" s="8">
        <f>IF(B2094="","",IFERROR(VLOOKUP(--B2094,'CATALOGO CECO'!$A$2:$H$550,5,FALSE),""))</f>
        <v/>
      </c>
      <c r="J2094" s="8">
        <f>IF(B2094="","",IFERROR(VLOOKUP(--B2094,'CATALOGO CECO'!$A$2:$H$550,8,FALSE),""))</f>
        <v/>
      </c>
      <c r="K2094" s="8">
        <f>IF(COUNTA(A2094:F2094)=0,"",IF(OR(LEN(A2094)&lt;&gt;7,MID(A2094,5,1)&lt;&gt;"-",ISERROR(--LEFT(A2094,4)),ISERROR(--RIGHT(A2094,2))),"ERROR: PERIODO debe ser AAAA-MM",IF(B2094="","ERROR: falta CODIGO CECO",IF(G2094="CECO NO EXISTE","ERROR: CECO no existe en el catálogo",IF(C2094="","ERROR: falta CUENTA",IF(ISERROR(--C2094),"ERROR: CUENTA debe tener solo dígitos",IF(ISERROR(FIND(LEFT(C2094,1),"567")),"ERROR: CUENTA fuera de las clases de costo",IF(NOT(ISNUMBER(E2094)),"ERROR: VALOR debe ser numérico",IF(E2094=0,"AVISO: valor cero (no se carga)",IF(J2094&lt;&gt;"ACTIVO","NO SE CARGA: CECO en estado "&amp;J2094,"OK"))))))))))</f>
        <v/>
      </c>
    </row>
    <row r="2095">
      <c r="A2095" s="5" t="n"/>
      <c r="B2095" s="6" t="n"/>
      <c r="C2095" s="5" t="n"/>
      <c r="D2095" s="6" t="n"/>
      <c r="E2095" s="7" t="n"/>
      <c r="F2095" s="6" t="n"/>
      <c r="G2095" s="8">
        <f>IF(B2095="","",IFERROR(VLOOKUP(--B2095,'CATALOGO CECO'!$A$2:$H$550,2,FALSE),"CECO NO EXISTE"))</f>
        <v/>
      </c>
      <c r="H2095" s="8">
        <f>IF(B2095="","",IFERROR(VLOOKUP(--B2095,'CATALOGO CECO'!$A$2:$H$550,3,FALSE),""))</f>
        <v/>
      </c>
      <c r="I2095" s="8">
        <f>IF(B2095="","",IFERROR(VLOOKUP(--B2095,'CATALOGO CECO'!$A$2:$H$550,5,FALSE),""))</f>
        <v/>
      </c>
      <c r="J2095" s="8">
        <f>IF(B2095="","",IFERROR(VLOOKUP(--B2095,'CATALOGO CECO'!$A$2:$H$550,8,FALSE),""))</f>
        <v/>
      </c>
      <c r="K2095" s="8">
        <f>IF(COUNTA(A2095:F2095)=0,"",IF(OR(LEN(A2095)&lt;&gt;7,MID(A2095,5,1)&lt;&gt;"-",ISERROR(--LEFT(A2095,4)),ISERROR(--RIGHT(A2095,2))),"ERROR: PERIODO debe ser AAAA-MM",IF(B2095="","ERROR: falta CODIGO CECO",IF(G2095="CECO NO EXISTE","ERROR: CECO no existe en el catálogo",IF(C2095="","ERROR: falta CUENTA",IF(ISERROR(--C2095),"ERROR: CUENTA debe tener solo dígitos",IF(ISERROR(FIND(LEFT(C2095,1),"567")),"ERROR: CUENTA fuera de las clases de costo",IF(NOT(ISNUMBER(E2095)),"ERROR: VALOR debe ser numérico",IF(E2095=0,"AVISO: valor cero (no se carga)",IF(J2095&lt;&gt;"ACTIVO","NO SE CARGA: CECO en estado "&amp;J2095,"OK"))))))))))</f>
        <v/>
      </c>
    </row>
    <row r="2096">
      <c r="A2096" s="5" t="n"/>
      <c r="B2096" s="6" t="n"/>
      <c r="C2096" s="5" t="n"/>
      <c r="D2096" s="6" t="n"/>
      <c r="E2096" s="7" t="n"/>
      <c r="F2096" s="6" t="n"/>
      <c r="G2096" s="8">
        <f>IF(B2096="","",IFERROR(VLOOKUP(--B2096,'CATALOGO CECO'!$A$2:$H$550,2,FALSE),"CECO NO EXISTE"))</f>
        <v/>
      </c>
      <c r="H2096" s="8">
        <f>IF(B2096="","",IFERROR(VLOOKUP(--B2096,'CATALOGO CECO'!$A$2:$H$550,3,FALSE),""))</f>
        <v/>
      </c>
      <c r="I2096" s="8">
        <f>IF(B2096="","",IFERROR(VLOOKUP(--B2096,'CATALOGO CECO'!$A$2:$H$550,5,FALSE),""))</f>
        <v/>
      </c>
      <c r="J2096" s="8">
        <f>IF(B2096="","",IFERROR(VLOOKUP(--B2096,'CATALOGO CECO'!$A$2:$H$550,8,FALSE),""))</f>
        <v/>
      </c>
      <c r="K2096" s="8">
        <f>IF(COUNTA(A2096:F2096)=0,"",IF(OR(LEN(A2096)&lt;&gt;7,MID(A2096,5,1)&lt;&gt;"-",ISERROR(--LEFT(A2096,4)),ISERROR(--RIGHT(A2096,2))),"ERROR: PERIODO debe ser AAAA-MM",IF(B2096="","ERROR: falta CODIGO CECO",IF(G2096="CECO NO EXISTE","ERROR: CECO no existe en el catálogo",IF(C2096="","ERROR: falta CUENTA",IF(ISERROR(--C2096),"ERROR: CUENTA debe tener solo dígitos",IF(ISERROR(FIND(LEFT(C2096,1),"567")),"ERROR: CUENTA fuera de las clases de costo",IF(NOT(ISNUMBER(E2096)),"ERROR: VALOR debe ser numérico",IF(E2096=0,"AVISO: valor cero (no se carga)",IF(J2096&lt;&gt;"ACTIVO","NO SE CARGA: CECO en estado "&amp;J2096,"OK"))))))))))</f>
        <v/>
      </c>
    </row>
    <row r="2097">
      <c r="A2097" s="5" t="n"/>
      <c r="B2097" s="6" t="n"/>
      <c r="C2097" s="5" t="n"/>
      <c r="D2097" s="6" t="n"/>
      <c r="E2097" s="7" t="n"/>
      <c r="F2097" s="6" t="n"/>
      <c r="G2097" s="8">
        <f>IF(B2097="","",IFERROR(VLOOKUP(--B2097,'CATALOGO CECO'!$A$2:$H$550,2,FALSE),"CECO NO EXISTE"))</f>
        <v/>
      </c>
      <c r="H2097" s="8">
        <f>IF(B2097="","",IFERROR(VLOOKUP(--B2097,'CATALOGO CECO'!$A$2:$H$550,3,FALSE),""))</f>
        <v/>
      </c>
      <c r="I2097" s="8">
        <f>IF(B2097="","",IFERROR(VLOOKUP(--B2097,'CATALOGO CECO'!$A$2:$H$550,5,FALSE),""))</f>
        <v/>
      </c>
      <c r="J2097" s="8">
        <f>IF(B2097="","",IFERROR(VLOOKUP(--B2097,'CATALOGO CECO'!$A$2:$H$550,8,FALSE),""))</f>
        <v/>
      </c>
      <c r="K2097" s="8">
        <f>IF(COUNTA(A2097:F2097)=0,"",IF(OR(LEN(A2097)&lt;&gt;7,MID(A2097,5,1)&lt;&gt;"-",ISERROR(--LEFT(A2097,4)),ISERROR(--RIGHT(A2097,2))),"ERROR: PERIODO debe ser AAAA-MM",IF(B2097="","ERROR: falta CODIGO CECO",IF(G2097="CECO NO EXISTE","ERROR: CECO no existe en el catálogo",IF(C2097="","ERROR: falta CUENTA",IF(ISERROR(--C2097),"ERROR: CUENTA debe tener solo dígitos",IF(ISERROR(FIND(LEFT(C2097,1),"567")),"ERROR: CUENTA fuera de las clases de costo",IF(NOT(ISNUMBER(E2097)),"ERROR: VALOR debe ser numérico",IF(E2097=0,"AVISO: valor cero (no se carga)",IF(J2097&lt;&gt;"ACTIVO","NO SE CARGA: CECO en estado "&amp;J2097,"OK"))))))))))</f>
        <v/>
      </c>
    </row>
    <row r="2098">
      <c r="A2098" s="5" t="n"/>
      <c r="B2098" s="6" t="n"/>
      <c r="C2098" s="5" t="n"/>
      <c r="D2098" s="6" t="n"/>
      <c r="E2098" s="7" t="n"/>
      <c r="F2098" s="6" t="n"/>
      <c r="G2098" s="8">
        <f>IF(B2098="","",IFERROR(VLOOKUP(--B2098,'CATALOGO CECO'!$A$2:$H$550,2,FALSE),"CECO NO EXISTE"))</f>
        <v/>
      </c>
      <c r="H2098" s="8">
        <f>IF(B2098="","",IFERROR(VLOOKUP(--B2098,'CATALOGO CECO'!$A$2:$H$550,3,FALSE),""))</f>
        <v/>
      </c>
      <c r="I2098" s="8">
        <f>IF(B2098="","",IFERROR(VLOOKUP(--B2098,'CATALOGO CECO'!$A$2:$H$550,5,FALSE),""))</f>
        <v/>
      </c>
      <c r="J2098" s="8">
        <f>IF(B2098="","",IFERROR(VLOOKUP(--B2098,'CATALOGO CECO'!$A$2:$H$550,8,FALSE),""))</f>
        <v/>
      </c>
      <c r="K2098" s="8">
        <f>IF(COUNTA(A2098:F2098)=0,"",IF(OR(LEN(A2098)&lt;&gt;7,MID(A2098,5,1)&lt;&gt;"-",ISERROR(--LEFT(A2098,4)),ISERROR(--RIGHT(A2098,2))),"ERROR: PERIODO debe ser AAAA-MM",IF(B2098="","ERROR: falta CODIGO CECO",IF(G2098="CECO NO EXISTE","ERROR: CECO no existe en el catálogo",IF(C2098="","ERROR: falta CUENTA",IF(ISERROR(--C2098),"ERROR: CUENTA debe tener solo dígitos",IF(ISERROR(FIND(LEFT(C2098,1),"567")),"ERROR: CUENTA fuera de las clases de costo",IF(NOT(ISNUMBER(E2098)),"ERROR: VALOR debe ser numérico",IF(E2098=0,"AVISO: valor cero (no se carga)",IF(J2098&lt;&gt;"ACTIVO","NO SE CARGA: CECO en estado "&amp;J2098,"OK"))))))))))</f>
        <v/>
      </c>
    </row>
    <row r="2099">
      <c r="A2099" s="5" t="n"/>
      <c r="B2099" s="6" t="n"/>
      <c r="C2099" s="5" t="n"/>
      <c r="D2099" s="6" t="n"/>
      <c r="E2099" s="7" t="n"/>
      <c r="F2099" s="6" t="n"/>
      <c r="G2099" s="8">
        <f>IF(B2099="","",IFERROR(VLOOKUP(--B2099,'CATALOGO CECO'!$A$2:$H$550,2,FALSE),"CECO NO EXISTE"))</f>
        <v/>
      </c>
      <c r="H2099" s="8">
        <f>IF(B2099="","",IFERROR(VLOOKUP(--B2099,'CATALOGO CECO'!$A$2:$H$550,3,FALSE),""))</f>
        <v/>
      </c>
      <c r="I2099" s="8">
        <f>IF(B2099="","",IFERROR(VLOOKUP(--B2099,'CATALOGO CECO'!$A$2:$H$550,5,FALSE),""))</f>
        <v/>
      </c>
      <c r="J2099" s="8">
        <f>IF(B2099="","",IFERROR(VLOOKUP(--B2099,'CATALOGO CECO'!$A$2:$H$550,8,FALSE),""))</f>
        <v/>
      </c>
      <c r="K2099" s="8">
        <f>IF(COUNTA(A2099:F2099)=0,"",IF(OR(LEN(A2099)&lt;&gt;7,MID(A2099,5,1)&lt;&gt;"-",ISERROR(--LEFT(A2099,4)),ISERROR(--RIGHT(A2099,2))),"ERROR: PERIODO debe ser AAAA-MM",IF(B2099="","ERROR: falta CODIGO CECO",IF(G2099="CECO NO EXISTE","ERROR: CECO no existe en el catálogo",IF(C2099="","ERROR: falta CUENTA",IF(ISERROR(--C2099),"ERROR: CUENTA debe tener solo dígitos",IF(ISERROR(FIND(LEFT(C2099,1),"567")),"ERROR: CUENTA fuera de las clases de costo",IF(NOT(ISNUMBER(E2099)),"ERROR: VALOR debe ser numérico",IF(E2099=0,"AVISO: valor cero (no se carga)",IF(J2099&lt;&gt;"ACTIVO","NO SE CARGA: CECO en estado "&amp;J2099,"OK"))))))))))</f>
        <v/>
      </c>
    </row>
    <row r="2100">
      <c r="A2100" s="5" t="n"/>
      <c r="B2100" s="6" t="n"/>
      <c r="C2100" s="5" t="n"/>
      <c r="D2100" s="6" t="n"/>
      <c r="E2100" s="7" t="n"/>
      <c r="F2100" s="6" t="n"/>
      <c r="G2100" s="8">
        <f>IF(B2100="","",IFERROR(VLOOKUP(--B2100,'CATALOGO CECO'!$A$2:$H$550,2,FALSE),"CECO NO EXISTE"))</f>
        <v/>
      </c>
      <c r="H2100" s="8">
        <f>IF(B2100="","",IFERROR(VLOOKUP(--B2100,'CATALOGO CECO'!$A$2:$H$550,3,FALSE),""))</f>
        <v/>
      </c>
      <c r="I2100" s="8">
        <f>IF(B2100="","",IFERROR(VLOOKUP(--B2100,'CATALOGO CECO'!$A$2:$H$550,5,FALSE),""))</f>
        <v/>
      </c>
      <c r="J2100" s="8">
        <f>IF(B2100="","",IFERROR(VLOOKUP(--B2100,'CATALOGO CECO'!$A$2:$H$550,8,FALSE),""))</f>
        <v/>
      </c>
      <c r="K2100" s="8">
        <f>IF(COUNTA(A2100:F2100)=0,"",IF(OR(LEN(A2100)&lt;&gt;7,MID(A2100,5,1)&lt;&gt;"-",ISERROR(--LEFT(A2100,4)),ISERROR(--RIGHT(A2100,2))),"ERROR: PERIODO debe ser AAAA-MM",IF(B2100="","ERROR: falta CODIGO CECO",IF(G2100="CECO NO EXISTE","ERROR: CECO no existe en el catálogo",IF(C2100="","ERROR: falta CUENTA",IF(ISERROR(--C2100),"ERROR: CUENTA debe tener solo dígitos",IF(ISERROR(FIND(LEFT(C2100,1),"567")),"ERROR: CUENTA fuera de las clases de costo",IF(NOT(ISNUMBER(E2100)),"ERROR: VALOR debe ser numérico",IF(E2100=0,"AVISO: valor cero (no se carga)",IF(J2100&lt;&gt;"ACTIVO","NO SE CARGA: CECO en estado "&amp;J2100,"OK"))))))))))</f>
        <v/>
      </c>
    </row>
    <row r="2101">
      <c r="A2101" s="5" t="n"/>
      <c r="B2101" s="6" t="n"/>
      <c r="C2101" s="5" t="n"/>
      <c r="D2101" s="6" t="n"/>
      <c r="E2101" s="7" t="n"/>
      <c r="F2101" s="6" t="n"/>
      <c r="G2101" s="8">
        <f>IF(B2101="","",IFERROR(VLOOKUP(--B2101,'CATALOGO CECO'!$A$2:$H$550,2,FALSE),"CECO NO EXISTE"))</f>
        <v/>
      </c>
      <c r="H2101" s="8">
        <f>IF(B2101="","",IFERROR(VLOOKUP(--B2101,'CATALOGO CECO'!$A$2:$H$550,3,FALSE),""))</f>
        <v/>
      </c>
      <c r="I2101" s="8">
        <f>IF(B2101="","",IFERROR(VLOOKUP(--B2101,'CATALOGO CECO'!$A$2:$H$550,5,FALSE),""))</f>
        <v/>
      </c>
      <c r="J2101" s="8">
        <f>IF(B2101="","",IFERROR(VLOOKUP(--B2101,'CATALOGO CECO'!$A$2:$H$550,8,FALSE),""))</f>
        <v/>
      </c>
      <c r="K2101" s="8">
        <f>IF(COUNTA(A2101:F2101)=0,"",IF(OR(LEN(A2101)&lt;&gt;7,MID(A2101,5,1)&lt;&gt;"-",ISERROR(--LEFT(A2101,4)),ISERROR(--RIGHT(A2101,2))),"ERROR: PERIODO debe ser AAAA-MM",IF(B2101="","ERROR: falta CODIGO CECO",IF(G2101="CECO NO EXISTE","ERROR: CECO no existe en el catálogo",IF(C2101="","ERROR: falta CUENTA",IF(ISERROR(--C2101),"ERROR: CUENTA debe tener solo dígitos",IF(ISERROR(FIND(LEFT(C2101,1),"567")),"ERROR: CUENTA fuera de las clases de costo",IF(NOT(ISNUMBER(E2101)),"ERROR: VALOR debe ser numérico",IF(E2101=0,"AVISO: valor cero (no se carga)",IF(J2101&lt;&gt;"ACTIVO","NO SE CARGA: CECO en estado "&amp;J2101,"OK"))))))))))</f>
        <v/>
      </c>
    </row>
    <row r="2102">
      <c r="A2102" s="5" t="n"/>
      <c r="B2102" s="6" t="n"/>
      <c r="C2102" s="5" t="n"/>
      <c r="D2102" s="6" t="n"/>
      <c r="E2102" s="7" t="n"/>
      <c r="F2102" s="6" t="n"/>
      <c r="G2102" s="8">
        <f>IF(B2102="","",IFERROR(VLOOKUP(--B2102,'CATALOGO CECO'!$A$2:$H$550,2,FALSE),"CECO NO EXISTE"))</f>
        <v/>
      </c>
      <c r="H2102" s="8">
        <f>IF(B2102="","",IFERROR(VLOOKUP(--B2102,'CATALOGO CECO'!$A$2:$H$550,3,FALSE),""))</f>
        <v/>
      </c>
      <c r="I2102" s="8">
        <f>IF(B2102="","",IFERROR(VLOOKUP(--B2102,'CATALOGO CECO'!$A$2:$H$550,5,FALSE),""))</f>
        <v/>
      </c>
      <c r="J2102" s="8">
        <f>IF(B2102="","",IFERROR(VLOOKUP(--B2102,'CATALOGO CECO'!$A$2:$H$550,8,FALSE),""))</f>
        <v/>
      </c>
      <c r="K2102" s="8">
        <f>IF(COUNTA(A2102:F2102)=0,"",IF(OR(LEN(A2102)&lt;&gt;7,MID(A2102,5,1)&lt;&gt;"-",ISERROR(--LEFT(A2102,4)),ISERROR(--RIGHT(A2102,2))),"ERROR: PERIODO debe ser AAAA-MM",IF(B2102="","ERROR: falta CODIGO CECO",IF(G2102="CECO NO EXISTE","ERROR: CECO no existe en el catálogo",IF(C2102="","ERROR: falta CUENTA",IF(ISERROR(--C2102),"ERROR: CUENTA debe tener solo dígitos",IF(ISERROR(FIND(LEFT(C2102,1),"567")),"ERROR: CUENTA fuera de las clases de costo",IF(NOT(ISNUMBER(E2102)),"ERROR: VALOR debe ser numérico",IF(E2102=0,"AVISO: valor cero (no se carga)",IF(J2102&lt;&gt;"ACTIVO","NO SE CARGA: CECO en estado "&amp;J2102,"OK"))))))))))</f>
        <v/>
      </c>
    </row>
    <row r="2103">
      <c r="A2103" s="5" t="n"/>
      <c r="B2103" s="6" t="n"/>
      <c r="C2103" s="5" t="n"/>
      <c r="D2103" s="6" t="n"/>
      <c r="E2103" s="7" t="n"/>
      <c r="F2103" s="6" t="n"/>
      <c r="G2103" s="8">
        <f>IF(B2103="","",IFERROR(VLOOKUP(--B2103,'CATALOGO CECO'!$A$2:$H$550,2,FALSE),"CECO NO EXISTE"))</f>
        <v/>
      </c>
      <c r="H2103" s="8">
        <f>IF(B2103="","",IFERROR(VLOOKUP(--B2103,'CATALOGO CECO'!$A$2:$H$550,3,FALSE),""))</f>
        <v/>
      </c>
      <c r="I2103" s="8">
        <f>IF(B2103="","",IFERROR(VLOOKUP(--B2103,'CATALOGO CECO'!$A$2:$H$550,5,FALSE),""))</f>
        <v/>
      </c>
      <c r="J2103" s="8">
        <f>IF(B2103="","",IFERROR(VLOOKUP(--B2103,'CATALOGO CECO'!$A$2:$H$550,8,FALSE),""))</f>
        <v/>
      </c>
      <c r="K2103" s="8">
        <f>IF(COUNTA(A2103:F2103)=0,"",IF(OR(LEN(A2103)&lt;&gt;7,MID(A2103,5,1)&lt;&gt;"-",ISERROR(--LEFT(A2103,4)),ISERROR(--RIGHT(A2103,2))),"ERROR: PERIODO debe ser AAAA-MM",IF(B2103="","ERROR: falta CODIGO CECO",IF(G2103="CECO NO EXISTE","ERROR: CECO no existe en el catálogo",IF(C2103="","ERROR: falta CUENTA",IF(ISERROR(--C2103),"ERROR: CUENTA debe tener solo dígitos",IF(ISERROR(FIND(LEFT(C2103,1),"567")),"ERROR: CUENTA fuera de las clases de costo",IF(NOT(ISNUMBER(E2103)),"ERROR: VALOR debe ser numérico",IF(E2103=0,"AVISO: valor cero (no se carga)",IF(J2103&lt;&gt;"ACTIVO","NO SE CARGA: CECO en estado "&amp;J2103,"OK"))))))))))</f>
        <v/>
      </c>
    </row>
    <row r="2104">
      <c r="A2104" s="5" t="n"/>
      <c r="B2104" s="6" t="n"/>
      <c r="C2104" s="5" t="n"/>
      <c r="D2104" s="6" t="n"/>
      <c r="E2104" s="7" t="n"/>
      <c r="F2104" s="6" t="n"/>
      <c r="G2104" s="8">
        <f>IF(B2104="","",IFERROR(VLOOKUP(--B2104,'CATALOGO CECO'!$A$2:$H$550,2,FALSE),"CECO NO EXISTE"))</f>
        <v/>
      </c>
      <c r="H2104" s="8">
        <f>IF(B2104="","",IFERROR(VLOOKUP(--B2104,'CATALOGO CECO'!$A$2:$H$550,3,FALSE),""))</f>
        <v/>
      </c>
      <c r="I2104" s="8">
        <f>IF(B2104="","",IFERROR(VLOOKUP(--B2104,'CATALOGO CECO'!$A$2:$H$550,5,FALSE),""))</f>
        <v/>
      </c>
      <c r="J2104" s="8">
        <f>IF(B2104="","",IFERROR(VLOOKUP(--B2104,'CATALOGO CECO'!$A$2:$H$550,8,FALSE),""))</f>
        <v/>
      </c>
      <c r="K2104" s="8">
        <f>IF(COUNTA(A2104:F2104)=0,"",IF(OR(LEN(A2104)&lt;&gt;7,MID(A2104,5,1)&lt;&gt;"-",ISERROR(--LEFT(A2104,4)),ISERROR(--RIGHT(A2104,2))),"ERROR: PERIODO debe ser AAAA-MM",IF(B2104="","ERROR: falta CODIGO CECO",IF(G2104="CECO NO EXISTE","ERROR: CECO no existe en el catálogo",IF(C2104="","ERROR: falta CUENTA",IF(ISERROR(--C2104),"ERROR: CUENTA debe tener solo dígitos",IF(ISERROR(FIND(LEFT(C2104,1),"567")),"ERROR: CUENTA fuera de las clases de costo",IF(NOT(ISNUMBER(E2104)),"ERROR: VALOR debe ser numérico",IF(E2104=0,"AVISO: valor cero (no se carga)",IF(J2104&lt;&gt;"ACTIVO","NO SE CARGA: CECO en estado "&amp;J2104,"OK"))))))))))</f>
        <v/>
      </c>
    </row>
    <row r="2105">
      <c r="A2105" s="5" t="n"/>
      <c r="B2105" s="6" t="n"/>
      <c r="C2105" s="5" t="n"/>
      <c r="D2105" s="6" t="n"/>
      <c r="E2105" s="7" t="n"/>
      <c r="F2105" s="6" t="n"/>
      <c r="G2105" s="8">
        <f>IF(B2105="","",IFERROR(VLOOKUP(--B2105,'CATALOGO CECO'!$A$2:$H$550,2,FALSE),"CECO NO EXISTE"))</f>
        <v/>
      </c>
      <c r="H2105" s="8">
        <f>IF(B2105="","",IFERROR(VLOOKUP(--B2105,'CATALOGO CECO'!$A$2:$H$550,3,FALSE),""))</f>
        <v/>
      </c>
      <c r="I2105" s="8">
        <f>IF(B2105="","",IFERROR(VLOOKUP(--B2105,'CATALOGO CECO'!$A$2:$H$550,5,FALSE),""))</f>
        <v/>
      </c>
      <c r="J2105" s="8">
        <f>IF(B2105="","",IFERROR(VLOOKUP(--B2105,'CATALOGO CECO'!$A$2:$H$550,8,FALSE),""))</f>
        <v/>
      </c>
      <c r="K2105" s="8">
        <f>IF(COUNTA(A2105:F2105)=0,"",IF(OR(LEN(A2105)&lt;&gt;7,MID(A2105,5,1)&lt;&gt;"-",ISERROR(--LEFT(A2105,4)),ISERROR(--RIGHT(A2105,2))),"ERROR: PERIODO debe ser AAAA-MM",IF(B2105="","ERROR: falta CODIGO CECO",IF(G2105="CECO NO EXISTE","ERROR: CECO no existe en el catálogo",IF(C2105="","ERROR: falta CUENTA",IF(ISERROR(--C2105),"ERROR: CUENTA debe tener solo dígitos",IF(ISERROR(FIND(LEFT(C2105,1),"567")),"ERROR: CUENTA fuera de las clases de costo",IF(NOT(ISNUMBER(E2105)),"ERROR: VALOR debe ser numérico",IF(E2105=0,"AVISO: valor cero (no se carga)",IF(J2105&lt;&gt;"ACTIVO","NO SE CARGA: CECO en estado "&amp;J2105,"OK"))))))))))</f>
        <v/>
      </c>
    </row>
    <row r="2106">
      <c r="A2106" s="5" t="n"/>
      <c r="B2106" s="6" t="n"/>
      <c r="C2106" s="5" t="n"/>
      <c r="D2106" s="6" t="n"/>
      <c r="E2106" s="7" t="n"/>
      <c r="F2106" s="6" t="n"/>
      <c r="G2106" s="8">
        <f>IF(B2106="","",IFERROR(VLOOKUP(--B2106,'CATALOGO CECO'!$A$2:$H$550,2,FALSE),"CECO NO EXISTE"))</f>
        <v/>
      </c>
      <c r="H2106" s="8">
        <f>IF(B2106="","",IFERROR(VLOOKUP(--B2106,'CATALOGO CECO'!$A$2:$H$550,3,FALSE),""))</f>
        <v/>
      </c>
      <c r="I2106" s="8">
        <f>IF(B2106="","",IFERROR(VLOOKUP(--B2106,'CATALOGO CECO'!$A$2:$H$550,5,FALSE),""))</f>
        <v/>
      </c>
      <c r="J2106" s="8">
        <f>IF(B2106="","",IFERROR(VLOOKUP(--B2106,'CATALOGO CECO'!$A$2:$H$550,8,FALSE),""))</f>
        <v/>
      </c>
      <c r="K2106" s="8">
        <f>IF(COUNTA(A2106:F2106)=0,"",IF(OR(LEN(A2106)&lt;&gt;7,MID(A2106,5,1)&lt;&gt;"-",ISERROR(--LEFT(A2106,4)),ISERROR(--RIGHT(A2106,2))),"ERROR: PERIODO debe ser AAAA-MM",IF(B2106="","ERROR: falta CODIGO CECO",IF(G2106="CECO NO EXISTE","ERROR: CECO no existe en el catálogo",IF(C2106="","ERROR: falta CUENTA",IF(ISERROR(--C2106),"ERROR: CUENTA debe tener solo dígitos",IF(ISERROR(FIND(LEFT(C2106,1),"567")),"ERROR: CUENTA fuera de las clases de costo",IF(NOT(ISNUMBER(E2106)),"ERROR: VALOR debe ser numérico",IF(E2106=0,"AVISO: valor cero (no se carga)",IF(J2106&lt;&gt;"ACTIVO","NO SE CARGA: CECO en estado "&amp;J2106,"OK"))))))))))</f>
        <v/>
      </c>
    </row>
    <row r="2107">
      <c r="A2107" s="5" t="n"/>
      <c r="B2107" s="6" t="n"/>
      <c r="C2107" s="5" t="n"/>
      <c r="D2107" s="6" t="n"/>
      <c r="E2107" s="7" t="n"/>
      <c r="F2107" s="6" t="n"/>
      <c r="G2107" s="8">
        <f>IF(B2107="","",IFERROR(VLOOKUP(--B2107,'CATALOGO CECO'!$A$2:$H$550,2,FALSE),"CECO NO EXISTE"))</f>
        <v/>
      </c>
      <c r="H2107" s="8">
        <f>IF(B2107="","",IFERROR(VLOOKUP(--B2107,'CATALOGO CECO'!$A$2:$H$550,3,FALSE),""))</f>
        <v/>
      </c>
      <c r="I2107" s="8">
        <f>IF(B2107="","",IFERROR(VLOOKUP(--B2107,'CATALOGO CECO'!$A$2:$H$550,5,FALSE),""))</f>
        <v/>
      </c>
      <c r="J2107" s="8">
        <f>IF(B2107="","",IFERROR(VLOOKUP(--B2107,'CATALOGO CECO'!$A$2:$H$550,8,FALSE),""))</f>
        <v/>
      </c>
      <c r="K2107" s="8">
        <f>IF(COUNTA(A2107:F2107)=0,"",IF(OR(LEN(A2107)&lt;&gt;7,MID(A2107,5,1)&lt;&gt;"-",ISERROR(--LEFT(A2107,4)),ISERROR(--RIGHT(A2107,2))),"ERROR: PERIODO debe ser AAAA-MM",IF(B2107="","ERROR: falta CODIGO CECO",IF(G2107="CECO NO EXISTE","ERROR: CECO no existe en el catálogo",IF(C2107="","ERROR: falta CUENTA",IF(ISERROR(--C2107),"ERROR: CUENTA debe tener solo dígitos",IF(ISERROR(FIND(LEFT(C2107,1),"567")),"ERROR: CUENTA fuera de las clases de costo",IF(NOT(ISNUMBER(E2107)),"ERROR: VALOR debe ser numérico",IF(E2107=0,"AVISO: valor cero (no se carga)",IF(J2107&lt;&gt;"ACTIVO","NO SE CARGA: CECO en estado "&amp;J2107,"OK"))))))))))</f>
        <v/>
      </c>
    </row>
    <row r="2108">
      <c r="A2108" s="5" t="n"/>
      <c r="B2108" s="6" t="n"/>
      <c r="C2108" s="5" t="n"/>
      <c r="D2108" s="6" t="n"/>
      <c r="E2108" s="7" t="n"/>
      <c r="F2108" s="6" t="n"/>
      <c r="G2108" s="8">
        <f>IF(B2108="","",IFERROR(VLOOKUP(--B2108,'CATALOGO CECO'!$A$2:$H$550,2,FALSE),"CECO NO EXISTE"))</f>
        <v/>
      </c>
      <c r="H2108" s="8">
        <f>IF(B2108="","",IFERROR(VLOOKUP(--B2108,'CATALOGO CECO'!$A$2:$H$550,3,FALSE),""))</f>
        <v/>
      </c>
      <c r="I2108" s="8">
        <f>IF(B2108="","",IFERROR(VLOOKUP(--B2108,'CATALOGO CECO'!$A$2:$H$550,5,FALSE),""))</f>
        <v/>
      </c>
      <c r="J2108" s="8">
        <f>IF(B2108="","",IFERROR(VLOOKUP(--B2108,'CATALOGO CECO'!$A$2:$H$550,8,FALSE),""))</f>
        <v/>
      </c>
      <c r="K2108" s="8">
        <f>IF(COUNTA(A2108:F2108)=0,"",IF(OR(LEN(A2108)&lt;&gt;7,MID(A2108,5,1)&lt;&gt;"-",ISERROR(--LEFT(A2108,4)),ISERROR(--RIGHT(A2108,2))),"ERROR: PERIODO debe ser AAAA-MM",IF(B2108="","ERROR: falta CODIGO CECO",IF(G2108="CECO NO EXISTE","ERROR: CECO no existe en el catálogo",IF(C2108="","ERROR: falta CUENTA",IF(ISERROR(--C2108),"ERROR: CUENTA debe tener solo dígitos",IF(ISERROR(FIND(LEFT(C2108,1),"567")),"ERROR: CUENTA fuera de las clases de costo",IF(NOT(ISNUMBER(E2108)),"ERROR: VALOR debe ser numérico",IF(E2108=0,"AVISO: valor cero (no se carga)",IF(J2108&lt;&gt;"ACTIVO","NO SE CARGA: CECO en estado "&amp;J2108,"OK"))))))))))</f>
        <v/>
      </c>
    </row>
    <row r="2109">
      <c r="A2109" s="5" t="n"/>
      <c r="B2109" s="6" t="n"/>
      <c r="C2109" s="5" t="n"/>
      <c r="D2109" s="6" t="n"/>
      <c r="E2109" s="7" t="n"/>
      <c r="F2109" s="6" t="n"/>
      <c r="G2109" s="8">
        <f>IF(B2109="","",IFERROR(VLOOKUP(--B2109,'CATALOGO CECO'!$A$2:$H$550,2,FALSE),"CECO NO EXISTE"))</f>
        <v/>
      </c>
      <c r="H2109" s="8">
        <f>IF(B2109="","",IFERROR(VLOOKUP(--B2109,'CATALOGO CECO'!$A$2:$H$550,3,FALSE),""))</f>
        <v/>
      </c>
      <c r="I2109" s="8">
        <f>IF(B2109="","",IFERROR(VLOOKUP(--B2109,'CATALOGO CECO'!$A$2:$H$550,5,FALSE),""))</f>
        <v/>
      </c>
      <c r="J2109" s="8">
        <f>IF(B2109="","",IFERROR(VLOOKUP(--B2109,'CATALOGO CECO'!$A$2:$H$550,8,FALSE),""))</f>
        <v/>
      </c>
      <c r="K2109" s="8">
        <f>IF(COUNTA(A2109:F2109)=0,"",IF(OR(LEN(A2109)&lt;&gt;7,MID(A2109,5,1)&lt;&gt;"-",ISERROR(--LEFT(A2109,4)),ISERROR(--RIGHT(A2109,2))),"ERROR: PERIODO debe ser AAAA-MM",IF(B2109="","ERROR: falta CODIGO CECO",IF(G2109="CECO NO EXISTE","ERROR: CECO no existe en el catálogo",IF(C2109="","ERROR: falta CUENTA",IF(ISERROR(--C2109),"ERROR: CUENTA debe tener solo dígitos",IF(ISERROR(FIND(LEFT(C2109,1),"567")),"ERROR: CUENTA fuera de las clases de costo",IF(NOT(ISNUMBER(E2109)),"ERROR: VALOR debe ser numérico",IF(E2109=0,"AVISO: valor cero (no se carga)",IF(J2109&lt;&gt;"ACTIVO","NO SE CARGA: CECO en estado "&amp;J2109,"OK"))))))))))</f>
        <v/>
      </c>
    </row>
    <row r="2110">
      <c r="A2110" s="5" t="n"/>
      <c r="B2110" s="6" t="n"/>
      <c r="C2110" s="5" t="n"/>
      <c r="D2110" s="6" t="n"/>
      <c r="E2110" s="7" t="n"/>
      <c r="F2110" s="6" t="n"/>
      <c r="G2110" s="8">
        <f>IF(B2110="","",IFERROR(VLOOKUP(--B2110,'CATALOGO CECO'!$A$2:$H$550,2,FALSE),"CECO NO EXISTE"))</f>
        <v/>
      </c>
      <c r="H2110" s="8">
        <f>IF(B2110="","",IFERROR(VLOOKUP(--B2110,'CATALOGO CECO'!$A$2:$H$550,3,FALSE),""))</f>
        <v/>
      </c>
      <c r="I2110" s="8">
        <f>IF(B2110="","",IFERROR(VLOOKUP(--B2110,'CATALOGO CECO'!$A$2:$H$550,5,FALSE),""))</f>
        <v/>
      </c>
      <c r="J2110" s="8">
        <f>IF(B2110="","",IFERROR(VLOOKUP(--B2110,'CATALOGO CECO'!$A$2:$H$550,8,FALSE),""))</f>
        <v/>
      </c>
      <c r="K2110" s="8">
        <f>IF(COUNTA(A2110:F2110)=0,"",IF(OR(LEN(A2110)&lt;&gt;7,MID(A2110,5,1)&lt;&gt;"-",ISERROR(--LEFT(A2110,4)),ISERROR(--RIGHT(A2110,2))),"ERROR: PERIODO debe ser AAAA-MM",IF(B2110="","ERROR: falta CODIGO CECO",IF(G2110="CECO NO EXISTE","ERROR: CECO no existe en el catálogo",IF(C2110="","ERROR: falta CUENTA",IF(ISERROR(--C2110),"ERROR: CUENTA debe tener solo dígitos",IF(ISERROR(FIND(LEFT(C2110,1),"567")),"ERROR: CUENTA fuera de las clases de costo",IF(NOT(ISNUMBER(E2110)),"ERROR: VALOR debe ser numérico",IF(E2110=0,"AVISO: valor cero (no se carga)",IF(J2110&lt;&gt;"ACTIVO","NO SE CARGA: CECO en estado "&amp;J2110,"OK"))))))))))</f>
        <v/>
      </c>
    </row>
    <row r="2111">
      <c r="A2111" s="5" t="n"/>
      <c r="B2111" s="6" t="n"/>
      <c r="C2111" s="5" t="n"/>
      <c r="D2111" s="6" t="n"/>
      <c r="E2111" s="7" t="n"/>
      <c r="F2111" s="6" t="n"/>
      <c r="G2111" s="8">
        <f>IF(B2111="","",IFERROR(VLOOKUP(--B2111,'CATALOGO CECO'!$A$2:$H$550,2,FALSE),"CECO NO EXISTE"))</f>
        <v/>
      </c>
      <c r="H2111" s="8">
        <f>IF(B2111="","",IFERROR(VLOOKUP(--B2111,'CATALOGO CECO'!$A$2:$H$550,3,FALSE),""))</f>
        <v/>
      </c>
      <c r="I2111" s="8">
        <f>IF(B2111="","",IFERROR(VLOOKUP(--B2111,'CATALOGO CECO'!$A$2:$H$550,5,FALSE),""))</f>
        <v/>
      </c>
      <c r="J2111" s="8">
        <f>IF(B2111="","",IFERROR(VLOOKUP(--B2111,'CATALOGO CECO'!$A$2:$H$550,8,FALSE),""))</f>
        <v/>
      </c>
      <c r="K2111" s="8">
        <f>IF(COUNTA(A2111:F2111)=0,"",IF(OR(LEN(A2111)&lt;&gt;7,MID(A2111,5,1)&lt;&gt;"-",ISERROR(--LEFT(A2111,4)),ISERROR(--RIGHT(A2111,2))),"ERROR: PERIODO debe ser AAAA-MM",IF(B2111="","ERROR: falta CODIGO CECO",IF(G2111="CECO NO EXISTE","ERROR: CECO no existe en el catálogo",IF(C2111="","ERROR: falta CUENTA",IF(ISERROR(--C2111),"ERROR: CUENTA debe tener solo dígitos",IF(ISERROR(FIND(LEFT(C2111,1),"567")),"ERROR: CUENTA fuera de las clases de costo",IF(NOT(ISNUMBER(E2111)),"ERROR: VALOR debe ser numérico",IF(E2111=0,"AVISO: valor cero (no se carga)",IF(J2111&lt;&gt;"ACTIVO","NO SE CARGA: CECO en estado "&amp;J2111,"OK"))))))))))</f>
        <v/>
      </c>
    </row>
    <row r="2112">
      <c r="A2112" s="5" t="n"/>
      <c r="B2112" s="6" t="n"/>
      <c r="C2112" s="5" t="n"/>
      <c r="D2112" s="6" t="n"/>
      <c r="E2112" s="7" t="n"/>
      <c r="F2112" s="6" t="n"/>
      <c r="G2112" s="8">
        <f>IF(B2112="","",IFERROR(VLOOKUP(--B2112,'CATALOGO CECO'!$A$2:$H$550,2,FALSE),"CECO NO EXISTE"))</f>
        <v/>
      </c>
      <c r="H2112" s="8">
        <f>IF(B2112="","",IFERROR(VLOOKUP(--B2112,'CATALOGO CECO'!$A$2:$H$550,3,FALSE),""))</f>
        <v/>
      </c>
      <c r="I2112" s="8">
        <f>IF(B2112="","",IFERROR(VLOOKUP(--B2112,'CATALOGO CECO'!$A$2:$H$550,5,FALSE),""))</f>
        <v/>
      </c>
      <c r="J2112" s="8">
        <f>IF(B2112="","",IFERROR(VLOOKUP(--B2112,'CATALOGO CECO'!$A$2:$H$550,8,FALSE),""))</f>
        <v/>
      </c>
      <c r="K2112" s="8">
        <f>IF(COUNTA(A2112:F2112)=0,"",IF(OR(LEN(A2112)&lt;&gt;7,MID(A2112,5,1)&lt;&gt;"-",ISERROR(--LEFT(A2112,4)),ISERROR(--RIGHT(A2112,2))),"ERROR: PERIODO debe ser AAAA-MM",IF(B2112="","ERROR: falta CODIGO CECO",IF(G2112="CECO NO EXISTE","ERROR: CECO no existe en el catálogo",IF(C2112="","ERROR: falta CUENTA",IF(ISERROR(--C2112),"ERROR: CUENTA debe tener solo dígitos",IF(ISERROR(FIND(LEFT(C2112,1),"567")),"ERROR: CUENTA fuera de las clases de costo",IF(NOT(ISNUMBER(E2112)),"ERROR: VALOR debe ser numérico",IF(E2112=0,"AVISO: valor cero (no se carga)",IF(J2112&lt;&gt;"ACTIVO","NO SE CARGA: CECO en estado "&amp;J2112,"OK"))))))))))</f>
        <v/>
      </c>
    </row>
    <row r="2113">
      <c r="A2113" s="5" t="n"/>
      <c r="B2113" s="6" t="n"/>
      <c r="C2113" s="5" t="n"/>
      <c r="D2113" s="6" t="n"/>
      <c r="E2113" s="7" t="n"/>
      <c r="F2113" s="6" t="n"/>
      <c r="G2113" s="8">
        <f>IF(B2113="","",IFERROR(VLOOKUP(--B2113,'CATALOGO CECO'!$A$2:$H$550,2,FALSE),"CECO NO EXISTE"))</f>
        <v/>
      </c>
      <c r="H2113" s="8">
        <f>IF(B2113="","",IFERROR(VLOOKUP(--B2113,'CATALOGO CECO'!$A$2:$H$550,3,FALSE),""))</f>
        <v/>
      </c>
      <c r="I2113" s="8">
        <f>IF(B2113="","",IFERROR(VLOOKUP(--B2113,'CATALOGO CECO'!$A$2:$H$550,5,FALSE),""))</f>
        <v/>
      </c>
      <c r="J2113" s="8">
        <f>IF(B2113="","",IFERROR(VLOOKUP(--B2113,'CATALOGO CECO'!$A$2:$H$550,8,FALSE),""))</f>
        <v/>
      </c>
      <c r="K2113" s="8">
        <f>IF(COUNTA(A2113:F2113)=0,"",IF(OR(LEN(A2113)&lt;&gt;7,MID(A2113,5,1)&lt;&gt;"-",ISERROR(--LEFT(A2113,4)),ISERROR(--RIGHT(A2113,2))),"ERROR: PERIODO debe ser AAAA-MM",IF(B2113="","ERROR: falta CODIGO CECO",IF(G2113="CECO NO EXISTE","ERROR: CECO no existe en el catálogo",IF(C2113="","ERROR: falta CUENTA",IF(ISERROR(--C2113),"ERROR: CUENTA debe tener solo dígitos",IF(ISERROR(FIND(LEFT(C2113,1),"567")),"ERROR: CUENTA fuera de las clases de costo",IF(NOT(ISNUMBER(E2113)),"ERROR: VALOR debe ser numérico",IF(E2113=0,"AVISO: valor cero (no se carga)",IF(J2113&lt;&gt;"ACTIVO","NO SE CARGA: CECO en estado "&amp;J2113,"OK"))))))))))</f>
        <v/>
      </c>
    </row>
    <row r="2114">
      <c r="A2114" s="5" t="n"/>
      <c r="B2114" s="6" t="n"/>
      <c r="C2114" s="5" t="n"/>
      <c r="D2114" s="6" t="n"/>
      <c r="E2114" s="7" t="n"/>
      <c r="F2114" s="6" t="n"/>
      <c r="G2114" s="8">
        <f>IF(B2114="","",IFERROR(VLOOKUP(--B2114,'CATALOGO CECO'!$A$2:$H$550,2,FALSE),"CECO NO EXISTE"))</f>
        <v/>
      </c>
      <c r="H2114" s="8">
        <f>IF(B2114="","",IFERROR(VLOOKUP(--B2114,'CATALOGO CECO'!$A$2:$H$550,3,FALSE),""))</f>
        <v/>
      </c>
      <c r="I2114" s="8">
        <f>IF(B2114="","",IFERROR(VLOOKUP(--B2114,'CATALOGO CECO'!$A$2:$H$550,5,FALSE),""))</f>
        <v/>
      </c>
      <c r="J2114" s="8">
        <f>IF(B2114="","",IFERROR(VLOOKUP(--B2114,'CATALOGO CECO'!$A$2:$H$550,8,FALSE),""))</f>
        <v/>
      </c>
      <c r="K2114" s="8">
        <f>IF(COUNTA(A2114:F2114)=0,"",IF(OR(LEN(A2114)&lt;&gt;7,MID(A2114,5,1)&lt;&gt;"-",ISERROR(--LEFT(A2114,4)),ISERROR(--RIGHT(A2114,2))),"ERROR: PERIODO debe ser AAAA-MM",IF(B2114="","ERROR: falta CODIGO CECO",IF(G2114="CECO NO EXISTE","ERROR: CECO no existe en el catálogo",IF(C2114="","ERROR: falta CUENTA",IF(ISERROR(--C2114),"ERROR: CUENTA debe tener solo dígitos",IF(ISERROR(FIND(LEFT(C2114,1),"567")),"ERROR: CUENTA fuera de las clases de costo",IF(NOT(ISNUMBER(E2114)),"ERROR: VALOR debe ser numérico",IF(E2114=0,"AVISO: valor cero (no se carga)",IF(J2114&lt;&gt;"ACTIVO","NO SE CARGA: CECO en estado "&amp;J2114,"OK"))))))))))</f>
        <v/>
      </c>
    </row>
    <row r="2115">
      <c r="A2115" s="5" t="n"/>
      <c r="B2115" s="6" t="n"/>
      <c r="C2115" s="5" t="n"/>
      <c r="D2115" s="6" t="n"/>
      <c r="E2115" s="7" t="n"/>
      <c r="F2115" s="6" t="n"/>
      <c r="G2115" s="8">
        <f>IF(B2115="","",IFERROR(VLOOKUP(--B2115,'CATALOGO CECO'!$A$2:$H$550,2,FALSE),"CECO NO EXISTE"))</f>
        <v/>
      </c>
      <c r="H2115" s="8">
        <f>IF(B2115="","",IFERROR(VLOOKUP(--B2115,'CATALOGO CECO'!$A$2:$H$550,3,FALSE),""))</f>
        <v/>
      </c>
      <c r="I2115" s="8">
        <f>IF(B2115="","",IFERROR(VLOOKUP(--B2115,'CATALOGO CECO'!$A$2:$H$550,5,FALSE),""))</f>
        <v/>
      </c>
      <c r="J2115" s="8">
        <f>IF(B2115="","",IFERROR(VLOOKUP(--B2115,'CATALOGO CECO'!$A$2:$H$550,8,FALSE),""))</f>
        <v/>
      </c>
      <c r="K2115" s="8">
        <f>IF(COUNTA(A2115:F2115)=0,"",IF(OR(LEN(A2115)&lt;&gt;7,MID(A2115,5,1)&lt;&gt;"-",ISERROR(--LEFT(A2115,4)),ISERROR(--RIGHT(A2115,2))),"ERROR: PERIODO debe ser AAAA-MM",IF(B2115="","ERROR: falta CODIGO CECO",IF(G2115="CECO NO EXISTE","ERROR: CECO no existe en el catálogo",IF(C2115="","ERROR: falta CUENTA",IF(ISERROR(--C2115),"ERROR: CUENTA debe tener solo dígitos",IF(ISERROR(FIND(LEFT(C2115,1),"567")),"ERROR: CUENTA fuera de las clases de costo",IF(NOT(ISNUMBER(E2115)),"ERROR: VALOR debe ser numérico",IF(E2115=0,"AVISO: valor cero (no se carga)",IF(J2115&lt;&gt;"ACTIVO","NO SE CARGA: CECO en estado "&amp;J2115,"OK"))))))))))</f>
        <v/>
      </c>
    </row>
    <row r="2116">
      <c r="A2116" s="5" t="n"/>
      <c r="B2116" s="6" t="n"/>
      <c r="C2116" s="5" t="n"/>
      <c r="D2116" s="6" t="n"/>
      <c r="E2116" s="7" t="n"/>
      <c r="F2116" s="6" t="n"/>
      <c r="G2116" s="8">
        <f>IF(B2116="","",IFERROR(VLOOKUP(--B2116,'CATALOGO CECO'!$A$2:$H$550,2,FALSE),"CECO NO EXISTE"))</f>
        <v/>
      </c>
      <c r="H2116" s="8">
        <f>IF(B2116="","",IFERROR(VLOOKUP(--B2116,'CATALOGO CECO'!$A$2:$H$550,3,FALSE),""))</f>
        <v/>
      </c>
      <c r="I2116" s="8">
        <f>IF(B2116="","",IFERROR(VLOOKUP(--B2116,'CATALOGO CECO'!$A$2:$H$550,5,FALSE),""))</f>
        <v/>
      </c>
      <c r="J2116" s="8">
        <f>IF(B2116="","",IFERROR(VLOOKUP(--B2116,'CATALOGO CECO'!$A$2:$H$550,8,FALSE),""))</f>
        <v/>
      </c>
      <c r="K2116" s="8">
        <f>IF(COUNTA(A2116:F2116)=0,"",IF(OR(LEN(A2116)&lt;&gt;7,MID(A2116,5,1)&lt;&gt;"-",ISERROR(--LEFT(A2116,4)),ISERROR(--RIGHT(A2116,2))),"ERROR: PERIODO debe ser AAAA-MM",IF(B2116="","ERROR: falta CODIGO CECO",IF(G2116="CECO NO EXISTE","ERROR: CECO no existe en el catálogo",IF(C2116="","ERROR: falta CUENTA",IF(ISERROR(--C2116),"ERROR: CUENTA debe tener solo dígitos",IF(ISERROR(FIND(LEFT(C2116,1),"567")),"ERROR: CUENTA fuera de las clases de costo",IF(NOT(ISNUMBER(E2116)),"ERROR: VALOR debe ser numérico",IF(E2116=0,"AVISO: valor cero (no se carga)",IF(J2116&lt;&gt;"ACTIVO","NO SE CARGA: CECO en estado "&amp;J2116,"OK"))))))))))</f>
        <v/>
      </c>
    </row>
    <row r="2117">
      <c r="A2117" s="5" t="n"/>
      <c r="B2117" s="6" t="n"/>
      <c r="C2117" s="5" t="n"/>
      <c r="D2117" s="6" t="n"/>
      <c r="E2117" s="7" t="n"/>
      <c r="F2117" s="6" t="n"/>
      <c r="G2117" s="8">
        <f>IF(B2117="","",IFERROR(VLOOKUP(--B2117,'CATALOGO CECO'!$A$2:$H$550,2,FALSE),"CECO NO EXISTE"))</f>
        <v/>
      </c>
      <c r="H2117" s="8">
        <f>IF(B2117="","",IFERROR(VLOOKUP(--B2117,'CATALOGO CECO'!$A$2:$H$550,3,FALSE),""))</f>
        <v/>
      </c>
      <c r="I2117" s="8">
        <f>IF(B2117="","",IFERROR(VLOOKUP(--B2117,'CATALOGO CECO'!$A$2:$H$550,5,FALSE),""))</f>
        <v/>
      </c>
      <c r="J2117" s="8">
        <f>IF(B2117="","",IFERROR(VLOOKUP(--B2117,'CATALOGO CECO'!$A$2:$H$550,8,FALSE),""))</f>
        <v/>
      </c>
      <c r="K2117" s="8">
        <f>IF(COUNTA(A2117:F2117)=0,"",IF(OR(LEN(A2117)&lt;&gt;7,MID(A2117,5,1)&lt;&gt;"-",ISERROR(--LEFT(A2117,4)),ISERROR(--RIGHT(A2117,2))),"ERROR: PERIODO debe ser AAAA-MM",IF(B2117="","ERROR: falta CODIGO CECO",IF(G2117="CECO NO EXISTE","ERROR: CECO no existe en el catálogo",IF(C2117="","ERROR: falta CUENTA",IF(ISERROR(--C2117),"ERROR: CUENTA debe tener solo dígitos",IF(ISERROR(FIND(LEFT(C2117,1),"567")),"ERROR: CUENTA fuera de las clases de costo",IF(NOT(ISNUMBER(E2117)),"ERROR: VALOR debe ser numérico",IF(E2117=0,"AVISO: valor cero (no se carga)",IF(J2117&lt;&gt;"ACTIVO","NO SE CARGA: CECO en estado "&amp;J2117,"OK"))))))))))</f>
        <v/>
      </c>
    </row>
    <row r="2118">
      <c r="A2118" s="5" t="n"/>
      <c r="B2118" s="6" t="n"/>
      <c r="C2118" s="5" t="n"/>
      <c r="D2118" s="6" t="n"/>
      <c r="E2118" s="7" t="n"/>
      <c r="F2118" s="6" t="n"/>
      <c r="G2118" s="8">
        <f>IF(B2118="","",IFERROR(VLOOKUP(--B2118,'CATALOGO CECO'!$A$2:$H$550,2,FALSE),"CECO NO EXISTE"))</f>
        <v/>
      </c>
      <c r="H2118" s="8">
        <f>IF(B2118="","",IFERROR(VLOOKUP(--B2118,'CATALOGO CECO'!$A$2:$H$550,3,FALSE),""))</f>
        <v/>
      </c>
      <c r="I2118" s="8">
        <f>IF(B2118="","",IFERROR(VLOOKUP(--B2118,'CATALOGO CECO'!$A$2:$H$550,5,FALSE),""))</f>
        <v/>
      </c>
      <c r="J2118" s="8">
        <f>IF(B2118="","",IFERROR(VLOOKUP(--B2118,'CATALOGO CECO'!$A$2:$H$550,8,FALSE),""))</f>
        <v/>
      </c>
      <c r="K2118" s="8">
        <f>IF(COUNTA(A2118:F2118)=0,"",IF(OR(LEN(A2118)&lt;&gt;7,MID(A2118,5,1)&lt;&gt;"-",ISERROR(--LEFT(A2118,4)),ISERROR(--RIGHT(A2118,2))),"ERROR: PERIODO debe ser AAAA-MM",IF(B2118="","ERROR: falta CODIGO CECO",IF(G2118="CECO NO EXISTE","ERROR: CECO no existe en el catálogo",IF(C2118="","ERROR: falta CUENTA",IF(ISERROR(--C2118),"ERROR: CUENTA debe tener solo dígitos",IF(ISERROR(FIND(LEFT(C2118,1),"567")),"ERROR: CUENTA fuera de las clases de costo",IF(NOT(ISNUMBER(E2118)),"ERROR: VALOR debe ser numérico",IF(E2118=0,"AVISO: valor cero (no se carga)",IF(J2118&lt;&gt;"ACTIVO","NO SE CARGA: CECO en estado "&amp;J2118,"OK"))))))))))</f>
        <v/>
      </c>
    </row>
    <row r="2119">
      <c r="A2119" s="5" t="n"/>
      <c r="B2119" s="6" t="n"/>
      <c r="C2119" s="5" t="n"/>
      <c r="D2119" s="6" t="n"/>
      <c r="E2119" s="7" t="n"/>
      <c r="F2119" s="6" t="n"/>
      <c r="G2119" s="8">
        <f>IF(B2119="","",IFERROR(VLOOKUP(--B2119,'CATALOGO CECO'!$A$2:$H$550,2,FALSE),"CECO NO EXISTE"))</f>
        <v/>
      </c>
      <c r="H2119" s="8">
        <f>IF(B2119="","",IFERROR(VLOOKUP(--B2119,'CATALOGO CECO'!$A$2:$H$550,3,FALSE),""))</f>
        <v/>
      </c>
      <c r="I2119" s="8">
        <f>IF(B2119="","",IFERROR(VLOOKUP(--B2119,'CATALOGO CECO'!$A$2:$H$550,5,FALSE),""))</f>
        <v/>
      </c>
      <c r="J2119" s="8">
        <f>IF(B2119="","",IFERROR(VLOOKUP(--B2119,'CATALOGO CECO'!$A$2:$H$550,8,FALSE),""))</f>
        <v/>
      </c>
      <c r="K2119" s="8">
        <f>IF(COUNTA(A2119:F2119)=0,"",IF(OR(LEN(A2119)&lt;&gt;7,MID(A2119,5,1)&lt;&gt;"-",ISERROR(--LEFT(A2119,4)),ISERROR(--RIGHT(A2119,2))),"ERROR: PERIODO debe ser AAAA-MM",IF(B2119="","ERROR: falta CODIGO CECO",IF(G2119="CECO NO EXISTE","ERROR: CECO no existe en el catálogo",IF(C2119="","ERROR: falta CUENTA",IF(ISERROR(--C2119),"ERROR: CUENTA debe tener solo dígitos",IF(ISERROR(FIND(LEFT(C2119,1),"567")),"ERROR: CUENTA fuera de las clases de costo",IF(NOT(ISNUMBER(E2119)),"ERROR: VALOR debe ser numérico",IF(E2119=0,"AVISO: valor cero (no se carga)",IF(J2119&lt;&gt;"ACTIVO","NO SE CARGA: CECO en estado "&amp;J2119,"OK"))))))))))</f>
        <v/>
      </c>
    </row>
    <row r="2120">
      <c r="A2120" s="5" t="n"/>
      <c r="B2120" s="6" t="n"/>
      <c r="C2120" s="5" t="n"/>
      <c r="D2120" s="6" t="n"/>
      <c r="E2120" s="7" t="n"/>
      <c r="F2120" s="6" t="n"/>
      <c r="G2120" s="8">
        <f>IF(B2120="","",IFERROR(VLOOKUP(--B2120,'CATALOGO CECO'!$A$2:$H$550,2,FALSE),"CECO NO EXISTE"))</f>
        <v/>
      </c>
      <c r="H2120" s="8">
        <f>IF(B2120="","",IFERROR(VLOOKUP(--B2120,'CATALOGO CECO'!$A$2:$H$550,3,FALSE),""))</f>
        <v/>
      </c>
      <c r="I2120" s="8">
        <f>IF(B2120="","",IFERROR(VLOOKUP(--B2120,'CATALOGO CECO'!$A$2:$H$550,5,FALSE),""))</f>
        <v/>
      </c>
      <c r="J2120" s="8">
        <f>IF(B2120="","",IFERROR(VLOOKUP(--B2120,'CATALOGO CECO'!$A$2:$H$550,8,FALSE),""))</f>
        <v/>
      </c>
      <c r="K2120" s="8">
        <f>IF(COUNTA(A2120:F2120)=0,"",IF(OR(LEN(A2120)&lt;&gt;7,MID(A2120,5,1)&lt;&gt;"-",ISERROR(--LEFT(A2120,4)),ISERROR(--RIGHT(A2120,2))),"ERROR: PERIODO debe ser AAAA-MM",IF(B2120="","ERROR: falta CODIGO CECO",IF(G2120="CECO NO EXISTE","ERROR: CECO no existe en el catálogo",IF(C2120="","ERROR: falta CUENTA",IF(ISERROR(--C2120),"ERROR: CUENTA debe tener solo dígitos",IF(ISERROR(FIND(LEFT(C2120,1),"567")),"ERROR: CUENTA fuera de las clases de costo",IF(NOT(ISNUMBER(E2120)),"ERROR: VALOR debe ser numérico",IF(E2120=0,"AVISO: valor cero (no se carga)",IF(J2120&lt;&gt;"ACTIVO","NO SE CARGA: CECO en estado "&amp;J2120,"OK"))))))))))</f>
        <v/>
      </c>
    </row>
    <row r="2121">
      <c r="A2121" s="5" t="n"/>
      <c r="B2121" s="6" t="n"/>
      <c r="C2121" s="5" t="n"/>
      <c r="D2121" s="6" t="n"/>
      <c r="E2121" s="7" t="n"/>
      <c r="F2121" s="6" t="n"/>
      <c r="G2121" s="8">
        <f>IF(B2121="","",IFERROR(VLOOKUP(--B2121,'CATALOGO CECO'!$A$2:$H$550,2,FALSE),"CECO NO EXISTE"))</f>
        <v/>
      </c>
      <c r="H2121" s="8">
        <f>IF(B2121="","",IFERROR(VLOOKUP(--B2121,'CATALOGO CECO'!$A$2:$H$550,3,FALSE),""))</f>
        <v/>
      </c>
      <c r="I2121" s="8">
        <f>IF(B2121="","",IFERROR(VLOOKUP(--B2121,'CATALOGO CECO'!$A$2:$H$550,5,FALSE),""))</f>
        <v/>
      </c>
      <c r="J2121" s="8">
        <f>IF(B2121="","",IFERROR(VLOOKUP(--B2121,'CATALOGO CECO'!$A$2:$H$550,8,FALSE),""))</f>
        <v/>
      </c>
      <c r="K2121" s="8">
        <f>IF(COUNTA(A2121:F2121)=0,"",IF(OR(LEN(A2121)&lt;&gt;7,MID(A2121,5,1)&lt;&gt;"-",ISERROR(--LEFT(A2121,4)),ISERROR(--RIGHT(A2121,2))),"ERROR: PERIODO debe ser AAAA-MM",IF(B2121="","ERROR: falta CODIGO CECO",IF(G2121="CECO NO EXISTE","ERROR: CECO no existe en el catálogo",IF(C2121="","ERROR: falta CUENTA",IF(ISERROR(--C2121),"ERROR: CUENTA debe tener solo dígitos",IF(ISERROR(FIND(LEFT(C2121,1),"567")),"ERROR: CUENTA fuera de las clases de costo",IF(NOT(ISNUMBER(E2121)),"ERROR: VALOR debe ser numérico",IF(E2121=0,"AVISO: valor cero (no se carga)",IF(J2121&lt;&gt;"ACTIVO","NO SE CARGA: CECO en estado "&amp;J2121,"OK"))))))))))</f>
        <v/>
      </c>
    </row>
    <row r="2122">
      <c r="A2122" s="5" t="n"/>
      <c r="B2122" s="6" t="n"/>
      <c r="C2122" s="5" t="n"/>
      <c r="D2122" s="6" t="n"/>
      <c r="E2122" s="7" t="n"/>
      <c r="F2122" s="6" t="n"/>
      <c r="G2122" s="8">
        <f>IF(B2122="","",IFERROR(VLOOKUP(--B2122,'CATALOGO CECO'!$A$2:$H$550,2,FALSE),"CECO NO EXISTE"))</f>
        <v/>
      </c>
      <c r="H2122" s="8">
        <f>IF(B2122="","",IFERROR(VLOOKUP(--B2122,'CATALOGO CECO'!$A$2:$H$550,3,FALSE),""))</f>
        <v/>
      </c>
      <c r="I2122" s="8">
        <f>IF(B2122="","",IFERROR(VLOOKUP(--B2122,'CATALOGO CECO'!$A$2:$H$550,5,FALSE),""))</f>
        <v/>
      </c>
      <c r="J2122" s="8">
        <f>IF(B2122="","",IFERROR(VLOOKUP(--B2122,'CATALOGO CECO'!$A$2:$H$550,8,FALSE),""))</f>
        <v/>
      </c>
      <c r="K2122" s="8">
        <f>IF(COUNTA(A2122:F2122)=0,"",IF(OR(LEN(A2122)&lt;&gt;7,MID(A2122,5,1)&lt;&gt;"-",ISERROR(--LEFT(A2122,4)),ISERROR(--RIGHT(A2122,2))),"ERROR: PERIODO debe ser AAAA-MM",IF(B2122="","ERROR: falta CODIGO CECO",IF(G2122="CECO NO EXISTE","ERROR: CECO no existe en el catálogo",IF(C2122="","ERROR: falta CUENTA",IF(ISERROR(--C2122),"ERROR: CUENTA debe tener solo dígitos",IF(ISERROR(FIND(LEFT(C2122,1),"567")),"ERROR: CUENTA fuera de las clases de costo",IF(NOT(ISNUMBER(E2122)),"ERROR: VALOR debe ser numérico",IF(E2122=0,"AVISO: valor cero (no se carga)",IF(J2122&lt;&gt;"ACTIVO","NO SE CARGA: CECO en estado "&amp;J2122,"OK"))))))))))</f>
        <v/>
      </c>
    </row>
    <row r="2123">
      <c r="A2123" s="5" t="n"/>
      <c r="B2123" s="6" t="n"/>
      <c r="C2123" s="5" t="n"/>
      <c r="D2123" s="6" t="n"/>
      <c r="E2123" s="7" t="n"/>
      <c r="F2123" s="6" t="n"/>
      <c r="G2123" s="8">
        <f>IF(B2123="","",IFERROR(VLOOKUP(--B2123,'CATALOGO CECO'!$A$2:$H$550,2,FALSE),"CECO NO EXISTE"))</f>
        <v/>
      </c>
      <c r="H2123" s="8">
        <f>IF(B2123="","",IFERROR(VLOOKUP(--B2123,'CATALOGO CECO'!$A$2:$H$550,3,FALSE),""))</f>
        <v/>
      </c>
      <c r="I2123" s="8">
        <f>IF(B2123="","",IFERROR(VLOOKUP(--B2123,'CATALOGO CECO'!$A$2:$H$550,5,FALSE),""))</f>
        <v/>
      </c>
      <c r="J2123" s="8">
        <f>IF(B2123="","",IFERROR(VLOOKUP(--B2123,'CATALOGO CECO'!$A$2:$H$550,8,FALSE),""))</f>
        <v/>
      </c>
      <c r="K2123" s="8">
        <f>IF(COUNTA(A2123:F2123)=0,"",IF(OR(LEN(A2123)&lt;&gt;7,MID(A2123,5,1)&lt;&gt;"-",ISERROR(--LEFT(A2123,4)),ISERROR(--RIGHT(A2123,2))),"ERROR: PERIODO debe ser AAAA-MM",IF(B2123="","ERROR: falta CODIGO CECO",IF(G2123="CECO NO EXISTE","ERROR: CECO no existe en el catálogo",IF(C2123="","ERROR: falta CUENTA",IF(ISERROR(--C2123),"ERROR: CUENTA debe tener solo dígitos",IF(ISERROR(FIND(LEFT(C2123,1),"567")),"ERROR: CUENTA fuera de las clases de costo",IF(NOT(ISNUMBER(E2123)),"ERROR: VALOR debe ser numérico",IF(E2123=0,"AVISO: valor cero (no se carga)",IF(J2123&lt;&gt;"ACTIVO","NO SE CARGA: CECO en estado "&amp;J2123,"OK"))))))))))</f>
        <v/>
      </c>
    </row>
    <row r="2124">
      <c r="A2124" s="5" t="n"/>
      <c r="B2124" s="6" t="n"/>
      <c r="C2124" s="5" t="n"/>
      <c r="D2124" s="6" t="n"/>
      <c r="E2124" s="7" t="n"/>
      <c r="F2124" s="6" t="n"/>
      <c r="G2124" s="8">
        <f>IF(B2124="","",IFERROR(VLOOKUP(--B2124,'CATALOGO CECO'!$A$2:$H$550,2,FALSE),"CECO NO EXISTE"))</f>
        <v/>
      </c>
      <c r="H2124" s="8">
        <f>IF(B2124="","",IFERROR(VLOOKUP(--B2124,'CATALOGO CECO'!$A$2:$H$550,3,FALSE),""))</f>
        <v/>
      </c>
      <c r="I2124" s="8">
        <f>IF(B2124="","",IFERROR(VLOOKUP(--B2124,'CATALOGO CECO'!$A$2:$H$550,5,FALSE),""))</f>
        <v/>
      </c>
      <c r="J2124" s="8">
        <f>IF(B2124="","",IFERROR(VLOOKUP(--B2124,'CATALOGO CECO'!$A$2:$H$550,8,FALSE),""))</f>
        <v/>
      </c>
      <c r="K2124" s="8">
        <f>IF(COUNTA(A2124:F2124)=0,"",IF(OR(LEN(A2124)&lt;&gt;7,MID(A2124,5,1)&lt;&gt;"-",ISERROR(--LEFT(A2124,4)),ISERROR(--RIGHT(A2124,2))),"ERROR: PERIODO debe ser AAAA-MM",IF(B2124="","ERROR: falta CODIGO CECO",IF(G2124="CECO NO EXISTE","ERROR: CECO no existe en el catálogo",IF(C2124="","ERROR: falta CUENTA",IF(ISERROR(--C2124),"ERROR: CUENTA debe tener solo dígitos",IF(ISERROR(FIND(LEFT(C2124,1),"567")),"ERROR: CUENTA fuera de las clases de costo",IF(NOT(ISNUMBER(E2124)),"ERROR: VALOR debe ser numérico",IF(E2124=0,"AVISO: valor cero (no se carga)",IF(J2124&lt;&gt;"ACTIVO","NO SE CARGA: CECO en estado "&amp;J2124,"OK"))))))))))</f>
        <v/>
      </c>
    </row>
    <row r="2125">
      <c r="A2125" s="5" t="n"/>
      <c r="B2125" s="6" t="n"/>
      <c r="C2125" s="5" t="n"/>
      <c r="D2125" s="6" t="n"/>
      <c r="E2125" s="7" t="n"/>
      <c r="F2125" s="6" t="n"/>
      <c r="G2125" s="8">
        <f>IF(B2125="","",IFERROR(VLOOKUP(--B2125,'CATALOGO CECO'!$A$2:$H$550,2,FALSE),"CECO NO EXISTE"))</f>
        <v/>
      </c>
      <c r="H2125" s="8">
        <f>IF(B2125="","",IFERROR(VLOOKUP(--B2125,'CATALOGO CECO'!$A$2:$H$550,3,FALSE),""))</f>
        <v/>
      </c>
      <c r="I2125" s="8">
        <f>IF(B2125="","",IFERROR(VLOOKUP(--B2125,'CATALOGO CECO'!$A$2:$H$550,5,FALSE),""))</f>
        <v/>
      </c>
      <c r="J2125" s="8">
        <f>IF(B2125="","",IFERROR(VLOOKUP(--B2125,'CATALOGO CECO'!$A$2:$H$550,8,FALSE),""))</f>
        <v/>
      </c>
      <c r="K2125" s="8">
        <f>IF(COUNTA(A2125:F2125)=0,"",IF(OR(LEN(A2125)&lt;&gt;7,MID(A2125,5,1)&lt;&gt;"-",ISERROR(--LEFT(A2125,4)),ISERROR(--RIGHT(A2125,2))),"ERROR: PERIODO debe ser AAAA-MM",IF(B2125="","ERROR: falta CODIGO CECO",IF(G2125="CECO NO EXISTE","ERROR: CECO no existe en el catálogo",IF(C2125="","ERROR: falta CUENTA",IF(ISERROR(--C2125),"ERROR: CUENTA debe tener solo dígitos",IF(ISERROR(FIND(LEFT(C2125,1),"567")),"ERROR: CUENTA fuera de las clases de costo",IF(NOT(ISNUMBER(E2125)),"ERROR: VALOR debe ser numérico",IF(E2125=0,"AVISO: valor cero (no se carga)",IF(J2125&lt;&gt;"ACTIVO","NO SE CARGA: CECO en estado "&amp;J2125,"OK"))))))))))</f>
        <v/>
      </c>
    </row>
    <row r="2126">
      <c r="A2126" s="5" t="n"/>
      <c r="B2126" s="6" t="n"/>
      <c r="C2126" s="5" t="n"/>
      <c r="D2126" s="6" t="n"/>
      <c r="E2126" s="7" t="n"/>
      <c r="F2126" s="6" t="n"/>
      <c r="G2126" s="8">
        <f>IF(B2126="","",IFERROR(VLOOKUP(--B2126,'CATALOGO CECO'!$A$2:$H$550,2,FALSE),"CECO NO EXISTE"))</f>
        <v/>
      </c>
      <c r="H2126" s="8">
        <f>IF(B2126="","",IFERROR(VLOOKUP(--B2126,'CATALOGO CECO'!$A$2:$H$550,3,FALSE),""))</f>
        <v/>
      </c>
      <c r="I2126" s="8">
        <f>IF(B2126="","",IFERROR(VLOOKUP(--B2126,'CATALOGO CECO'!$A$2:$H$550,5,FALSE),""))</f>
        <v/>
      </c>
      <c r="J2126" s="8">
        <f>IF(B2126="","",IFERROR(VLOOKUP(--B2126,'CATALOGO CECO'!$A$2:$H$550,8,FALSE),""))</f>
        <v/>
      </c>
      <c r="K2126" s="8">
        <f>IF(COUNTA(A2126:F2126)=0,"",IF(OR(LEN(A2126)&lt;&gt;7,MID(A2126,5,1)&lt;&gt;"-",ISERROR(--LEFT(A2126,4)),ISERROR(--RIGHT(A2126,2))),"ERROR: PERIODO debe ser AAAA-MM",IF(B2126="","ERROR: falta CODIGO CECO",IF(G2126="CECO NO EXISTE","ERROR: CECO no existe en el catálogo",IF(C2126="","ERROR: falta CUENTA",IF(ISERROR(--C2126),"ERROR: CUENTA debe tener solo dígitos",IF(ISERROR(FIND(LEFT(C2126,1),"567")),"ERROR: CUENTA fuera de las clases de costo",IF(NOT(ISNUMBER(E2126)),"ERROR: VALOR debe ser numérico",IF(E2126=0,"AVISO: valor cero (no se carga)",IF(J2126&lt;&gt;"ACTIVO","NO SE CARGA: CECO en estado "&amp;J2126,"OK"))))))))))</f>
        <v/>
      </c>
    </row>
    <row r="2127">
      <c r="A2127" s="5" t="n"/>
      <c r="B2127" s="6" t="n"/>
      <c r="C2127" s="5" t="n"/>
      <c r="D2127" s="6" t="n"/>
      <c r="E2127" s="7" t="n"/>
      <c r="F2127" s="6" t="n"/>
      <c r="G2127" s="8">
        <f>IF(B2127="","",IFERROR(VLOOKUP(--B2127,'CATALOGO CECO'!$A$2:$H$550,2,FALSE),"CECO NO EXISTE"))</f>
        <v/>
      </c>
      <c r="H2127" s="8">
        <f>IF(B2127="","",IFERROR(VLOOKUP(--B2127,'CATALOGO CECO'!$A$2:$H$550,3,FALSE),""))</f>
        <v/>
      </c>
      <c r="I2127" s="8">
        <f>IF(B2127="","",IFERROR(VLOOKUP(--B2127,'CATALOGO CECO'!$A$2:$H$550,5,FALSE),""))</f>
        <v/>
      </c>
      <c r="J2127" s="8">
        <f>IF(B2127="","",IFERROR(VLOOKUP(--B2127,'CATALOGO CECO'!$A$2:$H$550,8,FALSE),""))</f>
        <v/>
      </c>
      <c r="K2127" s="8">
        <f>IF(COUNTA(A2127:F2127)=0,"",IF(OR(LEN(A2127)&lt;&gt;7,MID(A2127,5,1)&lt;&gt;"-",ISERROR(--LEFT(A2127,4)),ISERROR(--RIGHT(A2127,2))),"ERROR: PERIODO debe ser AAAA-MM",IF(B2127="","ERROR: falta CODIGO CECO",IF(G2127="CECO NO EXISTE","ERROR: CECO no existe en el catálogo",IF(C2127="","ERROR: falta CUENTA",IF(ISERROR(--C2127),"ERROR: CUENTA debe tener solo dígitos",IF(ISERROR(FIND(LEFT(C2127,1),"567")),"ERROR: CUENTA fuera de las clases de costo",IF(NOT(ISNUMBER(E2127)),"ERROR: VALOR debe ser numérico",IF(E2127=0,"AVISO: valor cero (no se carga)",IF(J2127&lt;&gt;"ACTIVO","NO SE CARGA: CECO en estado "&amp;J2127,"OK"))))))))))</f>
        <v/>
      </c>
    </row>
    <row r="2128">
      <c r="A2128" s="5" t="n"/>
      <c r="B2128" s="6" t="n"/>
      <c r="C2128" s="5" t="n"/>
      <c r="D2128" s="6" t="n"/>
      <c r="E2128" s="7" t="n"/>
      <c r="F2128" s="6" t="n"/>
      <c r="G2128" s="8">
        <f>IF(B2128="","",IFERROR(VLOOKUP(--B2128,'CATALOGO CECO'!$A$2:$H$550,2,FALSE),"CECO NO EXISTE"))</f>
        <v/>
      </c>
      <c r="H2128" s="8">
        <f>IF(B2128="","",IFERROR(VLOOKUP(--B2128,'CATALOGO CECO'!$A$2:$H$550,3,FALSE),""))</f>
        <v/>
      </c>
      <c r="I2128" s="8">
        <f>IF(B2128="","",IFERROR(VLOOKUP(--B2128,'CATALOGO CECO'!$A$2:$H$550,5,FALSE),""))</f>
        <v/>
      </c>
      <c r="J2128" s="8">
        <f>IF(B2128="","",IFERROR(VLOOKUP(--B2128,'CATALOGO CECO'!$A$2:$H$550,8,FALSE),""))</f>
        <v/>
      </c>
      <c r="K2128" s="8">
        <f>IF(COUNTA(A2128:F2128)=0,"",IF(OR(LEN(A2128)&lt;&gt;7,MID(A2128,5,1)&lt;&gt;"-",ISERROR(--LEFT(A2128,4)),ISERROR(--RIGHT(A2128,2))),"ERROR: PERIODO debe ser AAAA-MM",IF(B2128="","ERROR: falta CODIGO CECO",IF(G2128="CECO NO EXISTE","ERROR: CECO no existe en el catálogo",IF(C2128="","ERROR: falta CUENTA",IF(ISERROR(--C2128),"ERROR: CUENTA debe tener solo dígitos",IF(ISERROR(FIND(LEFT(C2128,1),"567")),"ERROR: CUENTA fuera de las clases de costo",IF(NOT(ISNUMBER(E2128)),"ERROR: VALOR debe ser numérico",IF(E2128=0,"AVISO: valor cero (no se carga)",IF(J2128&lt;&gt;"ACTIVO","NO SE CARGA: CECO en estado "&amp;J2128,"OK"))))))))))</f>
        <v/>
      </c>
    </row>
    <row r="2129">
      <c r="A2129" s="5" t="n"/>
      <c r="B2129" s="6" t="n"/>
      <c r="C2129" s="5" t="n"/>
      <c r="D2129" s="6" t="n"/>
      <c r="E2129" s="7" t="n"/>
      <c r="F2129" s="6" t="n"/>
      <c r="G2129" s="8">
        <f>IF(B2129="","",IFERROR(VLOOKUP(--B2129,'CATALOGO CECO'!$A$2:$H$550,2,FALSE),"CECO NO EXISTE"))</f>
        <v/>
      </c>
      <c r="H2129" s="8">
        <f>IF(B2129="","",IFERROR(VLOOKUP(--B2129,'CATALOGO CECO'!$A$2:$H$550,3,FALSE),""))</f>
        <v/>
      </c>
      <c r="I2129" s="8">
        <f>IF(B2129="","",IFERROR(VLOOKUP(--B2129,'CATALOGO CECO'!$A$2:$H$550,5,FALSE),""))</f>
        <v/>
      </c>
      <c r="J2129" s="8">
        <f>IF(B2129="","",IFERROR(VLOOKUP(--B2129,'CATALOGO CECO'!$A$2:$H$550,8,FALSE),""))</f>
        <v/>
      </c>
      <c r="K2129" s="8">
        <f>IF(COUNTA(A2129:F2129)=0,"",IF(OR(LEN(A2129)&lt;&gt;7,MID(A2129,5,1)&lt;&gt;"-",ISERROR(--LEFT(A2129,4)),ISERROR(--RIGHT(A2129,2))),"ERROR: PERIODO debe ser AAAA-MM",IF(B2129="","ERROR: falta CODIGO CECO",IF(G2129="CECO NO EXISTE","ERROR: CECO no existe en el catálogo",IF(C2129="","ERROR: falta CUENTA",IF(ISERROR(--C2129),"ERROR: CUENTA debe tener solo dígitos",IF(ISERROR(FIND(LEFT(C2129,1),"567")),"ERROR: CUENTA fuera de las clases de costo",IF(NOT(ISNUMBER(E2129)),"ERROR: VALOR debe ser numérico",IF(E2129=0,"AVISO: valor cero (no se carga)",IF(J2129&lt;&gt;"ACTIVO","NO SE CARGA: CECO en estado "&amp;J2129,"OK"))))))))))</f>
        <v/>
      </c>
    </row>
    <row r="2130">
      <c r="A2130" s="5" t="n"/>
      <c r="B2130" s="6" t="n"/>
      <c r="C2130" s="5" t="n"/>
      <c r="D2130" s="6" t="n"/>
      <c r="E2130" s="7" t="n"/>
      <c r="F2130" s="6" t="n"/>
      <c r="G2130" s="8">
        <f>IF(B2130="","",IFERROR(VLOOKUP(--B2130,'CATALOGO CECO'!$A$2:$H$550,2,FALSE),"CECO NO EXISTE"))</f>
        <v/>
      </c>
      <c r="H2130" s="8">
        <f>IF(B2130="","",IFERROR(VLOOKUP(--B2130,'CATALOGO CECO'!$A$2:$H$550,3,FALSE),""))</f>
        <v/>
      </c>
      <c r="I2130" s="8">
        <f>IF(B2130="","",IFERROR(VLOOKUP(--B2130,'CATALOGO CECO'!$A$2:$H$550,5,FALSE),""))</f>
        <v/>
      </c>
      <c r="J2130" s="8">
        <f>IF(B2130="","",IFERROR(VLOOKUP(--B2130,'CATALOGO CECO'!$A$2:$H$550,8,FALSE),""))</f>
        <v/>
      </c>
      <c r="K2130" s="8">
        <f>IF(COUNTA(A2130:F2130)=0,"",IF(OR(LEN(A2130)&lt;&gt;7,MID(A2130,5,1)&lt;&gt;"-",ISERROR(--LEFT(A2130,4)),ISERROR(--RIGHT(A2130,2))),"ERROR: PERIODO debe ser AAAA-MM",IF(B2130="","ERROR: falta CODIGO CECO",IF(G2130="CECO NO EXISTE","ERROR: CECO no existe en el catálogo",IF(C2130="","ERROR: falta CUENTA",IF(ISERROR(--C2130),"ERROR: CUENTA debe tener solo dígitos",IF(ISERROR(FIND(LEFT(C2130,1),"567")),"ERROR: CUENTA fuera de las clases de costo",IF(NOT(ISNUMBER(E2130)),"ERROR: VALOR debe ser numérico",IF(E2130=0,"AVISO: valor cero (no se carga)",IF(J2130&lt;&gt;"ACTIVO","NO SE CARGA: CECO en estado "&amp;J2130,"OK"))))))))))</f>
        <v/>
      </c>
    </row>
    <row r="2131">
      <c r="A2131" s="5" t="n"/>
      <c r="B2131" s="6" t="n"/>
      <c r="C2131" s="5" t="n"/>
      <c r="D2131" s="6" t="n"/>
      <c r="E2131" s="7" t="n"/>
      <c r="F2131" s="6" t="n"/>
      <c r="G2131" s="8">
        <f>IF(B2131="","",IFERROR(VLOOKUP(--B2131,'CATALOGO CECO'!$A$2:$H$550,2,FALSE),"CECO NO EXISTE"))</f>
        <v/>
      </c>
      <c r="H2131" s="8">
        <f>IF(B2131="","",IFERROR(VLOOKUP(--B2131,'CATALOGO CECO'!$A$2:$H$550,3,FALSE),""))</f>
        <v/>
      </c>
      <c r="I2131" s="8">
        <f>IF(B2131="","",IFERROR(VLOOKUP(--B2131,'CATALOGO CECO'!$A$2:$H$550,5,FALSE),""))</f>
        <v/>
      </c>
      <c r="J2131" s="8">
        <f>IF(B2131="","",IFERROR(VLOOKUP(--B2131,'CATALOGO CECO'!$A$2:$H$550,8,FALSE),""))</f>
        <v/>
      </c>
      <c r="K2131" s="8">
        <f>IF(COUNTA(A2131:F2131)=0,"",IF(OR(LEN(A2131)&lt;&gt;7,MID(A2131,5,1)&lt;&gt;"-",ISERROR(--LEFT(A2131,4)),ISERROR(--RIGHT(A2131,2))),"ERROR: PERIODO debe ser AAAA-MM",IF(B2131="","ERROR: falta CODIGO CECO",IF(G2131="CECO NO EXISTE","ERROR: CECO no existe en el catálogo",IF(C2131="","ERROR: falta CUENTA",IF(ISERROR(--C2131),"ERROR: CUENTA debe tener solo dígitos",IF(ISERROR(FIND(LEFT(C2131,1),"567")),"ERROR: CUENTA fuera de las clases de costo",IF(NOT(ISNUMBER(E2131)),"ERROR: VALOR debe ser numérico",IF(E2131=0,"AVISO: valor cero (no se carga)",IF(J2131&lt;&gt;"ACTIVO","NO SE CARGA: CECO en estado "&amp;J2131,"OK"))))))))))</f>
        <v/>
      </c>
    </row>
    <row r="2132">
      <c r="A2132" s="5" t="n"/>
      <c r="B2132" s="6" t="n"/>
      <c r="C2132" s="5" t="n"/>
      <c r="D2132" s="6" t="n"/>
      <c r="E2132" s="7" t="n"/>
      <c r="F2132" s="6" t="n"/>
      <c r="G2132" s="8">
        <f>IF(B2132="","",IFERROR(VLOOKUP(--B2132,'CATALOGO CECO'!$A$2:$H$550,2,FALSE),"CECO NO EXISTE"))</f>
        <v/>
      </c>
      <c r="H2132" s="8">
        <f>IF(B2132="","",IFERROR(VLOOKUP(--B2132,'CATALOGO CECO'!$A$2:$H$550,3,FALSE),""))</f>
        <v/>
      </c>
      <c r="I2132" s="8">
        <f>IF(B2132="","",IFERROR(VLOOKUP(--B2132,'CATALOGO CECO'!$A$2:$H$550,5,FALSE),""))</f>
        <v/>
      </c>
      <c r="J2132" s="8">
        <f>IF(B2132="","",IFERROR(VLOOKUP(--B2132,'CATALOGO CECO'!$A$2:$H$550,8,FALSE),""))</f>
        <v/>
      </c>
      <c r="K2132" s="8">
        <f>IF(COUNTA(A2132:F2132)=0,"",IF(OR(LEN(A2132)&lt;&gt;7,MID(A2132,5,1)&lt;&gt;"-",ISERROR(--LEFT(A2132,4)),ISERROR(--RIGHT(A2132,2))),"ERROR: PERIODO debe ser AAAA-MM",IF(B2132="","ERROR: falta CODIGO CECO",IF(G2132="CECO NO EXISTE","ERROR: CECO no existe en el catálogo",IF(C2132="","ERROR: falta CUENTA",IF(ISERROR(--C2132),"ERROR: CUENTA debe tener solo dígitos",IF(ISERROR(FIND(LEFT(C2132,1),"567")),"ERROR: CUENTA fuera de las clases de costo",IF(NOT(ISNUMBER(E2132)),"ERROR: VALOR debe ser numérico",IF(E2132=0,"AVISO: valor cero (no se carga)",IF(J2132&lt;&gt;"ACTIVO","NO SE CARGA: CECO en estado "&amp;J2132,"OK"))))))))))</f>
        <v/>
      </c>
    </row>
    <row r="2133">
      <c r="A2133" s="5" t="n"/>
      <c r="B2133" s="6" t="n"/>
      <c r="C2133" s="5" t="n"/>
      <c r="D2133" s="6" t="n"/>
      <c r="E2133" s="7" t="n"/>
      <c r="F2133" s="6" t="n"/>
      <c r="G2133" s="8">
        <f>IF(B2133="","",IFERROR(VLOOKUP(--B2133,'CATALOGO CECO'!$A$2:$H$550,2,FALSE),"CECO NO EXISTE"))</f>
        <v/>
      </c>
      <c r="H2133" s="8">
        <f>IF(B2133="","",IFERROR(VLOOKUP(--B2133,'CATALOGO CECO'!$A$2:$H$550,3,FALSE),""))</f>
        <v/>
      </c>
      <c r="I2133" s="8">
        <f>IF(B2133="","",IFERROR(VLOOKUP(--B2133,'CATALOGO CECO'!$A$2:$H$550,5,FALSE),""))</f>
        <v/>
      </c>
      <c r="J2133" s="8">
        <f>IF(B2133="","",IFERROR(VLOOKUP(--B2133,'CATALOGO CECO'!$A$2:$H$550,8,FALSE),""))</f>
        <v/>
      </c>
      <c r="K2133" s="8">
        <f>IF(COUNTA(A2133:F2133)=0,"",IF(OR(LEN(A2133)&lt;&gt;7,MID(A2133,5,1)&lt;&gt;"-",ISERROR(--LEFT(A2133,4)),ISERROR(--RIGHT(A2133,2))),"ERROR: PERIODO debe ser AAAA-MM",IF(B2133="","ERROR: falta CODIGO CECO",IF(G2133="CECO NO EXISTE","ERROR: CECO no existe en el catálogo",IF(C2133="","ERROR: falta CUENTA",IF(ISERROR(--C2133),"ERROR: CUENTA debe tener solo dígitos",IF(ISERROR(FIND(LEFT(C2133,1),"567")),"ERROR: CUENTA fuera de las clases de costo",IF(NOT(ISNUMBER(E2133)),"ERROR: VALOR debe ser numérico",IF(E2133=0,"AVISO: valor cero (no se carga)",IF(J2133&lt;&gt;"ACTIVO","NO SE CARGA: CECO en estado "&amp;J2133,"OK"))))))))))</f>
        <v/>
      </c>
    </row>
    <row r="2134">
      <c r="A2134" s="5" t="n"/>
      <c r="B2134" s="6" t="n"/>
      <c r="C2134" s="5" t="n"/>
      <c r="D2134" s="6" t="n"/>
      <c r="E2134" s="7" t="n"/>
      <c r="F2134" s="6" t="n"/>
      <c r="G2134" s="8">
        <f>IF(B2134="","",IFERROR(VLOOKUP(--B2134,'CATALOGO CECO'!$A$2:$H$550,2,FALSE),"CECO NO EXISTE"))</f>
        <v/>
      </c>
      <c r="H2134" s="8">
        <f>IF(B2134="","",IFERROR(VLOOKUP(--B2134,'CATALOGO CECO'!$A$2:$H$550,3,FALSE),""))</f>
        <v/>
      </c>
      <c r="I2134" s="8">
        <f>IF(B2134="","",IFERROR(VLOOKUP(--B2134,'CATALOGO CECO'!$A$2:$H$550,5,FALSE),""))</f>
        <v/>
      </c>
      <c r="J2134" s="8">
        <f>IF(B2134="","",IFERROR(VLOOKUP(--B2134,'CATALOGO CECO'!$A$2:$H$550,8,FALSE),""))</f>
        <v/>
      </c>
      <c r="K2134" s="8">
        <f>IF(COUNTA(A2134:F2134)=0,"",IF(OR(LEN(A2134)&lt;&gt;7,MID(A2134,5,1)&lt;&gt;"-",ISERROR(--LEFT(A2134,4)),ISERROR(--RIGHT(A2134,2))),"ERROR: PERIODO debe ser AAAA-MM",IF(B2134="","ERROR: falta CODIGO CECO",IF(G2134="CECO NO EXISTE","ERROR: CECO no existe en el catálogo",IF(C2134="","ERROR: falta CUENTA",IF(ISERROR(--C2134),"ERROR: CUENTA debe tener solo dígitos",IF(ISERROR(FIND(LEFT(C2134,1),"567")),"ERROR: CUENTA fuera de las clases de costo",IF(NOT(ISNUMBER(E2134)),"ERROR: VALOR debe ser numérico",IF(E2134=0,"AVISO: valor cero (no se carga)",IF(J2134&lt;&gt;"ACTIVO","NO SE CARGA: CECO en estado "&amp;J2134,"OK"))))))))))</f>
        <v/>
      </c>
    </row>
    <row r="2135">
      <c r="A2135" s="5" t="n"/>
      <c r="B2135" s="6" t="n"/>
      <c r="C2135" s="5" t="n"/>
      <c r="D2135" s="6" t="n"/>
      <c r="E2135" s="7" t="n"/>
      <c r="F2135" s="6" t="n"/>
      <c r="G2135" s="8">
        <f>IF(B2135="","",IFERROR(VLOOKUP(--B2135,'CATALOGO CECO'!$A$2:$H$550,2,FALSE),"CECO NO EXISTE"))</f>
        <v/>
      </c>
      <c r="H2135" s="8">
        <f>IF(B2135="","",IFERROR(VLOOKUP(--B2135,'CATALOGO CECO'!$A$2:$H$550,3,FALSE),""))</f>
        <v/>
      </c>
      <c r="I2135" s="8">
        <f>IF(B2135="","",IFERROR(VLOOKUP(--B2135,'CATALOGO CECO'!$A$2:$H$550,5,FALSE),""))</f>
        <v/>
      </c>
      <c r="J2135" s="8">
        <f>IF(B2135="","",IFERROR(VLOOKUP(--B2135,'CATALOGO CECO'!$A$2:$H$550,8,FALSE),""))</f>
        <v/>
      </c>
      <c r="K2135" s="8">
        <f>IF(COUNTA(A2135:F2135)=0,"",IF(OR(LEN(A2135)&lt;&gt;7,MID(A2135,5,1)&lt;&gt;"-",ISERROR(--LEFT(A2135,4)),ISERROR(--RIGHT(A2135,2))),"ERROR: PERIODO debe ser AAAA-MM",IF(B2135="","ERROR: falta CODIGO CECO",IF(G2135="CECO NO EXISTE","ERROR: CECO no existe en el catálogo",IF(C2135="","ERROR: falta CUENTA",IF(ISERROR(--C2135),"ERROR: CUENTA debe tener solo dígitos",IF(ISERROR(FIND(LEFT(C2135,1),"567")),"ERROR: CUENTA fuera de las clases de costo",IF(NOT(ISNUMBER(E2135)),"ERROR: VALOR debe ser numérico",IF(E2135=0,"AVISO: valor cero (no se carga)",IF(J2135&lt;&gt;"ACTIVO","NO SE CARGA: CECO en estado "&amp;J2135,"OK"))))))))))</f>
        <v/>
      </c>
    </row>
    <row r="2136">
      <c r="A2136" s="5" t="n"/>
      <c r="B2136" s="6" t="n"/>
      <c r="C2136" s="5" t="n"/>
      <c r="D2136" s="6" t="n"/>
      <c r="E2136" s="7" t="n"/>
      <c r="F2136" s="6" t="n"/>
      <c r="G2136" s="8">
        <f>IF(B2136="","",IFERROR(VLOOKUP(--B2136,'CATALOGO CECO'!$A$2:$H$550,2,FALSE),"CECO NO EXISTE"))</f>
        <v/>
      </c>
      <c r="H2136" s="8">
        <f>IF(B2136="","",IFERROR(VLOOKUP(--B2136,'CATALOGO CECO'!$A$2:$H$550,3,FALSE),""))</f>
        <v/>
      </c>
      <c r="I2136" s="8">
        <f>IF(B2136="","",IFERROR(VLOOKUP(--B2136,'CATALOGO CECO'!$A$2:$H$550,5,FALSE),""))</f>
        <v/>
      </c>
      <c r="J2136" s="8">
        <f>IF(B2136="","",IFERROR(VLOOKUP(--B2136,'CATALOGO CECO'!$A$2:$H$550,8,FALSE),""))</f>
        <v/>
      </c>
      <c r="K2136" s="8">
        <f>IF(COUNTA(A2136:F2136)=0,"",IF(OR(LEN(A2136)&lt;&gt;7,MID(A2136,5,1)&lt;&gt;"-",ISERROR(--LEFT(A2136,4)),ISERROR(--RIGHT(A2136,2))),"ERROR: PERIODO debe ser AAAA-MM",IF(B2136="","ERROR: falta CODIGO CECO",IF(G2136="CECO NO EXISTE","ERROR: CECO no existe en el catálogo",IF(C2136="","ERROR: falta CUENTA",IF(ISERROR(--C2136),"ERROR: CUENTA debe tener solo dígitos",IF(ISERROR(FIND(LEFT(C2136,1),"567")),"ERROR: CUENTA fuera de las clases de costo",IF(NOT(ISNUMBER(E2136)),"ERROR: VALOR debe ser numérico",IF(E2136=0,"AVISO: valor cero (no se carga)",IF(J2136&lt;&gt;"ACTIVO","NO SE CARGA: CECO en estado "&amp;J2136,"OK"))))))))))</f>
        <v/>
      </c>
    </row>
    <row r="2137">
      <c r="A2137" s="5" t="n"/>
      <c r="B2137" s="6" t="n"/>
      <c r="C2137" s="5" t="n"/>
      <c r="D2137" s="6" t="n"/>
      <c r="E2137" s="7" t="n"/>
      <c r="F2137" s="6" t="n"/>
      <c r="G2137" s="8">
        <f>IF(B2137="","",IFERROR(VLOOKUP(--B2137,'CATALOGO CECO'!$A$2:$H$550,2,FALSE),"CECO NO EXISTE"))</f>
        <v/>
      </c>
      <c r="H2137" s="8">
        <f>IF(B2137="","",IFERROR(VLOOKUP(--B2137,'CATALOGO CECO'!$A$2:$H$550,3,FALSE),""))</f>
        <v/>
      </c>
      <c r="I2137" s="8">
        <f>IF(B2137="","",IFERROR(VLOOKUP(--B2137,'CATALOGO CECO'!$A$2:$H$550,5,FALSE),""))</f>
        <v/>
      </c>
      <c r="J2137" s="8">
        <f>IF(B2137="","",IFERROR(VLOOKUP(--B2137,'CATALOGO CECO'!$A$2:$H$550,8,FALSE),""))</f>
        <v/>
      </c>
      <c r="K2137" s="8">
        <f>IF(COUNTA(A2137:F2137)=0,"",IF(OR(LEN(A2137)&lt;&gt;7,MID(A2137,5,1)&lt;&gt;"-",ISERROR(--LEFT(A2137,4)),ISERROR(--RIGHT(A2137,2))),"ERROR: PERIODO debe ser AAAA-MM",IF(B2137="","ERROR: falta CODIGO CECO",IF(G2137="CECO NO EXISTE","ERROR: CECO no existe en el catálogo",IF(C2137="","ERROR: falta CUENTA",IF(ISERROR(--C2137),"ERROR: CUENTA debe tener solo dígitos",IF(ISERROR(FIND(LEFT(C2137,1),"567")),"ERROR: CUENTA fuera de las clases de costo",IF(NOT(ISNUMBER(E2137)),"ERROR: VALOR debe ser numérico",IF(E2137=0,"AVISO: valor cero (no se carga)",IF(J2137&lt;&gt;"ACTIVO","NO SE CARGA: CECO en estado "&amp;J2137,"OK"))))))))))</f>
        <v/>
      </c>
    </row>
    <row r="2138">
      <c r="A2138" s="5" t="n"/>
      <c r="B2138" s="6" t="n"/>
      <c r="C2138" s="5" t="n"/>
      <c r="D2138" s="6" t="n"/>
      <c r="E2138" s="7" t="n"/>
      <c r="F2138" s="6" t="n"/>
      <c r="G2138" s="8">
        <f>IF(B2138="","",IFERROR(VLOOKUP(--B2138,'CATALOGO CECO'!$A$2:$H$550,2,FALSE),"CECO NO EXISTE"))</f>
        <v/>
      </c>
      <c r="H2138" s="8">
        <f>IF(B2138="","",IFERROR(VLOOKUP(--B2138,'CATALOGO CECO'!$A$2:$H$550,3,FALSE),""))</f>
        <v/>
      </c>
      <c r="I2138" s="8">
        <f>IF(B2138="","",IFERROR(VLOOKUP(--B2138,'CATALOGO CECO'!$A$2:$H$550,5,FALSE),""))</f>
        <v/>
      </c>
      <c r="J2138" s="8">
        <f>IF(B2138="","",IFERROR(VLOOKUP(--B2138,'CATALOGO CECO'!$A$2:$H$550,8,FALSE),""))</f>
        <v/>
      </c>
      <c r="K2138" s="8">
        <f>IF(COUNTA(A2138:F2138)=0,"",IF(OR(LEN(A2138)&lt;&gt;7,MID(A2138,5,1)&lt;&gt;"-",ISERROR(--LEFT(A2138,4)),ISERROR(--RIGHT(A2138,2))),"ERROR: PERIODO debe ser AAAA-MM",IF(B2138="","ERROR: falta CODIGO CECO",IF(G2138="CECO NO EXISTE","ERROR: CECO no existe en el catálogo",IF(C2138="","ERROR: falta CUENTA",IF(ISERROR(--C2138),"ERROR: CUENTA debe tener solo dígitos",IF(ISERROR(FIND(LEFT(C2138,1),"567")),"ERROR: CUENTA fuera de las clases de costo",IF(NOT(ISNUMBER(E2138)),"ERROR: VALOR debe ser numérico",IF(E2138=0,"AVISO: valor cero (no se carga)",IF(J2138&lt;&gt;"ACTIVO","NO SE CARGA: CECO en estado "&amp;J2138,"OK"))))))))))</f>
        <v/>
      </c>
    </row>
    <row r="2139">
      <c r="A2139" s="5" t="n"/>
      <c r="B2139" s="6" t="n"/>
      <c r="C2139" s="5" t="n"/>
      <c r="D2139" s="6" t="n"/>
      <c r="E2139" s="7" t="n"/>
      <c r="F2139" s="6" t="n"/>
      <c r="G2139" s="8">
        <f>IF(B2139="","",IFERROR(VLOOKUP(--B2139,'CATALOGO CECO'!$A$2:$H$550,2,FALSE),"CECO NO EXISTE"))</f>
        <v/>
      </c>
      <c r="H2139" s="8">
        <f>IF(B2139="","",IFERROR(VLOOKUP(--B2139,'CATALOGO CECO'!$A$2:$H$550,3,FALSE),""))</f>
        <v/>
      </c>
      <c r="I2139" s="8">
        <f>IF(B2139="","",IFERROR(VLOOKUP(--B2139,'CATALOGO CECO'!$A$2:$H$550,5,FALSE),""))</f>
        <v/>
      </c>
      <c r="J2139" s="8">
        <f>IF(B2139="","",IFERROR(VLOOKUP(--B2139,'CATALOGO CECO'!$A$2:$H$550,8,FALSE),""))</f>
        <v/>
      </c>
      <c r="K2139" s="8">
        <f>IF(COUNTA(A2139:F2139)=0,"",IF(OR(LEN(A2139)&lt;&gt;7,MID(A2139,5,1)&lt;&gt;"-",ISERROR(--LEFT(A2139,4)),ISERROR(--RIGHT(A2139,2))),"ERROR: PERIODO debe ser AAAA-MM",IF(B2139="","ERROR: falta CODIGO CECO",IF(G2139="CECO NO EXISTE","ERROR: CECO no existe en el catálogo",IF(C2139="","ERROR: falta CUENTA",IF(ISERROR(--C2139),"ERROR: CUENTA debe tener solo dígitos",IF(ISERROR(FIND(LEFT(C2139,1),"567")),"ERROR: CUENTA fuera de las clases de costo",IF(NOT(ISNUMBER(E2139)),"ERROR: VALOR debe ser numérico",IF(E2139=0,"AVISO: valor cero (no se carga)",IF(J2139&lt;&gt;"ACTIVO","NO SE CARGA: CECO en estado "&amp;J2139,"OK"))))))))))</f>
        <v/>
      </c>
    </row>
    <row r="2140">
      <c r="A2140" s="5" t="n"/>
      <c r="B2140" s="6" t="n"/>
      <c r="C2140" s="5" t="n"/>
      <c r="D2140" s="6" t="n"/>
      <c r="E2140" s="7" t="n"/>
      <c r="F2140" s="6" t="n"/>
      <c r="G2140" s="8">
        <f>IF(B2140="","",IFERROR(VLOOKUP(--B2140,'CATALOGO CECO'!$A$2:$H$550,2,FALSE),"CECO NO EXISTE"))</f>
        <v/>
      </c>
      <c r="H2140" s="8">
        <f>IF(B2140="","",IFERROR(VLOOKUP(--B2140,'CATALOGO CECO'!$A$2:$H$550,3,FALSE),""))</f>
        <v/>
      </c>
      <c r="I2140" s="8">
        <f>IF(B2140="","",IFERROR(VLOOKUP(--B2140,'CATALOGO CECO'!$A$2:$H$550,5,FALSE),""))</f>
        <v/>
      </c>
      <c r="J2140" s="8">
        <f>IF(B2140="","",IFERROR(VLOOKUP(--B2140,'CATALOGO CECO'!$A$2:$H$550,8,FALSE),""))</f>
        <v/>
      </c>
      <c r="K2140" s="8">
        <f>IF(COUNTA(A2140:F2140)=0,"",IF(OR(LEN(A2140)&lt;&gt;7,MID(A2140,5,1)&lt;&gt;"-",ISERROR(--LEFT(A2140,4)),ISERROR(--RIGHT(A2140,2))),"ERROR: PERIODO debe ser AAAA-MM",IF(B2140="","ERROR: falta CODIGO CECO",IF(G2140="CECO NO EXISTE","ERROR: CECO no existe en el catálogo",IF(C2140="","ERROR: falta CUENTA",IF(ISERROR(--C2140),"ERROR: CUENTA debe tener solo dígitos",IF(ISERROR(FIND(LEFT(C2140,1),"567")),"ERROR: CUENTA fuera de las clases de costo",IF(NOT(ISNUMBER(E2140)),"ERROR: VALOR debe ser numérico",IF(E2140=0,"AVISO: valor cero (no se carga)",IF(J2140&lt;&gt;"ACTIVO","NO SE CARGA: CECO en estado "&amp;J2140,"OK"))))))))))</f>
        <v/>
      </c>
    </row>
    <row r="2141">
      <c r="A2141" s="5" t="n"/>
      <c r="B2141" s="6" t="n"/>
      <c r="C2141" s="5" t="n"/>
      <c r="D2141" s="6" t="n"/>
      <c r="E2141" s="7" t="n"/>
      <c r="F2141" s="6" t="n"/>
      <c r="G2141" s="8">
        <f>IF(B2141="","",IFERROR(VLOOKUP(--B2141,'CATALOGO CECO'!$A$2:$H$550,2,FALSE),"CECO NO EXISTE"))</f>
        <v/>
      </c>
      <c r="H2141" s="8">
        <f>IF(B2141="","",IFERROR(VLOOKUP(--B2141,'CATALOGO CECO'!$A$2:$H$550,3,FALSE),""))</f>
        <v/>
      </c>
      <c r="I2141" s="8">
        <f>IF(B2141="","",IFERROR(VLOOKUP(--B2141,'CATALOGO CECO'!$A$2:$H$550,5,FALSE),""))</f>
        <v/>
      </c>
      <c r="J2141" s="8">
        <f>IF(B2141="","",IFERROR(VLOOKUP(--B2141,'CATALOGO CECO'!$A$2:$H$550,8,FALSE),""))</f>
        <v/>
      </c>
      <c r="K2141" s="8">
        <f>IF(COUNTA(A2141:F2141)=0,"",IF(OR(LEN(A2141)&lt;&gt;7,MID(A2141,5,1)&lt;&gt;"-",ISERROR(--LEFT(A2141,4)),ISERROR(--RIGHT(A2141,2))),"ERROR: PERIODO debe ser AAAA-MM",IF(B2141="","ERROR: falta CODIGO CECO",IF(G2141="CECO NO EXISTE","ERROR: CECO no existe en el catálogo",IF(C2141="","ERROR: falta CUENTA",IF(ISERROR(--C2141),"ERROR: CUENTA debe tener solo dígitos",IF(ISERROR(FIND(LEFT(C2141,1),"567")),"ERROR: CUENTA fuera de las clases de costo",IF(NOT(ISNUMBER(E2141)),"ERROR: VALOR debe ser numérico",IF(E2141=0,"AVISO: valor cero (no se carga)",IF(J2141&lt;&gt;"ACTIVO","NO SE CARGA: CECO en estado "&amp;J2141,"OK"))))))))))</f>
        <v/>
      </c>
    </row>
    <row r="2142">
      <c r="A2142" s="5" t="n"/>
      <c r="B2142" s="6" t="n"/>
      <c r="C2142" s="5" t="n"/>
      <c r="D2142" s="6" t="n"/>
      <c r="E2142" s="7" t="n"/>
      <c r="F2142" s="6" t="n"/>
      <c r="G2142" s="8">
        <f>IF(B2142="","",IFERROR(VLOOKUP(--B2142,'CATALOGO CECO'!$A$2:$H$550,2,FALSE),"CECO NO EXISTE"))</f>
        <v/>
      </c>
      <c r="H2142" s="8">
        <f>IF(B2142="","",IFERROR(VLOOKUP(--B2142,'CATALOGO CECO'!$A$2:$H$550,3,FALSE),""))</f>
        <v/>
      </c>
      <c r="I2142" s="8">
        <f>IF(B2142="","",IFERROR(VLOOKUP(--B2142,'CATALOGO CECO'!$A$2:$H$550,5,FALSE),""))</f>
        <v/>
      </c>
      <c r="J2142" s="8">
        <f>IF(B2142="","",IFERROR(VLOOKUP(--B2142,'CATALOGO CECO'!$A$2:$H$550,8,FALSE),""))</f>
        <v/>
      </c>
      <c r="K2142" s="8">
        <f>IF(COUNTA(A2142:F2142)=0,"",IF(OR(LEN(A2142)&lt;&gt;7,MID(A2142,5,1)&lt;&gt;"-",ISERROR(--LEFT(A2142,4)),ISERROR(--RIGHT(A2142,2))),"ERROR: PERIODO debe ser AAAA-MM",IF(B2142="","ERROR: falta CODIGO CECO",IF(G2142="CECO NO EXISTE","ERROR: CECO no existe en el catálogo",IF(C2142="","ERROR: falta CUENTA",IF(ISERROR(--C2142),"ERROR: CUENTA debe tener solo dígitos",IF(ISERROR(FIND(LEFT(C2142,1),"567")),"ERROR: CUENTA fuera de las clases de costo",IF(NOT(ISNUMBER(E2142)),"ERROR: VALOR debe ser numérico",IF(E2142=0,"AVISO: valor cero (no se carga)",IF(J2142&lt;&gt;"ACTIVO","NO SE CARGA: CECO en estado "&amp;J2142,"OK"))))))))))</f>
        <v/>
      </c>
    </row>
    <row r="2143">
      <c r="A2143" s="5" t="n"/>
      <c r="B2143" s="6" t="n"/>
      <c r="C2143" s="5" t="n"/>
      <c r="D2143" s="6" t="n"/>
      <c r="E2143" s="7" t="n"/>
      <c r="F2143" s="6" t="n"/>
      <c r="G2143" s="8">
        <f>IF(B2143="","",IFERROR(VLOOKUP(--B2143,'CATALOGO CECO'!$A$2:$H$550,2,FALSE),"CECO NO EXISTE"))</f>
        <v/>
      </c>
      <c r="H2143" s="8">
        <f>IF(B2143="","",IFERROR(VLOOKUP(--B2143,'CATALOGO CECO'!$A$2:$H$550,3,FALSE),""))</f>
        <v/>
      </c>
      <c r="I2143" s="8">
        <f>IF(B2143="","",IFERROR(VLOOKUP(--B2143,'CATALOGO CECO'!$A$2:$H$550,5,FALSE),""))</f>
        <v/>
      </c>
      <c r="J2143" s="8">
        <f>IF(B2143="","",IFERROR(VLOOKUP(--B2143,'CATALOGO CECO'!$A$2:$H$550,8,FALSE),""))</f>
        <v/>
      </c>
      <c r="K2143" s="8">
        <f>IF(COUNTA(A2143:F2143)=0,"",IF(OR(LEN(A2143)&lt;&gt;7,MID(A2143,5,1)&lt;&gt;"-",ISERROR(--LEFT(A2143,4)),ISERROR(--RIGHT(A2143,2))),"ERROR: PERIODO debe ser AAAA-MM",IF(B2143="","ERROR: falta CODIGO CECO",IF(G2143="CECO NO EXISTE","ERROR: CECO no existe en el catálogo",IF(C2143="","ERROR: falta CUENTA",IF(ISERROR(--C2143),"ERROR: CUENTA debe tener solo dígitos",IF(ISERROR(FIND(LEFT(C2143,1),"567")),"ERROR: CUENTA fuera de las clases de costo",IF(NOT(ISNUMBER(E2143)),"ERROR: VALOR debe ser numérico",IF(E2143=0,"AVISO: valor cero (no se carga)",IF(J2143&lt;&gt;"ACTIVO","NO SE CARGA: CECO en estado "&amp;J2143,"OK"))))))))))</f>
        <v/>
      </c>
    </row>
    <row r="2144">
      <c r="A2144" s="5" t="n"/>
      <c r="B2144" s="6" t="n"/>
      <c r="C2144" s="5" t="n"/>
      <c r="D2144" s="6" t="n"/>
      <c r="E2144" s="7" t="n"/>
      <c r="F2144" s="6" t="n"/>
      <c r="G2144" s="8">
        <f>IF(B2144="","",IFERROR(VLOOKUP(--B2144,'CATALOGO CECO'!$A$2:$H$550,2,FALSE),"CECO NO EXISTE"))</f>
        <v/>
      </c>
      <c r="H2144" s="8">
        <f>IF(B2144="","",IFERROR(VLOOKUP(--B2144,'CATALOGO CECO'!$A$2:$H$550,3,FALSE),""))</f>
        <v/>
      </c>
      <c r="I2144" s="8">
        <f>IF(B2144="","",IFERROR(VLOOKUP(--B2144,'CATALOGO CECO'!$A$2:$H$550,5,FALSE),""))</f>
        <v/>
      </c>
      <c r="J2144" s="8">
        <f>IF(B2144="","",IFERROR(VLOOKUP(--B2144,'CATALOGO CECO'!$A$2:$H$550,8,FALSE),""))</f>
        <v/>
      </c>
      <c r="K2144" s="8">
        <f>IF(COUNTA(A2144:F2144)=0,"",IF(OR(LEN(A2144)&lt;&gt;7,MID(A2144,5,1)&lt;&gt;"-",ISERROR(--LEFT(A2144,4)),ISERROR(--RIGHT(A2144,2))),"ERROR: PERIODO debe ser AAAA-MM",IF(B2144="","ERROR: falta CODIGO CECO",IF(G2144="CECO NO EXISTE","ERROR: CECO no existe en el catálogo",IF(C2144="","ERROR: falta CUENTA",IF(ISERROR(--C2144),"ERROR: CUENTA debe tener solo dígitos",IF(ISERROR(FIND(LEFT(C2144,1),"567")),"ERROR: CUENTA fuera de las clases de costo",IF(NOT(ISNUMBER(E2144)),"ERROR: VALOR debe ser numérico",IF(E2144=0,"AVISO: valor cero (no se carga)",IF(J2144&lt;&gt;"ACTIVO","NO SE CARGA: CECO en estado "&amp;J2144,"OK"))))))))))</f>
        <v/>
      </c>
    </row>
    <row r="2145">
      <c r="A2145" s="5" t="n"/>
      <c r="B2145" s="6" t="n"/>
      <c r="C2145" s="5" t="n"/>
      <c r="D2145" s="6" t="n"/>
      <c r="E2145" s="7" t="n"/>
      <c r="F2145" s="6" t="n"/>
      <c r="G2145" s="8">
        <f>IF(B2145="","",IFERROR(VLOOKUP(--B2145,'CATALOGO CECO'!$A$2:$H$550,2,FALSE),"CECO NO EXISTE"))</f>
        <v/>
      </c>
      <c r="H2145" s="8">
        <f>IF(B2145="","",IFERROR(VLOOKUP(--B2145,'CATALOGO CECO'!$A$2:$H$550,3,FALSE),""))</f>
        <v/>
      </c>
      <c r="I2145" s="8">
        <f>IF(B2145="","",IFERROR(VLOOKUP(--B2145,'CATALOGO CECO'!$A$2:$H$550,5,FALSE),""))</f>
        <v/>
      </c>
      <c r="J2145" s="8">
        <f>IF(B2145="","",IFERROR(VLOOKUP(--B2145,'CATALOGO CECO'!$A$2:$H$550,8,FALSE),""))</f>
        <v/>
      </c>
      <c r="K2145" s="8">
        <f>IF(COUNTA(A2145:F2145)=0,"",IF(OR(LEN(A2145)&lt;&gt;7,MID(A2145,5,1)&lt;&gt;"-",ISERROR(--LEFT(A2145,4)),ISERROR(--RIGHT(A2145,2))),"ERROR: PERIODO debe ser AAAA-MM",IF(B2145="","ERROR: falta CODIGO CECO",IF(G2145="CECO NO EXISTE","ERROR: CECO no existe en el catálogo",IF(C2145="","ERROR: falta CUENTA",IF(ISERROR(--C2145),"ERROR: CUENTA debe tener solo dígitos",IF(ISERROR(FIND(LEFT(C2145,1),"567")),"ERROR: CUENTA fuera de las clases de costo",IF(NOT(ISNUMBER(E2145)),"ERROR: VALOR debe ser numérico",IF(E2145=0,"AVISO: valor cero (no se carga)",IF(J2145&lt;&gt;"ACTIVO","NO SE CARGA: CECO en estado "&amp;J2145,"OK"))))))))))</f>
        <v/>
      </c>
    </row>
    <row r="2146">
      <c r="A2146" s="5" t="n"/>
      <c r="B2146" s="6" t="n"/>
      <c r="C2146" s="5" t="n"/>
      <c r="D2146" s="6" t="n"/>
      <c r="E2146" s="7" t="n"/>
      <c r="F2146" s="6" t="n"/>
      <c r="G2146" s="8">
        <f>IF(B2146="","",IFERROR(VLOOKUP(--B2146,'CATALOGO CECO'!$A$2:$H$550,2,FALSE),"CECO NO EXISTE"))</f>
        <v/>
      </c>
      <c r="H2146" s="8">
        <f>IF(B2146="","",IFERROR(VLOOKUP(--B2146,'CATALOGO CECO'!$A$2:$H$550,3,FALSE),""))</f>
        <v/>
      </c>
      <c r="I2146" s="8">
        <f>IF(B2146="","",IFERROR(VLOOKUP(--B2146,'CATALOGO CECO'!$A$2:$H$550,5,FALSE),""))</f>
        <v/>
      </c>
      <c r="J2146" s="8">
        <f>IF(B2146="","",IFERROR(VLOOKUP(--B2146,'CATALOGO CECO'!$A$2:$H$550,8,FALSE),""))</f>
        <v/>
      </c>
      <c r="K2146" s="8">
        <f>IF(COUNTA(A2146:F2146)=0,"",IF(OR(LEN(A2146)&lt;&gt;7,MID(A2146,5,1)&lt;&gt;"-",ISERROR(--LEFT(A2146,4)),ISERROR(--RIGHT(A2146,2))),"ERROR: PERIODO debe ser AAAA-MM",IF(B2146="","ERROR: falta CODIGO CECO",IF(G2146="CECO NO EXISTE","ERROR: CECO no existe en el catálogo",IF(C2146="","ERROR: falta CUENTA",IF(ISERROR(--C2146),"ERROR: CUENTA debe tener solo dígitos",IF(ISERROR(FIND(LEFT(C2146,1),"567")),"ERROR: CUENTA fuera de las clases de costo",IF(NOT(ISNUMBER(E2146)),"ERROR: VALOR debe ser numérico",IF(E2146=0,"AVISO: valor cero (no se carga)",IF(J2146&lt;&gt;"ACTIVO","NO SE CARGA: CECO en estado "&amp;J2146,"OK"))))))))))</f>
        <v/>
      </c>
    </row>
    <row r="2147">
      <c r="A2147" s="5" t="n"/>
      <c r="B2147" s="6" t="n"/>
      <c r="C2147" s="5" t="n"/>
      <c r="D2147" s="6" t="n"/>
      <c r="E2147" s="7" t="n"/>
      <c r="F2147" s="6" t="n"/>
      <c r="G2147" s="8">
        <f>IF(B2147="","",IFERROR(VLOOKUP(--B2147,'CATALOGO CECO'!$A$2:$H$550,2,FALSE),"CECO NO EXISTE"))</f>
        <v/>
      </c>
      <c r="H2147" s="8">
        <f>IF(B2147="","",IFERROR(VLOOKUP(--B2147,'CATALOGO CECO'!$A$2:$H$550,3,FALSE),""))</f>
        <v/>
      </c>
      <c r="I2147" s="8">
        <f>IF(B2147="","",IFERROR(VLOOKUP(--B2147,'CATALOGO CECO'!$A$2:$H$550,5,FALSE),""))</f>
        <v/>
      </c>
      <c r="J2147" s="8">
        <f>IF(B2147="","",IFERROR(VLOOKUP(--B2147,'CATALOGO CECO'!$A$2:$H$550,8,FALSE),""))</f>
        <v/>
      </c>
      <c r="K2147" s="8">
        <f>IF(COUNTA(A2147:F2147)=0,"",IF(OR(LEN(A2147)&lt;&gt;7,MID(A2147,5,1)&lt;&gt;"-",ISERROR(--LEFT(A2147,4)),ISERROR(--RIGHT(A2147,2))),"ERROR: PERIODO debe ser AAAA-MM",IF(B2147="","ERROR: falta CODIGO CECO",IF(G2147="CECO NO EXISTE","ERROR: CECO no existe en el catálogo",IF(C2147="","ERROR: falta CUENTA",IF(ISERROR(--C2147),"ERROR: CUENTA debe tener solo dígitos",IF(ISERROR(FIND(LEFT(C2147,1),"567")),"ERROR: CUENTA fuera de las clases de costo",IF(NOT(ISNUMBER(E2147)),"ERROR: VALOR debe ser numérico",IF(E2147=0,"AVISO: valor cero (no se carga)",IF(J2147&lt;&gt;"ACTIVO","NO SE CARGA: CECO en estado "&amp;J2147,"OK"))))))))))</f>
        <v/>
      </c>
    </row>
    <row r="2148">
      <c r="A2148" s="5" t="n"/>
      <c r="B2148" s="6" t="n"/>
      <c r="C2148" s="5" t="n"/>
      <c r="D2148" s="6" t="n"/>
      <c r="E2148" s="7" t="n"/>
      <c r="F2148" s="6" t="n"/>
      <c r="G2148" s="8">
        <f>IF(B2148="","",IFERROR(VLOOKUP(--B2148,'CATALOGO CECO'!$A$2:$H$550,2,FALSE),"CECO NO EXISTE"))</f>
        <v/>
      </c>
      <c r="H2148" s="8">
        <f>IF(B2148="","",IFERROR(VLOOKUP(--B2148,'CATALOGO CECO'!$A$2:$H$550,3,FALSE),""))</f>
        <v/>
      </c>
      <c r="I2148" s="8">
        <f>IF(B2148="","",IFERROR(VLOOKUP(--B2148,'CATALOGO CECO'!$A$2:$H$550,5,FALSE),""))</f>
        <v/>
      </c>
      <c r="J2148" s="8">
        <f>IF(B2148="","",IFERROR(VLOOKUP(--B2148,'CATALOGO CECO'!$A$2:$H$550,8,FALSE),""))</f>
        <v/>
      </c>
      <c r="K2148" s="8">
        <f>IF(COUNTA(A2148:F2148)=0,"",IF(OR(LEN(A2148)&lt;&gt;7,MID(A2148,5,1)&lt;&gt;"-",ISERROR(--LEFT(A2148,4)),ISERROR(--RIGHT(A2148,2))),"ERROR: PERIODO debe ser AAAA-MM",IF(B2148="","ERROR: falta CODIGO CECO",IF(G2148="CECO NO EXISTE","ERROR: CECO no existe en el catálogo",IF(C2148="","ERROR: falta CUENTA",IF(ISERROR(--C2148),"ERROR: CUENTA debe tener solo dígitos",IF(ISERROR(FIND(LEFT(C2148,1),"567")),"ERROR: CUENTA fuera de las clases de costo",IF(NOT(ISNUMBER(E2148)),"ERROR: VALOR debe ser numérico",IF(E2148=0,"AVISO: valor cero (no se carga)",IF(J2148&lt;&gt;"ACTIVO","NO SE CARGA: CECO en estado "&amp;J2148,"OK"))))))))))</f>
        <v/>
      </c>
    </row>
    <row r="2149">
      <c r="A2149" s="5" t="n"/>
      <c r="B2149" s="6" t="n"/>
      <c r="C2149" s="5" t="n"/>
      <c r="D2149" s="6" t="n"/>
      <c r="E2149" s="7" t="n"/>
      <c r="F2149" s="6" t="n"/>
      <c r="G2149" s="8">
        <f>IF(B2149="","",IFERROR(VLOOKUP(--B2149,'CATALOGO CECO'!$A$2:$H$550,2,FALSE),"CECO NO EXISTE"))</f>
        <v/>
      </c>
      <c r="H2149" s="8">
        <f>IF(B2149="","",IFERROR(VLOOKUP(--B2149,'CATALOGO CECO'!$A$2:$H$550,3,FALSE),""))</f>
        <v/>
      </c>
      <c r="I2149" s="8">
        <f>IF(B2149="","",IFERROR(VLOOKUP(--B2149,'CATALOGO CECO'!$A$2:$H$550,5,FALSE),""))</f>
        <v/>
      </c>
      <c r="J2149" s="8">
        <f>IF(B2149="","",IFERROR(VLOOKUP(--B2149,'CATALOGO CECO'!$A$2:$H$550,8,FALSE),""))</f>
        <v/>
      </c>
      <c r="K2149" s="8">
        <f>IF(COUNTA(A2149:F2149)=0,"",IF(OR(LEN(A2149)&lt;&gt;7,MID(A2149,5,1)&lt;&gt;"-",ISERROR(--LEFT(A2149,4)),ISERROR(--RIGHT(A2149,2))),"ERROR: PERIODO debe ser AAAA-MM",IF(B2149="","ERROR: falta CODIGO CECO",IF(G2149="CECO NO EXISTE","ERROR: CECO no existe en el catálogo",IF(C2149="","ERROR: falta CUENTA",IF(ISERROR(--C2149),"ERROR: CUENTA debe tener solo dígitos",IF(ISERROR(FIND(LEFT(C2149,1),"567")),"ERROR: CUENTA fuera de las clases de costo",IF(NOT(ISNUMBER(E2149)),"ERROR: VALOR debe ser numérico",IF(E2149=0,"AVISO: valor cero (no se carga)",IF(J2149&lt;&gt;"ACTIVO","NO SE CARGA: CECO en estado "&amp;J2149,"OK"))))))))))</f>
        <v/>
      </c>
    </row>
    <row r="2150">
      <c r="A2150" s="5" t="n"/>
      <c r="B2150" s="6" t="n"/>
      <c r="C2150" s="5" t="n"/>
      <c r="D2150" s="6" t="n"/>
      <c r="E2150" s="7" t="n"/>
      <c r="F2150" s="6" t="n"/>
      <c r="G2150" s="8">
        <f>IF(B2150="","",IFERROR(VLOOKUP(--B2150,'CATALOGO CECO'!$A$2:$H$550,2,FALSE),"CECO NO EXISTE"))</f>
        <v/>
      </c>
      <c r="H2150" s="8">
        <f>IF(B2150="","",IFERROR(VLOOKUP(--B2150,'CATALOGO CECO'!$A$2:$H$550,3,FALSE),""))</f>
        <v/>
      </c>
      <c r="I2150" s="8">
        <f>IF(B2150="","",IFERROR(VLOOKUP(--B2150,'CATALOGO CECO'!$A$2:$H$550,5,FALSE),""))</f>
        <v/>
      </c>
      <c r="J2150" s="8">
        <f>IF(B2150="","",IFERROR(VLOOKUP(--B2150,'CATALOGO CECO'!$A$2:$H$550,8,FALSE),""))</f>
        <v/>
      </c>
      <c r="K2150" s="8">
        <f>IF(COUNTA(A2150:F2150)=0,"",IF(OR(LEN(A2150)&lt;&gt;7,MID(A2150,5,1)&lt;&gt;"-",ISERROR(--LEFT(A2150,4)),ISERROR(--RIGHT(A2150,2))),"ERROR: PERIODO debe ser AAAA-MM",IF(B2150="","ERROR: falta CODIGO CECO",IF(G2150="CECO NO EXISTE","ERROR: CECO no existe en el catálogo",IF(C2150="","ERROR: falta CUENTA",IF(ISERROR(--C2150),"ERROR: CUENTA debe tener solo dígitos",IF(ISERROR(FIND(LEFT(C2150,1),"567")),"ERROR: CUENTA fuera de las clases de costo",IF(NOT(ISNUMBER(E2150)),"ERROR: VALOR debe ser numérico",IF(E2150=0,"AVISO: valor cero (no se carga)",IF(J2150&lt;&gt;"ACTIVO","NO SE CARGA: CECO en estado "&amp;J2150,"OK"))))))))))</f>
        <v/>
      </c>
    </row>
    <row r="2151">
      <c r="A2151" s="5" t="n"/>
      <c r="B2151" s="6" t="n"/>
      <c r="C2151" s="5" t="n"/>
      <c r="D2151" s="6" t="n"/>
      <c r="E2151" s="7" t="n"/>
      <c r="F2151" s="6" t="n"/>
      <c r="G2151" s="8">
        <f>IF(B2151="","",IFERROR(VLOOKUP(--B2151,'CATALOGO CECO'!$A$2:$H$550,2,FALSE),"CECO NO EXISTE"))</f>
        <v/>
      </c>
      <c r="H2151" s="8">
        <f>IF(B2151="","",IFERROR(VLOOKUP(--B2151,'CATALOGO CECO'!$A$2:$H$550,3,FALSE),""))</f>
        <v/>
      </c>
      <c r="I2151" s="8">
        <f>IF(B2151="","",IFERROR(VLOOKUP(--B2151,'CATALOGO CECO'!$A$2:$H$550,5,FALSE),""))</f>
        <v/>
      </c>
      <c r="J2151" s="8">
        <f>IF(B2151="","",IFERROR(VLOOKUP(--B2151,'CATALOGO CECO'!$A$2:$H$550,8,FALSE),""))</f>
        <v/>
      </c>
      <c r="K2151" s="8">
        <f>IF(COUNTA(A2151:F2151)=0,"",IF(OR(LEN(A2151)&lt;&gt;7,MID(A2151,5,1)&lt;&gt;"-",ISERROR(--LEFT(A2151,4)),ISERROR(--RIGHT(A2151,2))),"ERROR: PERIODO debe ser AAAA-MM",IF(B2151="","ERROR: falta CODIGO CECO",IF(G2151="CECO NO EXISTE","ERROR: CECO no existe en el catálogo",IF(C2151="","ERROR: falta CUENTA",IF(ISERROR(--C2151),"ERROR: CUENTA debe tener solo dígitos",IF(ISERROR(FIND(LEFT(C2151,1),"567")),"ERROR: CUENTA fuera de las clases de costo",IF(NOT(ISNUMBER(E2151)),"ERROR: VALOR debe ser numérico",IF(E2151=0,"AVISO: valor cero (no se carga)",IF(J2151&lt;&gt;"ACTIVO","NO SE CARGA: CECO en estado "&amp;J2151,"OK"))))))))))</f>
        <v/>
      </c>
    </row>
    <row r="2152">
      <c r="A2152" s="5" t="n"/>
      <c r="B2152" s="6" t="n"/>
      <c r="C2152" s="5" t="n"/>
      <c r="D2152" s="6" t="n"/>
      <c r="E2152" s="7" t="n"/>
      <c r="F2152" s="6" t="n"/>
      <c r="G2152" s="8">
        <f>IF(B2152="","",IFERROR(VLOOKUP(--B2152,'CATALOGO CECO'!$A$2:$H$550,2,FALSE),"CECO NO EXISTE"))</f>
        <v/>
      </c>
      <c r="H2152" s="8">
        <f>IF(B2152="","",IFERROR(VLOOKUP(--B2152,'CATALOGO CECO'!$A$2:$H$550,3,FALSE),""))</f>
        <v/>
      </c>
      <c r="I2152" s="8">
        <f>IF(B2152="","",IFERROR(VLOOKUP(--B2152,'CATALOGO CECO'!$A$2:$H$550,5,FALSE),""))</f>
        <v/>
      </c>
      <c r="J2152" s="8">
        <f>IF(B2152="","",IFERROR(VLOOKUP(--B2152,'CATALOGO CECO'!$A$2:$H$550,8,FALSE),""))</f>
        <v/>
      </c>
      <c r="K2152" s="8">
        <f>IF(COUNTA(A2152:F2152)=0,"",IF(OR(LEN(A2152)&lt;&gt;7,MID(A2152,5,1)&lt;&gt;"-",ISERROR(--LEFT(A2152,4)),ISERROR(--RIGHT(A2152,2))),"ERROR: PERIODO debe ser AAAA-MM",IF(B2152="","ERROR: falta CODIGO CECO",IF(G2152="CECO NO EXISTE","ERROR: CECO no existe en el catálogo",IF(C2152="","ERROR: falta CUENTA",IF(ISERROR(--C2152),"ERROR: CUENTA debe tener solo dígitos",IF(ISERROR(FIND(LEFT(C2152,1),"567")),"ERROR: CUENTA fuera de las clases de costo",IF(NOT(ISNUMBER(E2152)),"ERROR: VALOR debe ser numérico",IF(E2152=0,"AVISO: valor cero (no se carga)",IF(J2152&lt;&gt;"ACTIVO","NO SE CARGA: CECO en estado "&amp;J2152,"OK"))))))))))</f>
        <v/>
      </c>
    </row>
    <row r="2153">
      <c r="A2153" s="5" t="n"/>
      <c r="B2153" s="6" t="n"/>
      <c r="C2153" s="5" t="n"/>
      <c r="D2153" s="6" t="n"/>
      <c r="E2153" s="7" t="n"/>
      <c r="F2153" s="6" t="n"/>
      <c r="G2153" s="8">
        <f>IF(B2153="","",IFERROR(VLOOKUP(--B2153,'CATALOGO CECO'!$A$2:$H$550,2,FALSE),"CECO NO EXISTE"))</f>
        <v/>
      </c>
      <c r="H2153" s="8">
        <f>IF(B2153="","",IFERROR(VLOOKUP(--B2153,'CATALOGO CECO'!$A$2:$H$550,3,FALSE),""))</f>
        <v/>
      </c>
      <c r="I2153" s="8">
        <f>IF(B2153="","",IFERROR(VLOOKUP(--B2153,'CATALOGO CECO'!$A$2:$H$550,5,FALSE),""))</f>
        <v/>
      </c>
      <c r="J2153" s="8">
        <f>IF(B2153="","",IFERROR(VLOOKUP(--B2153,'CATALOGO CECO'!$A$2:$H$550,8,FALSE),""))</f>
        <v/>
      </c>
      <c r="K2153" s="8">
        <f>IF(COUNTA(A2153:F2153)=0,"",IF(OR(LEN(A2153)&lt;&gt;7,MID(A2153,5,1)&lt;&gt;"-",ISERROR(--LEFT(A2153,4)),ISERROR(--RIGHT(A2153,2))),"ERROR: PERIODO debe ser AAAA-MM",IF(B2153="","ERROR: falta CODIGO CECO",IF(G2153="CECO NO EXISTE","ERROR: CECO no existe en el catálogo",IF(C2153="","ERROR: falta CUENTA",IF(ISERROR(--C2153),"ERROR: CUENTA debe tener solo dígitos",IF(ISERROR(FIND(LEFT(C2153,1),"567")),"ERROR: CUENTA fuera de las clases de costo",IF(NOT(ISNUMBER(E2153)),"ERROR: VALOR debe ser numérico",IF(E2153=0,"AVISO: valor cero (no se carga)",IF(J2153&lt;&gt;"ACTIVO","NO SE CARGA: CECO en estado "&amp;J2153,"OK"))))))))))</f>
        <v/>
      </c>
    </row>
    <row r="2154">
      <c r="A2154" s="5" t="n"/>
      <c r="B2154" s="6" t="n"/>
      <c r="C2154" s="5" t="n"/>
      <c r="D2154" s="6" t="n"/>
      <c r="E2154" s="7" t="n"/>
      <c r="F2154" s="6" t="n"/>
      <c r="G2154" s="8">
        <f>IF(B2154="","",IFERROR(VLOOKUP(--B2154,'CATALOGO CECO'!$A$2:$H$550,2,FALSE),"CECO NO EXISTE"))</f>
        <v/>
      </c>
      <c r="H2154" s="8">
        <f>IF(B2154="","",IFERROR(VLOOKUP(--B2154,'CATALOGO CECO'!$A$2:$H$550,3,FALSE),""))</f>
        <v/>
      </c>
      <c r="I2154" s="8">
        <f>IF(B2154="","",IFERROR(VLOOKUP(--B2154,'CATALOGO CECO'!$A$2:$H$550,5,FALSE),""))</f>
        <v/>
      </c>
      <c r="J2154" s="8">
        <f>IF(B2154="","",IFERROR(VLOOKUP(--B2154,'CATALOGO CECO'!$A$2:$H$550,8,FALSE),""))</f>
        <v/>
      </c>
      <c r="K2154" s="8">
        <f>IF(COUNTA(A2154:F2154)=0,"",IF(OR(LEN(A2154)&lt;&gt;7,MID(A2154,5,1)&lt;&gt;"-",ISERROR(--LEFT(A2154,4)),ISERROR(--RIGHT(A2154,2))),"ERROR: PERIODO debe ser AAAA-MM",IF(B2154="","ERROR: falta CODIGO CECO",IF(G2154="CECO NO EXISTE","ERROR: CECO no existe en el catálogo",IF(C2154="","ERROR: falta CUENTA",IF(ISERROR(--C2154),"ERROR: CUENTA debe tener solo dígitos",IF(ISERROR(FIND(LEFT(C2154,1),"567")),"ERROR: CUENTA fuera de las clases de costo",IF(NOT(ISNUMBER(E2154)),"ERROR: VALOR debe ser numérico",IF(E2154=0,"AVISO: valor cero (no se carga)",IF(J2154&lt;&gt;"ACTIVO","NO SE CARGA: CECO en estado "&amp;J2154,"OK"))))))))))</f>
        <v/>
      </c>
    </row>
    <row r="2155">
      <c r="A2155" s="5" t="n"/>
      <c r="B2155" s="6" t="n"/>
      <c r="C2155" s="5" t="n"/>
      <c r="D2155" s="6" t="n"/>
      <c r="E2155" s="7" t="n"/>
      <c r="F2155" s="6" t="n"/>
      <c r="G2155" s="8">
        <f>IF(B2155="","",IFERROR(VLOOKUP(--B2155,'CATALOGO CECO'!$A$2:$H$550,2,FALSE),"CECO NO EXISTE"))</f>
        <v/>
      </c>
      <c r="H2155" s="8">
        <f>IF(B2155="","",IFERROR(VLOOKUP(--B2155,'CATALOGO CECO'!$A$2:$H$550,3,FALSE),""))</f>
        <v/>
      </c>
      <c r="I2155" s="8">
        <f>IF(B2155="","",IFERROR(VLOOKUP(--B2155,'CATALOGO CECO'!$A$2:$H$550,5,FALSE),""))</f>
        <v/>
      </c>
      <c r="J2155" s="8">
        <f>IF(B2155="","",IFERROR(VLOOKUP(--B2155,'CATALOGO CECO'!$A$2:$H$550,8,FALSE),""))</f>
        <v/>
      </c>
      <c r="K2155" s="8">
        <f>IF(COUNTA(A2155:F2155)=0,"",IF(OR(LEN(A2155)&lt;&gt;7,MID(A2155,5,1)&lt;&gt;"-",ISERROR(--LEFT(A2155,4)),ISERROR(--RIGHT(A2155,2))),"ERROR: PERIODO debe ser AAAA-MM",IF(B2155="","ERROR: falta CODIGO CECO",IF(G2155="CECO NO EXISTE","ERROR: CECO no existe en el catálogo",IF(C2155="","ERROR: falta CUENTA",IF(ISERROR(--C2155),"ERROR: CUENTA debe tener solo dígitos",IF(ISERROR(FIND(LEFT(C2155,1),"567")),"ERROR: CUENTA fuera de las clases de costo",IF(NOT(ISNUMBER(E2155)),"ERROR: VALOR debe ser numérico",IF(E2155=0,"AVISO: valor cero (no se carga)",IF(J2155&lt;&gt;"ACTIVO","NO SE CARGA: CECO en estado "&amp;J2155,"OK"))))))))))</f>
        <v/>
      </c>
    </row>
    <row r="2156">
      <c r="A2156" s="5" t="n"/>
      <c r="B2156" s="6" t="n"/>
      <c r="C2156" s="5" t="n"/>
      <c r="D2156" s="6" t="n"/>
      <c r="E2156" s="7" t="n"/>
      <c r="F2156" s="6" t="n"/>
      <c r="G2156" s="8">
        <f>IF(B2156="","",IFERROR(VLOOKUP(--B2156,'CATALOGO CECO'!$A$2:$H$550,2,FALSE),"CECO NO EXISTE"))</f>
        <v/>
      </c>
      <c r="H2156" s="8">
        <f>IF(B2156="","",IFERROR(VLOOKUP(--B2156,'CATALOGO CECO'!$A$2:$H$550,3,FALSE),""))</f>
        <v/>
      </c>
      <c r="I2156" s="8">
        <f>IF(B2156="","",IFERROR(VLOOKUP(--B2156,'CATALOGO CECO'!$A$2:$H$550,5,FALSE),""))</f>
        <v/>
      </c>
      <c r="J2156" s="8">
        <f>IF(B2156="","",IFERROR(VLOOKUP(--B2156,'CATALOGO CECO'!$A$2:$H$550,8,FALSE),""))</f>
        <v/>
      </c>
      <c r="K2156" s="8">
        <f>IF(COUNTA(A2156:F2156)=0,"",IF(OR(LEN(A2156)&lt;&gt;7,MID(A2156,5,1)&lt;&gt;"-",ISERROR(--LEFT(A2156,4)),ISERROR(--RIGHT(A2156,2))),"ERROR: PERIODO debe ser AAAA-MM",IF(B2156="","ERROR: falta CODIGO CECO",IF(G2156="CECO NO EXISTE","ERROR: CECO no existe en el catálogo",IF(C2156="","ERROR: falta CUENTA",IF(ISERROR(--C2156),"ERROR: CUENTA debe tener solo dígitos",IF(ISERROR(FIND(LEFT(C2156,1),"567")),"ERROR: CUENTA fuera de las clases de costo",IF(NOT(ISNUMBER(E2156)),"ERROR: VALOR debe ser numérico",IF(E2156=0,"AVISO: valor cero (no se carga)",IF(J2156&lt;&gt;"ACTIVO","NO SE CARGA: CECO en estado "&amp;J2156,"OK"))))))))))</f>
        <v/>
      </c>
    </row>
    <row r="2157">
      <c r="A2157" s="5" t="n"/>
      <c r="B2157" s="6" t="n"/>
      <c r="C2157" s="5" t="n"/>
      <c r="D2157" s="6" t="n"/>
      <c r="E2157" s="7" t="n"/>
      <c r="F2157" s="6" t="n"/>
      <c r="G2157" s="8">
        <f>IF(B2157="","",IFERROR(VLOOKUP(--B2157,'CATALOGO CECO'!$A$2:$H$550,2,FALSE),"CECO NO EXISTE"))</f>
        <v/>
      </c>
      <c r="H2157" s="8">
        <f>IF(B2157="","",IFERROR(VLOOKUP(--B2157,'CATALOGO CECO'!$A$2:$H$550,3,FALSE),""))</f>
        <v/>
      </c>
      <c r="I2157" s="8">
        <f>IF(B2157="","",IFERROR(VLOOKUP(--B2157,'CATALOGO CECO'!$A$2:$H$550,5,FALSE),""))</f>
        <v/>
      </c>
      <c r="J2157" s="8">
        <f>IF(B2157="","",IFERROR(VLOOKUP(--B2157,'CATALOGO CECO'!$A$2:$H$550,8,FALSE),""))</f>
        <v/>
      </c>
      <c r="K2157" s="8">
        <f>IF(COUNTA(A2157:F2157)=0,"",IF(OR(LEN(A2157)&lt;&gt;7,MID(A2157,5,1)&lt;&gt;"-",ISERROR(--LEFT(A2157,4)),ISERROR(--RIGHT(A2157,2))),"ERROR: PERIODO debe ser AAAA-MM",IF(B2157="","ERROR: falta CODIGO CECO",IF(G2157="CECO NO EXISTE","ERROR: CECO no existe en el catálogo",IF(C2157="","ERROR: falta CUENTA",IF(ISERROR(--C2157),"ERROR: CUENTA debe tener solo dígitos",IF(ISERROR(FIND(LEFT(C2157,1),"567")),"ERROR: CUENTA fuera de las clases de costo",IF(NOT(ISNUMBER(E2157)),"ERROR: VALOR debe ser numérico",IF(E2157=0,"AVISO: valor cero (no se carga)",IF(J2157&lt;&gt;"ACTIVO","NO SE CARGA: CECO en estado "&amp;J2157,"OK"))))))))))</f>
        <v/>
      </c>
    </row>
    <row r="2158">
      <c r="A2158" s="5" t="n"/>
      <c r="B2158" s="6" t="n"/>
      <c r="C2158" s="5" t="n"/>
      <c r="D2158" s="6" t="n"/>
      <c r="E2158" s="7" t="n"/>
      <c r="F2158" s="6" t="n"/>
      <c r="G2158" s="8">
        <f>IF(B2158="","",IFERROR(VLOOKUP(--B2158,'CATALOGO CECO'!$A$2:$H$550,2,FALSE),"CECO NO EXISTE"))</f>
        <v/>
      </c>
      <c r="H2158" s="8">
        <f>IF(B2158="","",IFERROR(VLOOKUP(--B2158,'CATALOGO CECO'!$A$2:$H$550,3,FALSE),""))</f>
        <v/>
      </c>
      <c r="I2158" s="8">
        <f>IF(B2158="","",IFERROR(VLOOKUP(--B2158,'CATALOGO CECO'!$A$2:$H$550,5,FALSE),""))</f>
        <v/>
      </c>
      <c r="J2158" s="8">
        <f>IF(B2158="","",IFERROR(VLOOKUP(--B2158,'CATALOGO CECO'!$A$2:$H$550,8,FALSE),""))</f>
        <v/>
      </c>
      <c r="K2158" s="8">
        <f>IF(COUNTA(A2158:F2158)=0,"",IF(OR(LEN(A2158)&lt;&gt;7,MID(A2158,5,1)&lt;&gt;"-",ISERROR(--LEFT(A2158,4)),ISERROR(--RIGHT(A2158,2))),"ERROR: PERIODO debe ser AAAA-MM",IF(B2158="","ERROR: falta CODIGO CECO",IF(G2158="CECO NO EXISTE","ERROR: CECO no existe en el catálogo",IF(C2158="","ERROR: falta CUENTA",IF(ISERROR(--C2158),"ERROR: CUENTA debe tener solo dígitos",IF(ISERROR(FIND(LEFT(C2158,1),"567")),"ERROR: CUENTA fuera de las clases de costo",IF(NOT(ISNUMBER(E2158)),"ERROR: VALOR debe ser numérico",IF(E2158=0,"AVISO: valor cero (no se carga)",IF(J2158&lt;&gt;"ACTIVO","NO SE CARGA: CECO en estado "&amp;J2158,"OK"))))))))))</f>
        <v/>
      </c>
    </row>
    <row r="2159">
      <c r="A2159" s="5" t="n"/>
      <c r="B2159" s="6" t="n"/>
      <c r="C2159" s="5" t="n"/>
      <c r="D2159" s="6" t="n"/>
      <c r="E2159" s="7" t="n"/>
      <c r="F2159" s="6" t="n"/>
      <c r="G2159" s="8">
        <f>IF(B2159="","",IFERROR(VLOOKUP(--B2159,'CATALOGO CECO'!$A$2:$H$550,2,FALSE),"CECO NO EXISTE"))</f>
        <v/>
      </c>
      <c r="H2159" s="8">
        <f>IF(B2159="","",IFERROR(VLOOKUP(--B2159,'CATALOGO CECO'!$A$2:$H$550,3,FALSE),""))</f>
        <v/>
      </c>
      <c r="I2159" s="8">
        <f>IF(B2159="","",IFERROR(VLOOKUP(--B2159,'CATALOGO CECO'!$A$2:$H$550,5,FALSE),""))</f>
        <v/>
      </c>
      <c r="J2159" s="8">
        <f>IF(B2159="","",IFERROR(VLOOKUP(--B2159,'CATALOGO CECO'!$A$2:$H$550,8,FALSE),""))</f>
        <v/>
      </c>
      <c r="K2159" s="8">
        <f>IF(COUNTA(A2159:F2159)=0,"",IF(OR(LEN(A2159)&lt;&gt;7,MID(A2159,5,1)&lt;&gt;"-",ISERROR(--LEFT(A2159,4)),ISERROR(--RIGHT(A2159,2))),"ERROR: PERIODO debe ser AAAA-MM",IF(B2159="","ERROR: falta CODIGO CECO",IF(G2159="CECO NO EXISTE","ERROR: CECO no existe en el catálogo",IF(C2159="","ERROR: falta CUENTA",IF(ISERROR(--C2159),"ERROR: CUENTA debe tener solo dígitos",IF(ISERROR(FIND(LEFT(C2159,1),"567")),"ERROR: CUENTA fuera de las clases de costo",IF(NOT(ISNUMBER(E2159)),"ERROR: VALOR debe ser numérico",IF(E2159=0,"AVISO: valor cero (no se carga)",IF(J2159&lt;&gt;"ACTIVO","NO SE CARGA: CECO en estado "&amp;J2159,"OK"))))))))))</f>
        <v/>
      </c>
    </row>
    <row r="2160">
      <c r="A2160" s="5" t="n"/>
      <c r="B2160" s="6" t="n"/>
      <c r="C2160" s="5" t="n"/>
      <c r="D2160" s="6" t="n"/>
      <c r="E2160" s="7" t="n"/>
      <c r="F2160" s="6" t="n"/>
      <c r="G2160" s="8">
        <f>IF(B2160="","",IFERROR(VLOOKUP(--B2160,'CATALOGO CECO'!$A$2:$H$550,2,FALSE),"CECO NO EXISTE"))</f>
        <v/>
      </c>
      <c r="H2160" s="8">
        <f>IF(B2160="","",IFERROR(VLOOKUP(--B2160,'CATALOGO CECO'!$A$2:$H$550,3,FALSE),""))</f>
        <v/>
      </c>
      <c r="I2160" s="8">
        <f>IF(B2160="","",IFERROR(VLOOKUP(--B2160,'CATALOGO CECO'!$A$2:$H$550,5,FALSE),""))</f>
        <v/>
      </c>
      <c r="J2160" s="8">
        <f>IF(B2160="","",IFERROR(VLOOKUP(--B2160,'CATALOGO CECO'!$A$2:$H$550,8,FALSE),""))</f>
        <v/>
      </c>
      <c r="K2160" s="8">
        <f>IF(COUNTA(A2160:F2160)=0,"",IF(OR(LEN(A2160)&lt;&gt;7,MID(A2160,5,1)&lt;&gt;"-",ISERROR(--LEFT(A2160,4)),ISERROR(--RIGHT(A2160,2))),"ERROR: PERIODO debe ser AAAA-MM",IF(B2160="","ERROR: falta CODIGO CECO",IF(G2160="CECO NO EXISTE","ERROR: CECO no existe en el catálogo",IF(C2160="","ERROR: falta CUENTA",IF(ISERROR(--C2160),"ERROR: CUENTA debe tener solo dígitos",IF(ISERROR(FIND(LEFT(C2160,1),"567")),"ERROR: CUENTA fuera de las clases de costo",IF(NOT(ISNUMBER(E2160)),"ERROR: VALOR debe ser numérico",IF(E2160=0,"AVISO: valor cero (no se carga)",IF(J2160&lt;&gt;"ACTIVO","NO SE CARGA: CECO en estado "&amp;J2160,"OK"))))))))))</f>
        <v/>
      </c>
    </row>
    <row r="2161">
      <c r="A2161" s="5" t="n"/>
      <c r="B2161" s="6" t="n"/>
      <c r="C2161" s="5" t="n"/>
      <c r="D2161" s="6" t="n"/>
      <c r="E2161" s="7" t="n"/>
      <c r="F2161" s="6" t="n"/>
      <c r="G2161" s="8">
        <f>IF(B2161="","",IFERROR(VLOOKUP(--B2161,'CATALOGO CECO'!$A$2:$H$550,2,FALSE),"CECO NO EXISTE"))</f>
        <v/>
      </c>
      <c r="H2161" s="8">
        <f>IF(B2161="","",IFERROR(VLOOKUP(--B2161,'CATALOGO CECO'!$A$2:$H$550,3,FALSE),""))</f>
        <v/>
      </c>
      <c r="I2161" s="8">
        <f>IF(B2161="","",IFERROR(VLOOKUP(--B2161,'CATALOGO CECO'!$A$2:$H$550,5,FALSE),""))</f>
        <v/>
      </c>
      <c r="J2161" s="8">
        <f>IF(B2161="","",IFERROR(VLOOKUP(--B2161,'CATALOGO CECO'!$A$2:$H$550,8,FALSE),""))</f>
        <v/>
      </c>
      <c r="K2161" s="8">
        <f>IF(COUNTA(A2161:F2161)=0,"",IF(OR(LEN(A2161)&lt;&gt;7,MID(A2161,5,1)&lt;&gt;"-",ISERROR(--LEFT(A2161,4)),ISERROR(--RIGHT(A2161,2))),"ERROR: PERIODO debe ser AAAA-MM",IF(B2161="","ERROR: falta CODIGO CECO",IF(G2161="CECO NO EXISTE","ERROR: CECO no existe en el catálogo",IF(C2161="","ERROR: falta CUENTA",IF(ISERROR(--C2161),"ERROR: CUENTA debe tener solo dígitos",IF(ISERROR(FIND(LEFT(C2161,1),"567")),"ERROR: CUENTA fuera de las clases de costo",IF(NOT(ISNUMBER(E2161)),"ERROR: VALOR debe ser numérico",IF(E2161=0,"AVISO: valor cero (no se carga)",IF(J2161&lt;&gt;"ACTIVO","NO SE CARGA: CECO en estado "&amp;J2161,"OK"))))))))))</f>
        <v/>
      </c>
    </row>
    <row r="2162">
      <c r="A2162" s="5" t="n"/>
      <c r="B2162" s="6" t="n"/>
      <c r="C2162" s="5" t="n"/>
      <c r="D2162" s="6" t="n"/>
      <c r="E2162" s="7" t="n"/>
      <c r="F2162" s="6" t="n"/>
      <c r="G2162" s="8">
        <f>IF(B2162="","",IFERROR(VLOOKUP(--B2162,'CATALOGO CECO'!$A$2:$H$550,2,FALSE),"CECO NO EXISTE"))</f>
        <v/>
      </c>
      <c r="H2162" s="8">
        <f>IF(B2162="","",IFERROR(VLOOKUP(--B2162,'CATALOGO CECO'!$A$2:$H$550,3,FALSE),""))</f>
        <v/>
      </c>
      <c r="I2162" s="8">
        <f>IF(B2162="","",IFERROR(VLOOKUP(--B2162,'CATALOGO CECO'!$A$2:$H$550,5,FALSE),""))</f>
        <v/>
      </c>
      <c r="J2162" s="8">
        <f>IF(B2162="","",IFERROR(VLOOKUP(--B2162,'CATALOGO CECO'!$A$2:$H$550,8,FALSE),""))</f>
        <v/>
      </c>
      <c r="K2162" s="8">
        <f>IF(COUNTA(A2162:F2162)=0,"",IF(OR(LEN(A2162)&lt;&gt;7,MID(A2162,5,1)&lt;&gt;"-",ISERROR(--LEFT(A2162,4)),ISERROR(--RIGHT(A2162,2))),"ERROR: PERIODO debe ser AAAA-MM",IF(B2162="","ERROR: falta CODIGO CECO",IF(G2162="CECO NO EXISTE","ERROR: CECO no existe en el catálogo",IF(C2162="","ERROR: falta CUENTA",IF(ISERROR(--C2162),"ERROR: CUENTA debe tener solo dígitos",IF(ISERROR(FIND(LEFT(C2162,1),"567")),"ERROR: CUENTA fuera de las clases de costo",IF(NOT(ISNUMBER(E2162)),"ERROR: VALOR debe ser numérico",IF(E2162=0,"AVISO: valor cero (no se carga)",IF(J2162&lt;&gt;"ACTIVO","NO SE CARGA: CECO en estado "&amp;J2162,"OK"))))))))))</f>
        <v/>
      </c>
    </row>
    <row r="2163">
      <c r="A2163" s="5" t="n"/>
      <c r="B2163" s="6" t="n"/>
      <c r="C2163" s="5" t="n"/>
      <c r="D2163" s="6" t="n"/>
      <c r="E2163" s="7" t="n"/>
      <c r="F2163" s="6" t="n"/>
      <c r="G2163" s="8">
        <f>IF(B2163="","",IFERROR(VLOOKUP(--B2163,'CATALOGO CECO'!$A$2:$H$550,2,FALSE),"CECO NO EXISTE"))</f>
        <v/>
      </c>
      <c r="H2163" s="8">
        <f>IF(B2163="","",IFERROR(VLOOKUP(--B2163,'CATALOGO CECO'!$A$2:$H$550,3,FALSE),""))</f>
        <v/>
      </c>
      <c r="I2163" s="8">
        <f>IF(B2163="","",IFERROR(VLOOKUP(--B2163,'CATALOGO CECO'!$A$2:$H$550,5,FALSE),""))</f>
        <v/>
      </c>
      <c r="J2163" s="8">
        <f>IF(B2163="","",IFERROR(VLOOKUP(--B2163,'CATALOGO CECO'!$A$2:$H$550,8,FALSE),""))</f>
        <v/>
      </c>
      <c r="K2163" s="8">
        <f>IF(COUNTA(A2163:F2163)=0,"",IF(OR(LEN(A2163)&lt;&gt;7,MID(A2163,5,1)&lt;&gt;"-",ISERROR(--LEFT(A2163,4)),ISERROR(--RIGHT(A2163,2))),"ERROR: PERIODO debe ser AAAA-MM",IF(B2163="","ERROR: falta CODIGO CECO",IF(G2163="CECO NO EXISTE","ERROR: CECO no existe en el catálogo",IF(C2163="","ERROR: falta CUENTA",IF(ISERROR(--C2163),"ERROR: CUENTA debe tener solo dígitos",IF(ISERROR(FIND(LEFT(C2163,1),"567")),"ERROR: CUENTA fuera de las clases de costo",IF(NOT(ISNUMBER(E2163)),"ERROR: VALOR debe ser numérico",IF(E2163=0,"AVISO: valor cero (no se carga)",IF(J2163&lt;&gt;"ACTIVO","NO SE CARGA: CECO en estado "&amp;J2163,"OK"))))))))))</f>
        <v/>
      </c>
    </row>
    <row r="2164">
      <c r="A2164" s="5" t="n"/>
      <c r="B2164" s="6" t="n"/>
      <c r="C2164" s="5" t="n"/>
      <c r="D2164" s="6" t="n"/>
      <c r="E2164" s="7" t="n"/>
      <c r="F2164" s="6" t="n"/>
      <c r="G2164" s="8">
        <f>IF(B2164="","",IFERROR(VLOOKUP(--B2164,'CATALOGO CECO'!$A$2:$H$550,2,FALSE),"CECO NO EXISTE"))</f>
        <v/>
      </c>
      <c r="H2164" s="8">
        <f>IF(B2164="","",IFERROR(VLOOKUP(--B2164,'CATALOGO CECO'!$A$2:$H$550,3,FALSE),""))</f>
        <v/>
      </c>
      <c r="I2164" s="8">
        <f>IF(B2164="","",IFERROR(VLOOKUP(--B2164,'CATALOGO CECO'!$A$2:$H$550,5,FALSE),""))</f>
        <v/>
      </c>
      <c r="J2164" s="8">
        <f>IF(B2164="","",IFERROR(VLOOKUP(--B2164,'CATALOGO CECO'!$A$2:$H$550,8,FALSE),""))</f>
        <v/>
      </c>
      <c r="K2164" s="8">
        <f>IF(COUNTA(A2164:F2164)=0,"",IF(OR(LEN(A2164)&lt;&gt;7,MID(A2164,5,1)&lt;&gt;"-",ISERROR(--LEFT(A2164,4)),ISERROR(--RIGHT(A2164,2))),"ERROR: PERIODO debe ser AAAA-MM",IF(B2164="","ERROR: falta CODIGO CECO",IF(G2164="CECO NO EXISTE","ERROR: CECO no existe en el catálogo",IF(C2164="","ERROR: falta CUENTA",IF(ISERROR(--C2164),"ERROR: CUENTA debe tener solo dígitos",IF(ISERROR(FIND(LEFT(C2164,1),"567")),"ERROR: CUENTA fuera de las clases de costo",IF(NOT(ISNUMBER(E2164)),"ERROR: VALOR debe ser numérico",IF(E2164=0,"AVISO: valor cero (no se carga)",IF(J2164&lt;&gt;"ACTIVO","NO SE CARGA: CECO en estado "&amp;J2164,"OK"))))))))))</f>
        <v/>
      </c>
    </row>
    <row r="2165">
      <c r="A2165" s="5" t="n"/>
      <c r="B2165" s="6" t="n"/>
      <c r="C2165" s="5" t="n"/>
      <c r="D2165" s="6" t="n"/>
      <c r="E2165" s="7" t="n"/>
      <c r="F2165" s="6" t="n"/>
      <c r="G2165" s="8">
        <f>IF(B2165="","",IFERROR(VLOOKUP(--B2165,'CATALOGO CECO'!$A$2:$H$550,2,FALSE),"CECO NO EXISTE"))</f>
        <v/>
      </c>
      <c r="H2165" s="8">
        <f>IF(B2165="","",IFERROR(VLOOKUP(--B2165,'CATALOGO CECO'!$A$2:$H$550,3,FALSE),""))</f>
        <v/>
      </c>
      <c r="I2165" s="8">
        <f>IF(B2165="","",IFERROR(VLOOKUP(--B2165,'CATALOGO CECO'!$A$2:$H$550,5,FALSE),""))</f>
        <v/>
      </c>
      <c r="J2165" s="8">
        <f>IF(B2165="","",IFERROR(VLOOKUP(--B2165,'CATALOGO CECO'!$A$2:$H$550,8,FALSE),""))</f>
        <v/>
      </c>
      <c r="K2165" s="8">
        <f>IF(COUNTA(A2165:F2165)=0,"",IF(OR(LEN(A2165)&lt;&gt;7,MID(A2165,5,1)&lt;&gt;"-",ISERROR(--LEFT(A2165,4)),ISERROR(--RIGHT(A2165,2))),"ERROR: PERIODO debe ser AAAA-MM",IF(B2165="","ERROR: falta CODIGO CECO",IF(G2165="CECO NO EXISTE","ERROR: CECO no existe en el catálogo",IF(C2165="","ERROR: falta CUENTA",IF(ISERROR(--C2165),"ERROR: CUENTA debe tener solo dígitos",IF(ISERROR(FIND(LEFT(C2165,1),"567")),"ERROR: CUENTA fuera de las clases de costo",IF(NOT(ISNUMBER(E2165)),"ERROR: VALOR debe ser numérico",IF(E2165=0,"AVISO: valor cero (no se carga)",IF(J2165&lt;&gt;"ACTIVO","NO SE CARGA: CECO en estado "&amp;J2165,"OK"))))))))))</f>
        <v/>
      </c>
    </row>
    <row r="2166">
      <c r="A2166" s="5" t="n"/>
      <c r="B2166" s="6" t="n"/>
      <c r="C2166" s="5" t="n"/>
      <c r="D2166" s="6" t="n"/>
      <c r="E2166" s="7" t="n"/>
      <c r="F2166" s="6" t="n"/>
      <c r="G2166" s="8">
        <f>IF(B2166="","",IFERROR(VLOOKUP(--B2166,'CATALOGO CECO'!$A$2:$H$550,2,FALSE),"CECO NO EXISTE"))</f>
        <v/>
      </c>
      <c r="H2166" s="8">
        <f>IF(B2166="","",IFERROR(VLOOKUP(--B2166,'CATALOGO CECO'!$A$2:$H$550,3,FALSE),""))</f>
        <v/>
      </c>
      <c r="I2166" s="8">
        <f>IF(B2166="","",IFERROR(VLOOKUP(--B2166,'CATALOGO CECO'!$A$2:$H$550,5,FALSE),""))</f>
        <v/>
      </c>
      <c r="J2166" s="8">
        <f>IF(B2166="","",IFERROR(VLOOKUP(--B2166,'CATALOGO CECO'!$A$2:$H$550,8,FALSE),""))</f>
        <v/>
      </c>
      <c r="K2166" s="8">
        <f>IF(COUNTA(A2166:F2166)=0,"",IF(OR(LEN(A2166)&lt;&gt;7,MID(A2166,5,1)&lt;&gt;"-",ISERROR(--LEFT(A2166,4)),ISERROR(--RIGHT(A2166,2))),"ERROR: PERIODO debe ser AAAA-MM",IF(B2166="","ERROR: falta CODIGO CECO",IF(G2166="CECO NO EXISTE","ERROR: CECO no existe en el catálogo",IF(C2166="","ERROR: falta CUENTA",IF(ISERROR(--C2166),"ERROR: CUENTA debe tener solo dígitos",IF(ISERROR(FIND(LEFT(C2166,1),"567")),"ERROR: CUENTA fuera de las clases de costo",IF(NOT(ISNUMBER(E2166)),"ERROR: VALOR debe ser numérico",IF(E2166=0,"AVISO: valor cero (no se carga)",IF(J2166&lt;&gt;"ACTIVO","NO SE CARGA: CECO en estado "&amp;J2166,"OK"))))))))))</f>
        <v/>
      </c>
    </row>
    <row r="2167">
      <c r="A2167" s="5" t="n"/>
      <c r="B2167" s="6" t="n"/>
      <c r="C2167" s="5" t="n"/>
      <c r="D2167" s="6" t="n"/>
      <c r="E2167" s="7" t="n"/>
      <c r="F2167" s="6" t="n"/>
      <c r="G2167" s="8">
        <f>IF(B2167="","",IFERROR(VLOOKUP(--B2167,'CATALOGO CECO'!$A$2:$H$550,2,FALSE),"CECO NO EXISTE"))</f>
        <v/>
      </c>
      <c r="H2167" s="8">
        <f>IF(B2167="","",IFERROR(VLOOKUP(--B2167,'CATALOGO CECO'!$A$2:$H$550,3,FALSE),""))</f>
        <v/>
      </c>
      <c r="I2167" s="8">
        <f>IF(B2167="","",IFERROR(VLOOKUP(--B2167,'CATALOGO CECO'!$A$2:$H$550,5,FALSE),""))</f>
        <v/>
      </c>
      <c r="J2167" s="8">
        <f>IF(B2167="","",IFERROR(VLOOKUP(--B2167,'CATALOGO CECO'!$A$2:$H$550,8,FALSE),""))</f>
        <v/>
      </c>
      <c r="K2167" s="8">
        <f>IF(COUNTA(A2167:F2167)=0,"",IF(OR(LEN(A2167)&lt;&gt;7,MID(A2167,5,1)&lt;&gt;"-",ISERROR(--LEFT(A2167,4)),ISERROR(--RIGHT(A2167,2))),"ERROR: PERIODO debe ser AAAA-MM",IF(B2167="","ERROR: falta CODIGO CECO",IF(G2167="CECO NO EXISTE","ERROR: CECO no existe en el catálogo",IF(C2167="","ERROR: falta CUENTA",IF(ISERROR(--C2167),"ERROR: CUENTA debe tener solo dígitos",IF(ISERROR(FIND(LEFT(C2167,1),"567")),"ERROR: CUENTA fuera de las clases de costo",IF(NOT(ISNUMBER(E2167)),"ERROR: VALOR debe ser numérico",IF(E2167=0,"AVISO: valor cero (no se carga)",IF(J2167&lt;&gt;"ACTIVO","NO SE CARGA: CECO en estado "&amp;J2167,"OK"))))))))))</f>
        <v/>
      </c>
    </row>
    <row r="2168">
      <c r="A2168" s="5" t="n"/>
      <c r="B2168" s="6" t="n"/>
      <c r="C2168" s="5" t="n"/>
      <c r="D2168" s="6" t="n"/>
      <c r="E2168" s="7" t="n"/>
      <c r="F2168" s="6" t="n"/>
      <c r="G2168" s="8">
        <f>IF(B2168="","",IFERROR(VLOOKUP(--B2168,'CATALOGO CECO'!$A$2:$H$550,2,FALSE),"CECO NO EXISTE"))</f>
        <v/>
      </c>
      <c r="H2168" s="8">
        <f>IF(B2168="","",IFERROR(VLOOKUP(--B2168,'CATALOGO CECO'!$A$2:$H$550,3,FALSE),""))</f>
        <v/>
      </c>
      <c r="I2168" s="8">
        <f>IF(B2168="","",IFERROR(VLOOKUP(--B2168,'CATALOGO CECO'!$A$2:$H$550,5,FALSE),""))</f>
        <v/>
      </c>
      <c r="J2168" s="8">
        <f>IF(B2168="","",IFERROR(VLOOKUP(--B2168,'CATALOGO CECO'!$A$2:$H$550,8,FALSE),""))</f>
        <v/>
      </c>
      <c r="K2168" s="8">
        <f>IF(COUNTA(A2168:F2168)=0,"",IF(OR(LEN(A2168)&lt;&gt;7,MID(A2168,5,1)&lt;&gt;"-",ISERROR(--LEFT(A2168,4)),ISERROR(--RIGHT(A2168,2))),"ERROR: PERIODO debe ser AAAA-MM",IF(B2168="","ERROR: falta CODIGO CECO",IF(G2168="CECO NO EXISTE","ERROR: CECO no existe en el catálogo",IF(C2168="","ERROR: falta CUENTA",IF(ISERROR(--C2168),"ERROR: CUENTA debe tener solo dígitos",IF(ISERROR(FIND(LEFT(C2168,1),"567")),"ERROR: CUENTA fuera de las clases de costo",IF(NOT(ISNUMBER(E2168)),"ERROR: VALOR debe ser numérico",IF(E2168=0,"AVISO: valor cero (no se carga)",IF(J2168&lt;&gt;"ACTIVO","NO SE CARGA: CECO en estado "&amp;J2168,"OK"))))))))))</f>
        <v/>
      </c>
    </row>
    <row r="2169">
      <c r="A2169" s="5" t="n"/>
      <c r="B2169" s="6" t="n"/>
      <c r="C2169" s="5" t="n"/>
      <c r="D2169" s="6" t="n"/>
      <c r="E2169" s="7" t="n"/>
      <c r="F2169" s="6" t="n"/>
      <c r="G2169" s="8">
        <f>IF(B2169="","",IFERROR(VLOOKUP(--B2169,'CATALOGO CECO'!$A$2:$H$550,2,FALSE),"CECO NO EXISTE"))</f>
        <v/>
      </c>
      <c r="H2169" s="8">
        <f>IF(B2169="","",IFERROR(VLOOKUP(--B2169,'CATALOGO CECO'!$A$2:$H$550,3,FALSE),""))</f>
        <v/>
      </c>
      <c r="I2169" s="8">
        <f>IF(B2169="","",IFERROR(VLOOKUP(--B2169,'CATALOGO CECO'!$A$2:$H$550,5,FALSE),""))</f>
        <v/>
      </c>
      <c r="J2169" s="8">
        <f>IF(B2169="","",IFERROR(VLOOKUP(--B2169,'CATALOGO CECO'!$A$2:$H$550,8,FALSE),""))</f>
        <v/>
      </c>
      <c r="K2169" s="8">
        <f>IF(COUNTA(A2169:F2169)=0,"",IF(OR(LEN(A2169)&lt;&gt;7,MID(A2169,5,1)&lt;&gt;"-",ISERROR(--LEFT(A2169,4)),ISERROR(--RIGHT(A2169,2))),"ERROR: PERIODO debe ser AAAA-MM",IF(B2169="","ERROR: falta CODIGO CECO",IF(G2169="CECO NO EXISTE","ERROR: CECO no existe en el catálogo",IF(C2169="","ERROR: falta CUENTA",IF(ISERROR(--C2169),"ERROR: CUENTA debe tener solo dígitos",IF(ISERROR(FIND(LEFT(C2169,1),"567")),"ERROR: CUENTA fuera de las clases de costo",IF(NOT(ISNUMBER(E2169)),"ERROR: VALOR debe ser numérico",IF(E2169=0,"AVISO: valor cero (no se carga)",IF(J2169&lt;&gt;"ACTIVO","NO SE CARGA: CECO en estado "&amp;J2169,"OK"))))))))))</f>
        <v/>
      </c>
    </row>
    <row r="2170">
      <c r="A2170" s="5" t="n"/>
      <c r="B2170" s="6" t="n"/>
      <c r="C2170" s="5" t="n"/>
      <c r="D2170" s="6" t="n"/>
      <c r="E2170" s="7" t="n"/>
      <c r="F2170" s="6" t="n"/>
      <c r="G2170" s="8">
        <f>IF(B2170="","",IFERROR(VLOOKUP(--B2170,'CATALOGO CECO'!$A$2:$H$550,2,FALSE),"CECO NO EXISTE"))</f>
        <v/>
      </c>
      <c r="H2170" s="8">
        <f>IF(B2170="","",IFERROR(VLOOKUP(--B2170,'CATALOGO CECO'!$A$2:$H$550,3,FALSE),""))</f>
        <v/>
      </c>
      <c r="I2170" s="8">
        <f>IF(B2170="","",IFERROR(VLOOKUP(--B2170,'CATALOGO CECO'!$A$2:$H$550,5,FALSE),""))</f>
        <v/>
      </c>
      <c r="J2170" s="8">
        <f>IF(B2170="","",IFERROR(VLOOKUP(--B2170,'CATALOGO CECO'!$A$2:$H$550,8,FALSE),""))</f>
        <v/>
      </c>
      <c r="K2170" s="8">
        <f>IF(COUNTA(A2170:F2170)=0,"",IF(OR(LEN(A2170)&lt;&gt;7,MID(A2170,5,1)&lt;&gt;"-",ISERROR(--LEFT(A2170,4)),ISERROR(--RIGHT(A2170,2))),"ERROR: PERIODO debe ser AAAA-MM",IF(B2170="","ERROR: falta CODIGO CECO",IF(G2170="CECO NO EXISTE","ERROR: CECO no existe en el catálogo",IF(C2170="","ERROR: falta CUENTA",IF(ISERROR(--C2170),"ERROR: CUENTA debe tener solo dígitos",IF(ISERROR(FIND(LEFT(C2170,1),"567")),"ERROR: CUENTA fuera de las clases de costo",IF(NOT(ISNUMBER(E2170)),"ERROR: VALOR debe ser numérico",IF(E2170=0,"AVISO: valor cero (no se carga)",IF(J2170&lt;&gt;"ACTIVO","NO SE CARGA: CECO en estado "&amp;J2170,"OK"))))))))))</f>
        <v/>
      </c>
    </row>
    <row r="2171">
      <c r="A2171" s="5" t="n"/>
      <c r="B2171" s="6" t="n"/>
      <c r="C2171" s="5" t="n"/>
      <c r="D2171" s="6" t="n"/>
      <c r="E2171" s="7" t="n"/>
      <c r="F2171" s="6" t="n"/>
      <c r="G2171" s="8">
        <f>IF(B2171="","",IFERROR(VLOOKUP(--B2171,'CATALOGO CECO'!$A$2:$H$550,2,FALSE),"CECO NO EXISTE"))</f>
        <v/>
      </c>
      <c r="H2171" s="8">
        <f>IF(B2171="","",IFERROR(VLOOKUP(--B2171,'CATALOGO CECO'!$A$2:$H$550,3,FALSE),""))</f>
        <v/>
      </c>
      <c r="I2171" s="8">
        <f>IF(B2171="","",IFERROR(VLOOKUP(--B2171,'CATALOGO CECO'!$A$2:$H$550,5,FALSE),""))</f>
        <v/>
      </c>
      <c r="J2171" s="8">
        <f>IF(B2171="","",IFERROR(VLOOKUP(--B2171,'CATALOGO CECO'!$A$2:$H$550,8,FALSE),""))</f>
        <v/>
      </c>
      <c r="K2171" s="8">
        <f>IF(COUNTA(A2171:F2171)=0,"",IF(OR(LEN(A2171)&lt;&gt;7,MID(A2171,5,1)&lt;&gt;"-",ISERROR(--LEFT(A2171,4)),ISERROR(--RIGHT(A2171,2))),"ERROR: PERIODO debe ser AAAA-MM",IF(B2171="","ERROR: falta CODIGO CECO",IF(G2171="CECO NO EXISTE","ERROR: CECO no existe en el catálogo",IF(C2171="","ERROR: falta CUENTA",IF(ISERROR(--C2171),"ERROR: CUENTA debe tener solo dígitos",IF(ISERROR(FIND(LEFT(C2171,1),"567")),"ERROR: CUENTA fuera de las clases de costo",IF(NOT(ISNUMBER(E2171)),"ERROR: VALOR debe ser numérico",IF(E2171=0,"AVISO: valor cero (no se carga)",IF(J2171&lt;&gt;"ACTIVO","NO SE CARGA: CECO en estado "&amp;J2171,"OK"))))))))))</f>
        <v/>
      </c>
    </row>
    <row r="2172">
      <c r="A2172" s="5" t="n"/>
      <c r="B2172" s="6" t="n"/>
      <c r="C2172" s="5" t="n"/>
      <c r="D2172" s="6" t="n"/>
      <c r="E2172" s="7" t="n"/>
      <c r="F2172" s="6" t="n"/>
      <c r="G2172" s="8">
        <f>IF(B2172="","",IFERROR(VLOOKUP(--B2172,'CATALOGO CECO'!$A$2:$H$550,2,FALSE),"CECO NO EXISTE"))</f>
        <v/>
      </c>
      <c r="H2172" s="8">
        <f>IF(B2172="","",IFERROR(VLOOKUP(--B2172,'CATALOGO CECO'!$A$2:$H$550,3,FALSE),""))</f>
        <v/>
      </c>
      <c r="I2172" s="8">
        <f>IF(B2172="","",IFERROR(VLOOKUP(--B2172,'CATALOGO CECO'!$A$2:$H$550,5,FALSE),""))</f>
        <v/>
      </c>
      <c r="J2172" s="8">
        <f>IF(B2172="","",IFERROR(VLOOKUP(--B2172,'CATALOGO CECO'!$A$2:$H$550,8,FALSE),""))</f>
        <v/>
      </c>
      <c r="K2172" s="8">
        <f>IF(COUNTA(A2172:F2172)=0,"",IF(OR(LEN(A2172)&lt;&gt;7,MID(A2172,5,1)&lt;&gt;"-",ISERROR(--LEFT(A2172,4)),ISERROR(--RIGHT(A2172,2))),"ERROR: PERIODO debe ser AAAA-MM",IF(B2172="","ERROR: falta CODIGO CECO",IF(G2172="CECO NO EXISTE","ERROR: CECO no existe en el catálogo",IF(C2172="","ERROR: falta CUENTA",IF(ISERROR(--C2172),"ERROR: CUENTA debe tener solo dígitos",IF(ISERROR(FIND(LEFT(C2172,1),"567")),"ERROR: CUENTA fuera de las clases de costo",IF(NOT(ISNUMBER(E2172)),"ERROR: VALOR debe ser numérico",IF(E2172=0,"AVISO: valor cero (no se carga)",IF(J2172&lt;&gt;"ACTIVO","NO SE CARGA: CECO en estado "&amp;J2172,"OK"))))))))))</f>
        <v/>
      </c>
    </row>
    <row r="2173">
      <c r="A2173" s="5" t="n"/>
      <c r="B2173" s="6" t="n"/>
      <c r="C2173" s="5" t="n"/>
      <c r="D2173" s="6" t="n"/>
      <c r="E2173" s="7" t="n"/>
      <c r="F2173" s="6" t="n"/>
      <c r="G2173" s="8">
        <f>IF(B2173="","",IFERROR(VLOOKUP(--B2173,'CATALOGO CECO'!$A$2:$H$550,2,FALSE),"CECO NO EXISTE"))</f>
        <v/>
      </c>
      <c r="H2173" s="8">
        <f>IF(B2173="","",IFERROR(VLOOKUP(--B2173,'CATALOGO CECO'!$A$2:$H$550,3,FALSE),""))</f>
        <v/>
      </c>
      <c r="I2173" s="8">
        <f>IF(B2173="","",IFERROR(VLOOKUP(--B2173,'CATALOGO CECO'!$A$2:$H$550,5,FALSE),""))</f>
        <v/>
      </c>
      <c r="J2173" s="8">
        <f>IF(B2173="","",IFERROR(VLOOKUP(--B2173,'CATALOGO CECO'!$A$2:$H$550,8,FALSE),""))</f>
        <v/>
      </c>
      <c r="K2173" s="8">
        <f>IF(COUNTA(A2173:F2173)=0,"",IF(OR(LEN(A2173)&lt;&gt;7,MID(A2173,5,1)&lt;&gt;"-",ISERROR(--LEFT(A2173,4)),ISERROR(--RIGHT(A2173,2))),"ERROR: PERIODO debe ser AAAA-MM",IF(B2173="","ERROR: falta CODIGO CECO",IF(G2173="CECO NO EXISTE","ERROR: CECO no existe en el catálogo",IF(C2173="","ERROR: falta CUENTA",IF(ISERROR(--C2173),"ERROR: CUENTA debe tener solo dígitos",IF(ISERROR(FIND(LEFT(C2173,1),"567")),"ERROR: CUENTA fuera de las clases de costo",IF(NOT(ISNUMBER(E2173)),"ERROR: VALOR debe ser numérico",IF(E2173=0,"AVISO: valor cero (no se carga)",IF(J2173&lt;&gt;"ACTIVO","NO SE CARGA: CECO en estado "&amp;J2173,"OK"))))))))))</f>
        <v/>
      </c>
    </row>
    <row r="2174">
      <c r="A2174" s="5" t="n"/>
      <c r="B2174" s="6" t="n"/>
      <c r="C2174" s="5" t="n"/>
      <c r="D2174" s="6" t="n"/>
      <c r="E2174" s="7" t="n"/>
      <c r="F2174" s="6" t="n"/>
      <c r="G2174" s="8">
        <f>IF(B2174="","",IFERROR(VLOOKUP(--B2174,'CATALOGO CECO'!$A$2:$H$550,2,FALSE),"CECO NO EXISTE"))</f>
        <v/>
      </c>
      <c r="H2174" s="8">
        <f>IF(B2174="","",IFERROR(VLOOKUP(--B2174,'CATALOGO CECO'!$A$2:$H$550,3,FALSE),""))</f>
        <v/>
      </c>
      <c r="I2174" s="8">
        <f>IF(B2174="","",IFERROR(VLOOKUP(--B2174,'CATALOGO CECO'!$A$2:$H$550,5,FALSE),""))</f>
        <v/>
      </c>
      <c r="J2174" s="8">
        <f>IF(B2174="","",IFERROR(VLOOKUP(--B2174,'CATALOGO CECO'!$A$2:$H$550,8,FALSE),""))</f>
        <v/>
      </c>
      <c r="K2174" s="8">
        <f>IF(COUNTA(A2174:F2174)=0,"",IF(OR(LEN(A2174)&lt;&gt;7,MID(A2174,5,1)&lt;&gt;"-",ISERROR(--LEFT(A2174,4)),ISERROR(--RIGHT(A2174,2))),"ERROR: PERIODO debe ser AAAA-MM",IF(B2174="","ERROR: falta CODIGO CECO",IF(G2174="CECO NO EXISTE","ERROR: CECO no existe en el catálogo",IF(C2174="","ERROR: falta CUENTA",IF(ISERROR(--C2174),"ERROR: CUENTA debe tener solo dígitos",IF(ISERROR(FIND(LEFT(C2174,1),"567")),"ERROR: CUENTA fuera de las clases de costo",IF(NOT(ISNUMBER(E2174)),"ERROR: VALOR debe ser numérico",IF(E2174=0,"AVISO: valor cero (no se carga)",IF(J2174&lt;&gt;"ACTIVO","NO SE CARGA: CECO en estado "&amp;J2174,"OK"))))))))))</f>
        <v/>
      </c>
    </row>
    <row r="2175">
      <c r="A2175" s="5" t="n"/>
      <c r="B2175" s="6" t="n"/>
      <c r="C2175" s="5" t="n"/>
      <c r="D2175" s="6" t="n"/>
      <c r="E2175" s="7" t="n"/>
      <c r="F2175" s="6" t="n"/>
      <c r="G2175" s="8">
        <f>IF(B2175="","",IFERROR(VLOOKUP(--B2175,'CATALOGO CECO'!$A$2:$H$550,2,FALSE),"CECO NO EXISTE"))</f>
        <v/>
      </c>
      <c r="H2175" s="8">
        <f>IF(B2175="","",IFERROR(VLOOKUP(--B2175,'CATALOGO CECO'!$A$2:$H$550,3,FALSE),""))</f>
        <v/>
      </c>
      <c r="I2175" s="8">
        <f>IF(B2175="","",IFERROR(VLOOKUP(--B2175,'CATALOGO CECO'!$A$2:$H$550,5,FALSE),""))</f>
        <v/>
      </c>
      <c r="J2175" s="8">
        <f>IF(B2175="","",IFERROR(VLOOKUP(--B2175,'CATALOGO CECO'!$A$2:$H$550,8,FALSE),""))</f>
        <v/>
      </c>
      <c r="K2175" s="8">
        <f>IF(COUNTA(A2175:F2175)=0,"",IF(OR(LEN(A2175)&lt;&gt;7,MID(A2175,5,1)&lt;&gt;"-",ISERROR(--LEFT(A2175,4)),ISERROR(--RIGHT(A2175,2))),"ERROR: PERIODO debe ser AAAA-MM",IF(B2175="","ERROR: falta CODIGO CECO",IF(G2175="CECO NO EXISTE","ERROR: CECO no existe en el catálogo",IF(C2175="","ERROR: falta CUENTA",IF(ISERROR(--C2175),"ERROR: CUENTA debe tener solo dígitos",IF(ISERROR(FIND(LEFT(C2175,1),"567")),"ERROR: CUENTA fuera de las clases de costo",IF(NOT(ISNUMBER(E2175)),"ERROR: VALOR debe ser numérico",IF(E2175=0,"AVISO: valor cero (no se carga)",IF(J2175&lt;&gt;"ACTIVO","NO SE CARGA: CECO en estado "&amp;J2175,"OK"))))))))))</f>
        <v/>
      </c>
    </row>
    <row r="2176">
      <c r="A2176" s="5" t="n"/>
      <c r="B2176" s="6" t="n"/>
      <c r="C2176" s="5" t="n"/>
      <c r="D2176" s="6" t="n"/>
      <c r="E2176" s="7" t="n"/>
      <c r="F2176" s="6" t="n"/>
      <c r="G2176" s="8">
        <f>IF(B2176="","",IFERROR(VLOOKUP(--B2176,'CATALOGO CECO'!$A$2:$H$550,2,FALSE),"CECO NO EXISTE"))</f>
        <v/>
      </c>
      <c r="H2176" s="8">
        <f>IF(B2176="","",IFERROR(VLOOKUP(--B2176,'CATALOGO CECO'!$A$2:$H$550,3,FALSE),""))</f>
        <v/>
      </c>
      <c r="I2176" s="8">
        <f>IF(B2176="","",IFERROR(VLOOKUP(--B2176,'CATALOGO CECO'!$A$2:$H$550,5,FALSE),""))</f>
        <v/>
      </c>
      <c r="J2176" s="8">
        <f>IF(B2176="","",IFERROR(VLOOKUP(--B2176,'CATALOGO CECO'!$A$2:$H$550,8,FALSE),""))</f>
        <v/>
      </c>
      <c r="K2176" s="8">
        <f>IF(COUNTA(A2176:F2176)=0,"",IF(OR(LEN(A2176)&lt;&gt;7,MID(A2176,5,1)&lt;&gt;"-",ISERROR(--LEFT(A2176,4)),ISERROR(--RIGHT(A2176,2))),"ERROR: PERIODO debe ser AAAA-MM",IF(B2176="","ERROR: falta CODIGO CECO",IF(G2176="CECO NO EXISTE","ERROR: CECO no existe en el catálogo",IF(C2176="","ERROR: falta CUENTA",IF(ISERROR(--C2176),"ERROR: CUENTA debe tener solo dígitos",IF(ISERROR(FIND(LEFT(C2176,1),"567")),"ERROR: CUENTA fuera de las clases de costo",IF(NOT(ISNUMBER(E2176)),"ERROR: VALOR debe ser numérico",IF(E2176=0,"AVISO: valor cero (no se carga)",IF(J2176&lt;&gt;"ACTIVO","NO SE CARGA: CECO en estado "&amp;J2176,"OK"))))))))))</f>
        <v/>
      </c>
    </row>
    <row r="2177">
      <c r="A2177" s="5" t="n"/>
      <c r="B2177" s="6" t="n"/>
      <c r="C2177" s="5" t="n"/>
      <c r="D2177" s="6" t="n"/>
      <c r="E2177" s="7" t="n"/>
      <c r="F2177" s="6" t="n"/>
      <c r="G2177" s="8">
        <f>IF(B2177="","",IFERROR(VLOOKUP(--B2177,'CATALOGO CECO'!$A$2:$H$550,2,FALSE),"CECO NO EXISTE"))</f>
        <v/>
      </c>
      <c r="H2177" s="8">
        <f>IF(B2177="","",IFERROR(VLOOKUP(--B2177,'CATALOGO CECO'!$A$2:$H$550,3,FALSE),""))</f>
        <v/>
      </c>
      <c r="I2177" s="8">
        <f>IF(B2177="","",IFERROR(VLOOKUP(--B2177,'CATALOGO CECO'!$A$2:$H$550,5,FALSE),""))</f>
        <v/>
      </c>
      <c r="J2177" s="8">
        <f>IF(B2177="","",IFERROR(VLOOKUP(--B2177,'CATALOGO CECO'!$A$2:$H$550,8,FALSE),""))</f>
        <v/>
      </c>
      <c r="K2177" s="8">
        <f>IF(COUNTA(A2177:F2177)=0,"",IF(OR(LEN(A2177)&lt;&gt;7,MID(A2177,5,1)&lt;&gt;"-",ISERROR(--LEFT(A2177,4)),ISERROR(--RIGHT(A2177,2))),"ERROR: PERIODO debe ser AAAA-MM",IF(B2177="","ERROR: falta CODIGO CECO",IF(G2177="CECO NO EXISTE","ERROR: CECO no existe en el catálogo",IF(C2177="","ERROR: falta CUENTA",IF(ISERROR(--C2177),"ERROR: CUENTA debe tener solo dígitos",IF(ISERROR(FIND(LEFT(C2177,1),"567")),"ERROR: CUENTA fuera de las clases de costo",IF(NOT(ISNUMBER(E2177)),"ERROR: VALOR debe ser numérico",IF(E2177=0,"AVISO: valor cero (no se carga)",IF(J2177&lt;&gt;"ACTIVO","NO SE CARGA: CECO en estado "&amp;J2177,"OK"))))))))))</f>
        <v/>
      </c>
    </row>
    <row r="2178">
      <c r="A2178" s="5" t="n"/>
      <c r="B2178" s="6" t="n"/>
      <c r="C2178" s="5" t="n"/>
      <c r="D2178" s="6" t="n"/>
      <c r="E2178" s="7" t="n"/>
      <c r="F2178" s="6" t="n"/>
      <c r="G2178" s="8">
        <f>IF(B2178="","",IFERROR(VLOOKUP(--B2178,'CATALOGO CECO'!$A$2:$H$550,2,FALSE),"CECO NO EXISTE"))</f>
        <v/>
      </c>
      <c r="H2178" s="8">
        <f>IF(B2178="","",IFERROR(VLOOKUP(--B2178,'CATALOGO CECO'!$A$2:$H$550,3,FALSE),""))</f>
        <v/>
      </c>
      <c r="I2178" s="8">
        <f>IF(B2178="","",IFERROR(VLOOKUP(--B2178,'CATALOGO CECO'!$A$2:$H$550,5,FALSE),""))</f>
        <v/>
      </c>
      <c r="J2178" s="8">
        <f>IF(B2178="","",IFERROR(VLOOKUP(--B2178,'CATALOGO CECO'!$A$2:$H$550,8,FALSE),""))</f>
        <v/>
      </c>
      <c r="K2178" s="8">
        <f>IF(COUNTA(A2178:F2178)=0,"",IF(OR(LEN(A2178)&lt;&gt;7,MID(A2178,5,1)&lt;&gt;"-",ISERROR(--LEFT(A2178,4)),ISERROR(--RIGHT(A2178,2))),"ERROR: PERIODO debe ser AAAA-MM",IF(B2178="","ERROR: falta CODIGO CECO",IF(G2178="CECO NO EXISTE","ERROR: CECO no existe en el catálogo",IF(C2178="","ERROR: falta CUENTA",IF(ISERROR(--C2178),"ERROR: CUENTA debe tener solo dígitos",IF(ISERROR(FIND(LEFT(C2178,1),"567")),"ERROR: CUENTA fuera de las clases de costo",IF(NOT(ISNUMBER(E2178)),"ERROR: VALOR debe ser numérico",IF(E2178=0,"AVISO: valor cero (no se carga)",IF(J2178&lt;&gt;"ACTIVO","NO SE CARGA: CECO en estado "&amp;J2178,"OK"))))))))))</f>
        <v/>
      </c>
    </row>
    <row r="2179">
      <c r="A2179" s="5" t="n"/>
      <c r="B2179" s="6" t="n"/>
      <c r="C2179" s="5" t="n"/>
      <c r="D2179" s="6" t="n"/>
      <c r="E2179" s="7" t="n"/>
      <c r="F2179" s="6" t="n"/>
      <c r="G2179" s="8">
        <f>IF(B2179="","",IFERROR(VLOOKUP(--B2179,'CATALOGO CECO'!$A$2:$H$550,2,FALSE),"CECO NO EXISTE"))</f>
        <v/>
      </c>
      <c r="H2179" s="8">
        <f>IF(B2179="","",IFERROR(VLOOKUP(--B2179,'CATALOGO CECO'!$A$2:$H$550,3,FALSE),""))</f>
        <v/>
      </c>
      <c r="I2179" s="8">
        <f>IF(B2179="","",IFERROR(VLOOKUP(--B2179,'CATALOGO CECO'!$A$2:$H$550,5,FALSE),""))</f>
        <v/>
      </c>
      <c r="J2179" s="8">
        <f>IF(B2179="","",IFERROR(VLOOKUP(--B2179,'CATALOGO CECO'!$A$2:$H$550,8,FALSE),""))</f>
        <v/>
      </c>
      <c r="K2179" s="8">
        <f>IF(COUNTA(A2179:F2179)=0,"",IF(OR(LEN(A2179)&lt;&gt;7,MID(A2179,5,1)&lt;&gt;"-",ISERROR(--LEFT(A2179,4)),ISERROR(--RIGHT(A2179,2))),"ERROR: PERIODO debe ser AAAA-MM",IF(B2179="","ERROR: falta CODIGO CECO",IF(G2179="CECO NO EXISTE","ERROR: CECO no existe en el catálogo",IF(C2179="","ERROR: falta CUENTA",IF(ISERROR(--C2179),"ERROR: CUENTA debe tener solo dígitos",IF(ISERROR(FIND(LEFT(C2179,1),"567")),"ERROR: CUENTA fuera de las clases de costo",IF(NOT(ISNUMBER(E2179)),"ERROR: VALOR debe ser numérico",IF(E2179=0,"AVISO: valor cero (no se carga)",IF(J2179&lt;&gt;"ACTIVO","NO SE CARGA: CECO en estado "&amp;J2179,"OK"))))))))))</f>
        <v/>
      </c>
    </row>
    <row r="2180">
      <c r="A2180" s="5" t="n"/>
      <c r="B2180" s="6" t="n"/>
      <c r="C2180" s="5" t="n"/>
      <c r="D2180" s="6" t="n"/>
      <c r="E2180" s="7" t="n"/>
      <c r="F2180" s="6" t="n"/>
      <c r="G2180" s="8">
        <f>IF(B2180="","",IFERROR(VLOOKUP(--B2180,'CATALOGO CECO'!$A$2:$H$550,2,FALSE),"CECO NO EXISTE"))</f>
        <v/>
      </c>
      <c r="H2180" s="8">
        <f>IF(B2180="","",IFERROR(VLOOKUP(--B2180,'CATALOGO CECO'!$A$2:$H$550,3,FALSE),""))</f>
        <v/>
      </c>
      <c r="I2180" s="8">
        <f>IF(B2180="","",IFERROR(VLOOKUP(--B2180,'CATALOGO CECO'!$A$2:$H$550,5,FALSE),""))</f>
        <v/>
      </c>
      <c r="J2180" s="8">
        <f>IF(B2180="","",IFERROR(VLOOKUP(--B2180,'CATALOGO CECO'!$A$2:$H$550,8,FALSE),""))</f>
        <v/>
      </c>
      <c r="K2180" s="8">
        <f>IF(COUNTA(A2180:F2180)=0,"",IF(OR(LEN(A2180)&lt;&gt;7,MID(A2180,5,1)&lt;&gt;"-",ISERROR(--LEFT(A2180,4)),ISERROR(--RIGHT(A2180,2))),"ERROR: PERIODO debe ser AAAA-MM",IF(B2180="","ERROR: falta CODIGO CECO",IF(G2180="CECO NO EXISTE","ERROR: CECO no existe en el catálogo",IF(C2180="","ERROR: falta CUENTA",IF(ISERROR(--C2180),"ERROR: CUENTA debe tener solo dígitos",IF(ISERROR(FIND(LEFT(C2180,1),"567")),"ERROR: CUENTA fuera de las clases de costo",IF(NOT(ISNUMBER(E2180)),"ERROR: VALOR debe ser numérico",IF(E2180=0,"AVISO: valor cero (no se carga)",IF(J2180&lt;&gt;"ACTIVO","NO SE CARGA: CECO en estado "&amp;J2180,"OK"))))))))))</f>
        <v/>
      </c>
    </row>
    <row r="2181">
      <c r="A2181" s="5" t="n"/>
      <c r="B2181" s="6" t="n"/>
      <c r="C2181" s="5" t="n"/>
      <c r="D2181" s="6" t="n"/>
      <c r="E2181" s="7" t="n"/>
      <c r="F2181" s="6" t="n"/>
      <c r="G2181" s="8">
        <f>IF(B2181="","",IFERROR(VLOOKUP(--B2181,'CATALOGO CECO'!$A$2:$H$550,2,FALSE),"CECO NO EXISTE"))</f>
        <v/>
      </c>
      <c r="H2181" s="8">
        <f>IF(B2181="","",IFERROR(VLOOKUP(--B2181,'CATALOGO CECO'!$A$2:$H$550,3,FALSE),""))</f>
        <v/>
      </c>
      <c r="I2181" s="8">
        <f>IF(B2181="","",IFERROR(VLOOKUP(--B2181,'CATALOGO CECO'!$A$2:$H$550,5,FALSE),""))</f>
        <v/>
      </c>
      <c r="J2181" s="8">
        <f>IF(B2181="","",IFERROR(VLOOKUP(--B2181,'CATALOGO CECO'!$A$2:$H$550,8,FALSE),""))</f>
        <v/>
      </c>
      <c r="K2181" s="8">
        <f>IF(COUNTA(A2181:F2181)=0,"",IF(OR(LEN(A2181)&lt;&gt;7,MID(A2181,5,1)&lt;&gt;"-",ISERROR(--LEFT(A2181,4)),ISERROR(--RIGHT(A2181,2))),"ERROR: PERIODO debe ser AAAA-MM",IF(B2181="","ERROR: falta CODIGO CECO",IF(G2181="CECO NO EXISTE","ERROR: CECO no existe en el catálogo",IF(C2181="","ERROR: falta CUENTA",IF(ISERROR(--C2181),"ERROR: CUENTA debe tener solo dígitos",IF(ISERROR(FIND(LEFT(C2181,1),"567")),"ERROR: CUENTA fuera de las clases de costo",IF(NOT(ISNUMBER(E2181)),"ERROR: VALOR debe ser numérico",IF(E2181=0,"AVISO: valor cero (no se carga)",IF(J2181&lt;&gt;"ACTIVO","NO SE CARGA: CECO en estado "&amp;J2181,"OK"))))))))))</f>
        <v/>
      </c>
    </row>
    <row r="2182">
      <c r="A2182" s="5" t="n"/>
      <c r="B2182" s="6" t="n"/>
      <c r="C2182" s="5" t="n"/>
      <c r="D2182" s="6" t="n"/>
      <c r="E2182" s="7" t="n"/>
      <c r="F2182" s="6" t="n"/>
      <c r="G2182" s="8">
        <f>IF(B2182="","",IFERROR(VLOOKUP(--B2182,'CATALOGO CECO'!$A$2:$H$550,2,FALSE),"CECO NO EXISTE"))</f>
        <v/>
      </c>
      <c r="H2182" s="8">
        <f>IF(B2182="","",IFERROR(VLOOKUP(--B2182,'CATALOGO CECO'!$A$2:$H$550,3,FALSE),""))</f>
        <v/>
      </c>
      <c r="I2182" s="8">
        <f>IF(B2182="","",IFERROR(VLOOKUP(--B2182,'CATALOGO CECO'!$A$2:$H$550,5,FALSE),""))</f>
        <v/>
      </c>
      <c r="J2182" s="8">
        <f>IF(B2182="","",IFERROR(VLOOKUP(--B2182,'CATALOGO CECO'!$A$2:$H$550,8,FALSE),""))</f>
        <v/>
      </c>
      <c r="K2182" s="8">
        <f>IF(COUNTA(A2182:F2182)=0,"",IF(OR(LEN(A2182)&lt;&gt;7,MID(A2182,5,1)&lt;&gt;"-",ISERROR(--LEFT(A2182,4)),ISERROR(--RIGHT(A2182,2))),"ERROR: PERIODO debe ser AAAA-MM",IF(B2182="","ERROR: falta CODIGO CECO",IF(G2182="CECO NO EXISTE","ERROR: CECO no existe en el catálogo",IF(C2182="","ERROR: falta CUENTA",IF(ISERROR(--C2182),"ERROR: CUENTA debe tener solo dígitos",IF(ISERROR(FIND(LEFT(C2182,1),"567")),"ERROR: CUENTA fuera de las clases de costo",IF(NOT(ISNUMBER(E2182)),"ERROR: VALOR debe ser numérico",IF(E2182=0,"AVISO: valor cero (no se carga)",IF(J2182&lt;&gt;"ACTIVO","NO SE CARGA: CECO en estado "&amp;J2182,"OK"))))))))))</f>
        <v/>
      </c>
    </row>
    <row r="2183">
      <c r="A2183" s="5" t="n"/>
      <c r="B2183" s="6" t="n"/>
      <c r="C2183" s="5" t="n"/>
      <c r="D2183" s="6" t="n"/>
      <c r="E2183" s="7" t="n"/>
      <c r="F2183" s="6" t="n"/>
      <c r="G2183" s="8">
        <f>IF(B2183="","",IFERROR(VLOOKUP(--B2183,'CATALOGO CECO'!$A$2:$H$550,2,FALSE),"CECO NO EXISTE"))</f>
        <v/>
      </c>
      <c r="H2183" s="8">
        <f>IF(B2183="","",IFERROR(VLOOKUP(--B2183,'CATALOGO CECO'!$A$2:$H$550,3,FALSE),""))</f>
        <v/>
      </c>
      <c r="I2183" s="8">
        <f>IF(B2183="","",IFERROR(VLOOKUP(--B2183,'CATALOGO CECO'!$A$2:$H$550,5,FALSE),""))</f>
        <v/>
      </c>
      <c r="J2183" s="8">
        <f>IF(B2183="","",IFERROR(VLOOKUP(--B2183,'CATALOGO CECO'!$A$2:$H$550,8,FALSE),""))</f>
        <v/>
      </c>
      <c r="K2183" s="8">
        <f>IF(COUNTA(A2183:F2183)=0,"",IF(OR(LEN(A2183)&lt;&gt;7,MID(A2183,5,1)&lt;&gt;"-",ISERROR(--LEFT(A2183,4)),ISERROR(--RIGHT(A2183,2))),"ERROR: PERIODO debe ser AAAA-MM",IF(B2183="","ERROR: falta CODIGO CECO",IF(G2183="CECO NO EXISTE","ERROR: CECO no existe en el catálogo",IF(C2183="","ERROR: falta CUENTA",IF(ISERROR(--C2183),"ERROR: CUENTA debe tener solo dígitos",IF(ISERROR(FIND(LEFT(C2183,1),"567")),"ERROR: CUENTA fuera de las clases de costo",IF(NOT(ISNUMBER(E2183)),"ERROR: VALOR debe ser numérico",IF(E2183=0,"AVISO: valor cero (no se carga)",IF(J2183&lt;&gt;"ACTIVO","NO SE CARGA: CECO en estado "&amp;J2183,"OK"))))))))))</f>
        <v/>
      </c>
    </row>
    <row r="2184">
      <c r="A2184" s="5" t="n"/>
      <c r="B2184" s="6" t="n"/>
      <c r="C2184" s="5" t="n"/>
      <c r="D2184" s="6" t="n"/>
      <c r="E2184" s="7" t="n"/>
      <c r="F2184" s="6" t="n"/>
      <c r="G2184" s="8">
        <f>IF(B2184="","",IFERROR(VLOOKUP(--B2184,'CATALOGO CECO'!$A$2:$H$550,2,FALSE),"CECO NO EXISTE"))</f>
        <v/>
      </c>
      <c r="H2184" s="8">
        <f>IF(B2184="","",IFERROR(VLOOKUP(--B2184,'CATALOGO CECO'!$A$2:$H$550,3,FALSE),""))</f>
        <v/>
      </c>
      <c r="I2184" s="8">
        <f>IF(B2184="","",IFERROR(VLOOKUP(--B2184,'CATALOGO CECO'!$A$2:$H$550,5,FALSE),""))</f>
        <v/>
      </c>
      <c r="J2184" s="8">
        <f>IF(B2184="","",IFERROR(VLOOKUP(--B2184,'CATALOGO CECO'!$A$2:$H$550,8,FALSE),""))</f>
        <v/>
      </c>
      <c r="K2184" s="8">
        <f>IF(COUNTA(A2184:F2184)=0,"",IF(OR(LEN(A2184)&lt;&gt;7,MID(A2184,5,1)&lt;&gt;"-",ISERROR(--LEFT(A2184,4)),ISERROR(--RIGHT(A2184,2))),"ERROR: PERIODO debe ser AAAA-MM",IF(B2184="","ERROR: falta CODIGO CECO",IF(G2184="CECO NO EXISTE","ERROR: CECO no existe en el catálogo",IF(C2184="","ERROR: falta CUENTA",IF(ISERROR(--C2184),"ERROR: CUENTA debe tener solo dígitos",IF(ISERROR(FIND(LEFT(C2184,1),"567")),"ERROR: CUENTA fuera de las clases de costo",IF(NOT(ISNUMBER(E2184)),"ERROR: VALOR debe ser numérico",IF(E2184=0,"AVISO: valor cero (no se carga)",IF(J2184&lt;&gt;"ACTIVO","NO SE CARGA: CECO en estado "&amp;J2184,"OK"))))))))))</f>
        <v/>
      </c>
    </row>
    <row r="2185">
      <c r="A2185" s="5" t="n"/>
      <c r="B2185" s="6" t="n"/>
      <c r="C2185" s="5" t="n"/>
      <c r="D2185" s="6" t="n"/>
      <c r="E2185" s="7" t="n"/>
      <c r="F2185" s="6" t="n"/>
      <c r="G2185" s="8">
        <f>IF(B2185="","",IFERROR(VLOOKUP(--B2185,'CATALOGO CECO'!$A$2:$H$550,2,FALSE),"CECO NO EXISTE"))</f>
        <v/>
      </c>
      <c r="H2185" s="8">
        <f>IF(B2185="","",IFERROR(VLOOKUP(--B2185,'CATALOGO CECO'!$A$2:$H$550,3,FALSE),""))</f>
        <v/>
      </c>
      <c r="I2185" s="8">
        <f>IF(B2185="","",IFERROR(VLOOKUP(--B2185,'CATALOGO CECO'!$A$2:$H$550,5,FALSE),""))</f>
        <v/>
      </c>
      <c r="J2185" s="8">
        <f>IF(B2185="","",IFERROR(VLOOKUP(--B2185,'CATALOGO CECO'!$A$2:$H$550,8,FALSE),""))</f>
        <v/>
      </c>
      <c r="K2185" s="8">
        <f>IF(COUNTA(A2185:F2185)=0,"",IF(OR(LEN(A2185)&lt;&gt;7,MID(A2185,5,1)&lt;&gt;"-",ISERROR(--LEFT(A2185,4)),ISERROR(--RIGHT(A2185,2))),"ERROR: PERIODO debe ser AAAA-MM",IF(B2185="","ERROR: falta CODIGO CECO",IF(G2185="CECO NO EXISTE","ERROR: CECO no existe en el catálogo",IF(C2185="","ERROR: falta CUENTA",IF(ISERROR(--C2185),"ERROR: CUENTA debe tener solo dígitos",IF(ISERROR(FIND(LEFT(C2185,1),"567")),"ERROR: CUENTA fuera de las clases de costo",IF(NOT(ISNUMBER(E2185)),"ERROR: VALOR debe ser numérico",IF(E2185=0,"AVISO: valor cero (no se carga)",IF(J2185&lt;&gt;"ACTIVO","NO SE CARGA: CECO en estado "&amp;J2185,"OK"))))))))))</f>
        <v/>
      </c>
    </row>
    <row r="2186">
      <c r="A2186" s="5" t="n"/>
      <c r="B2186" s="6" t="n"/>
      <c r="C2186" s="5" t="n"/>
      <c r="D2186" s="6" t="n"/>
      <c r="E2186" s="7" t="n"/>
      <c r="F2186" s="6" t="n"/>
      <c r="G2186" s="8">
        <f>IF(B2186="","",IFERROR(VLOOKUP(--B2186,'CATALOGO CECO'!$A$2:$H$550,2,FALSE),"CECO NO EXISTE"))</f>
        <v/>
      </c>
      <c r="H2186" s="8">
        <f>IF(B2186="","",IFERROR(VLOOKUP(--B2186,'CATALOGO CECO'!$A$2:$H$550,3,FALSE),""))</f>
        <v/>
      </c>
      <c r="I2186" s="8">
        <f>IF(B2186="","",IFERROR(VLOOKUP(--B2186,'CATALOGO CECO'!$A$2:$H$550,5,FALSE),""))</f>
        <v/>
      </c>
      <c r="J2186" s="8">
        <f>IF(B2186="","",IFERROR(VLOOKUP(--B2186,'CATALOGO CECO'!$A$2:$H$550,8,FALSE),""))</f>
        <v/>
      </c>
      <c r="K2186" s="8">
        <f>IF(COUNTA(A2186:F2186)=0,"",IF(OR(LEN(A2186)&lt;&gt;7,MID(A2186,5,1)&lt;&gt;"-",ISERROR(--LEFT(A2186,4)),ISERROR(--RIGHT(A2186,2))),"ERROR: PERIODO debe ser AAAA-MM",IF(B2186="","ERROR: falta CODIGO CECO",IF(G2186="CECO NO EXISTE","ERROR: CECO no existe en el catálogo",IF(C2186="","ERROR: falta CUENTA",IF(ISERROR(--C2186),"ERROR: CUENTA debe tener solo dígitos",IF(ISERROR(FIND(LEFT(C2186,1),"567")),"ERROR: CUENTA fuera de las clases de costo",IF(NOT(ISNUMBER(E2186)),"ERROR: VALOR debe ser numérico",IF(E2186=0,"AVISO: valor cero (no se carga)",IF(J2186&lt;&gt;"ACTIVO","NO SE CARGA: CECO en estado "&amp;J2186,"OK"))))))))))</f>
        <v/>
      </c>
    </row>
    <row r="2187">
      <c r="A2187" s="5" t="n"/>
      <c r="B2187" s="6" t="n"/>
      <c r="C2187" s="5" t="n"/>
      <c r="D2187" s="6" t="n"/>
      <c r="E2187" s="7" t="n"/>
      <c r="F2187" s="6" t="n"/>
      <c r="G2187" s="8">
        <f>IF(B2187="","",IFERROR(VLOOKUP(--B2187,'CATALOGO CECO'!$A$2:$H$550,2,FALSE),"CECO NO EXISTE"))</f>
        <v/>
      </c>
      <c r="H2187" s="8">
        <f>IF(B2187="","",IFERROR(VLOOKUP(--B2187,'CATALOGO CECO'!$A$2:$H$550,3,FALSE),""))</f>
        <v/>
      </c>
      <c r="I2187" s="8">
        <f>IF(B2187="","",IFERROR(VLOOKUP(--B2187,'CATALOGO CECO'!$A$2:$H$550,5,FALSE),""))</f>
        <v/>
      </c>
      <c r="J2187" s="8">
        <f>IF(B2187="","",IFERROR(VLOOKUP(--B2187,'CATALOGO CECO'!$A$2:$H$550,8,FALSE),""))</f>
        <v/>
      </c>
      <c r="K2187" s="8">
        <f>IF(COUNTA(A2187:F2187)=0,"",IF(OR(LEN(A2187)&lt;&gt;7,MID(A2187,5,1)&lt;&gt;"-",ISERROR(--LEFT(A2187,4)),ISERROR(--RIGHT(A2187,2))),"ERROR: PERIODO debe ser AAAA-MM",IF(B2187="","ERROR: falta CODIGO CECO",IF(G2187="CECO NO EXISTE","ERROR: CECO no existe en el catálogo",IF(C2187="","ERROR: falta CUENTA",IF(ISERROR(--C2187),"ERROR: CUENTA debe tener solo dígitos",IF(ISERROR(FIND(LEFT(C2187,1),"567")),"ERROR: CUENTA fuera de las clases de costo",IF(NOT(ISNUMBER(E2187)),"ERROR: VALOR debe ser numérico",IF(E2187=0,"AVISO: valor cero (no se carga)",IF(J2187&lt;&gt;"ACTIVO","NO SE CARGA: CECO en estado "&amp;J2187,"OK"))))))))))</f>
        <v/>
      </c>
    </row>
    <row r="2188">
      <c r="A2188" s="5" t="n"/>
      <c r="B2188" s="6" t="n"/>
      <c r="C2188" s="5" t="n"/>
      <c r="D2188" s="6" t="n"/>
      <c r="E2188" s="7" t="n"/>
      <c r="F2188" s="6" t="n"/>
      <c r="G2188" s="8">
        <f>IF(B2188="","",IFERROR(VLOOKUP(--B2188,'CATALOGO CECO'!$A$2:$H$550,2,FALSE),"CECO NO EXISTE"))</f>
        <v/>
      </c>
      <c r="H2188" s="8">
        <f>IF(B2188="","",IFERROR(VLOOKUP(--B2188,'CATALOGO CECO'!$A$2:$H$550,3,FALSE),""))</f>
        <v/>
      </c>
      <c r="I2188" s="8">
        <f>IF(B2188="","",IFERROR(VLOOKUP(--B2188,'CATALOGO CECO'!$A$2:$H$550,5,FALSE),""))</f>
        <v/>
      </c>
      <c r="J2188" s="8">
        <f>IF(B2188="","",IFERROR(VLOOKUP(--B2188,'CATALOGO CECO'!$A$2:$H$550,8,FALSE),""))</f>
        <v/>
      </c>
      <c r="K2188" s="8">
        <f>IF(COUNTA(A2188:F2188)=0,"",IF(OR(LEN(A2188)&lt;&gt;7,MID(A2188,5,1)&lt;&gt;"-",ISERROR(--LEFT(A2188,4)),ISERROR(--RIGHT(A2188,2))),"ERROR: PERIODO debe ser AAAA-MM",IF(B2188="","ERROR: falta CODIGO CECO",IF(G2188="CECO NO EXISTE","ERROR: CECO no existe en el catálogo",IF(C2188="","ERROR: falta CUENTA",IF(ISERROR(--C2188),"ERROR: CUENTA debe tener solo dígitos",IF(ISERROR(FIND(LEFT(C2188,1),"567")),"ERROR: CUENTA fuera de las clases de costo",IF(NOT(ISNUMBER(E2188)),"ERROR: VALOR debe ser numérico",IF(E2188=0,"AVISO: valor cero (no se carga)",IF(J2188&lt;&gt;"ACTIVO","NO SE CARGA: CECO en estado "&amp;J2188,"OK"))))))))))</f>
        <v/>
      </c>
    </row>
    <row r="2189">
      <c r="A2189" s="5" t="n"/>
      <c r="B2189" s="6" t="n"/>
      <c r="C2189" s="5" t="n"/>
      <c r="D2189" s="6" t="n"/>
      <c r="E2189" s="7" t="n"/>
      <c r="F2189" s="6" t="n"/>
      <c r="G2189" s="8">
        <f>IF(B2189="","",IFERROR(VLOOKUP(--B2189,'CATALOGO CECO'!$A$2:$H$550,2,FALSE),"CECO NO EXISTE"))</f>
        <v/>
      </c>
      <c r="H2189" s="8">
        <f>IF(B2189="","",IFERROR(VLOOKUP(--B2189,'CATALOGO CECO'!$A$2:$H$550,3,FALSE),""))</f>
        <v/>
      </c>
      <c r="I2189" s="8">
        <f>IF(B2189="","",IFERROR(VLOOKUP(--B2189,'CATALOGO CECO'!$A$2:$H$550,5,FALSE),""))</f>
        <v/>
      </c>
      <c r="J2189" s="8">
        <f>IF(B2189="","",IFERROR(VLOOKUP(--B2189,'CATALOGO CECO'!$A$2:$H$550,8,FALSE),""))</f>
        <v/>
      </c>
      <c r="K2189" s="8">
        <f>IF(COUNTA(A2189:F2189)=0,"",IF(OR(LEN(A2189)&lt;&gt;7,MID(A2189,5,1)&lt;&gt;"-",ISERROR(--LEFT(A2189,4)),ISERROR(--RIGHT(A2189,2))),"ERROR: PERIODO debe ser AAAA-MM",IF(B2189="","ERROR: falta CODIGO CECO",IF(G2189="CECO NO EXISTE","ERROR: CECO no existe en el catálogo",IF(C2189="","ERROR: falta CUENTA",IF(ISERROR(--C2189),"ERROR: CUENTA debe tener solo dígitos",IF(ISERROR(FIND(LEFT(C2189,1),"567")),"ERROR: CUENTA fuera de las clases de costo",IF(NOT(ISNUMBER(E2189)),"ERROR: VALOR debe ser numérico",IF(E2189=0,"AVISO: valor cero (no se carga)",IF(J2189&lt;&gt;"ACTIVO","NO SE CARGA: CECO en estado "&amp;J2189,"OK"))))))))))</f>
        <v/>
      </c>
    </row>
    <row r="2190">
      <c r="A2190" s="5" t="n"/>
      <c r="B2190" s="6" t="n"/>
      <c r="C2190" s="5" t="n"/>
      <c r="D2190" s="6" t="n"/>
      <c r="E2190" s="7" t="n"/>
      <c r="F2190" s="6" t="n"/>
      <c r="G2190" s="8">
        <f>IF(B2190="","",IFERROR(VLOOKUP(--B2190,'CATALOGO CECO'!$A$2:$H$550,2,FALSE),"CECO NO EXISTE"))</f>
        <v/>
      </c>
      <c r="H2190" s="8">
        <f>IF(B2190="","",IFERROR(VLOOKUP(--B2190,'CATALOGO CECO'!$A$2:$H$550,3,FALSE),""))</f>
        <v/>
      </c>
      <c r="I2190" s="8">
        <f>IF(B2190="","",IFERROR(VLOOKUP(--B2190,'CATALOGO CECO'!$A$2:$H$550,5,FALSE),""))</f>
        <v/>
      </c>
      <c r="J2190" s="8">
        <f>IF(B2190="","",IFERROR(VLOOKUP(--B2190,'CATALOGO CECO'!$A$2:$H$550,8,FALSE),""))</f>
        <v/>
      </c>
      <c r="K2190" s="8">
        <f>IF(COUNTA(A2190:F2190)=0,"",IF(OR(LEN(A2190)&lt;&gt;7,MID(A2190,5,1)&lt;&gt;"-",ISERROR(--LEFT(A2190,4)),ISERROR(--RIGHT(A2190,2))),"ERROR: PERIODO debe ser AAAA-MM",IF(B2190="","ERROR: falta CODIGO CECO",IF(G2190="CECO NO EXISTE","ERROR: CECO no existe en el catálogo",IF(C2190="","ERROR: falta CUENTA",IF(ISERROR(--C2190),"ERROR: CUENTA debe tener solo dígitos",IF(ISERROR(FIND(LEFT(C2190,1),"567")),"ERROR: CUENTA fuera de las clases de costo",IF(NOT(ISNUMBER(E2190)),"ERROR: VALOR debe ser numérico",IF(E2190=0,"AVISO: valor cero (no se carga)",IF(J2190&lt;&gt;"ACTIVO","NO SE CARGA: CECO en estado "&amp;J2190,"OK"))))))))))</f>
        <v/>
      </c>
    </row>
    <row r="2191">
      <c r="A2191" s="5" t="n"/>
      <c r="B2191" s="6" t="n"/>
      <c r="C2191" s="5" t="n"/>
      <c r="D2191" s="6" t="n"/>
      <c r="E2191" s="7" t="n"/>
      <c r="F2191" s="6" t="n"/>
      <c r="G2191" s="8">
        <f>IF(B2191="","",IFERROR(VLOOKUP(--B2191,'CATALOGO CECO'!$A$2:$H$550,2,FALSE),"CECO NO EXISTE"))</f>
        <v/>
      </c>
      <c r="H2191" s="8">
        <f>IF(B2191="","",IFERROR(VLOOKUP(--B2191,'CATALOGO CECO'!$A$2:$H$550,3,FALSE),""))</f>
        <v/>
      </c>
      <c r="I2191" s="8">
        <f>IF(B2191="","",IFERROR(VLOOKUP(--B2191,'CATALOGO CECO'!$A$2:$H$550,5,FALSE),""))</f>
        <v/>
      </c>
      <c r="J2191" s="8">
        <f>IF(B2191="","",IFERROR(VLOOKUP(--B2191,'CATALOGO CECO'!$A$2:$H$550,8,FALSE),""))</f>
        <v/>
      </c>
      <c r="K2191" s="8">
        <f>IF(COUNTA(A2191:F2191)=0,"",IF(OR(LEN(A2191)&lt;&gt;7,MID(A2191,5,1)&lt;&gt;"-",ISERROR(--LEFT(A2191,4)),ISERROR(--RIGHT(A2191,2))),"ERROR: PERIODO debe ser AAAA-MM",IF(B2191="","ERROR: falta CODIGO CECO",IF(G2191="CECO NO EXISTE","ERROR: CECO no existe en el catálogo",IF(C2191="","ERROR: falta CUENTA",IF(ISERROR(--C2191),"ERROR: CUENTA debe tener solo dígitos",IF(ISERROR(FIND(LEFT(C2191,1),"567")),"ERROR: CUENTA fuera de las clases de costo",IF(NOT(ISNUMBER(E2191)),"ERROR: VALOR debe ser numérico",IF(E2191=0,"AVISO: valor cero (no se carga)",IF(J2191&lt;&gt;"ACTIVO","NO SE CARGA: CECO en estado "&amp;J2191,"OK"))))))))))</f>
        <v/>
      </c>
    </row>
    <row r="2192">
      <c r="A2192" s="5" t="n"/>
      <c r="B2192" s="6" t="n"/>
      <c r="C2192" s="5" t="n"/>
      <c r="D2192" s="6" t="n"/>
      <c r="E2192" s="7" t="n"/>
      <c r="F2192" s="6" t="n"/>
      <c r="G2192" s="8">
        <f>IF(B2192="","",IFERROR(VLOOKUP(--B2192,'CATALOGO CECO'!$A$2:$H$550,2,FALSE),"CECO NO EXISTE"))</f>
        <v/>
      </c>
      <c r="H2192" s="8">
        <f>IF(B2192="","",IFERROR(VLOOKUP(--B2192,'CATALOGO CECO'!$A$2:$H$550,3,FALSE),""))</f>
        <v/>
      </c>
      <c r="I2192" s="8">
        <f>IF(B2192="","",IFERROR(VLOOKUP(--B2192,'CATALOGO CECO'!$A$2:$H$550,5,FALSE),""))</f>
        <v/>
      </c>
      <c r="J2192" s="8">
        <f>IF(B2192="","",IFERROR(VLOOKUP(--B2192,'CATALOGO CECO'!$A$2:$H$550,8,FALSE),""))</f>
        <v/>
      </c>
      <c r="K2192" s="8">
        <f>IF(COUNTA(A2192:F2192)=0,"",IF(OR(LEN(A2192)&lt;&gt;7,MID(A2192,5,1)&lt;&gt;"-",ISERROR(--LEFT(A2192,4)),ISERROR(--RIGHT(A2192,2))),"ERROR: PERIODO debe ser AAAA-MM",IF(B2192="","ERROR: falta CODIGO CECO",IF(G2192="CECO NO EXISTE","ERROR: CECO no existe en el catálogo",IF(C2192="","ERROR: falta CUENTA",IF(ISERROR(--C2192),"ERROR: CUENTA debe tener solo dígitos",IF(ISERROR(FIND(LEFT(C2192,1),"567")),"ERROR: CUENTA fuera de las clases de costo",IF(NOT(ISNUMBER(E2192)),"ERROR: VALOR debe ser numérico",IF(E2192=0,"AVISO: valor cero (no se carga)",IF(J2192&lt;&gt;"ACTIVO","NO SE CARGA: CECO en estado "&amp;J2192,"OK"))))))))))</f>
        <v/>
      </c>
    </row>
    <row r="2193">
      <c r="A2193" s="5" t="n"/>
      <c r="B2193" s="6" t="n"/>
      <c r="C2193" s="5" t="n"/>
      <c r="D2193" s="6" t="n"/>
      <c r="E2193" s="7" t="n"/>
      <c r="F2193" s="6" t="n"/>
      <c r="G2193" s="8">
        <f>IF(B2193="","",IFERROR(VLOOKUP(--B2193,'CATALOGO CECO'!$A$2:$H$550,2,FALSE),"CECO NO EXISTE"))</f>
        <v/>
      </c>
      <c r="H2193" s="8">
        <f>IF(B2193="","",IFERROR(VLOOKUP(--B2193,'CATALOGO CECO'!$A$2:$H$550,3,FALSE),""))</f>
        <v/>
      </c>
      <c r="I2193" s="8">
        <f>IF(B2193="","",IFERROR(VLOOKUP(--B2193,'CATALOGO CECO'!$A$2:$H$550,5,FALSE),""))</f>
        <v/>
      </c>
      <c r="J2193" s="8">
        <f>IF(B2193="","",IFERROR(VLOOKUP(--B2193,'CATALOGO CECO'!$A$2:$H$550,8,FALSE),""))</f>
        <v/>
      </c>
      <c r="K2193" s="8">
        <f>IF(COUNTA(A2193:F2193)=0,"",IF(OR(LEN(A2193)&lt;&gt;7,MID(A2193,5,1)&lt;&gt;"-",ISERROR(--LEFT(A2193,4)),ISERROR(--RIGHT(A2193,2))),"ERROR: PERIODO debe ser AAAA-MM",IF(B2193="","ERROR: falta CODIGO CECO",IF(G2193="CECO NO EXISTE","ERROR: CECO no existe en el catálogo",IF(C2193="","ERROR: falta CUENTA",IF(ISERROR(--C2193),"ERROR: CUENTA debe tener solo dígitos",IF(ISERROR(FIND(LEFT(C2193,1),"567")),"ERROR: CUENTA fuera de las clases de costo",IF(NOT(ISNUMBER(E2193)),"ERROR: VALOR debe ser numérico",IF(E2193=0,"AVISO: valor cero (no se carga)",IF(J2193&lt;&gt;"ACTIVO","NO SE CARGA: CECO en estado "&amp;J2193,"OK"))))))))))</f>
        <v/>
      </c>
    </row>
    <row r="2194">
      <c r="A2194" s="5" t="n"/>
      <c r="B2194" s="6" t="n"/>
      <c r="C2194" s="5" t="n"/>
      <c r="D2194" s="6" t="n"/>
      <c r="E2194" s="7" t="n"/>
      <c r="F2194" s="6" t="n"/>
      <c r="G2194" s="8">
        <f>IF(B2194="","",IFERROR(VLOOKUP(--B2194,'CATALOGO CECO'!$A$2:$H$550,2,FALSE),"CECO NO EXISTE"))</f>
        <v/>
      </c>
      <c r="H2194" s="8">
        <f>IF(B2194="","",IFERROR(VLOOKUP(--B2194,'CATALOGO CECO'!$A$2:$H$550,3,FALSE),""))</f>
        <v/>
      </c>
      <c r="I2194" s="8">
        <f>IF(B2194="","",IFERROR(VLOOKUP(--B2194,'CATALOGO CECO'!$A$2:$H$550,5,FALSE),""))</f>
        <v/>
      </c>
      <c r="J2194" s="8">
        <f>IF(B2194="","",IFERROR(VLOOKUP(--B2194,'CATALOGO CECO'!$A$2:$H$550,8,FALSE),""))</f>
        <v/>
      </c>
      <c r="K2194" s="8">
        <f>IF(COUNTA(A2194:F2194)=0,"",IF(OR(LEN(A2194)&lt;&gt;7,MID(A2194,5,1)&lt;&gt;"-",ISERROR(--LEFT(A2194,4)),ISERROR(--RIGHT(A2194,2))),"ERROR: PERIODO debe ser AAAA-MM",IF(B2194="","ERROR: falta CODIGO CECO",IF(G2194="CECO NO EXISTE","ERROR: CECO no existe en el catálogo",IF(C2194="","ERROR: falta CUENTA",IF(ISERROR(--C2194),"ERROR: CUENTA debe tener solo dígitos",IF(ISERROR(FIND(LEFT(C2194,1),"567")),"ERROR: CUENTA fuera de las clases de costo",IF(NOT(ISNUMBER(E2194)),"ERROR: VALOR debe ser numérico",IF(E2194=0,"AVISO: valor cero (no se carga)",IF(J2194&lt;&gt;"ACTIVO","NO SE CARGA: CECO en estado "&amp;J2194,"OK"))))))))))</f>
        <v/>
      </c>
    </row>
    <row r="2195">
      <c r="A2195" s="5" t="n"/>
      <c r="B2195" s="6" t="n"/>
      <c r="C2195" s="5" t="n"/>
      <c r="D2195" s="6" t="n"/>
      <c r="E2195" s="7" t="n"/>
      <c r="F2195" s="6" t="n"/>
      <c r="G2195" s="8">
        <f>IF(B2195="","",IFERROR(VLOOKUP(--B2195,'CATALOGO CECO'!$A$2:$H$550,2,FALSE),"CECO NO EXISTE"))</f>
        <v/>
      </c>
      <c r="H2195" s="8">
        <f>IF(B2195="","",IFERROR(VLOOKUP(--B2195,'CATALOGO CECO'!$A$2:$H$550,3,FALSE),""))</f>
        <v/>
      </c>
      <c r="I2195" s="8">
        <f>IF(B2195="","",IFERROR(VLOOKUP(--B2195,'CATALOGO CECO'!$A$2:$H$550,5,FALSE),""))</f>
        <v/>
      </c>
      <c r="J2195" s="8">
        <f>IF(B2195="","",IFERROR(VLOOKUP(--B2195,'CATALOGO CECO'!$A$2:$H$550,8,FALSE),""))</f>
        <v/>
      </c>
      <c r="K2195" s="8">
        <f>IF(COUNTA(A2195:F2195)=0,"",IF(OR(LEN(A2195)&lt;&gt;7,MID(A2195,5,1)&lt;&gt;"-",ISERROR(--LEFT(A2195,4)),ISERROR(--RIGHT(A2195,2))),"ERROR: PERIODO debe ser AAAA-MM",IF(B2195="","ERROR: falta CODIGO CECO",IF(G2195="CECO NO EXISTE","ERROR: CECO no existe en el catálogo",IF(C2195="","ERROR: falta CUENTA",IF(ISERROR(--C2195),"ERROR: CUENTA debe tener solo dígitos",IF(ISERROR(FIND(LEFT(C2195,1),"567")),"ERROR: CUENTA fuera de las clases de costo",IF(NOT(ISNUMBER(E2195)),"ERROR: VALOR debe ser numérico",IF(E2195=0,"AVISO: valor cero (no se carga)",IF(J2195&lt;&gt;"ACTIVO","NO SE CARGA: CECO en estado "&amp;J2195,"OK"))))))))))</f>
        <v/>
      </c>
    </row>
    <row r="2196">
      <c r="A2196" s="5" t="n"/>
      <c r="B2196" s="6" t="n"/>
      <c r="C2196" s="5" t="n"/>
      <c r="D2196" s="6" t="n"/>
      <c r="E2196" s="7" t="n"/>
      <c r="F2196" s="6" t="n"/>
      <c r="G2196" s="8">
        <f>IF(B2196="","",IFERROR(VLOOKUP(--B2196,'CATALOGO CECO'!$A$2:$H$550,2,FALSE),"CECO NO EXISTE"))</f>
        <v/>
      </c>
      <c r="H2196" s="8">
        <f>IF(B2196="","",IFERROR(VLOOKUP(--B2196,'CATALOGO CECO'!$A$2:$H$550,3,FALSE),""))</f>
        <v/>
      </c>
      <c r="I2196" s="8">
        <f>IF(B2196="","",IFERROR(VLOOKUP(--B2196,'CATALOGO CECO'!$A$2:$H$550,5,FALSE),""))</f>
        <v/>
      </c>
      <c r="J2196" s="8">
        <f>IF(B2196="","",IFERROR(VLOOKUP(--B2196,'CATALOGO CECO'!$A$2:$H$550,8,FALSE),""))</f>
        <v/>
      </c>
      <c r="K2196" s="8">
        <f>IF(COUNTA(A2196:F2196)=0,"",IF(OR(LEN(A2196)&lt;&gt;7,MID(A2196,5,1)&lt;&gt;"-",ISERROR(--LEFT(A2196,4)),ISERROR(--RIGHT(A2196,2))),"ERROR: PERIODO debe ser AAAA-MM",IF(B2196="","ERROR: falta CODIGO CECO",IF(G2196="CECO NO EXISTE","ERROR: CECO no existe en el catálogo",IF(C2196="","ERROR: falta CUENTA",IF(ISERROR(--C2196),"ERROR: CUENTA debe tener solo dígitos",IF(ISERROR(FIND(LEFT(C2196,1),"567")),"ERROR: CUENTA fuera de las clases de costo",IF(NOT(ISNUMBER(E2196)),"ERROR: VALOR debe ser numérico",IF(E2196=0,"AVISO: valor cero (no se carga)",IF(J2196&lt;&gt;"ACTIVO","NO SE CARGA: CECO en estado "&amp;J2196,"OK"))))))))))</f>
        <v/>
      </c>
    </row>
    <row r="2197">
      <c r="A2197" s="5" t="n"/>
      <c r="B2197" s="6" t="n"/>
      <c r="C2197" s="5" t="n"/>
      <c r="D2197" s="6" t="n"/>
      <c r="E2197" s="7" t="n"/>
      <c r="F2197" s="6" t="n"/>
      <c r="G2197" s="8">
        <f>IF(B2197="","",IFERROR(VLOOKUP(--B2197,'CATALOGO CECO'!$A$2:$H$550,2,FALSE),"CECO NO EXISTE"))</f>
        <v/>
      </c>
      <c r="H2197" s="8">
        <f>IF(B2197="","",IFERROR(VLOOKUP(--B2197,'CATALOGO CECO'!$A$2:$H$550,3,FALSE),""))</f>
        <v/>
      </c>
      <c r="I2197" s="8">
        <f>IF(B2197="","",IFERROR(VLOOKUP(--B2197,'CATALOGO CECO'!$A$2:$H$550,5,FALSE),""))</f>
        <v/>
      </c>
      <c r="J2197" s="8">
        <f>IF(B2197="","",IFERROR(VLOOKUP(--B2197,'CATALOGO CECO'!$A$2:$H$550,8,FALSE),""))</f>
        <v/>
      </c>
      <c r="K2197" s="8">
        <f>IF(COUNTA(A2197:F2197)=0,"",IF(OR(LEN(A2197)&lt;&gt;7,MID(A2197,5,1)&lt;&gt;"-",ISERROR(--LEFT(A2197,4)),ISERROR(--RIGHT(A2197,2))),"ERROR: PERIODO debe ser AAAA-MM",IF(B2197="","ERROR: falta CODIGO CECO",IF(G2197="CECO NO EXISTE","ERROR: CECO no existe en el catálogo",IF(C2197="","ERROR: falta CUENTA",IF(ISERROR(--C2197),"ERROR: CUENTA debe tener solo dígitos",IF(ISERROR(FIND(LEFT(C2197,1),"567")),"ERROR: CUENTA fuera de las clases de costo",IF(NOT(ISNUMBER(E2197)),"ERROR: VALOR debe ser numérico",IF(E2197=0,"AVISO: valor cero (no se carga)",IF(J2197&lt;&gt;"ACTIVO","NO SE CARGA: CECO en estado "&amp;J2197,"OK"))))))))))</f>
        <v/>
      </c>
    </row>
    <row r="2198">
      <c r="A2198" s="5" t="n"/>
      <c r="B2198" s="6" t="n"/>
      <c r="C2198" s="5" t="n"/>
      <c r="D2198" s="6" t="n"/>
      <c r="E2198" s="7" t="n"/>
      <c r="F2198" s="6" t="n"/>
      <c r="G2198" s="8">
        <f>IF(B2198="","",IFERROR(VLOOKUP(--B2198,'CATALOGO CECO'!$A$2:$H$550,2,FALSE),"CECO NO EXISTE"))</f>
        <v/>
      </c>
      <c r="H2198" s="8">
        <f>IF(B2198="","",IFERROR(VLOOKUP(--B2198,'CATALOGO CECO'!$A$2:$H$550,3,FALSE),""))</f>
        <v/>
      </c>
      <c r="I2198" s="8">
        <f>IF(B2198="","",IFERROR(VLOOKUP(--B2198,'CATALOGO CECO'!$A$2:$H$550,5,FALSE),""))</f>
        <v/>
      </c>
      <c r="J2198" s="8">
        <f>IF(B2198="","",IFERROR(VLOOKUP(--B2198,'CATALOGO CECO'!$A$2:$H$550,8,FALSE),""))</f>
        <v/>
      </c>
      <c r="K2198" s="8">
        <f>IF(COUNTA(A2198:F2198)=0,"",IF(OR(LEN(A2198)&lt;&gt;7,MID(A2198,5,1)&lt;&gt;"-",ISERROR(--LEFT(A2198,4)),ISERROR(--RIGHT(A2198,2))),"ERROR: PERIODO debe ser AAAA-MM",IF(B2198="","ERROR: falta CODIGO CECO",IF(G2198="CECO NO EXISTE","ERROR: CECO no existe en el catálogo",IF(C2198="","ERROR: falta CUENTA",IF(ISERROR(--C2198),"ERROR: CUENTA debe tener solo dígitos",IF(ISERROR(FIND(LEFT(C2198,1),"567")),"ERROR: CUENTA fuera de las clases de costo",IF(NOT(ISNUMBER(E2198)),"ERROR: VALOR debe ser numérico",IF(E2198=0,"AVISO: valor cero (no se carga)",IF(J2198&lt;&gt;"ACTIVO","NO SE CARGA: CECO en estado "&amp;J2198,"OK"))))))))))</f>
        <v/>
      </c>
    </row>
    <row r="2199">
      <c r="A2199" s="5" t="n"/>
      <c r="B2199" s="6" t="n"/>
      <c r="C2199" s="5" t="n"/>
      <c r="D2199" s="6" t="n"/>
      <c r="E2199" s="7" t="n"/>
      <c r="F2199" s="6" t="n"/>
      <c r="G2199" s="8">
        <f>IF(B2199="","",IFERROR(VLOOKUP(--B2199,'CATALOGO CECO'!$A$2:$H$550,2,FALSE),"CECO NO EXISTE"))</f>
        <v/>
      </c>
      <c r="H2199" s="8">
        <f>IF(B2199="","",IFERROR(VLOOKUP(--B2199,'CATALOGO CECO'!$A$2:$H$550,3,FALSE),""))</f>
        <v/>
      </c>
      <c r="I2199" s="8">
        <f>IF(B2199="","",IFERROR(VLOOKUP(--B2199,'CATALOGO CECO'!$A$2:$H$550,5,FALSE),""))</f>
        <v/>
      </c>
      <c r="J2199" s="8">
        <f>IF(B2199="","",IFERROR(VLOOKUP(--B2199,'CATALOGO CECO'!$A$2:$H$550,8,FALSE),""))</f>
        <v/>
      </c>
      <c r="K2199" s="8">
        <f>IF(COUNTA(A2199:F2199)=0,"",IF(OR(LEN(A2199)&lt;&gt;7,MID(A2199,5,1)&lt;&gt;"-",ISERROR(--LEFT(A2199,4)),ISERROR(--RIGHT(A2199,2))),"ERROR: PERIODO debe ser AAAA-MM",IF(B2199="","ERROR: falta CODIGO CECO",IF(G2199="CECO NO EXISTE","ERROR: CECO no existe en el catálogo",IF(C2199="","ERROR: falta CUENTA",IF(ISERROR(--C2199),"ERROR: CUENTA debe tener solo dígitos",IF(ISERROR(FIND(LEFT(C2199,1),"567")),"ERROR: CUENTA fuera de las clases de costo",IF(NOT(ISNUMBER(E2199)),"ERROR: VALOR debe ser numérico",IF(E2199=0,"AVISO: valor cero (no se carga)",IF(J2199&lt;&gt;"ACTIVO","NO SE CARGA: CECO en estado "&amp;J2199,"OK"))))))))))</f>
        <v/>
      </c>
    </row>
    <row r="2200">
      <c r="A2200" s="5" t="n"/>
      <c r="B2200" s="6" t="n"/>
      <c r="C2200" s="5" t="n"/>
      <c r="D2200" s="6" t="n"/>
      <c r="E2200" s="7" t="n"/>
      <c r="F2200" s="6" t="n"/>
      <c r="G2200" s="8">
        <f>IF(B2200="","",IFERROR(VLOOKUP(--B2200,'CATALOGO CECO'!$A$2:$H$550,2,FALSE),"CECO NO EXISTE"))</f>
        <v/>
      </c>
      <c r="H2200" s="8">
        <f>IF(B2200="","",IFERROR(VLOOKUP(--B2200,'CATALOGO CECO'!$A$2:$H$550,3,FALSE),""))</f>
        <v/>
      </c>
      <c r="I2200" s="8">
        <f>IF(B2200="","",IFERROR(VLOOKUP(--B2200,'CATALOGO CECO'!$A$2:$H$550,5,FALSE),""))</f>
        <v/>
      </c>
      <c r="J2200" s="8">
        <f>IF(B2200="","",IFERROR(VLOOKUP(--B2200,'CATALOGO CECO'!$A$2:$H$550,8,FALSE),""))</f>
        <v/>
      </c>
      <c r="K2200" s="8">
        <f>IF(COUNTA(A2200:F2200)=0,"",IF(OR(LEN(A2200)&lt;&gt;7,MID(A2200,5,1)&lt;&gt;"-",ISERROR(--LEFT(A2200,4)),ISERROR(--RIGHT(A2200,2))),"ERROR: PERIODO debe ser AAAA-MM",IF(B2200="","ERROR: falta CODIGO CECO",IF(G2200="CECO NO EXISTE","ERROR: CECO no existe en el catálogo",IF(C2200="","ERROR: falta CUENTA",IF(ISERROR(--C2200),"ERROR: CUENTA debe tener solo dígitos",IF(ISERROR(FIND(LEFT(C2200,1),"567")),"ERROR: CUENTA fuera de las clases de costo",IF(NOT(ISNUMBER(E2200)),"ERROR: VALOR debe ser numérico",IF(E2200=0,"AVISO: valor cero (no se carga)",IF(J2200&lt;&gt;"ACTIVO","NO SE CARGA: CECO en estado "&amp;J2200,"OK"))))))))))</f>
        <v/>
      </c>
    </row>
    <row r="2201">
      <c r="A2201" s="5" t="n"/>
      <c r="B2201" s="6" t="n"/>
      <c r="C2201" s="5" t="n"/>
      <c r="D2201" s="6" t="n"/>
      <c r="E2201" s="7" t="n"/>
      <c r="F2201" s="6" t="n"/>
      <c r="G2201" s="8">
        <f>IF(B2201="","",IFERROR(VLOOKUP(--B2201,'CATALOGO CECO'!$A$2:$H$550,2,FALSE),"CECO NO EXISTE"))</f>
        <v/>
      </c>
      <c r="H2201" s="8">
        <f>IF(B2201="","",IFERROR(VLOOKUP(--B2201,'CATALOGO CECO'!$A$2:$H$550,3,FALSE),""))</f>
        <v/>
      </c>
      <c r="I2201" s="8">
        <f>IF(B2201="","",IFERROR(VLOOKUP(--B2201,'CATALOGO CECO'!$A$2:$H$550,5,FALSE),""))</f>
        <v/>
      </c>
      <c r="J2201" s="8">
        <f>IF(B2201="","",IFERROR(VLOOKUP(--B2201,'CATALOGO CECO'!$A$2:$H$550,8,FALSE),""))</f>
        <v/>
      </c>
      <c r="K2201" s="8">
        <f>IF(COUNTA(A2201:F2201)=0,"",IF(OR(LEN(A2201)&lt;&gt;7,MID(A2201,5,1)&lt;&gt;"-",ISERROR(--LEFT(A2201,4)),ISERROR(--RIGHT(A2201,2))),"ERROR: PERIODO debe ser AAAA-MM",IF(B2201="","ERROR: falta CODIGO CECO",IF(G2201="CECO NO EXISTE","ERROR: CECO no existe en el catálogo",IF(C2201="","ERROR: falta CUENTA",IF(ISERROR(--C2201),"ERROR: CUENTA debe tener solo dígitos",IF(ISERROR(FIND(LEFT(C2201,1),"567")),"ERROR: CUENTA fuera de las clases de costo",IF(NOT(ISNUMBER(E2201)),"ERROR: VALOR debe ser numérico",IF(E2201=0,"AVISO: valor cero (no se carga)",IF(J2201&lt;&gt;"ACTIVO","NO SE CARGA: CECO en estado "&amp;J2201,"OK"))))))))))</f>
        <v/>
      </c>
    </row>
    <row r="2202">
      <c r="A2202" s="5" t="n"/>
      <c r="B2202" s="6" t="n"/>
      <c r="C2202" s="5" t="n"/>
      <c r="D2202" s="6" t="n"/>
      <c r="E2202" s="7" t="n"/>
      <c r="F2202" s="6" t="n"/>
      <c r="G2202" s="8">
        <f>IF(B2202="","",IFERROR(VLOOKUP(--B2202,'CATALOGO CECO'!$A$2:$H$550,2,FALSE),"CECO NO EXISTE"))</f>
        <v/>
      </c>
      <c r="H2202" s="8">
        <f>IF(B2202="","",IFERROR(VLOOKUP(--B2202,'CATALOGO CECO'!$A$2:$H$550,3,FALSE),""))</f>
        <v/>
      </c>
      <c r="I2202" s="8">
        <f>IF(B2202="","",IFERROR(VLOOKUP(--B2202,'CATALOGO CECO'!$A$2:$H$550,5,FALSE),""))</f>
        <v/>
      </c>
      <c r="J2202" s="8">
        <f>IF(B2202="","",IFERROR(VLOOKUP(--B2202,'CATALOGO CECO'!$A$2:$H$550,8,FALSE),""))</f>
        <v/>
      </c>
      <c r="K2202" s="8">
        <f>IF(COUNTA(A2202:F2202)=0,"",IF(OR(LEN(A2202)&lt;&gt;7,MID(A2202,5,1)&lt;&gt;"-",ISERROR(--LEFT(A2202,4)),ISERROR(--RIGHT(A2202,2))),"ERROR: PERIODO debe ser AAAA-MM",IF(B2202="","ERROR: falta CODIGO CECO",IF(G2202="CECO NO EXISTE","ERROR: CECO no existe en el catálogo",IF(C2202="","ERROR: falta CUENTA",IF(ISERROR(--C2202),"ERROR: CUENTA debe tener solo dígitos",IF(ISERROR(FIND(LEFT(C2202,1),"567")),"ERROR: CUENTA fuera de las clases de costo",IF(NOT(ISNUMBER(E2202)),"ERROR: VALOR debe ser numérico",IF(E2202=0,"AVISO: valor cero (no se carga)",IF(J2202&lt;&gt;"ACTIVO","NO SE CARGA: CECO en estado "&amp;J2202,"OK"))))))))))</f>
        <v/>
      </c>
    </row>
    <row r="2203">
      <c r="A2203" s="5" t="n"/>
      <c r="B2203" s="6" t="n"/>
      <c r="C2203" s="5" t="n"/>
      <c r="D2203" s="6" t="n"/>
      <c r="E2203" s="7" t="n"/>
      <c r="F2203" s="6" t="n"/>
      <c r="G2203" s="8">
        <f>IF(B2203="","",IFERROR(VLOOKUP(--B2203,'CATALOGO CECO'!$A$2:$H$550,2,FALSE),"CECO NO EXISTE"))</f>
        <v/>
      </c>
      <c r="H2203" s="8">
        <f>IF(B2203="","",IFERROR(VLOOKUP(--B2203,'CATALOGO CECO'!$A$2:$H$550,3,FALSE),""))</f>
        <v/>
      </c>
      <c r="I2203" s="8">
        <f>IF(B2203="","",IFERROR(VLOOKUP(--B2203,'CATALOGO CECO'!$A$2:$H$550,5,FALSE),""))</f>
        <v/>
      </c>
      <c r="J2203" s="8">
        <f>IF(B2203="","",IFERROR(VLOOKUP(--B2203,'CATALOGO CECO'!$A$2:$H$550,8,FALSE),""))</f>
        <v/>
      </c>
      <c r="K2203" s="8">
        <f>IF(COUNTA(A2203:F2203)=0,"",IF(OR(LEN(A2203)&lt;&gt;7,MID(A2203,5,1)&lt;&gt;"-",ISERROR(--LEFT(A2203,4)),ISERROR(--RIGHT(A2203,2))),"ERROR: PERIODO debe ser AAAA-MM",IF(B2203="","ERROR: falta CODIGO CECO",IF(G2203="CECO NO EXISTE","ERROR: CECO no existe en el catálogo",IF(C2203="","ERROR: falta CUENTA",IF(ISERROR(--C2203),"ERROR: CUENTA debe tener solo dígitos",IF(ISERROR(FIND(LEFT(C2203,1),"567")),"ERROR: CUENTA fuera de las clases de costo",IF(NOT(ISNUMBER(E2203)),"ERROR: VALOR debe ser numérico",IF(E2203=0,"AVISO: valor cero (no se carga)",IF(J2203&lt;&gt;"ACTIVO","NO SE CARGA: CECO en estado "&amp;J2203,"OK"))))))))))</f>
        <v/>
      </c>
    </row>
    <row r="2204">
      <c r="A2204" s="5" t="n"/>
      <c r="B2204" s="6" t="n"/>
      <c r="C2204" s="5" t="n"/>
      <c r="D2204" s="6" t="n"/>
      <c r="E2204" s="7" t="n"/>
      <c r="F2204" s="6" t="n"/>
      <c r="G2204" s="8">
        <f>IF(B2204="","",IFERROR(VLOOKUP(--B2204,'CATALOGO CECO'!$A$2:$H$550,2,FALSE),"CECO NO EXISTE"))</f>
        <v/>
      </c>
      <c r="H2204" s="8">
        <f>IF(B2204="","",IFERROR(VLOOKUP(--B2204,'CATALOGO CECO'!$A$2:$H$550,3,FALSE),""))</f>
        <v/>
      </c>
      <c r="I2204" s="8">
        <f>IF(B2204="","",IFERROR(VLOOKUP(--B2204,'CATALOGO CECO'!$A$2:$H$550,5,FALSE),""))</f>
        <v/>
      </c>
      <c r="J2204" s="8">
        <f>IF(B2204="","",IFERROR(VLOOKUP(--B2204,'CATALOGO CECO'!$A$2:$H$550,8,FALSE),""))</f>
        <v/>
      </c>
      <c r="K2204" s="8">
        <f>IF(COUNTA(A2204:F2204)=0,"",IF(OR(LEN(A2204)&lt;&gt;7,MID(A2204,5,1)&lt;&gt;"-",ISERROR(--LEFT(A2204,4)),ISERROR(--RIGHT(A2204,2))),"ERROR: PERIODO debe ser AAAA-MM",IF(B2204="","ERROR: falta CODIGO CECO",IF(G2204="CECO NO EXISTE","ERROR: CECO no existe en el catálogo",IF(C2204="","ERROR: falta CUENTA",IF(ISERROR(--C2204),"ERROR: CUENTA debe tener solo dígitos",IF(ISERROR(FIND(LEFT(C2204,1),"567")),"ERROR: CUENTA fuera de las clases de costo",IF(NOT(ISNUMBER(E2204)),"ERROR: VALOR debe ser numérico",IF(E2204=0,"AVISO: valor cero (no se carga)",IF(J2204&lt;&gt;"ACTIVO","NO SE CARGA: CECO en estado "&amp;J2204,"OK"))))))))))</f>
        <v/>
      </c>
    </row>
    <row r="2205">
      <c r="A2205" s="5" t="n"/>
      <c r="B2205" s="6" t="n"/>
      <c r="C2205" s="5" t="n"/>
      <c r="D2205" s="6" t="n"/>
      <c r="E2205" s="7" t="n"/>
      <c r="F2205" s="6" t="n"/>
      <c r="G2205" s="8">
        <f>IF(B2205="","",IFERROR(VLOOKUP(--B2205,'CATALOGO CECO'!$A$2:$H$550,2,FALSE),"CECO NO EXISTE"))</f>
        <v/>
      </c>
      <c r="H2205" s="8">
        <f>IF(B2205="","",IFERROR(VLOOKUP(--B2205,'CATALOGO CECO'!$A$2:$H$550,3,FALSE),""))</f>
        <v/>
      </c>
      <c r="I2205" s="8">
        <f>IF(B2205="","",IFERROR(VLOOKUP(--B2205,'CATALOGO CECO'!$A$2:$H$550,5,FALSE),""))</f>
        <v/>
      </c>
      <c r="J2205" s="8">
        <f>IF(B2205="","",IFERROR(VLOOKUP(--B2205,'CATALOGO CECO'!$A$2:$H$550,8,FALSE),""))</f>
        <v/>
      </c>
      <c r="K2205" s="8">
        <f>IF(COUNTA(A2205:F2205)=0,"",IF(OR(LEN(A2205)&lt;&gt;7,MID(A2205,5,1)&lt;&gt;"-",ISERROR(--LEFT(A2205,4)),ISERROR(--RIGHT(A2205,2))),"ERROR: PERIODO debe ser AAAA-MM",IF(B2205="","ERROR: falta CODIGO CECO",IF(G2205="CECO NO EXISTE","ERROR: CECO no existe en el catálogo",IF(C2205="","ERROR: falta CUENTA",IF(ISERROR(--C2205),"ERROR: CUENTA debe tener solo dígitos",IF(ISERROR(FIND(LEFT(C2205,1),"567")),"ERROR: CUENTA fuera de las clases de costo",IF(NOT(ISNUMBER(E2205)),"ERROR: VALOR debe ser numérico",IF(E2205=0,"AVISO: valor cero (no se carga)",IF(J2205&lt;&gt;"ACTIVO","NO SE CARGA: CECO en estado "&amp;J2205,"OK"))))))))))</f>
        <v/>
      </c>
    </row>
    <row r="2206">
      <c r="A2206" s="5" t="n"/>
      <c r="B2206" s="6" t="n"/>
      <c r="C2206" s="5" t="n"/>
      <c r="D2206" s="6" t="n"/>
      <c r="E2206" s="7" t="n"/>
      <c r="F2206" s="6" t="n"/>
      <c r="G2206" s="8">
        <f>IF(B2206="","",IFERROR(VLOOKUP(--B2206,'CATALOGO CECO'!$A$2:$H$550,2,FALSE),"CECO NO EXISTE"))</f>
        <v/>
      </c>
      <c r="H2206" s="8">
        <f>IF(B2206="","",IFERROR(VLOOKUP(--B2206,'CATALOGO CECO'!$A$2:$H$550,3,FALSE),""))</f>
        <v/>
      </c>
      <c r="I2206" s="8">
        <f>IF(B2206="","",IFERROR(VLOOKUP(--B2206,'CATALOGO CECO'!$A$2:$H$550,5,FALSE),""))</f>
        <v/>
      </c>
      <c r="J2206" s="8">
        <f>IF(B2206="","",IFERROR(VLOOKUP(--B2206,'CATALOGO CECO'!$A$2:$H$550,8,FALSE),""))</f>
        <v/>
      </c>
      <c r="K2206" s="8">
        <f>IF(COUNTA(A2206:F2206)=0,"",IF(OR(LEN(A2206)&lt;&gt;7,MID(A2206,5,1)&lt;&gt;"-",ISERROR(--LEFT(A2206,4)),ISERROR(--RIGHT(A2206,2))),"ERROR: PERIODO debe ser AAAA-MM",IF(B2206="","ERROR: falta CODIGO CECO",IF(G2206="CECO NO EXISTE","ERROR: CECO no existe en el catálogo",IF(C2206="","ERROR: falta CUENTA",IF(ISERROR(--C2206),"ERROR: CUENTA debe tener solo dígitos",IF(ISERROR(FIND(LEFT(C2206,1),"567")),"ERROR: CUENTA fuera de las clases de costo",IF(NOT(ISNUMBER(E2206)),"ERROR: VALOR debe ser numérico",IF(E2206=0,"AVISO: valor cero (no se carga)",IF(J2206&lt;&gt;"ACTIVO","NO SE CARGA: CECO en estado "&amp;J2206,"OK"))))))))))</f>
        <v/>
      </c>
    </row>
    <row r="2207">
      <c r="A2207" s="5" t="n"/>
      <c r="B2207" s="6" t="n"/>
      <c r="C2207" s="5" t="n"/>
      <c r="D2207" s="6" t="n"/>
      <c r="E2207" s="7" t="n"/>
      <c r="F2207" s="6" t="n"/>
      <c r="G2207" s="8">
        <f>IF(B2207="","",IFERROR(VLOOKUP(--B2207,'CATALOGO CECO'!$A$2:$H$550,2,FALSE),"CECO NO EXISTE"))</f>
        <v/>
      </c>
      <c r="H2207" s="8">
        <f>IF(B2207="","",IFERROR(VLOOKUP(--B2207,'CATALOGO CECO'!$A$2:$H$550,3,FALSE),""))</f>
        <v/>
      </c>
      <c r="I2207" s="8">
        <f>IF(B2207="","",IFERROR(VLOOKUP(--B2207,'CATALOGO CECO'!$A$2:$H$550,5,FALSE),""))</f>
        <v/>
      </c>
      <c r="J2207" s="8">
        <f>IF(B2207="","",IFERROR(VLOOKUP(--B2207,'CATALOGO CECO'!$A$2:$H$550,8,FALSE),""))</f>
        <v/>
      </c>
      <c r="K2207" s="8">
        <f>IF(COUNTA(A2207:F2207)=0,"",IF(OR(LEN(A2207)&lt;&gt;7,MID(A2207,5,1)&lt;&gt;"-",ISERROR(--LEFT(A2207,4)),ISERROR(--RIGHT(A2207,2))),"ERROR: PERIODO debe ser AAAA-MM",IF(B2207="","ERROR: falta CODIGO CECO",IF(G2207="CECO NO EXISTE","ERROR: CECO no existe en el catálogo",IF(C2207="","ERROR: falta CUENTA",IF(ISERROR(--C2207),"ERROR: CUENTA debe tener solo dígitos",IF(ISERROR(FIND(LEFT(C2207,1),"567")),"ERROR: CUENTA fuera de las clases de costo",IF(NOT(ISNUMBER(E2207)),"ERROR: VALOR debe ser numérico",IF(E2207=0,"AVISO: valor cero (no se carga)",IF(J2207&lt;&gt;"ACTIVO","NO SE CARGA: CECO en estado "&amp;J2207,"OK"))))))))))</f>
        <v/>
      </c>
    </row>
    <row r="2208">
      <c r="A2208" s="5" t="n"/>
      <c r="B2208" s="6" t="n"/>
      <c r="C2208" s="5" t="n"/>
      <c r="D2208" s="6" t="n"/>
      <c r="E2208" s="7" t="n"/>
      <c r="F2208" s="6" t="n"/>
      <c r="G2208" s="8">
        <f>IF(B2208="","",IFERROR(VLOOKUP(--B2208,'CATALOGO CECO'!$A$2:$H$550,2,FALSE),"CECO NO EXISTE"))</f>
        <v/>
      </c>
      <c r="H2208" s="8">
        <f>IF(B2208="","",IFERROR(VLOOKUP(--B2208,'CATALOGO CECO'!$A$2:$H$550,3,FALSE),""))</f>
        <v/>
      </c>
      <c r="I2208" s="8">
        <f>IF(B2208="","",IFERROR(VLOOKUP(--B2208,'CATALOGO CECO'!$A$2:$H$550,5,FALSE),""))</f>
        <v/>
      </c>
      <c r="J2208" s="8">
        <f>IF(B2208="","",IFERROR(VLOOKUP(--B2208,'CATALOGO CECO'!$A$2:$H$550,8,FALSE),""))</f>
        <v/>
      </c>
      <c r="K2208" s="8">
        <f>IF(COUNTA(A2208:F2208)=0,"",IF(OR(LEN(A2208)&lt;&gt;7,MID(A2208,5,1)&lt;&gt;"-",ISERROR(--LEFT(A2208,4)),ISERROR(--RIGHT(A2208,2))),"ERROR: PERIODO debe ser AAAA-MM",IF(B2208="","ERROR: falta CODIGO CECO",IF(G2208="CECO NO EXISTE","ERROR: CECO no existe en el catálogo",IF(C2208="","ERROR: falta CUENTA",IF(ISERROR(--C2208),"ERROR: CUENTA debe tener solo dígitos",IF(ISERROR(FIND(LEFT(C2208,1),"567")),"ERROR: CUENTA fuera de las clases de costo",IF(NOT(ISNUMBER(E2208)),"ERROR: VALOR debe ser numérico",IF(E2208=0,"AVISO: valor cero (no se carga)",IF(J2208&lt;&gt;"ACTIVO","NO SE CARGA: CECO en estado "&amp;J2208,"OK"))))))))))</f>
        <v/>
      </c>
    </row>
    <row r="2209">
      <c r="A2209" s="5" t="n"/>
      <c r="B2209" s="6" t="n"/>
      <c r="C2209" s="5" t="n"/>
      <c r="D2209" s="6" t="n"/>
      <c r="E2209" s="7" t="n"/>
      <c r="F2209" s="6" t="n"/>
      <c r="G2209" s="8">
        <f>IF(B2209="","",IFERROR(VLOOKUP(--B2209,'CATALOGO CECO'!$A$2:$H$550,2,FALSE),"CECO NO EXISTE"))</f>
        <v/>
      </c>
      <c r="H2209" s="8">
        <f>IF(B2209="","",IFERROR(VLOOKUP(--B2209,'CATALOGO CECO'!$A$2:$H$550,3,FALSE),""))</f>
        <v/>
      </c>
      <c r="I2209" s="8">
        <f>IF(B2209="","",IFERROR(VLOOKUP(--B2209,'CATALOGO CECO'!$A$2:$H$550,5,FALSE),""))</f>
        <v/>
      </c>
      <c r="J2209" s="8">
        <f>IF(B2209="","",IFERROR(VLOOKUP(--B2209,'CATALOGO CECO'!$A$2:$H$550,8,FALSE),""))</f>
        <v/>
      </c>
      <c r="K2209" s="8">
        <f>IF(COUNTA(A2209:F2209)=0,"",IF(OR(LEN(A2209)&lt;&gt;7,MID(A2209,5,1)&lt;&gt;"-",ISERROR(--LEFT(A2209,4)),ISERROR(--RIGHT(A2209,2))),"ERROR: PERIODO debe ser AAAA-MM",IF(B2209="","ERROR: falta CODIGO CECO",IF(G2209="CECO NO EXISTE","ERROR: CECO no existe en el catálogo",IF(C2209="","ERROR: falta CUENTA",IF(ISERROR(--C2209),"ERROR: CUENTA debe tener solo dígitos",IF(ISERROR(FIND(LEFT(C2209,1),"567")),"ERROR: CUENTA fuera de las clases de costo",IF(NOT(ISNUMBER(E2209)),"ERROR: VALOR debe ser numérico",IF(E2209=0,"AVISO: valor cero (no se carga)",IF(J2209&lt;&gt;"ACTIVO","NO SE CARGA: CECO en estado "&amp;J2209,"OK"))))))))))</f>
        <v/>
      </c>
    </row>
    <row r="2210">
      <c r="A2210" s="5" t="n"/>
      <c r="B2210" s="6" t="n"/>
      <c r="C2210" s="5" t="n"/>
      <c r="D2210" s="6" t="n"/>
      <c r="E2210" s="7" t="n"/>
      <c r="F2210" s="6" t="n"/>
      <c r="G2210" s="8">
        <f>IF(B2210="","",IFERROR(VLOOKUP(--B2210,'CATALOGO CECO'!$A$2:$H$550,2,FALSE),"CECO NO EXISTE"))</f>
        <v/>
      </c>
      <c r="H2210" s="8">
        <f>IF(B2210="","",IFERROR(VLOOKUP(--B2210,'CATALOGO CECO'!$A$2:$H$550,3,FALSE),""))</f>
        <v/>
      </c>
      <c r="I2210" s="8">
        <f>IF(B2210="","",IFERROR(VLOOKUP(--B2210,'CATALOGO CECO'!$A$2:$H$550,5,FALSE),""))</f>
        <v/>
      </c>
      <c r="J2210" s="8">
        <f>IF(B2210="","",IFERROR(VLOOKUP(--B2210,'CATALOGO CECO'!$A$2:$H$550,8,FALSE),""))</f>
        <v/>
      </c>
      <c r="K2210" s="8">
        <f>IF(COUNTA(A2210:F2210)=0,"",IF(OR(LEN(A2210)&lt;&gt;7,MID(A2210,5,1)&lt;&gt;"-",ISERROR(--LEFT(A2210,4)),ISERROR(--RIGHT(A2210,2))),"ERROR: PERIODO debe ser AAAA-MM",IF(B2210="","ERROR: falta CODIGO CECO",IF(G2210="CECO NO EXISTE","ERROR: CECO no existe en el catálogo",IF(C2210="","ERROR: falta CUENTA",IF(ISERROR(--C2210),"ERROR: CUENTA debe tener solo dígitos",IF(ISERROR(FIND(LEFT(C2210,1),"567")),"ERROR: CUENTA fuera de las clases de costo",IF(NOT(ISNUMBER(E2210)),"ERROR: VALOR debe ser numérico",IF(E2210=0,"AVISO: valor cero (no se carga)",IF(J2210&lt;&gt;"ACTIVO","NO SE CARGA: CECO en estado "&amp;J2210,"OK"))))))))))</f>
        <v/>
      </c>
    </row>
    <row r="2211">
      <c r="A2211" s="5" t="n"/>
      <c r="B2211" s="6" t="n"/>
      <c r="C2211" s="5" t="n"/>
      <c r="D2211" s="6" t="n"/>
      <c r="E2211" s="7" t="n"/>
      <c r="F2211" s="6" t="n"/>
      <c r="G2211" s="8">
        <f>IF(B2211="","",IFERROR(VLOOKUP(--B2211,'CATALOGO CECO'!$A$2:$H$550,2,FALSE),"CECO NO EXISTE"))</f>
        <v/>
      </c>
      <c r="H2211" s="8">
        <f>IF(B2211="","",IFERROR(VLOOKUP(--B2211,'CATALOGO CECO'!$A$2:$H$550,3,FALSE),""))</f>
        <v/>
      </c>
      <c r="I2211" s="8">
        <f>IF(B2211="","",IFERROR(VLOOKUP(--B2211,'CATALOGO CECO'!$A$2:$H$550,5,FALSE),""))</f>
        <v/>
      </c>
      <c r="J2211" s="8">
        <f>IF(B2211="","",IFERROR(VLOOKUP(--B2211,'CATALOGO CECO'!$A$2:$H$550,8,FALSE),""))</f>
        <v/>
      </c>
      <c r="K2211" s="8">
        <f>IF(COUNTA(A2211:F2211)=0,"",IF(OR(LEN(A2211)&lt;&gt;7,MID(A2211,5,1)&lt;&gt;"-",ISERROR(--LEFT(A2211,4)),ISERROR(--RIGHT(A2211,2))),"ERROR: PERIODO debe ser AAAA-MM",IF(B2211="","ERROR: falta CODIGO CECO",IF(G2211="CECO NO EXISTE","ERROR: CECO no existe en el catálogo",IF(C2211="","ERROR: falta CUENTA",IF(ISERROR(--C2211),"ERROR: CUENTA debe tener solo dígitos",IF(ISERROR(FIND(LEFT(C2211,1),"567")),"ERROR: CUENTA fuera de las clases de costo",IF(NOT(ISNUMBER(E2211)),"ERROR: VALOR debe ser numérico",IF(E2211=0,"AVISO: valor cero (no se carga)",IF(J2211&lt;&gt;"ACTIVO","NO SE CARGA: CECO en estado "&amp;J2211,"OK"))))))))))</f>
        <v/>
      </c>
    </row>
    <row r="2212">
      <c r="A2212" s="5" t="n"/>
      <c r="B2212" s="6" t="n"/>
      <c r="C2212" s="5" t="n"/>
      <c r="D2212" s="6" t="n"/>
      <c r="E2212" s="7" t="n"/>
      <c r="F2212" s="6" t="n"/>
      <c r="G2212" s="8">
        <f>IF(B2212="","",IFERROR(VLOOKUP(--B2212,'CATALOGO CECO'!$A$2:$H$550,2,FALSE),"CECO NO EXISTE"))</f>
        <v/>
      </c>
      <c r="H2212" s="8">
        <f>IF(B2212="","",IFERROR(VLOOKUP(--B2212,'CATALOGO CECO'!$A$2:$H$550,3,FALSE),""))</f>
        <v/>
      </c>
      <c r="I2212" s="8">
        <f>IF(B2212="","",IFERROR(VLOOKUP(--B2212,'CATALOGO CECO'!$A$2:$H$550,5,FALSE),""))</f>
        <v/>
      </c>
      <c r="J2212" s="8">
        <f>IF(B2212="","",IFERROR(VLOOKUP(--B2212,'CATALOGO CECO'!$A$2:$H$550,8,FALSE),""))</f>
        <v/>
      </c>
      <c r="K2212" s="8">
        <f>IF(COUNTA(A2212:F2212)=0,"",IF(OR(LEN(A2212)&lt;&gt;7,MID(A2212,5,1)&lt;&gt;"-",ISERROR(--LEFT(A2212,4)),ISERROR(--RIGHT(A2212,2))),"ERROR: PERIODO debe ser AAAA-MM",IF(B2212="","ERROR: falta CODIGO CECO",IF(G2212="CECO NO EXISTE","ERROR: CECO no existe en el catálogo",IF(C2212="","ERROR: falta CUENTA",IF(ISERROR(--C2212),"ERROR: CUENTA debe tener solo dígitos",IF(ISERROR(FIND(LEFT(C2212,1),"567")),"ERROR: CUENTA fuera de las clases de costo",IF(NOT(ISNUMBER(E2212)),"ERROR: VALOR debe ser numérico",IF(E2212=0,"AVISO: valor cero (no se carga)",IF(J2212&lt;&gt;"ACTIVO","NO SE CARGA: CECO en estado "&amp;J2212,"OK"))))))))))</f>
        <v/>
      </c>
    </row>
    <row r="2213">
      <c r="A2213" s="5" t="n"/>
      <c r="B2213" s="6" t="n"/>
      <c r="C2213" s="5" t="n"/>
      <c r="D2213" s="6" t="n"/>
      <c r="E2213" s="7" t="n"/>
      <c r="F2213" s="6" t="n"/>
      <c r="G2213" s="8">
        <f>IF(B2213="","",IFERROR(VLOOKUP(--B2213,'CATALOGO CECO'!$A$2:$H$550,2,FALSE),"CECO NO EXISTE"))</f>
        <v/>
      </c>
      <c r="H2213" s="8">
        <f>IF(B2213="","",IFERROR(VLOOKUP(--B2213,'CATALOGO CECO'!$A$2:$H$550,3,FALSE),""))</f>
        <v/>
      </c>
      <c r="I2213" s="8">
        <f>IF(B2213="","",IFERROR(VLOOKUP(--B2213,'CATALOGO CECO'!$A$2:$H$550,5,FALSE),""))</f>
        <v/>
      </c>
      <c r="J2213" s="8">
        <f>IF(B2213="","",IFERROR(VLOOKUP(--B2213,'CATALOGO CECO'!$A$2:$H$550,8,FALSE),""))</f>
        <v/>
      </c>
      <c r="K2213" s="8">
        <f>IF(COUNTA(A2213:F2213)=0,"",IF(OR(LEN(A2213)&lt;&gt;7,MID(A2213,5,1)&lt;&gt;"-",ISERROR(--LEFT(A2213,4)),ISERROR(--RIGHT(A2213,2))),"ERROR: PERIODO debe ser AAAA-MM",IF(B2213="","ERROR: falta CODIGO CECO",IF(G2213="CECO NO EXISTE","ERROR: CECO no existe en el catálogo",IF(C2213="","ERROR: falta CUENTA",IF(ISERROR(--C2213),"ERROR: CUENTA debe tener solo dígitos",IF(ISERROR(FIND(LEFT(C2213,1),"567")),"ERROR: CUENTA fuera de las clases de costo",IF(NOT(ISNUMBER(E2213)),"ERROR: VALOR debe ser numérico",IF(E2213=0,"AVISO: valor cero (no se carga)",IF(J2213&lt;&gt;"ACTIVO","NO SE CARGA: CECO en estado "&amp;J2213,"OK"))))))))))</f>
        <v/>
      </c>
    </row>
    <row r="2214">
      <c r="A2214" s="5" t="n"/>
      <c r="B2214" s="6" t="n"/>
      <c r="C2214" s="5" t="n"/>
      <c r="D2214" s="6" t="n"/>
      <c r="E2214" s="7" t="n"/>
      <c r="F2214" s="6" t="n"/>
      <c r="G2214" s="8">
        <f>IF(B2214="","",IFERROR(VLOOKUP(--B2214,'CATALOGO CECO'!$A$2:$H$550,2,FALSE),"CECO NO EXISTE"))</f>
        <v/>
      </c>
      <c r="H2214" s="8">
        <f>IF(B2214="","",IFERROR(VLOOKUP(--B2214,'CATALOGO CECO'!$A$2:$H$550,3,FALSE),""))</f>
        <v/>
      </c>
      <c r="I2214" s="8">
        <f>IF(B2214="","",IFERROR(VLOOKUP(--B2214,'CATALOGO CECO'!$A$2:$H$550,5,FALSE),""))</f>
        <v/>
      </c>
      <c r="J2214" s="8">
        <f>IF(B2214="","",IFERROR(VLOOKUP(--B2214,'CATALOGO CECO'!$A$2:$H$550,8,FALSE),""))</f>
        <v/>
      </c>
      <c r="K2214" s="8">
        <f>IF(COUNTA(A2214:F2214)=0,"",IF(OR(LEN(A2214)&lt;&gt;7,MID(A2214,5,1)&lt;&gt;"-",ISERROR(--LEFT(A2214,4)),ISERROR(--RIGHT(A2214,2))),"ERROR: PERIODO debe ser AAAA-MM",IF(B2214="","ERROR: falta CODIGO CECO",IF(G2214="CECO NO EXISTE","ERROR: CECO no existe en el catálogo",IF(C2214="","ERROR: falta CUENTA",IF(ISERROR(--C2214),"ERROR: CUENTA debe tener solo dígitos",IF(ISERROR(FIND(LEFT(C2214,1),"567")),"ERROR: CUENTA fuera de las clases de costo",IF(NOT(ISNUMBER(E2214)),"ERROR: VALOR debe ser numérico",IF(E2214=0,"AVISO: valor cero (no se carga)",IF(J2214&lt;&gt;"ACTIVO","NO SE CARGA: CECO en estado "&amp;J2214,"OK"))))))))))</f>
        <v/>
      </c>
    </row>
    <row r="2215">
      <c r="A2215" s="5" t="n"/>
      <c r="B2215" s="6" t="n"/>
      <c r="C2215" s="5" t="n"/>
      <c r="D2215" s="6" t="n"/>
      <c r="E2215" s="7" t="n"/>
      <c r="F2215" s="6" t="n"/>
      <c r="G2215" s="8">
        <f>IF(B2215="","",IFERROR(VLOOKUP(--B2215,'CATALOGO CECO'!$A$2:$H$550,2,FALSE),"CECO NO EXISTE"))</f>
        <v/>
      </c>
      <c r="H2215" s="8">
        <f>IF(B2215="","",IFERROR(VLOOKUP(--B2215,'CATALOGO CECO'!$A$2:$H$550,3,FALSE),""))</f>
        <v/>
      </c>
      <c r="I2215" s="8">
        <f>IF(B2215="","",IFERROR(VLOOKUP(--B2215,'CATALOGO CECO'!$A$2:$H$550,5,FALSE),""))</f>
        <v/>
      </c>
      <c r="J2215" s="8">
        <f>IF(B2215="","",IFERROR(VLOOKUP(--B2215,'CATALOGO CECO'!$A$2:$H$550,8,FALSE),""))</f>
        <v/>
      </c>
      <c r="K2215" s="8">
        <f>IF(COUNTA(A2215:F2215)=0,"",IF(OR(LEN(A2215)&lt;&gt;7,MID(A2215,5,1)&lt;&gt;"-",ISERROR(--LEFT(A2215,4)),ISERROR(--RIGHT(A2215,2))),"ERROR: PERIODO debe ser AAAA-MM",IF(B2215="","ERROR: falta CODIGO CECO",IF(G2215="CECO NO EXISTE","ERROR: CECO no existe en el catálogo",IF(C2215="","ERROR: falta CUENTA",IF(ISERROR(--C2215),"ERROR: CUENTA debe tener solo dígitos",IF(ISERROR(FIND(LEFT(C2215,1),"567")),"ERROR: CUENTA fuera de las clases de costo",IF(NOT(ISNUMBER(E2215)),"ERROR: VALOR debe ser numérico",IF(E2215=0,"AVISO: valor cero (no se carga)",IF(J2215&lt;&gt;"ACTIVO","NO SE CARGA: CECO en estado "&amp;J2215,"OK"))))))))))</f>
        <v/>
      </c>
    </row>
    <row r="2216">
      <c r="A2216" s="5" t="n"/>
      <c r="B2216" s="6" t="n"/>
      <c r="C2216" s="5" t="n"/>
      <c r="D2216" s="6" t="n"/>
      <c r="E2216" s="7" t="n"/>
      <c r="F2216" s="6" t="n"/>
      <c r="G2216" s="8">
        <f>IF(B2216="","",IFERROR(VLOOKUP(--B2216,'CATALOGO CECO'!$A$2:$H$550,2,FALSE),"CECO NO EXISTE"))</f>
        <v/>
      </c>
      <c r="H2216" s="8">
        <f>IF(B2216="","",IFERROR(VLOOKUP(--B2216,'CATALOGO CECO'!$A$2:$H$550,3,FALSE),""))</f>
        <v/>
      </c>
      <c r="I2216" s="8">
        <f>IF(B2216="","",IFERROR(VLOOKUP(--B2216,'CATALOGO CECO'!$A$2:$H$550,5,FALSE),""))</f>
        <v/>
      </c>
      <c r="J2216" s="8">
        <f>IF(B2216="","",IFERROR(VLOOKUP(--B2216,'CATALOGO CECO'!$A$2:$H$550,8,FALSE),""))</f>
        <v/>
      </c>
      <c r="K2216" s="8">
        <f>IF(COUNTA(A2216:F2216)=0,"",IF(OR(LEN(A2216)&lt;&gt;7,MID(A2216,5,1)&lt;&gt;"-",ISERROR(--LEFT(A2216,4)),ISERROR(--RIGHT(A2216,2))),"ERROR: PERIODO debe ser AAAA-MM",IF(B2216="","ERROR: falta CODIGO CECO",IF(G2216="CECO NO EXISTE","ERROR: CECO no existe en el catálogo",IF(C2216="","ERROR: falta CUENTA",IF(ISERROR(--C2216),"ERROR: CUENTA debe tener solo dígitos",IF(ISERROR(FIND(LEFT(C2216,1),"567")),"ERROR: CUENTA fuera de las clases de costo",IF(NOT(ISNUMBER(E2216)),"ERROR: VALOR debe ser numérico",IF(E2216=0,"AVISO: valor cero (no se carga)",IF(J2216&lt;&gt;"ACTIVO","NO SE CARGA: CECO en estado "&amp;J2216,"OK"))))))))))</f>
        <v/>
      </c>
    </row>
    <row r="2217">
      <c r="A2217" s="5" t="n"/>
      <c r="B2217" s="6" t="n"/>
      <c r="C2217" s="5" t="n"/>
      <c r="D2217" s="6" t="n"/>
      <c r="E2217" s="7" t="n"/>
      <c r="F2217" s="6" t="n"/>
      <c r="G2217" s="8">
        <f>IF(B2217="","",IFERROR(VLOOKUP(--B2217,'CATALOGO CECO'!$A$2:$H$550,2,FALSE),"CECO NO EXISTE"))</f>
        <v/>
      </c>
      <c r="H2217" s="8">
        <f>IF(B2217="","",IFERROR(VLOOKUP(--B2217,'CATALOGO CECO'!$A$2:$H$550,3,FALSE),""))</f>
        <v/>
      </c>
      <c r="I2217" s="8">
        <f>IF(B2217="","",IFERROR(VLOOKUP(--B2217,'CATALOGO CECO'!$A$2:$H$550,5,FALSE),""))</f>
        <v/>
      </c>
      <c r="J2217" s="8">
        <f>IF(B2217="","",IFERROR(VLOOKUP(--B2217,'CATALOGO CECO'!$A$2:$H$550,8,FALSE),""))</f>
        <v/>
      </c>
      <c r="K2217" s="8">
        <f>IF(COUNTA(A2217:F2217)=0,"",IF(OR(LEN(A2217)&lt;&gt;7,MID(A2217,5,1)&lt;&gt;"-",ISERROR(--LEFT(A2217,4)),ISERROR(--RIGHT(A2217,2))),"ERROR: PERIODO debe ser AAAA-MM",IF(B2217="","ERROR: falta CODIGO CECO",IF(G2217="CECO NO EXISTE","ERROR: CECO no existe en el catálogo",IF(C2217="","ERROR: falta CUENTA",IF(ISERROR(--C2217),"ERROR: CUENTA debe tener solo dígitos",IF(ISERROR(FIND(LEFT(C2217,1),"567")),"ERROR: CUENTA fuera de las clases de costo",IF(NOT(ISNUMBER(E2217)),"ERROR: VALOR debe ser numérico",IF(E2217=0,"AVISO: valor cero (no se carga)",IF(J2217&lt;&gt;"ACTIVO","NO SE CARGA: CECO en estado "&amp;J2217,"OK"))))))))))</f>
        <v/>
      </c>
    </row>
    <row r="2218">
      <c r="A2218" s="5" t="n"/>
      <c r="B2218" s="6" t="n"/>
      <c r="C2218" s="5" t="n"/>
      <c r="D2218" s="6" t="n"/>
      <c r="E2218" s="7" t="n"/>
      <c r="F2218" s="6" t="n"/>
      <c r="G2218" s="8">
        <f>IF(B2218="","",IFERROR(VLOOKUP(--B2218,'CATALOGO CECO'!$A$2:$H$550,2,FALSE),"CECO NO EXISTE"))</f>
        <v/>
      </c>
      <c r="H2218" s="8">
        <f>IF(B2218="","",IFERROR(VLOOKUP(--B2218,'CATALOGO CECO'!$A$2:$H$550,3,FALSE),""))</f>
        <v/>
      </c>
      <c r="I2218" s="8">
        <f>IF(B2218="","",IFERROR(VLOOKUP(--B2218,'CATALOGO CECO'!$A$2:$H$550,5,FALSE),""))</f>
        <v/>
      </c>
      <c r="J2218" s="8">
        <f>IF(B2218="","",IFERROR(VLOOKUP(--B2218,'CATALOGO CECO'!$A$2:$H$550,8,FALSE),""))</f>
        <v/>
      </c>
      <c r="K2218" s="8">
        <f>IF(COUNTA(A2218:F2218)=0,"",IF(OR(LEN(A2218)&lt;&gt;7,MID(A2218,5,1)&lt;&gt;"-",ISERROR(--LEFT(A2218,4)),ISERROR(--RIGHT(A2218,2))),"ERROR: PERIODO debe ser AAAA-MM",IF(B2218="","ERROR: falta CODIGO CECO",IF(G2218="CECO NO EXISTE","ERROR: CECO no existe en el catálogo",IF(C2218="","ERROR: falta CUENTA",IF(ISERROR(--C2218),"ERROR: CUENTA debe tener solo dígitos",IF(ISERROR(FIND(LEFT(C2218,1),"567")),"ERROR: CUENTA fuera de las clases de costo",IF(NOT(ISNUMBER(E2218)),"ERROR: VALOR debe ser numérico",IF(E2218=0,"AVISO: valor cero (no se carga)",IF(J2218&lt;&gt;"ACTIVO","NO SE CARGA: CECO en estado "&amp;J2218,"OK"))))))))))</f>
        <v/>
      </c>
    </row>
    <row r="2219">
      <c r="A2219" s="5" t="n"/>
      <c r="B2219" s="6" t="n"/>
      <c r="C2219" s="5" t="n"/>
      <c r="D2219" s="6" t="n"/>
      <c r="E2219" s="7" t="n"/>
      <c r="F2219" s="6" t="n"/>
      <c r="G2219" s="8">
        <f>IF(B2219="","",IFERROR(VLOOKUP(--B2219,'CATALOGO CECO'!$A$2:$H$550,2,FALSE),"CECO NO EXISTE"))</f>
        <v/>
      </c>
      <c r="H2219" s="8">
        <f>IF(B2219="","",IFERROR(VLOOKUP(--B2219,'CATALOGO CECO'!$A$2:$H$550,3,FALSE),""))</f>
        <v/>
      </c>
      <c r="I2219" s="8">
        <f>IF(B2219="","",IFERROR(VLOOKUP(--B2219,'CATALOGO CECO'!$A$2:$H$550,5,FALSE),""))</f>
        <v/>
      </c>
      <c r="J2219" s="8">
        <f>IF(B2219="","",IFERROR(VLOOKUP(--B2219,'CATALOGO CECO'!$A$2:$H$550,8,FALSE),""))</f>
        <v/>
      </c>
      <c r="K2219" s="8">
        <f>IF(COUNTA(A2219:F2219)=0,"",IF(OR(LEN(A2219)&lt;&gt;7,MID(A2219,5,1)&lt;&gt;"-",ISERROR(--LEFT(A2219,4)),ISERROR(--RIGHT(A2219,2))),"ERROR: PERIODO debe ser AAAA-MM",IF(B2219="","ERROR: falta CODIGO CECO",IF(G2219="CECO NO EXISTE","ERROR: CECO no existe en el catálogo",IF(C2219="","ERROR: falta CUENTA",IF(ISERROR(--C2219),"ERROR: CUENTA debe tener solo dígitos",IF(ISERROR(FIND(LEFT(C2219,1),"567")),"ERROR: CUENTA fuera de las clases de costo",IF(NOT(ISNUMBER(E2219)),"ERROR: VALOR debe ser numérico",IF(E2219=0,"AVISO: valor cero (no se carga)",IF(J2219&lt;&gt;"ACTIVO","NO SE CARGA: CECO en estado "&amp;J2219,"OK"))))))))))</f>
        <v/>
      </c>
    </row>
    <row r="2220">
      <c r="A2220" s="5" t="n"/>
      <c r="B2220" s="6" t="n"/>
      <c r="C2220" s="5" t="n"/>
      <c r="D2220" s="6" t="n"/>
      <c r="E2220" s="7" t="n"/>
      <c r="F2220" s="6" t="n"/>
      <c r="G2220" s="8">
        <f>IF(B2220="","",IFERROR(VLOOKUP(--B2220,'CATALOGO CECO'!$A$2:$H$550,2,FALSE),"CECO NO EXISTE"))</f>
        <v/>
      </c>
      <c r="H2220" s="8">
        <f>IF(B2220="","",IFERROR(VLOOKUP(--B2220,'CATALOGO CECO'!$A$2:$H$550,3,FALSE),""))</f>
        <v/>
      </c>
      <c r="I2220" s="8">
        <f>IF(B2220="","",IFERROR(VLOOKUP(--B2220,'CATALOGO CECO'!$A$2:$H$550,5,FALSE),""))</f>
        <v/>
      </c>
      <c r="J2220" s="8">
        <f>IF(B2220="","",IFERROR(VLOOKUP(--B2220,'CATALOGO CECO'!$A$2:$H$550,8,FALSE),""))</f>
        <v/>
      </c>
      <c r="K2220" s="8">
        <f>IF(COUNTA(A2220:F2220)=0,"",IF(OR(LEN(A2220)&lt;&gt;7,MID(A2220,5,1)&lt;&gt;"-",ISERROR(--LEFT(A2220,4)),ISERROR(--RIGHT(A2220,2))),"ERROR: PERIODO debe ser AAAA-MM",IF(B2220="","ERROR: falta CODIGO CECO",IF(G2220="CECO NO EXISTE","ERROR: CECO no existe en el catálogo",IF(C2220="","ERROR: falta CUENTA",IF(ISERROR(--C2220),"ERROR: CUENTA debe tener solo dígitos",IF(ISERROR(FIND(LEFT(C2220,1),"567")),"ERROR: CUENTA fuera de las clases de costo",IF(NOT(ISNUMBER(E2220)),"ERROR: VALOR debe ser numérico",IF(E2220=0,"AVISO: valor cero (no se carga)",IF(J2220&lt;&gt;"ACTIVO","NO SE CARGA: CECO en estado "&amp;J2220,"OK"))))))))))</f>
        <v/>
      </c>
    </row>
    <row r="2221">
      <c r="A2221" s="5" t="n"/>
      <c r="B2221" s="6" t="n"/>
      <c r="C2221" s="5" t="n"/>
      <c r="D2221" s="6" t="n"/>
      <c r="E2221" s="7" t="n"/>
      <c r="F2221" s="6" t="n"/>
      <c r="G2221" s="8">
        <f>IF(B2221="","",IFERROR(VLOOKUP(--B2221,'CATALOGO CECO'!$A$2:$H$550,2,FALSE),"CECO NO EXISTE"))</f>
        <v/>
      </c>
      <c r="H2221" s="8">
        <f>IF(B2221="","",IFERROR(VLOOKUP(--B2221,'CATALOGO CECO'!$A$2:$H$550,3,FALSE),""))</f>
        <v/>
      </c>
      <c r="I2221" s="8">
        <f>IF(B2221="","",IFERROR(VLOOKUP(--B2221,'CATALOGO CECO'!$A$2:$H$550,5,FALSE),""))</f>
        <v/>
      </c>
      <c r="J2221" s="8">
        <f>IF(B2221="","",IFERROR(VLOOKUP(--B2221,'CATALOGO CECO'!$A$2:$H$550,8,FALSE),""))</f>
        <v/>
      </c>
      <c r="K2221" s="8">
        <f>IF(COUNTA(A2221:F2221)=0,"",IF(OR(LEN(A2221)&lt;&gt;7,MID(A2221,5,1)&lt;&gt;"-",ISERROR(--LEFT(A2221,4)),ISERROR(--RIGHT(A2221,2))),"ERROR: PERIODO debe ser AAAA-MM",IF(B2221="","ERROR: falta CODIGO CECO",IF(G2221="CECO NO EXISTE","ERROR: CECO no existe en el catálogo",IF(C2221="","ERROR: falta CUENTA",IF(ISERROR(--C2221),"ERROR: CUENTA debe tener solo dígitos",IF(ISERROR(FIND(LEFT(C2221,1),"567")),"ERROR: CUENTA fuera de las clases de costo",IF(NOT(ISNUMBER(E2221)),"ERROR: VALOR debe ser numérico",IF(E2221=0,"AVISO: valor cero (no se carga)",IF(J2221&lt;&gt;"ACTIVO","NO SE CARGA: CECO en estado "&amp;J2221,"OK"))))))))))</f>
        <v/>
      </c>
    </row>
    <row r="2222">
      <c r="A2222" s="5" t="n"/>
      <c r="B2222" s="6" t="n"/>
      <c r="C2222" s="5" t="n"/>
      <c r="D2222" s="6" t="n"/>
      <c r="E2222" s="7" t="n"/>
      <c r="F2222" s="6" t="n"/>
      <c r="G2222" s="8">
        <f>IF(B2222="","",IFERROR(VLOOKUP(--B2222,'CATALOGO CECO'!$A$2:$H$550,2,FALSE),"CECO NO EXISTE"))</f>
        <v/>
      </c>
      <c r="H2222" s="8">
        <f>IF(B2222="","",IFERROR(VLOOKUP(--B2222,'CATALOGO CECO'!$A$2:$H$550,3,FALSE),""))</f>
        <v/>
      </c>
      <c r="I2222" s="8">
        <f>IF(B2222="","",IFERROR(VLOOKUP(--B2222,'CATALOGO CECO'!$A$2:$H$550,5,FALSE),""))</f>
        <v/>
      </c>
      <c r="J2222" s="8">
        <f>IF(B2222="","",IFERROR(VLOOKUP(--B2222,'CATALOGO CECO'!$A$2:$H$550,8,FALSE),""))</f>
        <v/>
      </c>
      <c r="K2222" s="8">
        <f>IF(COUNTA(A2222:F2222)=0,"",IF(OR(LEN(A2222)&lt;&gt;7,MID(A2222,5,1)&lt;&gt;"-",ISERROR(--LEFT(A2222,4)),ISERROR(--RIGHT(A2222,2))),"ERROR: PERIODO debe ser AAAA-MM",IF(B2222="","ERROR: falta CODIGO CECO",IF(G2222="CECO NO EXISTE","ERROR: CECO no existe en el catálogo",IF(C2222="","ERROR: falta CUENTA",IF(ISERROR(--C2222),"ERROR: CUENTA debe tener solo dígitos",IF(ISERROR(FIND(LEFT(C2222,1),"567")),"ERROR: CUENTA fuera de las clases de costo",IF(NOT(ISNUMBER(E2222)),"ERROR: VALOR debe ser numérico",IF(E2222=0,"AVISO: valor cero (no se carga)",IF(J2222&lt;&gt;"ACTIVO","NO SE CARGA: CECO en estado "&amp;J2222,"OK"))))))))))</f>
        <v/>
      </c>
    </row>
    <row r="2223">
      <c r="A2223" s="5" t="n"/>
      <c r="B2223" s="6" t="n"/>
      <c r="C2223" s="5" t="n"/>
      <c r="D2223" s="6" t="n"/>
      <c r="E2223" s="7" t="n"/>
      <c r="F2223" s="6" t="n"/>
      <c r="G2223" s="8">
        <f>IF(B2223="","",IFERROR(VLOOKUP(--B2223,'CATALOGO CECO'!$A$2:$H$550,2,FALSE),"CECO NO EXISTE"))</f>
        <v/>
      </c>
      <c r="H2223" s="8">
        <f>IF(B2223="","",IFERROR(VLOOKUP(--B2223,'CATALOGO CECO'!$A$2:$H$550,3,FALSE),""))</f>
        <v/>
      </c>
      <c r="I2223" s="8">
        <f>IF(B2223="","",IFERROR(VLOOKUP(--B2223,'CATALOGO CECO'!$A$2:$H$550,5,FALSE),""))</f>
        <v/>
      </c>
      <c r="J2223" s="8">
        <f>IF(B2223="","",IFERROR(VLOOKUP(--B2223,'CATALOGO CECO'!$A$2:$H$550,8,FALSE),""))</f>
        <v/>
      </c>
      <c r="K2223" s="8">
        <f>IF(COUNTA(A2223:F2223)=0,"",IF(OR(LEN(A2223)&lt;&gt;7,MID(A2223,5,1)&lt;&gt;"-",ISERROR(--LEFT(A2223,4)),ISERROR(--RIGHT(A2223,2))),"ERROR: PERIODO debe ser AAAA-MM",IF(B2223="","ERROR: falta CODIGO CECO",IF(G2223="CECO NO EXISTE","ERROR: CECO no existe en el catálogo",IF(C2223="","ERROR: falta CUENTA",IF(ISERROR(--C2223),"ERROR: CUENTA debe tener solo dígitos",IF(ISERROR(FIND(LEFT(C2223,1),"567")),"ERROR: CUENTA fuera de las clases de costo",IF(NOT(ISNUMBER(E2223)),"ERROR: VALOR debe ser numérico",IF(E2223=0,"AVISO: valor cero (no se carga)",IF(J2223&lt;&gt;"ACTIVO","NO SE CARGA: CECO en estado "&amp;J2223,"OK"))))))))))</f>
        <v/>
      </c>
    </row>
    <row r="2224">
      <c r="A2224" s="5" t="n"/>
      <c r="B2224" s="6" t="n"/>
      <c r="C2224" s="5" t="n"/>
      <c r="D2224" s="6" t="n"/>
      <c r="E2224" s="7" t="n"/>
      <c r="F2224" s="6" t="n"/>
      <c r="G2224" s="8">
        <f>IF(B2224="","",IFERROR(VLOOKUP(--B2224,'CATALOGO CECO'!$A$2:$H$550,2,FALSE),"CECO NO EXISTE"))</f>
        <v/>
      </c>
      <c r="H2224" s="8">
        <f>IF(B2224="","",IFERROR(VLOOKUP(--B2224,'CATALOGO CECO'!$A$2:$H$550,3,FALSE),""))</f>
        <v/>
      </c>
      <c r="I2224" s="8">
        <f>IF(B2224="","",IFERROR(VLOOKUP(--B2224,'CATALOGO CECO'!$A$2:$H$550,5,FALSE),""))</f>
        <v/>
      </c>
      <c r="J2224" s="8">
        <f>IF(B2224="","",IFERROR(VLOOKUP(--B2224,'CATALOGO CECO'!$A$2:$H$550,8,FALSE),""))</f>
        <v/>
      </c>
      <c r="K2224" s="8">
        <f>IF(COUNTA(A2224:F2224)=0,"",IF(OR(LEN(A2224)&lt;&gt;7,MID(A2224,5,1)&lt;&gt;"-",ISERROR(--LEFT(A2224,4)),ISERROR(--RIGHT(A2224,2))),"ERROR: PERIODO debe ser AAAA-MM",IF(B2224="","ERROR: falta CODIGO CECO",IF(G2224="CECO NO EXISTE","ERROR: CECO no existe en el catálogo",IF(C2224="","ERROR: falta CUENTA",IF(ISERROR(--C2224),"ERROR: CUENTA debe tener solo dígitos",IF(ISERROR(FIND(LEFT(C2224,1),"567")),"ERROR: CUENTA fuera de las clases de costo",IF(NOT(ISNUMBER(E2224)),"ERROR: VALOR debe ser numérico",IF(E2224=0,"AVISO: valor cero (no se carga)",IF(J2224&lt;&gt;"ACTIVO","NO SE CARGA: CECO en estado "&amp;J2224,"OK"))))))))))</f>
        <v/>
      </c>
    </row>
    <row r="2225">
      <c r="A2225" s="5" t="n"/>
      <c r="B2225" s="6" t="n"/>
      <c r="C2225" s="5" t="n"/>
      <c r="D2225" s="6" t="n"/>
      <c r="E2225" s="7" t="n"/>
      <c r="F2225" s="6" t="n"/>
      <c r="G2225" s="8">
        <f>IF(B2225="","",IFERROR(VLOOKUP(--B2225,'CATALOGO CECO'!$A$2:$H$550,2,FALSE),"CECO NO EXISTE"))</f>
        <v/>
      </c>
      <c r="H2225" s="8">
        <f>IF(B2225="","",IFERROR(VLOOKUP(--B2225,'CATALOGO CECO'!$A$2:$H$550,3,FALSE),""))</f>
        <v/>
      </c>
      <c r="I2225" s="8">
        <f>IF(B2225="","",IFERROR(VLOOKUP(--B2225,'CATALOGO CECO'!$A$2:$H$550,5,FALSE),""))</f>
        <v/>
      </c>
      <c r="J2225" s="8">
        <f>IF(B2225="","",IFERROR(VLOOKUP(--B2225,'CATALOGO CECO'!$A$2:$H$550,8,FALSE),""))</f>
        <v/>
      </c>
      <c r="K2225" s="8">
        <f>IF(COUNTA(A2225:F2225)=0,"",IF(OR(LEN(A2225)&lt;&gt;7,MID(A2225,5,1)&lt;&gt;"-",ISERROR(--LEFT(A2225,4)),ISERROR(--RIGHT(A2225,2))),"ERROR: PERIODO debe ser AAAA-MM",IF(B2225="","ERROR: falta CODIGO CECO",IF(G2225="CECO NO EXISTE","ERROR: CECO no existe en el catálogo",IF(C2225="","ERROR: falta CUENTA",IF(ISERROR(--C2225),"ERROR: CUENTA debe tener solo dígitos",IF(ISERROR(FIND(LEFT(C2225,1),"567")),"ERROR: CUENTA fuera de las clases de costo",IF(NOT(ISNUMBER(E2225)),"ERROR: VALOR debe ser numérico",IF(E2225=0,"AVISO: valor cero (no se carga)",IF(J2225&lt;&gt;"ACTIVO","NO SE CARGA: CECO en estado "&amp;J2225,"OK"))))))))))</f>
        <v/>
      </c>
    </row>
    <row r="2226">
      <c r="A2226" s="5" t="n"/>
      <c r="B2226" s="6" t="n"/>
      <c r="C2226" s="5" t="n"/>
      <c r="D2226" s="6" t="n"/>
      <c r="E2226" s="7" t="n"/>
      <c r="F2226" s="6" t="n"/>
      <c r="G2226" s="8">
        <f>IF(B2226="","",IFERROR(VLOOKUP(--B2226,'CATALOGO CECO'!$A$2:$H$550,2,FALSE),"CECO NO EXISTE"))</f>
        <v/>
      </c>
      <c r="H2226" s="8">
        <f>IF(B2226="","",IFERROR(VLOOKUP(--B2226,'CATALOGO CECO'!$A$2:$H$550,3,FALSE),""))</f>
        <v/>
      </c>
      <c r="I2226" s="8">
        <f>IF(B2226="","",IFERROR(VLOOKUP(--B2226,'CATALOGO CECO'!$A$2:$H$550,5,FALSE),""))</f>
        <v/>
      </c>
      <c r="J2226" s="8">
        <f>IF(B2226="","",IFERROR(VLOOKUP(--B2226,'CATALOGO CECO'!$A$2:$H$550,8,FALSE),""))</f>
        <v/>
      </c>
      <c r="K2226" s="8">
        <f>IF(COUNTA(A2226:F2226)=0,"",IF(OR(LEN(A2226)&lt;&gt;7,MID(A2226,5,1)&lt;&gt;"-",ISERROR(--LEFT(A2226,4)),ISERROR(--RIGHT(A2226,2))),"ERROR: PERIODO debe ser AAAA-MM",IF(B2226="","ERROR: falta CODIGO CECO",IF(G2226="CECO NO EXISTE","ERROR: CECO no existe en el catálogo",IF(C2226="","ERROR: falta CUENTA",IF(ISERROR(--C2226),"ERROR: CUENTA debe tener solo dígitos",IF(ISERROR(FIND(LEFT(C2226,1),"567")),"ERROR: CUENTA fuera de las clases de costo",IF(NOT(ISNUMBER(E2226)),"ERROR: VALOR debe ser numérico",IF(E2226=0,"AVISO: valor cero (no se carga)",IF(J2226&lt;&gt;"ACTIVO","NO SE CARGA: CECO en estado "&amp;J2226,"OK"))))))))))</f>
        <v/>
      </c>
    </row>
    <row r="2227">
      <c r="A2227" s="5" t="n"/>
      <c r="B2227" s="6" t="n"/>
      <c r="C2227" s="5" t="n"/>
      <c r="D2227" s="6" t="n"/>
      <c r="E2227" s="7" t="n"/>
      <c r="F2227" s="6" t="n"/>
      <c r="G2227" s="8">
        <f>IF(B2227="","",IFERROR(VLOOKUP(--B2227,'CATALOGO CECO'!$A$2:$H$550,2,FALSE),"CECO NO EXISTE"))</f>
        <v/>
      </c>
      <c r="H2227" s="8">
        <f>IF(B2227="","",IFERROR(VLOOKUP(--B2227,'CATALOGO CECO'!$A$2:$H$550,3,FALSE),""))</f>
        <v/>
      </c>
      <c r="I2227" s="8">
        <f>IF(B2227="","",IFERROR(VLOOKUP(--B2227,'CATALOGO CECO'!$A$2:$H$550,5,FALSE),""))</f>
        <v/>
      </c>
      <c r="J2227" s="8">
        <f>IF(B2227="","",IFERROR(VLOOKUP(--B2227,'CATALOGO CECO'!$A$2:$H$550,8,FALSE),""))</f>
        <v/>
      </c>
      <c r="K2227" s="8">
        <f>IF(COUNTA(A2227:F2227)=0,"",IF(OR(LEN(A2227)&lt;&gt;7,MID(A2227,5,1)&lt;&gt;"-",ISERROR(--LEFT(A2227,4)),ISERROR(--RIGHT(A2227,2))),"ERROR: PERIODO debe ser AAAA-MM",IF(B2227="","ERROR: falta CODIGO CECO",IF(G2227="CECO NO EXISTE","ERROR: CECO no existe en el catálogo",IF(C2227="","ERROR: falta CUENTA",IF(ISERROR(--C2227),"ERROR: CUENTA debe tener solo dígitos",IF(ISERROR(FIND(LEFT(C2227,1),"567")),"ERROR: CUENTA fuera de las clases de costo",IF(NOT(ISNUMBER(E2227)),"ERROR: VALOR debe ser numérico",IF(E2227=0,"AVISO: valor cero (no se carga)",IF(J2227&lt;&gt;"ACTIVO","NO SE CARGA: CECO en estado "&amp;J2227,"OK"))))))))))</f>
        <v/>
      </c>
    </row>
    <row r="2228">
      <c r="A2228" s="5" t="n"/>
      <c r="B2228" s="6" t="n"/>
      <c r="C2228" s="5" t="n"/>
      <c r="D2228" s="6" t="n"/>
      <c r="E2228" s="7" t="n"/>
      <c r="F2228" s="6" t="n"/>
      <c r="G2228" s="8">
        <f>IF(B2228="","",IFERROR(VLOOKUP(--B2228,'CATALOGO CECO'!$A$2:$H$550,2,FALSE),"CECO NO EXISTE"))</f>
        <v/>
      </c>
      <c r="H2228" s="8">
        <f>IF(B2228="","",IFERROR(VLOOKUP(--B2228,'CATALOGO CECO'!$A$2:$H$550,3,FALSE),""))</f>
        <v/>
      </c>
      <c r="I2228" s="8">
        <f>IF(B2228="","",IFERROR(VLOOKUP(--B2228,'CATALOGO CECO'!$A$2:$H$550,5,FALSE),""))</f>
        <v/>
      </c>
      <c r="J2228" s="8">
        <f>IF(B2228="","",IFERROR(VLOOKUP(--B2228,'CATALOGO CECO'!$A$2:$H$550,8,FALSE),""))</f>
        <v/>
      </c>
      <c r="K2228" s="8">
        <f>IF(COUNTA(A2228:F2228)=0,"",IF(OR(LEN(A2228)&lt;&gt;7,MID(A2228,5,1)&lt;&gt;"-",ISERROR(--LEFT(A2228,4)),ISERROR(--RIGHT(A2228,2))),"ERROR: PERIODO debe ser AAAA-MM",IF(B2228="","ERROR: falta CODIGO CECO",IF(G2228="CECO NO EXISTE","ERROR: CECO no existe en el catálogo",IF(C2228="","ERROR: falta CUENTA",IF(ISERROR(--C2228),"ERROR: CUENTA debe tener solo dígitos",IF(ISERROR(FIND(LEFT(C2228,1),"567")),"ERROR: CUENTA fuera de las clases de costo",IF(NOT(ISNUMBER(E2228)),"ERROR: VALOR debe ser numérico",IF(E2228=0,"AVISO: valor cero (no se carga)",IF(J2228&lt;&gt;"ACTIVO","NO SE CARGA: CECO en estado "&amp;J2228,"OK"))))))))))</f>
        <v/>
      </c>
    </row>
    <row r="2229">
      <c r="A2229" s="5" t="n"/>
      <c r="B2229" s="6" t="n"/>
      <c r="C2229" s="5" t="n"/>
      <c r="D2229" s="6" t="n"/>
      <c r="E2229" s="7" t="n"/>
      <c r="F2229" s="6" t="n"/>
      <c r="G2229" s="8">
        <f>IF(B2229="","",IFERROR(VLOOKUP(--B2229,'CATALOGO CECO'!$A$2:$H$550,2,FALSE),"CECO NO EXISTE"))</f>
        <v/>
      </c>
      <c r="H2229" s="8">
        <f>IF(B2229="","",IFERROR(VLOOKUP(--B2229,'CATALOGO CECO'!$A$2:$H$550,3,FALSE),""))</f>
        <v/>
      </c>
      <c r="I2229" s="8">
        <f>IF(B2229="","",IFERROR(VLOOKUP(--B2229,'CATALOGO CECO'!$A$2:$H$550,5,FALSE),""))</f>
        <v/>
      </c>
      <c r="J2229" s="8">
        <f>IF(B2229="","",IFERROR(VLOOKUP(--B2229,'CATALOGO CECO'!$A$2:$H$550,8,FALSE),""))</f>
        <v/>
      </c>
      <c r="K2229" s="8">
        <f>IF(COUNTA(A2229:F2229)=0,"",IF(OR(LEN(A2229)&lt;&gt;7,MID(A2229,5,1)&lt;&gt;"-",ISERROR(--LEFT(A2229,4)),ISERROR(--RIGHT(A2229,2))),"ERROR: PERIODO debe ser AAAA-MM",IF(B2229="","ERROR: falta CODIGO CECO",IF(G2229="CECO NO EXISTE","ERROR: CECO no existe en el catálogo",IF(C2229="","ERROR: falta CUENTA",IF(ISERROR(--C2229),"ERROR: CUENTA debe tener solo dígitos",IF(ISERROR(FIND(LEFT(C2229,1),"567")),"ERROR: CUENTA fuera de las clases de costo",IF(NOT(ISNUMBER(E2229)),"ERROR: VALOR debe ser numérico",IF(E2229=0,"AVISO: valor cero (no se carga)",IF(J2229&lt;&gt;"ACTIVO","NO SE CARGA: CECO en estado "&amp;J2229,"OK"))))))))))</f>
        <v/>
      </c>
    </row>
    <row r="2230">
      <c r="A2230" s="5" t="n"/>
      <c r="B2230" s="6" t="n"/>
      <c r="C2230" s="5" t="n"/>
      <c r="D2230" s="6" t="n"/>
      <c r="E2230" s="7" t="n"/>
      <c r="F2230" s="6" t="n"/>
      <c r="G2230" s="8">
        <f>IF(B2230="","",IFERROR(VLOOKUP(--B2230,'CATALOGO CECO'!$A$2:$H$550,2,FALSE),"CECO NO EXISTE"))</f>
        <v/>
      </c>
      <c r="H2230" s="8">
        <f>IF(B2230="","",IFERROR(VLOOKUP(--B2230,'CATALOGO CECO'!$A$2:$H$550,3,FALSE),""))</f>
        <v/>
      </c>
      <c r="I2230" s="8">
        <f>IF(B2230="","",IFERROR(VLOOKUP(--B2230,'CATALOGO CECO'!$A$2:$H$550,5,FALSE),""))</f>
        <v/>
      </c>
      <c r="J2230" s="8">
        <f>IF(B2230="","",IFERROR(VLOOKUP(--B2230,'CATALOGO CECO'!$A$2:$H$550,8,FALSE),""))</f>
        <v/>
      </c>
      <c r="K2230" s="8">
        <f>IF(COUNTA(A2230:F2230)=0,"",IF(OR(LEN(A2230)&lt;&gt;7,MID(A2230,5,1)&lt;&gt;"-",ISERROR(--LEFT(A2230,4)),ISERROR(--RIGHT(A2230,2))),"ERROR: PERIODO debe ser AAAA-MM",IF(B2230="","ERROR: falta CODIGO CECO",IF(G2230="CECO NO EXISTE","ERROR: CECO no existe en el catálogo",IF(C2230="","ERROR: falta CUENTA",IF(ISERROR(--C2230),"ERROR: CUENTA debe tener solo dígitos",IF(ISERROR(FIND(LEFT(C2230,1),"567")),"ERROR: CUENTA fuera de las clases de costo",IF(NOT(ISNUMBER(E2230)),"ERROR: VALOR debe ser numérico",IF(E2230=0,"AVISO: valor cero (no se carga)",IF(J2230&lt;&gt;"ACTIVO","NO SE CARGA: CECO en estado "&amp;J2230,"OK"))))))))))</f>
        <v/>
      </c>
    </row>
    <row r="2231">
      <c r="A2231" s="5" t="n"/>
      <c r="B2231" s="6" t="n"/>
      <c r="C2231" s="5" t="n"/>
      <c r="D2231" s="6" t="n"/>
      <c r="E2231" s="7" t="n"/>
      <c r="F2231" s="6" t="n"/>
      <c r="G2231" s="8">
        <f>IF(B2231="","",IFERROR(VLOOKUP(--B2231,'CATALOGO CECO'!$A$2:$H$550,2,FALSE),"CECO NO EXISTE"))</f>
        <v/>
      </c>
      <c r="H2231" s="8">
        <f>IF(B2231="","",IFERROR(VLOOKUP(--B2231,'CATALOGO CECO'!$A$2:$H$550,3,FALSE),""))</f>
        <v/>
      </c>
      <c r="I2231" s="8">
        <f>IF(B2231="","",IFERROR(VLOOKUP(--B2231,'CATALOGO CECO'!$A$2:$H$550,5,FALSE),""))</f>
        <v/>
      </c>
      <c r="J2231" s="8">
        <f>IF(B2231="","",IFERROR(VLOOKUP(--B2231,'CATALOGO CECO'!$A$2:$H$550,8,FALSE),""))</f>
        <v/>
      </c>
      <c r="K2231" s="8">
        <f>IF(COUNTA(A2231:F2231)=0,"",IF(OR(LEN(A2231)&lt;&gt;7,MID(A2231,5,1)&lt;&gt;"-",ISERROR(--LEFT(A2231,4)),ISERROR(--RIGHT(A2231,2))),"ERROR: PERIODO debe ser AAAA-MM",IF(B2231="","ERROR: falta CODIGO CECO",IF(G2231="CECO NO EXISTE","ERROR: CECO no existe en el catálogo",IF(C2231="","ERROR: falta CUENTA",IF(ISERROR(--C2231),"ERROR: CUENTA debe tener solo dígitos",IF(ISERROR(FIND(LEFT(C2231,1),"567")),"ERROR: CUENTA fuera de las clases de costo",IF(NOT(ISNUMBER(E2231)),"ERROR: VALOR debe ser numérico",IF(E2231=0,"AVISO: valor cero (no se carga)",IF(J2231&lt;&gt;"ACTIVO","NO SE CARGA: CECO en estado "&amp;J2231,"OK"))))))))))</f>
        <v/>
      </c>
    </row>
    <row r="2232">
      <c r="A2232" s="5" t="n"/>
      <c r="B2232" s="6" t="n"/>
      <c r="C2232" s="5" t="n"/>
      <c r="D2232" s="6" t="n"/>
      <c r="E2232" s="7" t="n"/>
      <c r="F2232" s="6" t="n"/>
      <c r="G2232" s="8">
        <f>IF(B2232="","",IFERROR(VLOOKUP(--B2232,'CATALOGO CECO'!$A$2:$H$550,2,FALSE),"CECO NO EXISTE"))</f>
        <v/>
      </c>
      <c r="H2232" s="8">
        <f>IF(B2232="","",IFERROR(VLOOKUP(--B2232,'CATALOGO CECO'!$A$2:$H$550,3,FALSE),""))</f>
        <v/>
      </c>
      <c r="I2232" s="8">
        <f>IF(B2232="","",IFERROR(VLOOKUP(--B2232,'CATALOGO CECO'!$A$2:$H$550,5,FALSE),""))</f>
        <v/>
      </c>
      <c r="J2232" s="8">
        <f>IF(B2232="","",IFERROR(VLOOKUP(--B2232,'CATALOGO CECO'!$A$2:$H$550,8,FALSE),""))</f>
        <v/>
      </c>
      <c r="K2232" s="8">
        <f>IF(COUNTA(A2232:F2232)=0,"",IF(OR(LEN(A2232)&lt;&gt;7,MID(A2232,5,1)&lt;&gt;"-",ISERROR(--LEFT(A2232,4)),ISERROR(--RIGHT(A2232,2))),"ERROR: PERIODO debe ser AAAA-MM",IF(B2232="","ERROR: falta CODIGO CECO",IF(G2232="CECO NO EXISTE","ERROR: CECO no existe en el catálogo",IF(C2232="","ERROR: falta CUENTA",IF(ISERROR(--C2232),"ERROR: CUENTA debe tener solo dígitos",IF(ISERROR(FIND(LEFT(C2232,1),"567")),"ERROR: CUENTA fuera de las clases de costo",IF(NOT(ISNUMBER(E2232)),"ERROR: VALOR debe ser numérico",IF(E2232=0,"AVISO: valor cero (no se carga)",IF(J2232&lt;&gt;"ACTIVO","NO SE CARGA: CECO en estado "&amp;J2232,"OK"))))))))))</f>
        <v/>
      </c>
    </row>
    <row r="2233">
      <c r="A2233" s="5" t="n"/>
      <c r="B2233" s="6" t="n"/>
      <c r="C2233" s="5" t="n"/>
      <c r="D2233" s="6" t="n"/>
      <c r="E2233" s="7" t="n"/>
      <c r="F2233" s="6" t="n"/>
      <c r="G2233" s="8">
        <f>IF(B2233="","",IFERROR(VLOOKUP(--B2233,'CATALOGO CECO'!$A$2:$H$550,2,FALSE),"CECO NO EXISTE"))</f>
        <v/>
      </c>
      <c r="H2233" s="8">
        <f>IF(B2233="","",IFERROR(VLOOKUP(--B2233,'CATALOGO CECO'!$A$2:$H$550,3,FALSE),""))</f>
        <v/>
      </c>
      <c r="I2233" s="8">
        <f>IF(B2233="","",IFERROR(VLOOKUP(--B2233,'CATALOGO CECO'!$A$2:$H$550,5,FALSE),""))</f>
        <v/>
      </c>
      <c r="J2233" s="8">
        <f>IF(B2233="","",IFERROR(VLOOKUP(--B2233,'CATALOGO CECO'!$A$2:$H$550,8,FALSE),""))</f>
        <v/>
      </c>
      <c r="K2233" s="8">
        <f>IF(COUNTA(A2233:F2233)=0,"",IF(OR(LEN(A2233)&lt;&gt;7,MID(A2233,5,1)&lt;&gt;"-",ISERROR(--LEFT(A2233,4)),ISERROR(--RIGHT(A2233,2))),"ERROR: PERIODO debe ser AAAA-MM",IF(B2233="","ERROR: falta CODIGO CECO",IF(G2233="CECO NO EXISTE","ERROR: CECO no existe en el catálogo",IF(C2233="","ERROR: falta CUENTA",IF(ISERROR(--C2233),"ERROR: CUENTA debe tener solo dígitos",IF(ISERROR(FIND(LEFT(C2233,1),"567")),"ERROR: CUENTA fuera de las clases de costo",IF(NOT(ISNUMBER(E2233)),"ERROR: VALOR debe ser numérico",IF(E2233=0,"AVISO: valor cero (no se carga)",IF(J2233&lt;&gt;"ACTIVO","NO SE CARGA: CECO en estado "&amp;J2233,"OK"))))))))))</f>
        <v/>
      </c>
    </row>
    <row r="2234">
      <c r="A2234" s="5" t="n"/>
      <c r="B2234" s="6" t="n"/>
      <c r="C2234" s="5" t="n"/>
      <c r="D2234" s="6" t="n"/>
      <c r="E2234" s="7" t="n"/>
      <c r="F2234" s="6" t="n"/>
      <c r="G2234" s="8">
        <f>IF(B2234="","",IFERROR(VLOOKUP(--B2234,'CATALOGO CECO'!$A$2:$H$550,2,FALSE),"CECO NO EXISTE"))</f>
        <v/>
      </c>
      <c r="H2234" s="8">
        <f>IF(B2234="","",IFERROR(VLOOKUP(--B2234,'CATALOGO CECO'!$A$2:$H$550,3,FALSE),""))</f>
        <v/>
      </c>
      <c r="I2234" s="8">
        <f>IF(B2234="","",IFERROR(VLOOKUP(--B2234,'CATALOGO CECO'!$A$2:$H$550,5,FALSE),""))</f>
        <v/>
      </c>
      <c r="J2234" s="8">
        <f>IF(B2234="","",IFERROR(VLOOKUP(--B2234,'CATALOGO CECO'!$A$2:$H$550,8,FALSE),""))</f>
        <v/>
      </c>
      <c r="K2234" s="8">
        <f>IF(COUNTA(A2234:F2234)=0,"",IF(OR(LEN(A2234)&lt;&gt;7,MID(A2234,5,1)&lt;&gt;"-",ISERROR(--LEFT(A2234,4)),ISERROR(--RIGHT(A2234,2))),"ERROR: PERIODO debe ser AAAA-MM",IF(B2234="","ERROR: falta CODIGO CECO",IF(G2234="CECO NO EXISTE","ERROR: CECO no existe en el catálogo",IF(C2234="","ERROR: falta CUENTA",IF(ISERROR(--C2234),"ERROR: CUENTA debe tener solo dígitos",IF(ISERROR(FIND(LEFT(C2234,1),"567")),"ERROR: CUENTA fuera de las clases de costo",IF(NOT(ISNUMBER(E2234)),"ERROR: VALOR debe ser numérico",IF(E2234=0,"AVISO: valor cero (no se carga)",IF(J2234&lt;&gt;"ACTIVO","NO SE CARGA: CECO en estado "&amp;J2234,"OK"))))))))))</f>
        <v/>
      </c>
    </row>
    <row r="2235">
      <c r="A2235" s="5" t="n"/>
      <c r="B2235" s="6" t="n"/>
      <c r="C2235" s="5" t="n"/>
      <c r="D2235" s="6" t="n"/>
      <c r="E2235" s="7" t="n"/>
      <c r="F2235" s="6" t="n"/>
      <c r="G2235" s="8">
        <f>IF(B2235="","",IFERROR(VLOOKUP(--B2235,'CATALOGO CECO'!$A$2:$H$550,2,FALSE),"CECO NO EXISTE"))</f>
        <v/>
      </c>
      <c r="H2235" s="8">
        <f>IF(B2235="","",IFERROR(VLOOKUP(--B2235,'CATALOGO CECO'!$A$2:$H$550,3,FALSE),""))</f>
        <v/>
      </c>
      <c r="I2235" s="8">
        <f>IF(B2235="","",IFERROR(VLOOKUP(--B2235,'CATALOGO CECO'!$A$2:$H$550,5,FALSE),""))</f>
        <v/>
      </c>
      <c r="J2235" s="8">
        <f>IF(B2235="","",IFERROR(VLOOKUP(--B2235,'CATALOGO CECO'!$A$2:$H$550,8,FALSE),""))</f>
        <v/>
      </c>
      <c r="K2235" s="8">
        <f>IF(COUNTA(A2235:F2235)=0,"",IF(OR(LEN(A2235)&lt;&gt;7,MID(A2235,5,1)&lt;&gt;"-",ISERROR(--LEFT(A2235,4)),ISERROR(--RIGHT(A2235,2))),"ERROR: PERIODO debe ser AAAA-MM",IF(B2235="","ERROR: falta CODIGO CECO",IF(G2235="CECO NO EXISTE","ERROR: CECO no existe en el catálogo",IF(C2235="","ERROR: falta CUENTA",IF(ISERROR(--C2235),"ERROR: CUENTA debe tener solo dígitos",IF(ISERROR(FIND(LEFT(C2235,1),"567")),"ERROR: CUENTA fuera de las clases de costo",IF(NOT(ISNUMBER(E2235)),"ERROR: VALOR debe ser numérico",IF(E2235=0,"AVISO: valor cero (no se carga)",IF(J2235&lt;&gt;"ACTIVO","NO SE CARGA: CECO en estado "&amp;J2235,"OK"))))))))))</f>
        <v/>
      </c>
    </row>
    <row r="2236">
      <c r="A2236" s="5" t="n"/>
      <c r="B2236" s="6" t="n"/>
      <c r="C2236" s="5" t="n"/>
      <c r="D2236" s="6" t="n"/>
      <c r="E2236" s="7" t="n"/>
      <c r="F2236" s="6" t="n"/>
      <c r="G2236" s="8">
        <f>IF(B2236="","",IFERROR(VLOOKUP(--B2236,'CATALOGO CECO'!$A$2:$H$550,2,FALSE),"CECO NO EXISTE"))</f>
        <v/>
      </c>
      <c r="H2236" s="8">
        <f>IF(B2236="","",IFERROR(VLOOKUP(--B2236,'CATALOGO CECO'!$A$2:$H$550,3,FALSE),""))</f>
        <v/>
      </c>
      <c r="I2236" s="8">
        <f>IF(B2236="","",IFERROR(VLOOKUP(--B2236,'CATALOGO CECO'!$A$2:$H$550,5,FALSE),""))</f>
        <v/>
      </c>
      <c r="J2236" s="8">
        <f>IF(B2236="","",IFERROR(VLOOKUP(--B2236,'CATALOGO CECO'!$A$2:$H$550,8,FALSE),""))</f>
        <v/>
      </c>
      <c r="K2236" s="8">
        <f>IF(COUNTA(A2236:F2236)=0,"",IF(OR(LEN(A2236)&lt;&gt;7,MID(A2236,5,1)&lt;&gt;"-",ISERROR(--LEFT(A2236,4)),ISERROR(--RIGHT(A2236,2))),"ERROR: PERIODO debe ser AAAA-MM",IF(B2236="","ERROR: falta CODIGO CECO",IF(G2236="CECO NO EXISTE","ERROR: CECO no existe en el catálogo",IF(C2236="","ERROR: falta CUENTA",IF(ISERROR(--C2236),"ERROR: CUENTA debe tener solo dígitos",IF(ISERROR(FIND(LEFT(C2236,1),"567")),"ERROR: CUENTA fuera de las clases de costo",IF(NOT(ISNUMBER(E2236)),"ERROR: VALOR debe ser numérico",IF(E2236=0,"AVISO: valor cero (no se carga)",IF(J2236&lt;&gt;"ACTIVO","NO SE CARGA: CECO en estado "&amp;J2236,"OK"))))))))))</f>
        <v/>
      </c>
    </row>
    <row r="2237">
      <c r="A2237" s="5" t="n"/>
      <c r="B2237" s="6" t="n"/>
      <c r="C2237" s="5" t="n"/>
      <c r="D2237" s="6" t="n"/>
      <c r="E2237" s="7" t="n"/>
      <c r="F2237" s="6" t="n"/>
      <c r="G2237" s="8">
        <f>IF(B2237="","",IFERROR(VLOOKUP(--B2237,'CATALOGO CECO'!$A$2:$H$550,2,FALSE),"CECO NO EXISTE"))</f>
        <v/>
      </c>
      <c r="H2237" s="8">
        <f>IF(B2237="","",IFERROR(VLOOKUP(--B2237,'CATALOGO CECO'!$A$2:$H$550,3,FALSE),""))</f>
        <v/>
      </c>
      <c r="I2237" s="8">
        <f>IF(B2237="","",IFERROR(VLOOKUP(--B2237,'CATALOGO CECO'!$A$2:$H$550,5,FALSE),""))</f>
        <v/>
      </c>
      <c r="J2237" s="8">
        <f>IF(B2237="","",IFERROR(VLOOKUP(--B2237,'CATALOGO CECO'!$A$2:$H$550,8,FALSE),""))</f>
        <v/>
      </c>
      <c r="K2237" s="8">
        <f>IF(COUNTA(A2237:F2237)=0,"",IF(OR(LEN(A2237)&lt;&gt;7,MID(A2237,5,1)&lt;&gt;"-",ISERROR(--LEFT(A2237,4)),ISERROR(--RIGHT(A2237,2))),"ERROR: PERIODO debe ser AAAA-MM",IF(B2237="","ERROR: falta CODIGO CECO",IF(G2237="CECO NO EXISTE","ERROR: CECO no existe en el catálogo",IF(C2237="","ERROR: falta CUENTA",IF(ISERROR(--C2237),"ERROR: CUENTA debe tener solo dígitos",IF(ISERROR(FIND(LEFT(C2237,1),"567")),"ERROR: CUENTA fuera de las clases de costo",IF(NOT(ISNUMBER(E2237)),"ERROR: VALOR debe ser numérico",IF(E2237=0,"AVISO: valor cero (no se carga)",IF(J2237&lt;&gt;"ACTIVO","NO SE CARGA: CECO en estado "&amp;J2237,"OK"))))))))))</f>
        <v/>
      </c>
    </row>
    <row r="2238">
      <c r="A2238" s="5" t="n"/>
      <c r="B2238" s="6" t="n"/>
      <c r="C2238" s="5" t="n"/>
      <c r="D2238" s="6" t="n"/>
      <c r="E2238" s="7" t="n"/>
      <c r="F2238" s="6" t="n"/>
      <c r="G2238" s="8">
        <f>IF(B2238="","",IFERROR(VLOOKUP(--B2238,'CATALOGO CECO'!$A$2:$H$550,2,FALSE),"CECO NO EXISTE"))</f>
        <v/>
      </c>
      <c r="H2238" s="8">
        <f>IF(B2238="","",IFERROR(VLOOKUP(--B2238,'CATALOGO CECO'!$A$2:$H$550,3,FALSE),""))</f>
        <v/>
      </c>
      <c r="I2238" s="8">
        <f>IF(B2238="","",IFERROR(VLOOKUP(--B2238,'CATALOGO CECO'!$A$2:$H$550,5,FALSE),""))</f>
        <v/>
      </c>
      <c r="J2238" s="8">
        <f>IF(B2238="","",IFERROR(VLOOKUP(--B2238,'CATALOGO CECO'!$A$2:$H$550,8,FALSE),""))</f>
        <v/>
      </c>
      <c r="K2238" s="8">
        <f>IF(COUNTA(A2238:F2238)=0,"",IF(OR(LEN(A2238)&lt;&gt;7,MID(A2238,5,1)&lt;&gt;"-",ISERROR(--LEFT(A2238,4)),ISERROR(--RIGHT(A2238,2))),"ERROR: PERIODO debe ser AAAA-MM",IF(B2238="","ERROR: falta CODIGO CECO",IF(G2238="CECO NO EXISTE","ERROR: CECO no existe en el catálogo",IF(C2238="","ERROR: falta CUENTA",IF(ISERROR(--C2238),"ERROR: CUENTA debe tener solo dígitos",IF(ISERROR(FIND(LEFT(C2238,1),"567")),"ERROR: CUENTA fuera de las clases de costo",IF(NOT(ISNUMBER(E2238)),"ERROR: VALOR debe ser numérico",IF(E2238=0,"AVISO: valor cero (no se carga)",IF(J2238&lt;&gt;"ACTIVO","NO SE CARGA: CECO en estado "&amp;J2238,"OK"))))))))))</f>
        <v/>
      </c>
    </row>
    <row r="2239">
      <c r="A2239" s="5" t="n"/>
      <c r="B2239" s="6" t="n"/>
      <c r="C2239" s="5" t="n"/>
      <c r="D2239" s="6" t="n"/>
      <c r="E2239" s="7" t="n"/>
      <c r="F2239" s="6" t="n"/>
      <c r="G2239" s="8">
        <f>IF(B2239="","",IFERROR(VLOOKUP(--B2239,'CATALOGO CECO'!$A$2:$H$550,2,FALSE),"CECO NO EXISTE"))</f>
        <v/>
      </c>
      <c r="H2239" s="8">
        <f>IF(B2239="","",IFERROR(VLOOKUP(--B2239,'CATALOGO CECO'!$A$2:$H$550,3,FALSE),""))</f>
        <v/>
      </c>
      <c r="I2239" s="8">
        <f>IF(B2239="","",IFERROR(VLOOKUP(--B2239,'CATALOGO CECO'!$A$2:$H$550,5,FALSE),""))</f>
        <v/>
      </c>
      <c r="J2239" s="8">
        <f>IF(B2239="","",IFERROR(VLOOKUP(--B2239,'CATALOGO CECO'!$A$2:$H$550,8,FALSE),""))</f>
        <v/>
      </c>
      <c r="K2239" s="8">
        <f>IF(COUNTA(A2239:F2239)=0,"",IF(OR(LEN(A2239)&lt;&gt;7,MID(A2239,5,1)&lt;&gt;"-",ISERROR(--LEFT(A2239,4)),ISERROR(--RIGHT(A2239,2))),"ERROR: PERIODO debe ser AAAA-MM",IF(B2239="","ERROR: falta CODIGO CECO",IF(G2239="CECO NO EXISTE","ERROR: CECO no existe en el catálogo",IF(C2239="","ERROR: falta CUENTA",IF(ISERROR(--C2239),"ERROR: CUENTA debe tener solo dígitos",IF(ISERROR(FIND(LEFT(C2239,1),"567")),"ERROR: CUENTA fuera de las clases de costo",IF(NOT(ISNUMBER(E2239)),"ERROR: VALOR debe ser numérico",IF(E2239=0,"AVISO: valor cero (no se carga)",IF(J2239&lt;&gt;"ACTIVO","NO SE CARGA: CECO en estado "&amp;J2239,"OK"))))))))))</f>
        <v/>
      </c>
    </row>
    <row r="2240">
      <c r="A2240" s="5" t="n"/>
      <c r="B2240" s="6" t="n"/>
      <c r="C2240" s="5" t="n"/>
      <c r="D2240" s="6" t="n"/>
      <c r="E2240" s="7" t="n"/>
      <c r="F2240" s="6" t="n"/>
      <c r="G2240" s="8">
        <f>IF(B2240="","",IFERROR(VLOOKUP(--B2240,'CATALOGO CECO'!$A$2:$H$550,2,FALSE),"CECO NO EXISTE"))</f>
        <v/>
      </c>
      <c r="H2240" s="8">
        <f>IF(B2240="","",IFERROR(VLOOKUP(--B2240,'CATALOGO CECO'!$A$2:$H$550,3,FALSE),""))</f>
        <v/>
      </c>
      <c r="I2240" s="8">
        <f>IF(B2240="","",IFERROR(VLOOKUP(--B2240,'CATALOGO CECO'!$A$2:$H$550,5,FALSE),""))</f>
        <v/>
      </c>
      <c r="J2240" s="8">
        <f>IF(B2240="","",IFERROR(VLOOKUP(--B2240,'CATALOGO CECO'!$A$2:$H$550,8,FALSE),""))</f>
        <v/>
      </c>
      <c r="K2240" s="8">
        <f>IF(COUNTA(A2240:F2240)=0,"",IF(OR(LEN(A2240)&lt;&gt;7,MID(A2240,5,1)&lt;&gt;"-",ISERROR(--LEFT(A2240,4)),ISERROR(--RIGHT(A2240,2))),"ERROR: PERIODO debe ser AAAA-MM",IF(B2240="","ERROR: falta CODIGO CECO",IF(G2240="CECO NO EXISTE","ERROR: CECO no existe en el catálogo",IF(C2240="","ERROR: falta CUENTA",IF(ISERROR(--C2240),"ERROR: CUENTA debe tener solo dígitos",IF(ISERROR(FIND(LEFT(C2240,1),"567")),"ERROR: CUENTA fuera de las clases de costo",IF(NOT(ISNUMBER(E2240)),"ERROR: VALOR debe ser numérico",IF(E2240=0,"AVISO: valor cero (no se carga)",IF(J2240&lt;&gt;"ACTIVO","NO SE CARGA: CECO en estado "&amp;J2240,"OK"))))))))))</f>
        <v/>
      </c>
    </row>
    <row r="2241">
      <c r="A2241" s="5" t="n"/>
      <c r="B2241" s="6" t="n"/>
      <c r="C2241" s="5" t="n"/>
      <c r="D2241" s="6" t="n"/>
      <c r="E2241" s="7" t="n"/>
      <c r="F2241" s="6" t="n"/>
      <c r="G2241" s="8">
        <f>IF(B2241="","",IFERROR(VLOOKUP(--B2241,'CATALOGO CECO'!$A$2:$H$550,2,FALSE),"CECO NO EXISTE"))</f>
        <v/>
      </c>
      <c r="H2241" s="8">
        <f>IF(B2241="","",IFERROR(VLOOKUP(--B2241,'CATALOGO CECO'!$A$2:$H$550,3,FALSE),""))</f>
        <v/>
      </c>
      <c r="I2241" s="8">
        <f>IF(B2241="","",IFERROR(VLOOKUP(--B2241,'CATALOGO CECO'!$A$2:$H$550,5,FALSE),""))</f>
        <v/>
      </c>
      <c r="J2241" s="8">
        <f>IF(B2241="","",IFERROR(VLOOKUP(--B2241,'CATALOGO CECO'!$A$2:$H$550,8,FALSE),""))</f>
        <v/>
      </c>
      <c r="K2241" s="8">
        <f>IF(COUNTA(A2241:F2241)=0,"",IF(OR(LEN(A2241)&lt;&gt;7,MID(A2241,5,1)&lt;&gt;"-",ISERROR(--LEFT(A2241,4)),ISERROR(--RIGHT(A2241,2))),"ERROR: PERIODO debe ser AAAA-MM",IF(B2241="","ERROR: falta CODIGO CECO",IF(G2241="CECO NO EXISTE","ERROR: CECO no existe en el catálogo",IF(C2241="","ERROR: falta CUENTA",IF(ISERROR(--C2241),"ERROR: CUENTA debe tener solo dígitos",IF(ISERROR(FIND(LEFT(C2241,1),"567")),"ERROR: CUENTA fuera de las clases de costo",IF(NOT(ISNUMBER(E2241)),"ERROR: VALOR debe ser numérico",IF(E2241=0,"AVISO: valor cero (no se carga)",IF(J2241&lt;&gt;"ACTIVO","NO SE CARGA: CECO en estado "&amp;J2241,"OK"))))))))))</f>
        <v/>
      </c>
    </row>
    <row r="2242">
      <c r="A2242" s="5" t="n"/>
      <c r="B2242" s="6" t="n"/>
      <c r="C2242" s="5" t="n"/>
      <c r="D2242" s="6" t="n"/>
      <c r="E2242" s="7" t="n"/>
      <c r="F2242" s="6" t="n"/>
      <c r="G2242" s="8">
        <f>IF(B2242="","",IFERROR(VLOOKUP(--B2242,'CATALOGO CECO'!$A$2:$H$550,2,FALSE),"CECO NO EXISTE"))</f>
        <v/>
      </c>
      <c r="H2242" s="8">
        <f>IF(B2242="","",IFERROR(VLOOKUP(--B2242,'CATALOGO CECO'!$A$2:$H$550,3,FALSE),""))</f>
        <v/>
      </c>
      <c r="I2242" s="8">
        <f>IF(B2242="","",IFERROR(VLOOKUP(--B2242,'CATALOGO CECO'!$A$2:$H$550,5,FALSE),""))</f>
        <v/>
      </c>
      <c r="J2242" s="8">
        <f>IF(B2242="","",IFERROR(VLOOKUP(--B2242,'CATALOGO CECO'!$A$2:$H$550,8,FALSE),""))</f>
        <v/>
      </c>
      <c r="K2242" s="8">
        <f>IF(COUNTA(A2242:F2242)=0,"",IF(OR(LEN(A2242)&lt;&gt;7,MID(A2242,5,1)&lt;&gt;"-",ISERROR(--LEFT(A2242,4)),ISERROR(--RIGHT(A2242,2))),"ERROR: PERIODO debe ser AAAA-MM",IF(B2242="","ERROR: falta CODIGO CECO",IF(G2242="CECO NO EXISTE","ERROR: CECO no existe en el catálogo",IF(C2242="","ERROR: falta CUENTA",IF(ISERROR(--C2242),"ERROR: CUENTA debe tener solo dígitos",IF(ISERROR(FIND(LEFT(C2242,1),"567")),"ERROR: CUENTA fuera de las clases de costo",IF(NOT(ISNUMBER(E2242)),"ERROR: VALOR debe ser numérico",IF(E2242=0,"AVISO: valor cero (no se carga)",IF(J2242&lt;&gt;"ACTIVO","NO SE CARGA: CECO en estado "&amp;J2242,"OK"))))))))))</f>
        <v/>
      </c>
    </row>
    <row r="2243">
      <c r="A2243" s="5" t="n"/>
      <c r="B2243" s="6" t="n"/>
      <c r="C2243" s="5" t="n"/>
      <c r="D2243" s="6" t="n"/>
      <c r="E2243" s="7" t="n"/>
      <c r="F2243" s="6" t="n"/>
      <c r="G2243" s="8">
        <f>IF(B2243="","",IFERROR(VLOOKUP(--B2243,'CATALOGO CECO'!$A$2:$H$550,2,FALSE),"CECO NO EXISTE"))</f>
        <v/>
      </c>
      <c r="H2243" s="8">
        <f>IF(B2243="","",IFERROR(VLOOKUP(--B2243,'CATALOGO CECO'!$A$2:$H$550,3,FALSE),""))</f>
        <v/>
      </c>
      <c r="I2243" s="8">
        <f>IF(B2243="","",IFERROR(VLOOKUP(--B2243,'CATALOGO CECO'!$A$2:$H$550,5,FALSE),""))</f>
        <v/>
      </c>
      <c r="J2243" s="8">
        <f>IF(B2243="","",IFERROR(VLOOKUP(--B2243,'CATALOGO CECO'!$A$2:$H$550,8,FALSE),""))</f>
        <v/>
      </c>
      <c r="K2243" s="8">
        <f>IF(COUNTA(A2243:F2243)=0,"",IF(OR(LEN(A2243)&lt;&gt;7,MID(A2243,5,1)&lt;&gt;"-",ISERROR(--LEFT(A2243,4)),ISERROR(--RIGHT(A2243,2))),"ERROR: PERIODO debe ser AAAA-MM",IF(B2243="","ERROR: falta CODIGO CECO",IF(G2243="CECO NO EXISTE","ERROR: CECO no existe en el catálogo",IF(C2243="","ERROR: falta CUENTA",IF(ISERROR(--C2243),"ERROR: CUENTA debe tener solo dígitos",IF(ISERROR(FIND(LEFT(C2243,1),"567")),"ERROR: CUENTA fuera de las clases de costo",IF(NOT(ISNUMBER(E2243)),"ERROR: VALOR debe ser numérico",IF(E2243=0,"AVISO: valor cero (no se carga)",IF(J2243&lt;&gt;"ACTIVO","NO SE CARGA: CECO en estado "&amp;J2243,"OK"))))))))))</f>
        <v/>
      </c>
    </row>
    <row r="2244">
      <c r="A2244" s="5" t="n"/>
      <c r="B2244" s="6" t="n"/>
      <c r="C2244" s="5" t="n"/>
      <c r="D2244" s="6" t="n"/>
      <c r="E2244" s="7" t="n"/>
      <c r="F2244" s="6" t="n"/>
      <c r="G2244" s="8">
        <f>IF(B2244="","",IFERROR(VLOOKUP(--B2244,'CATALOGO CECO'!$A$2:$H$550,2,FALSE),"CECO NO EXISTE"))</f>
        <v/>
      </c>
      <c r="H2244" s="8">
        <f>IF(B2244="","",IFERROR(VLOOKUP(--B2244,'CATALOGO CECO'!$A$2:$H$550,3,FALSE),""))</f>
        <v/>
      </c>
      <c r="I2244" s="8">
        <f>IF(B2244="","",IFERROR(VLOOKUP(--B2244,'CATALOGO CECO'!$A$2:$H$550,5,FALSE),""))</f>
        <v/>
      </c>
      <c r="J2244" s="8">
        <f>IF(B2244="","",IFERROR(VLOOKUP(--B2244,'CATALOGO CECO'!$A$2:$H$550,8,FALSE),""))</f>
        <v/>
      </c>
      <c r="K2244" s="8">
        <f>IF(COUNTA(A2244:F2244)=0,"",IF(OR(LEN(A2244)&lt;&gt;7,MID(A2244,5,1)&lt;&gt;"-",ISERROR(--LEFT(A2244,4)),ISERROR(--RIGHT(A2244,2))),"ERROR: PERIODO debe ser AAAA-MM",IF(B2244="","ERROR: falta CODIGO CECO",IF(G2244="CECO NO EXISTE","ERROR: CECO no existe en el catálogo",IF(C2244="","ERROR: falta CUENTA",IF(ISERROR(--C2244),"ERROR: CUENTA debe tener solo dígitos",IF(ISERROR(FIND(LEFT(C2244,1),"567")),"ERROR: CUENTA fuera de las clases de costo",IF(NOT(ISNUMBER(E2244)),"ERROR: VALOR debe ser numérico",IF(E2244=0,"AVISO: valor cero (no se carga)",IF(J2244&lt;&gt;"ACTIVO","NO SE CARGA: CECO en estado "&amp;J2244,"OK"))))))))))</f>
        <v/>
      </c>
    </row>
    <row r="2245">
      <c r="A2245" s="5" t="n"/>
      <c r="B2245" s="6" t="n"/>
      <c r="C2245" s="5" t="n"/>
      <c r="D2245" s="6" t="n"/>
      <c r="E2245" s="7" t="n"/>
      <c r="F2245" s="6" t="n"/>
      <c r="G2245" s="8">
        <f>IF(B2245="","",IFERROR(VLOOKUP(--B2245,'CATALOGO CECO'!$A$2:$H$550,2,FALSE),"CECO NO EXISTE"))</f>
        <v/>
      </c>
      <c r="H2245" s="8">
        <f>IF(B2245="","",IFERROR(VLOOKUP(--B2245,'CATALOGO CECO'!$A$2:$H$550,3,FALSE),""))</f>
        <v/>
      </c>
      <c r="I2245" s="8">
        <f>IF(B2245="","",IFERROR(VLOOKUP(--B2245,'CATALOGO CECO'!$A$2:$H$550,5,FALSE),""))</f>
        <v/>
      </c>
      <c r="J2245" s="8">
        <f>IF(B2245="","",IFERROR(VLOOKUP(--B2245,'CATALOGO CECO'!$A$2:$H$550,8,FALSE),""))</f>
        <v/>
      </c>
      <c r="K2245" s="8">
        <f>IF(COUNTA(A2245:F2245)=0,"",IF(OR(LEN(A2245)&lt;&gt;7,MID(A2245,5,1)&lt;&gt;"-",ISERROR(--LEFT(A2245,4)),ISERROR(--RIGHT(A2245,2))),"ERROR: PERIODO debe ser AAAA-MM",IF(B2245="","ERROR: falta CODIGO CECO",IF(G2245="CECO NO EXISTE","ERROR: CECO no existe en el catálogo",IF(C2245="","ERROR: falta CUENTA",IF(ISERROR(--C2245),"ERROR: CUENTA debe tener solo dígitos",IF(ISERROR(FIND(LEFT(C2245,1),"567")),"ERROR: CUENTA fuera de las clases de costo",IF(NOT(ISNUMBER(E2245)),"ERROR: VALOR debe ser numérico",IF(E2245=0,"AVISO: valor cero (no se carga)",IF(J2245&lt;&gt;"ACTIVO","NO SE CARGA: CECO en estado "&amp;J2245,"OK"))))))))))</f>
        <v/>
      </c>
    </row>
    <row r="2246">
      <c r="A2246" s="5" t="n"/>
      <c r="B2246" s="6" t="n"/>
      <c r="C2246" s="5" t="n"/>
      <c r="D2246" s="6" t="n"/>
      <c r="E2246" s="7" t="n"/>
      <c r="F2246" s="6" t="n"/>
      <c r="G2246" s="8">
        <f>IF(B2246="","",IFERROR(VLOOKUP(--B2246,'CATALOGO CECO'!$A$2:$H$550,2,FALSE),"CECO NO EXISTE"))</f>
        <v/>
      </c>
      <c r="H2246" s="8">
        <f>IF(B2246="","",IFERROR(VLOOKUP(--B2246,'CATALOGO CECO'!$A$2:$H$550,3,FALSE),""))</f>
        <v/>
      </c>
      <c r="I2246" s="8">
        <f>IF(B2246="","",IFERROR(VLOOKUP(--B2246,'CATALOGO CECO'!$A$2:$H$550,5,FALSE),""))</f>
        <v/>
      </c>
      <c r="J2246" s="8">
        <f>IF(B2246="","",IFERROR(VLOOKUP(--B2246,'CATALOGO CECO'!$A$2:$H$550,8,FALSE),""))</f>
        <v/>
      </c>
      <c r="K2246" s="8">
        <f>IF(COUNTA(A2246:F2246)=0,"",IF(OR(LEN(A2246)&lt;&gt;7,MID(A2246,5,1)&lt;&gt;"-",ISERROR(--LEFT(A2246,4)),ISERROR(--RIGHT(A2246,2))),"ERROR: PERIODO debe ser AAAA-MM",IF(B2246="","ERROR: falta CODIGO CECO",IF(G2246="CECO NO EXISTE","ERROR: CECO no existe en el catálogo",IF(C2246="","ERROR: falta CUENTA",IF(ISERROR(--C2246),"ERROR: CUENTA debe tener solo dígitos",IF(ISERROR(FIND(LEFT(C2246,1),"567")),"ERROR: CUENTA fuera de las clases de costo",IF(NOT(ISNUMBER(E2246)),"ERROR: VALOR debe ser numérico",IF(E2246=0,"AVISO: valor cero (no se carga)",IF(J2246&lt;&gt;"ACTIVO","NO SE CARGA: CECO en estado "&amp;J2246,"OK"))))))))))</f>
        <v/>
      </c>
    </row>
    <row r="2247">
      <c r="A2247" s="5" t="n"/>
      <c r="B2247" s="6" t="n"/>
      <c r="C2247" s="5" t="n"/>
      <c r="D2247" s="6" t="n"/>
      <c r="E2247" s="7" t="n"/>
      <c r="F2247" s="6" t="n"/>
      <c r="G2247" s="8">
        <f>IF(B2247="","",IFERROR(VLOOKUP(--B2247,'CATALOGO CECO'!$A$2:$H$550,2,FALSE),"CECO NO EXISTE"))</f>
        <v/>
      </c>
      <c r="H2247" s="8">
        <f>IF(B2247="","",IFERROR(VLOOKUP(--B2247,'CATALOGO CECO'!$A$2:$H$550,3,FALSE),""))</f>
        <v/>
      </c>
      <c r="I2247" s="8">
        <f>IF(B2247="","",IFERROR(VLOOKUP(--B2247,'CATALOGO CECO'!$A$2:$H$550,5,FALSE),""))</f>
        <v/>
      </c>
      <c r="J2247" s="8">
        <f>IF(B2247="","",IFERROR(VLOOKUP(--B2247,'CATALOGO CECO'!$A$2:$H$550,8,FALSE),""))</f>
        <v/>
      </c>
      <c r="K2247" s="8">
        <f>IF(COUNTA(A2247:F2247)=0,"",IF(OR(LEN(A2247)&lt;&gt;7,MID(A2247,5,1)&lt;&gt;"-",ISERROR(--LEFT(A2247,4)),ISERROR(--RIGHT(A2247,2))),"ERROR: PERIODO debe ser AAAA-MM",IF(B2247="","ERROR: falta CODIGO CECO",IF(G2247="CECO NO EXISTE","ERROR: CECO no existe en el catálogo",IF(C2247="","ERROR: falta CUENTA",IF(ISERROR(--C2247),"ERROR: CUENTA debe tener solo dígitos",IF(ISERROR(FIND(LEFT(C2247,1),"567")),"ERROR: CUENTA fuera de las clases de costo",IF(NOT(ISNUMBER(E2247)),"ERROR: VALOR debe ser numérico",IF(E2247=0,"AVISO: valor cero (no se carga)",IF(J2247&lt;&gt;"ACTIVO","NO SE CARGA: CECO en estado "&amp;J2247,"OK"))))))))))</f>
        <v/>
      </c>
    </row>
    <row r="2248">
      <c r="A2248" s="5" t="n"/>
      <c r="B2248" s="6" t="n"/>
      <c r="C2248" s="5" t="n"/>
      <c r="D2248" s="6" t="n"/>
      <c r="E2248" s="7" t="n"/>
      <c r="F2248" s="6" t="n"/>
      <c r="G2248" s="8">
        <f>IF(B2248="","",IFERROR(VLOOKUP(--B2248,'CATALOGO CECO'!$A$2:$H$550,2,FALSE),"CECO NO EXISTE"))</f>
        <v/>
      </c>
      <c r="H2248" s="8">
        <f>IF(B2248="","",IFERROR(VLOOKUP(--B2248,'CATALOGO CECO'!$A$2:$H$550,3,FALSE),""))</f>
        <v/>
      </c>
      <c r="I2248" s="8">
        <f>IF(B2248="","",IFERROR(VLOOKUP(--B2248,'CATALOGO CECO'!$A$2:$H$550,5,FALSE),""))</f>
        <v/>
      </c>
      <c r="J2248" s="8">
        <f>IF(B2248="","",IFERROR(VLOOKUP(--B2248,'CATALOGO CECO'!$A$2:$H$550,8,FALSE),""))</f>
        <v/>
      </c>
      <c r="K2248" s="8">
        <f>IF(COUNTA(A2248:F2248)=0,"",IF(OR(LEN(A2248)&lt;&gt;7,MID(A2248,5,1)&lt;&gt;"-",ISERROR(--LEFT(A2248,4)),ISERROR(--RIGHT(A2248,2))),"ERROR: PERIODO debe ser AAAA-MM",IF(B2248="","ERROR: falta CODIGO CECO",IF(G2248="CECO NO EXISTE","ERROR: CECO no existe en el catálogo",IF(C2248="","ERROR: falta CUENTA",IF(ISERROR(--C2248),"ERROR: CUENTA debe tener solo dígitos",IF(ISERROR(FIND(LEFT(C2248,1),"567")),"ERROR: CUENTA fuera de las clases de costo",IF(NOT(ISNUMBER(E2248)),"ERROR: VALOR debe ser numérico",IF(E2248=0,"AVISO: valor cero (no se carga)",IF(J2248&lt;&gt;"ACTIVO","NO SE CARGA: CECO en estado "&amp;J2248,"OK"))))))))))</f>
        <v/>
      </c>
    </row>
    <row r="2249">
      <c r="A2249" s="5" t="n"/>
      <c r="B2249" s="6" t="n"/>
      <c r="C2249" s="5" t="n"/>
      <c r="D2249" s="6" t="n"/>
      <c r="E2249" s="7" t="n"/>
      <c r="F2249" s="6" t="n"/>
      <c r="G2249" s="8">
        <f>IF(B2249="","",IFERROR(VLOOKUP(--B2249,'CATALOGO CECO'!$A$2:$H$550,2,FALSE),"CECO NO EXISTE"))</f>
        <v/>
      </c>
      <c r="H2249" s="8">
        <f>IF(B2249="","",IFERROR(VLOOKUP(--B2249,'CATALOGO CECO'!$A$2:$H$550,3,FALSE),""))</f>
        <v/>
      </c>
      <c r="I2249" s="8">
        <f>IF(B2249="","",IFERROR(VLOOKUP(--B2249,'CATALOGO CECO'!$A$2:$H$550,5,FALSE),""))</f>
        <v/>
      </c>
      <c r="J2249" s="8">
        <f>IF(B2249="","",IFERROR(VLOOKUP(--B2249,'CATALOGO CECO'!$A$2:$H$550,8,FALSE),""))</f>
        <v/>
      </c>
      <c r="K2249" s="8">
        <f>IF(COUNTA(A2249:F2249)=0,"",IF(OR(LEN(A2249)&lt;&gt;7,MID(A2249,5,1)&lt;&gt;"-",ISERROR(--LEFT(A2249,4)),ISERROR(--RIGHT(A2249,2))),"ERROR: PERIODO debe ser AAAA-MM",IF(B2249="","ERROR: falta CODIGO CECO",IF(G2249="CECO NO EXISTE","ERROR: CECO no existe en el catálogo",IF(C2249="","ERROR: falta CUENTA",IF(ISERROR(--C2249),"ERROR: CUENTA debe tener solo dígitos",IF(ISERROR(FIND(LEFT(C2249,1),"567")),"ERROR: CUENTA fuera de las clases de costo",IF(NOT(ISNUMBER(E2249)),"ERROR: VALOR debe ser numérico",IF(E2249=0,"AVISO: valor cero (no se carga)",IF(J2249&lt;&gt;"ACTIVO","NO SE CARGA: CECO en estado "&amp;J2249,"OK"))))))))))</f>
        <v/>
      </c>
    </row>
    <row r="2250">
      <c r="A2250" s="5" t="n"/>
      <c r="B2250" s="6" t="n"/>
      <c r="C2250" s="5" t="n"/>
      <c r="D2250" s="6" t="n"/>
      <c r="E2250" s="7" t="n"/>
      <c r="F2250" s="6" t="n"/>
      <c r="G2250" s="8">
        <f>IF(B2250="","",IFERROR(VLOOKUP(--B2250,'CATALOGO CECO'!$A$2:$H$550,2,FALSE),"CECO NO EXISTE"))</f>
        <v/>
      </c>
      <c r="H2250" s="8">
        <f>IF(B2250="","",IFERROR(VLOOKUP(--B2250,'CATALOGO CECO'!$A$2:$H$550,3,FALSE),""))</f>
        <v/>
      </c>
      <c r="I2250" s="8">
        <f>IF(B2250="","",IFERROR(VLOOKUP(--B2250,'CATALOGO CECO'!$A$2:$H$550,5,FALSE),""))</f>
        <v/>
      </c>
      <c r="J2250" s="8">
        <f>IF(B2250="","",IFERROR(VLOOKUP(--B2250,'CATALOGO CECO'!$A$2:$H$550,8,FALSE),""))</f>
        <v/>
      </c>
      <c r="K2250" s="8">
        <f>IF(COUNTA(A2250:F2250)=0,"",IF(OR(LEN(A2250)&lt;&gt;7,MID(A2250,5,1)&lt;&gt;"-",ISERROR(--LEFT(A2250,4)),ISERROR(--RIGHT(A2250,2))),"ERROR: PERIODO debe ser AAAA-MM",IF(B2250="","ERROR: falta CODIGO CECO",IF(G2250="CECO NO EXISTE","ERROR: CECO no existe en el catálogo",IF(C2250="","ERROR: falta CUENTA",IF(ISERROR(--C2250),"ERROR: CUENTA debe tener solo dígitos",IF(ISERROR(FIND(LEFT(C2250,1),"567")),"ERROR: CUENTA fuera de las clases de costo",IF(NOT(ISNUMBER(E2250)),"ERROR: VALOR debe ser numérico",IF(E2250=0,"AVISO: valor cero (no se carga)",IF(J2250&lt;&gt;"ACTIVO","NO SE CARGA: CECO en estado "&amp;J2250,"OK"))))))))))</f>
        <v/>
      </c>
    </row>
    <row r="2251">
      <c r="A2251" s="5" t="n"/>
      <c r="B2251" s="6" t="n"/>
      <c r="C2251" s="5" t="n"/>
      <c r="D2251" s="6" t="n"/>
      <c r="E2251" s="7" t="n"/>
      <c r="F2251" s="6" t="n"/>
      <c r="G2251" s="8">
        <f>IF(B2251="","",IFERROR(VLOOKUP(--B2251,'CATALOGO CECO'!$A$2:$H$550,2,FALSE),"CECO NO EXISTE"))</f>
        <v/>
      </c>
      <c r="H2251" s="8">
        <f>IF(B2251="","",IFERROR(VLOOKUP(--B2251,'CATALOGO CECO'!$A$2:$H$550,3,FALSE),""))</f>
        <v/>
      </c>
      <c r="I2251" s="8">
        <f>IF(B2251="","",IFERROR(VLOOKUP(--B2251,'CATALOGO CECO'!$A$2:$H$550,5,FALSE),""))</f>
        <v/>
      </c>
      <c r="J2251" s="8">
        <f>IF(B2251="","",IFERROR(VLOOKUP(--B2251,'CATALOGO CECO'!$A$2:$H$550,8,FALSE),""))</f>
        <v/>
      </c>
      <c r="K2251" s="8">
        <f>IF(COUNTA(A2251:F2251)=0,"",IF(OR(LEN(A2251)&lt;&gt;7,MID(A2251,5,1)&lt;&gt;"-",ISERROR(--LEFT(A2251,4)),ISERROR(--RIGHT(A2251,2))),"ERROR: PERIODO debe ser AAAA-MM",IF(B2251="","ERROR: falta CODIGO CECO",IF(G2251="CECO NO EXISTE","ERROR: CECO no existe en el catálogo",IF(C2251="","ERROR: falta CUENTA",IF(ISERROR(--C2251),"ERROR: CUENTA debe tener solo dígitos",IF(ISERROR(FIND(LEFT(C2251,1),"567")),"ERROR: CUENTA fuera de las clases de costo",IF(NOT(ISNUMBER(E2251)),"ERROR: VALOR debe ser numérico",IF(E2251=0,"AVISO: valor cero (no se carga)",IF(J2251&lt;&gt;"ACTIVO","NO SE CARGA: CECO en estado "&amp;J2251,"OK"))))))))))</f>
        <v/>
      </c>
    </row>
    <row r="2252">
      <c r="A2252" s="5" t="n"/>
      <c r="B2252" s="6" t="n"/>
      <c r="C2252" s="5" t="n"/>
      <c r="D2252" s="6" t="n"/>
      <c r="E2252" s="7" t="n"/>
      <c r="F2252" s="6" t="n"/>
      <c r="G2252" s="8">
        <f>IF(B2252="","",IFERROR(VLOOKUP(--B2252,'CATALOGO CECO'!$A$2:$H$550,2,FALSE),"CECO NO EXISTE"))</f>
        <v/>
      </c>
      <c r="H2252" s="8">
        <f>IF(B2252="","",IFERROR(VLOOKUP(--B2252,'CATALOGO CECO'!$A$2:$H$550,3,FALSE),""))</f>
        <v/>
      </c>
      <c r="I2252" s="8">
        <f>IF(B2252="","",IFERROR(VLOOKUP(--B2252,'CATALOGO CECO'!$A$2:$H$550,5,FALSE),""))</f>
        <v/>
      </c>
      <c r="J2252" s="8">
        <f>IF(B2252="","",IFERROR(VLOOKUP(--B2252,'CATALOGO CECO'!$A$2:$H$550,8,FALSE),""))</f>
        <v/>
      </c>
      <c r="K2252" s="8">
        <f>IF(COUNTA(A2252:F2252)=0,"",IF(OR(LEN(A2252)&lt;&gt;7,MID(A2252,5,1)&lt;&gt;"-",ISERROR(--LEFT(A2252,4)),ISERROR(--RIGHT(A2252,2))),"ERROR: PERIODO debe ser AAAA-MM",IF(B2252="","ERROR: falta CODIGO CECO",IF(G2252="CECO NO EXISTE","ERROR: CECO no existe en el catálogo",IF(C2252="","ERROR: falta CUENTA",IF(ISERROR(--C2252),"ERROR: CUENTA debe tener solo dígitos",IF(ISERROR(FIND(LEFT(C2252,1),"567")),"ERROR: CUENTA fuera de las clases de costo",IF(NOT(ISNUMBER(E2252)),"ERROR: VALOR debe ser numérico",IF(E2252=0,"AVISO: valor cero (no se carga)",IF(J2252&lt;&gt;"ACTIVO","NO SE CARGA: CECO en estado "&amp;J2252,"OK"))))))))))</f>
        <v/>
      </c>
    </row>
    <row r="2253">
      <c r="A2253" s="5" t="n"/>
      <c r="B2253" s="6" t="n"/>
      <c r="C2253" s="5" t="n"/>
      <c r="D2253" s="6" t="n"/>
      <c r="E2253" s="7" t="n"/>
      <c r="F2253" s="6" t="n"/>
      <c r="G2253" s="8">
        <f>IF(B2253="","",IFERROR(VLOOKUP(--B2253,'CATALOGO CECO'!$A$2:$H$550,2,FALSE),"CECO NO EXISTE"))</f>
        <v/>
      </c>
      <c r="H2253" s="8">
        <f>IF(B2253="","",IFERROR(VLOOKUP(--B2253,'CATALOGO CECO'!$A$2:$H$550,3,FALSE),""))</f>
        <v/>
      </c>
      <c r="I2253" s="8">
        <f>IF(B2253="","",IFERROR(VLOOKUP(--B2253,'CATALOGO CECO'!$A$2:$H$550,5,FALSE),""))</f>
        <v/>
      </c>
      <c r="J2253" s="8">
        <f>IF(B2253="","",IFERROR(VLOOKUP(--B2253,'CATALOGO CECO'!$A$2:$H$550,8,FALSE),""))</f>
        <v/>
      </c>
      <c r="K2253" s="8">
        <f>IF(COUNTA(A2253:F2253)=0,"",IF(OR(LEN(A2253)&lt;&gt;7,MID(A2253,5,1)&lt;&gt;"-",ISERROR(--LEFT(A2253,4)),ISERROR(--RIGHT(A2253,2))),"ERROR: PERIODO debe ser AAAA-MM",IF(B2253="","ERROR: falta CODIGO CECO",IF(G2253="CECO NO EXISTE","ERROR: CECO no existe en el catálogo",IF(C2253="","ERROR: falta CUENTA",IF(ISERROR(--C2253),"ERROR: CUENTA debe tener solo dígitos",IF(ISERROR(FIND(LEFT(C2253,1),"567")),"ERROR: CUENTA fuera de las clases de costo",IF(NOT(ISNUMBER(E2253)),"ERROR: VALOR debe ser numérico",IF(E2253=0,"AVISO: valor cero (no se carga)",IF(J2253&lt;&gt;"ACTIVO","NO SE CARGA: CECO en estado "&amp;J2253,"OK"))))))))))</f>
        <v/>
      </c>
    </row>
    <row r="2254">
      <c r="A2254" s="5" t="n"/>
      <c r="B2254" s="6" t="n"/>
      <c r="C2254" s="5" t="n"/>
      <c r="D2254" s="6" t="n"/>
      <c r="E2254" s="7" t="n"/>
      <c r="F2254" s="6" t="n"/>
      <c r="G2254" s="8">
        <f>IF(B2254="","",IFERROR(VLOOKUP(--B2254,'CATALOGO CECO'!$A$2:$H$550,2,FALSE),"CECO NO EXISTE"))</f>
        <v/>
      </c>
      <c r="H2254" s="8">
        <f>IF(B2254="","",IFERROR(VLOOKUP(--B2254,'CATALOGO CECO'!$A$2:$H$550,3,FALSE),""))</f>
        <v/>
      </c>
      <c r="I2254" s="8">
        <f>IF(B2254="","",IFERROR(VLOOKUP(--B2254,'CATALOGO CECO'!$A$2:$H$550,5,FALSE),""))</f>
        <v/>
      </c>
      <c r="J2254" s="8">
        <f>IF(B2254="","",IFERROR(VLOOKUP(--B2254,'CATALOGO CECO'!$A$2:$H$550,8,FALSE),""))</f>
        <v/>
      </c>
      <c r="K2254" s="8">
        <f>IF(COUNTA(A2254:F2254)=0,"",IF(OR(LEN(A2254)&lt;&gt;7,MID(A2254,5,1)&lt;&gt;"-",ISERROR(--LEFT(A2254,4)),ISERROR(--RIGHT(A2254,2))),"ERROR: PERIODO debe ser AAAA-MM",IF(B2254="","ERROR: falta CODIGO CECO",IF(G2254="CECO NO EXISTE","ERROR: CECO no existe en el catálogo",IF(C2254="","ERROR: falta CUENTA",IF(ISERROR(--C2254),"ERROR: CUENTA debe tener solo dígitos",IF(ISERROR(FIND(LEFT(C2254,1),"567")),"ERROR: CUENTA fuera de las clases de costo",IF(NOT(ISNUMBER(E2254)),"ERROR: VALOR debe ser numérico",IF(E2254=0,"AVISO: valor cero (no se carga)",IF(J2254&lt;&gt;"ACTIVO","NO SE CARGA: CECO en estado "&amp;J2254,"OK"))))))))))</f>
        <v/>
      </c>
    </row>
    <row r="2255">
      <c r="A2255" s="5" t="n"/>
      <c r="B2255" s="6" t="n"/>
      <c r="C2255" s="5" t="n"/>
      <c r="D2255" s="6" t="n"/>
      <c r="E2255" s="7" t="n"/>
      <c r="F2255" s="6" t="n"/>
      <c r="G2255" s="8">
        <f>IF(B2255="","",IFERROR(VLOOKUP(--B2255,'CATALOGO CECO'!$A$2:$H$550,2,FALSE),"CECO NO EXISTE"))</f>
        <v/>
      </c>
      <c r="H2255" s="8">
        <f>IF(B2255="","",IFERROR(VLOOKUP(--B2255,'CATALOGO CECO'!$A$2:$H$550,3,FALSE),""))</f>
        <v/>
      </c>
      <c r="I2255" s="8">
        <f>IF(B2255="","",IFERROR(VLOOKUP(--B2255,'CATALOGO CECO'!$A$2:$H$550,5,FALSE),""))</f>
        <v/>
      </c>
      <c r="J2255" s="8">
        <f>IF(B2255="","",IFERROR(VLOOKUP(--B2255,'CATALOGO CECO'!$A$2:$H$550,8,FALSE),""))</f>
        <v/>
      </c>
      <c r="K2255" s="8">
        <f>IF(COUNTA(A2255:F2255)=0,"",IF(OR(LEN(A2255)&lt;&gt;7,MID(A2255,5,1)&lt;&gt;"-",ISERROR(--LEFT(A2255,4)),ISERROR(--RIGHT(A2255,2))),"ERROR: PERIODO debe ser AAAA-MM",IF(B2255="","ERROR: falta CODIGO CECO",IF(G2255="CECO NO EXISTE","ERROR: CECO no existe en el catálogo",IF(C2255="","ERROR: falta CUENTA",IF(ISERROR(--C2255),"ERROR: CUENTA debe tener solo dígitos",IF(ISERROR(FIND(LEFT(C2255,1),"567")),"ERROR: CUENTA fuera de las clases de costo",IF(NOT(ISNUMBER(E2255)),"ERROR: VALOR debe ser numérico",IF(E2255=0,"AVISO: valor cero (no se carga)",IF(J2255&lt;&gt;"ACTIVO","NO SE CARGA: CECO en estado "&amp;J2255,"OK"))))))))))</f>
        <v/>
      </c>
    </row>
    <row r="2256">
      <c r="A2256" s="5" t="n"/>
      <c r="B2256" s="6" t="n"/>
      <c r="C2256" s="5" t="n"/>
      <c r="D2256" s="6" t="n"/>
      <c r="E2256" s="7" t="n"/>
      <c r="F2256" s="6" t="n"/>
      <c r="G2256" s="8">
        <f>IF(B2256="","",IFERROR(VLOOKUP(--B2256,'CATALOGO CECO'!$A$2:$H$550,2,FALSE),"CECO NO EXISTE"))</f>
        <v/>
      </c>
      <c r="H2256" s="8">
        <f>IF(B2256="","",IFERROR(VLOOKUP(--B2256,'CATALOGO CECO'!$A$2:$H$550,3,FALSE),""))</f>
        <v/>
      </c>
      <c r="I2256" s="8">
        <f>IF(B2256="","",IFERROR(VLOOKUP(--B2256,'CATALOGO CECO'!$A$2:$H$550,5,FALSE),""))</f>
        <v/>
      </c>
      <c r="J2256" s="8">
        <f>IF(B2256="","",IFERROR(VLOOKUP(--B2256,'CATALOGO CECO'!$A$2:$H$550,8,FALSE),""))</f>
        <v/>
      </c>
      <c r="K2256" s="8">
        <f>IF(COUNTA(A2256:F2256)=0,"",IF(OR(LEN(A2256)&lt;&gt;7,MID(A2256,5,1)&lt;&gt;"-",ISERROR(--LEFT(A2256,4)),ISERROR(--RIGHT(A2256,2))),"ERROR: PERIODO debe ser AAAA-MM",IF(B2256="","ERROR: falta CODIGO CECO",IF(G2256="CECO NO EXISTE","ERROR: CECO no existe en el catálogo",IF(C2256="","ERROR: falta CUENTA",IF(ISERROR(--C2256),"ERROR: CUENTA debe tener solo dígitos",IF(ISERROR(FIND(LEFT(C2256,1),"567")),"ERROR: CUENTA fuera de las clases de costo",IF(NOT(ISNUMBER(E2256)),"ERROR: VALOR debe ser numérico",IF(E2256=0,"AVISO: valor cero (no se carga)",IF(J2256&lt;&gt;"ACTIVO","NO SE CARGA: CECO en estado "&amp;J2256,"OK"))))))))))</f>
        <v/>
      </c>
    </row>
    <row r="2257">
      <c r="A2257" s="5" t="n"/>
      <c r="B2257" s="6" t="n"/>
      <c r="C2257" s="5" t="n"/>
      <c r="D2257" s="6" t="n"/>
      <c r="E2257" s="7" t="n"/>
      <c r="F2257" s="6" t="n"/>
      <c r="G2257" s="8">
        <f>IF(B2257="","",IFERROR(VLOOKUP(--B2257,'CATALOGO CECO'!$A$2:$H$550,2,FALSE),"CECO NO EXISTE"))</f>
        <v/>
      </c>
      <c r="H2257" s="8">
        <f>IF(B2257="","",IFERROR(VLOOKUP(--B2257,'CATALOGO CECO'!$A$2:$H$550,3,FALSE),""))</f>
        <v/>
      </c>
      <c r="I2257" s="8">
        <f>IF(B2257="","",IFERROR(VLOOKUP(--B2257,'CATALOGO CECO'!$A$2:$H$550,5,FALSE),""))</f>
        <v/>
      </c>
      <c r="J2257" s="8">
        <f>IF(B2257="","",IFERROR(VLOOKUP(--B2257,'CATALOGO CECO'!$A$2:$H$550,8,FALSE),""))</f>
        <v/>
      </c>
      <c r="K2257" s="8">
        <f>IF(COUNTA(A2257:F2257)=0,"",IF(OR(LEN(A2257)&lt;&gt;7,MID(A2257,5,1)&lt;&gt;"-",ISERROR(--LEFT(A2257,4)),ISERROR(--RIGHT(A2257,2))),"ERROR: PERIODO debe ser AAAA-MM",IF(B2257="","ERROR: falta CODIGO CECO",IF(G2257="CECO NO EXISTE","ERROR: CECO no existe en el catálogo",IF(C2257="","ERROR: falta CUENTA",IF(ISERROR(--C2257),"ERROR: CUENTA debe tener solo dígitos",IF(ISERROR(FIND(LEFT(C2257,1),"567")),"ERROR: CUENTA fuera de las clases de costo",IF(NOT(ISNUMBER(E2257)),"ERROR: VALOR debe ser numérico",IF(E2257=0,"AVISO: valor cero (no se carga)",IF(J2257&lt;&gt;"ACTIVO","NO SE CARGA: CECO en estado "&amp;J2257,"OK"))))))))))</f>
        <v/>
      </c>
    </row>
    <row r="2258">
      <c r="A2258" s="5" t="n"/>
      <c r="B2258" s="6" t="n"/>
      <c r="C2258" s="5" t="n"/>
      <c r="D2258" s="6" t="n"/>
      <c r="E2258" s="7" t="n"/>
      <c r="F2258" s="6" t="n"/>
      <c r="G2258" s="8">
        <f>IF(B2258="","",IFERROR(VLOOKUP(--B2258,'CATALOGO CECO'!$A$2:$H$550,2,FALSE),"CECO NO EXISTE"))</f>
        <v/>
      </c>
      <c r="H2258" s="8">
        <f>IF(B2258="","",IFERROR(VLOOKUP(--B2258,'CATALOGO CECO'!$A$2:$H$550,3,FALSE),""))</f>
        <v/>
      </c>
      <c r="I2258" s="8">
        <f>IF(B2258="","",IFERROR(VLOOKUP(--B2258,'CATALOGO CECO'!$A$2:$H$550,5,FALSE),""))</f>
        <v/>
      </c>
      <c r="J2258" s="8">
        <f>IF(B2258="","",IFERROR(VLOOKUP(--B2258,'CATALOGO CECO'!$A$2:$H$550,8,FALSE),""))</f>
        <v/>
      </c>
      <c r="K2258" s="8">
        <f>IF(COUNTA(A2258:F2258)=0,"",IF(OR(LEN(A2258)&lt;&gt;7,MID(A2258,5,1)&lt;&gt;"-",ISERROR(--LEFT(A2258,4)),ISERROR(--RIGHT(A2258,2))),"ERROR: PERIODO debe ser AAAA-MM",IF(B2258="","ERROR: falta CODIGO CECO",IF(G2258="CECO NO EXISTE","ERROR: CECO no existe en el catálogo",IF(C2258="","ERROR: falta CUENTA",IF(ISERROR(--C2258),"ERROR: CUENTA debe tener solo dígitos",IF(ISERROR(FIND(LEFT(C2258,1),"567")),"ERROR: CUENTA fuera de las clases de costo",IF(NOT(ISNUMBER(E2258)),"ERROR: VALOR debe ser numérico",IF(E2258=0,"AVISO: valor cero (no se carga)",IF(J2258&lt;&gt;"ACTIVO","NO SE CARGA: CECO en estado "&amp;J2258,"OK"))))))))))</f>
        <v/>
      </c>
    </row>
    <row r="2259">
      <c r="A2259" s="5" t="n"/>
      <c r="B2259" s="6" t="n"/>
      <c r="C2259" s="5" t="n"/>
      <c r="D2259" s="6" t="n"/>
      <c r="E2259" s="7" t="n"/>
      <c r="F2259" s="6" t="n"/>
      <c r="G2259" s="8">
        <f>IF(B2259="","",IFERROR(VLOOKUP(--B2259,'CATALOGO CECO'!$A$2:$H$550,2,FALSE),"CECO NO EXISTE"))</f>
        <v/>
      </c>
      <c r="H2259" s="8">
        <f>IF(B2259="","",IFERROR(VLOOKUP(--B2259,'CATALOGO CECO'!$A$2:$H$550,3,FALSE),""))</f>
        <v/>
      </c>
      <c r="I2259" s="8">
        <f>IF(B2259="","",IFERROR(VLOOKUP(--B2259,'CATALOGO CECO'!$A$2:$H$550,5,FALSE),""))</f>
        <v/>
      </c>
      <c r="J2259" s="8">
        <f>IF(B2259="","",IFERROR(VLOOKUP(--B2259,'CATALOGO CECO'!$A$2:$H$550,8,FALSE),""))</f>
        <v/>
      </c>
      <c r="K2259" s="8">
        <f>IF(COUNTA(A2259:F2259)=0,"",IF(OR(LEN(A2259)&lt;&gt;7,MID(A2259,5,1)&lt;&gt;"-",ISERROR(--LEFT(A2259,4)),ISERROR(--RIGHT(A2259,2))),"ERROR: PERIODO debe ser AAAA-MM",IF(B2259="","ERROR: falta CODIGO CECO",IF(G2259="CECO NO EXISTE","ERROR: CECO no existe en el catálogo",IF(C2259="","ERROR: falta CUENTA",IF(ISERROR(--C2259),"ERROR: CUENTA debe tener solo dígitos",IF(ISERROR(FIND(LEFT(C2259,1),"567")),"ERROR: CUENTA fuera de las clases de costo",IF(NOT(ISNUMBER(E2259)),"ERROR: VALOR debe ser numérico",IF(E2259=0,"AVISO: valor cero (no se carga)",IF(J2259&lt;&gt;"ACTIVO","NO SE CARGA: CECO en estado "&amp;J2259,"OK"))))))))))</f>
        <v/>
      </c>
    </row>
    <row r="2260">
      <c r="A2260" s="5" t="n"/>
      <c r="B2260" s="6" t="n"/>
      <c r="C2260" s="5" t="n"/>
      <c r="D2260" s="6" t="n"/>
      <c r="E2260" s="7" t="n"/>
      <c r="F2260" s="6" t="n"/>
      <c r="G2260" s="8">
        <f>IF(B2260="","",IFERROR(VLOOKUP(--B2260,'CATALOGO CECO'!$A$2:$H$550,2,FALSE),"CECO NO EXISTE"))</f>
        <v/>
      </c>
      <c r="H2260" s="8">
        <f>IF(B2260="","",IFERROR(VLOOKUP(--B2260,'CATALOGO CECO'!$A$2:$H$550,3,FALSE),""))</f>
        <v/>
      </c>
      <c r="I2260" s="8">
        <f>IF(B2260="","",IFERROR(VLOOKUP(--B2260,'CATALOGO CECO'!$A$2:$H$550,5,FALSE),""))</f>
        <v/>
      </c>
      <c r="J2260" s="8">
        <f>IF(B2260="","",IFERROR(VLOOKUP(--B2260,'CATALOGO CECO'!$A$2:$H$550,8,FALSE),""))</f>
        <v/>
      </c>
      <c r="K2260" s="8">
        <f>IF(COUNTA(A2260:F2260)=0,"",IF(OR(LEN(A2260)&lt;&gt;7,MID(A2260,5,1)&lt;&gt;"-",ISERROR(--LEFT(A2260,4)),ISERROR(--RIGHT(A2260,2))),"ERROR: PERIODO debe ser AAAA-MM",IF(B2260="","ERROR: falta CODIGO CECO",IF(G2260="CECO NO EXISTE","ERROR: CECO no existe en el catálogo",IF(C2260="","ERROR: falta CUENTA",IF(ISERROR(--C2260),"ERROR: CUENTA debe tener solo dígitos",IF(ISERROR(FIND(LEFT(C2260,1),"567")),"ERROR: CUENTA fuera de las clases de costo",IF(NOT(ISNUMBER(E2260)),"ERROR: VALOR debe ser numérico",IF(E2260=0,"AVISO: valor cero (no se carga)",IF(J2260&lt;&gt;"ACTIVO","NO SE CARGA: CECO en estado "&amp;J2260,"OK"))))))))))</f>
        <v/>
      </c>
    </row>
    <row r="2261">
      <c r="A2261" s="5" t="n"/>
      <c r="B2261" s="6" t="n"/>
      <c r="C2261" s="5" t="n"/>
      <c r="D2261" s="6" t="n"/>
      <c r="E2261" s="7" t="n"/>
      <c r="F2261" s="6" t="n"/>
      <c r="G2261" s="8">
        <f>IF(B2261="","",IFERROR(VLOOKUP(--B2261,'CATALOGO CECO'!$A$2:$H$550,2,FALSE),"CECO NO EXISTE"))</f>
        <v/>
      </c>
      <c r="H2261" s="8">
        <f>IF(B2261="","",IFERROR(VLOOKUP(--B2261,'CATALOGO CECO'!$A$2:$H$550,3,FALSE),""))</f>
        <v/>
      </c>
      <c r="I2261" s="8">
        <f>IF(B2261="","",IFERROR(VLOOKUP(--B2261,'CATALOGO CECO'!$A$2:$H$550,5,FALSE),""))</f>
        <v/>
      </c>
      <c r="J2261" s="8">
        <f>IF(B2261="","",IFERROR(VLOOKUP(--B2261,'CATALOGO CECO'!$A$2:$H$550,8,FALSE),""))</f>
        <v/>
      </c>
      <c r="K2261" s="8">
        <f>IF(COUNTA(A2261:F2261)=0,"",IF(OR(LEN(A2261)&lt;&gt;7,MID(A2261,5,1)&lt;&gt;"-",ISERROR(--LEFT(A2261,4)),ISERROR(--RIGHT(A2261,2))),"ERROR: PERIODO debe ser AAAA-MM",IF(B2261="","ERROR: falta CODIGO CECO",IF(G2261="CECO NO EXISTE","ERROR: CECO no existe en el catálogo",IF(C2261="","ERROR: falta CUENTA",IF(ISERROR(--C2261),"ERROR: CUENTA debe tener solo dígitos",IF(ISERROR(FIND(LEFT(C2261,1),"567")),"ERROR: CUENTA fuera de las clases de costo",IF(NOT(ISNUMBER(E2261)),"ERROR: VALOR debe ser numérico",IF(E2261=0,"AVISO: valor cero (no se carga)",IF(J2261&lt;&gt;"ACTIVO","NO SE CARGA: CECO en estado "&amp;J2261,"OK"))))))))))</f>
        <v/>
      </c>
    </row>
    <row r="2262">
      <c r="A2262" s="5" t="n"/>
      <c r="B2262" s="6" t="n"/>
      <c r="C2262" s="5" t="n"/>
      <c r="D2262" s="6" t="n"/>
      <c r="E2262" s="7" t="n"/>
      <c r="F2262" s="6" t="n"/>
      <c r="G2262" s="8">
        <f>IF(B2262="","",IFERROR(VLOOKUP(--B2262,'CATALOGO CECO'!$A$2:$H$550,2,FALSE),"CECO NO EXISTE"))</f>
        <v/>
      </c>
      <c r="H2262" s="8">
        <f>IF(B2262="","",IFERROR(VLOOKUP(--B2262,'CATALOGO CECO'!$A$2:$H$550,3,FALSE),""))</f>
        <v/>
      </c>
      <c r="I2262" s="8">
        <f>IF(B2262="","",IFERROR(VLOOKUP(--B2262,'CATALOGO CECO'!$A$2:$H$550,5,FALSE),""))</f>
        <v/>
      </c>
      <c r="J2262" s="8">
        <f>IF(B2262="","",IFERROR(VLOOKUP(--B2262,'CATALOGO CECO'!$A$2:$H$550,8,FALSE),""))</f>
        <v/>
      </c>
      <c r="K2262" s="8">
        <f>IF(COUNTA(A2262:F2262)=0,"",IF(OR(LEN(A2262)&lt;&gt;7,MID(A2262,5,1)&lt;&gt;"-",ISERROR(--LEFT(A2262,4)),ISERROR(--RIGHT(A2262,2))),"ERROR: PERIODO debe ser AAAA-MM",IF(B2262="","ERROR: falta CODIGO CECO",IF(G2262="CECO NO EXISTE","ERROR: CECO no existe en el catálogo",IF(C2262="","ERROR: falta CUENTA",IF(ISERROR(--C2262),"ERROR: CUENTA debe tener solo dígitos",IF(ISERROR(FIND(LEFT(C2262,1),"567")),"ERROR: CUENTA fuera de las clases de costo",IF(NOT(ISNUMBER(E2262)),"ERROR: VALOR debe ser numérico",IF(E2262=0,"AVISO: valor cero (no se carga)",IF(J2262&lt;&gt;"ACTIVO","NO SE CARGA: CECO en estado "&amp;J2262,"OK"))))))))))</f>
        <v/>
      </c>
    </row>
    <row r="2263">
      <c r="A2263" s="5" t="n"/>
      <c r="B2263" s="6" t="n"/>
      <c r="C2263" s="5" t="n"/>
      <c r="D2263" s="6" t="n"/>
      <c r="E2263" s="7" t="n"/>
      <c r="F2263" s="6" t="n"/>
      <c r="G2263" s="8">
        <f>IF(B2263="","",IFERROR(VLOOKUP(--B2263,'CATALOGO CECO'!$A$2:$H$550,2,FALSE),"CECO NO EXISTE"))</f>
        <v/>
      </c>
      <c r="H2263" s="8">
        <f>IF(B2263="","",IFERROR(VLOOKUP(--B2263,'CATALOGO CECO'!$A$2:$H$550,3,FALSE),""))</f>
        <v/>
      </c>
      <c r="I2263" s="8">
        <f>IF(B2263="","",IFERROR(VLOOKUP(--B2263,'CATALOGO CECO'!$A$2:$H$550,5,FALSE),""))</f>
        <v/>
      </c>
      <c r="J2263" s="8">
        <f>IF(B2263="","",IFERROR(VLOOKUP(--B2263,'CATALOGO CECO'!$A$2:$H$550,8,FALSE),""))</f>
        <v/>
      </c>
      <c r="K2263" s="8">
        <f>IF(COUNTA(A2263:F2263)=0,"",IF(OR(LEN(A2263)&lt;&gt;7,MID(A2263,5,1)&lt;&gt;"-",ISERROR(--LEFT(A2263,4)),ISERROR(--RIGHT(A2263,2))),"ERROR: PERIODO debe ser AAAA-MM",IF(B2263="","ERROR: falta CODIGO CECO",IF(G2263="CECO NO EXISTE","ERROR: CECO no existe en el catálogo",IF(C2263="","ERROR: falta CUENTA",IF(ISERROR(--C2263),"ERROR: CUENTA debe tener solo dígitos",IF(ISERROR(FIND(LEFT(C2263,1),"567")),"ERROR: CUENTA fuera de las clases de costo",IF(NOT(ISNUMBER(E2263)),"ERROR: VALOR debe ser numérico",IF(E2263=0,"AVISO: valor cero (no se carga)",IF(J2263&lt;&gt;"ACTIVO","NO SE CARGA: CECO en estado "&amp;J2263,"OK"))))))))))</f>
        <v/>
      </c>
    </row>
    <row r="2264">
      <c r="A2264" s="5" t="n"/>
      <c r="B2264" s="6" t="n"/>
      <c r="C2264" s="5" t="n"/>
      <c r="D2264" s="6" t="n"/>
      <c r="E2264" s="7" t="n"/>
      <c r="F2264" s="6" t="n"/>
      <c r="G2264" s="8">
        <f>IF(B2264="","",IFERROR(VLOOKUP(--B2264,'CATALOGO CECO'!$A$2:$H$550,2,FALSE),"CECO NO EXISTE"))</f>
        <v/>
      </c>
      <c r="H2264" s="8">
        <f>IF(B2264="","",IFERROR(VLOOKUP(--B2264,'CATALOGO CECO'!$A$2:$H$550,3,FALSE),""))</f>
        <v/>
      </c>
      <c r="I2264" s="8">
        <f>IF(B2264="","",IFERROR(VLOOKUP(--B2264,'CATALOGO CECO'!$A$2:$H$550,5,FALSE),""))</f>
        <v/>
      </c>
      <c r="J2264" s="8">
        <f>IF(B2264="","",IFERROR(VLOOKUP(--B2264,'CATALOGO CECO'!$A$2:$H$550,8,FALSE),""))</f>
        <v/>
      </c>
      <c r="K2264" s="8">
        <f>IF(COUNTA(A2264:F2264)=0,"",IF(OR(LEN(A2264)&lt;&gt;7,MID(A2264,5,1)&lt;&gt;"-",ISERROR(--LEFT(A2264,4)),ISERROR(--RIGHT(A2264,2))),"ERROR: PERIODO debe ser AAAA-MM",IF(B2264="","ERROR: falta CODIGO CECO",IF(G2264="CECO NO EXISTE","ERROR: CECO no existe en el catálogo",IF(C2264="","ERROR: falta CUENTA",IF(ISERROR(--C2264),"ERROR: CUENTA debe tener solo dígitos",IF(ISERROR(FIND(LEFT(C2264,1),"567")),"ERROR: CUENTA fuera de las clases de costo",IF(NOT(ISNUMBER(E2264)),"ERROR: VALOR debe ser numérico",IF(E2264=0,"AVISO: valor cero (no se carga)",IF(J2264&lt;&gt;"ACTIVO","NO SE CARGA: CECO en estado "&amp;J2264,"OK"))))))))))</f>
        <v/>
      </c>
    </row>
    <row r="2265">
      <c r="A2265" s="5" t="n"/>
      <c r="B2265" s="6" t="n"/>
      <c r="C2265" s="5" t="n"/>
      <c r="D2265" s="6" t="n"/>
      <c r="E2265" s="7" t="n"/>
      <c r="F2265" s="6" t="n"/>
      <c r="G2265" s="8">
        <f>IF(B2265="","",IFERROR(VLOOKUP(--B2265,'CATALOGO CECO'!$A$2:$H$550,2,FALSE),"CECO NO EXISTE"))</f>
        <v/>
      </c>
      <c r="H2265" s="8">
        <f>IF(B2265="","",IFERROR(VLOOKUP(--B2265,'CATALOGO CECO'!$A$2:$H$550,3,FALSE),""))</f>
        <v/>
      </c>
      <c r="I2265" s="8">
        <f>IF(B2265="","",IFERROR(VLOOKUP(--B2265,'CATALOGO CECO'!$A$2:$H$550,5,FALSE),""))</f>
        <v/>
      </c>
      <c r="J2265" s="8">
        <f>IF(B2265="","",IFERROR(VLOOKUP(--B2265,'CATALOGO CECO'!$A$2:$H$550,8,FALSE),""))</f>
        <v/>
      </c>
      <c r="K2265" s="8">
        <f>IF(COUNTA(A2265:F2265)=0,"",IF(OR(LEN(A2265)&lt;&gt;7,MID(A2265,5,1)&lt;&gt;"-",ISERROR(--LEFT(A2265,4)),ISERROR(--RIGHT(A2265,2))),"ERROR: PERIODO debe ser AAAA-MM",IF(B2265="","ERROR: falta CODIGO CECO",IF(G2265="CECO NO EXISTE","ERROR: CECO no existe en el catálogo",IF(C2265="","ERROR: falta CUENTA",IF(ISERROR(--C2265),"ERROR: CUENTA debe tener solo dígitos",IF(ISERROR(FIND(LEFT(C2265,1),"567")),"ERROR: CUENTA fuera de las clases de costo",IF(NOT(ISNUMBER(E2265)),"ERROR: VALOR debe ser numérico",IF(E2265=0,"AVISO: valor cero (no se carga)",IF(J2265&lt;&gt;"ACTIVO","NO SE CARGA: CECO en estado "&amp;J2265,"OK"))))))))))</f>
        <v/>
      </c>
    </row>
    <row r="2266">
      <c r="A2266" s="5" t="n"/>
      <c r="B2266" s="6" t="n"/>
      <c r="C2266" s="5" t="n"/>
      <c r="D2266" s="6" t="n"/>
      <c r="E2266" s="7" t="n"/>
      <c r="F2266" s="6" t="n"/>
      <c r="G2266" s="8">
        <f>IF(B2266="","",IFERROR(VLOOKUP(--B2266,'CATALOGO CECO'!$A$2:$H$550,2,FALSE),"CECO NO EXISTE"))</f>
        <v/>
      </c>
      <c r="H2266" s="8">
        <f>IF(B2266="","",IFERROR(VLOOKUP(--B2266,'CATALOGO CECO'!$A$2:$H$550,3,FALSE),""))</f>
        <v/>
      </c>
      <c r="I2266" s="8">
        <f>IF(B2266="","",IFERROR(VLOOKUP(--B2266,'CATALOGO CECO'!$A$2:$H$550,5,FALSE),""))</f>
        <v/>
      </c>
      <c r="J2266" s="8">
        <f>IF(B2266="","",IFERROR(VLOOKUP(--B2266,'CATALOGO CECO'!$A$2:$H$550,8,FALSE),""))</f>
        <v/>
      </c>
      <c r="K2266" s="8">
        <f>IF(COUNTA(A2266:F2266)=0,"",IF(OR(LEN(A2266)&lt;&gt;7,MID(A2266,5,1)&lt;&gt;"-",ISERROR(--LEFT(A2266,4)),ISERROR(--RIGHT(A2266,2))),"ERROR: PERIODO debe ser AAAA-MM",IF(B2266="","ERROR: falta CODIGO CECO",IF(G2266="CECO NO EXISTE","ERROR: CECO no existe en el catálogo",IF(C2266="","ERROR: falta CUENTA",IF(ISERROR(--C2266),"ERROR: CUENTA debe tener solo dígitos",IF(ISERROR(FIND(LEFT(C2266,1),"567")),"ERROR: CUENTA fuera de las clases de costo",IF(NOT(ISNUMBER(E2266)),"ERROR: VALOR debe ser numérico",IF(E2266=0,"AVISO: valor cero (no se carga)",IF(J2266&lt;&gt;"ACTIVO","NO SE CARGA: CECO en estado "&amp;J2266,"OK"))))))))))</f>
        <v/>
      </c>
    </row>
    <row r="2267">
      <c r="A2267" s="5" t="n"/>
      <c r="B2267" s="6" t="n"/>
      <c r="C2267" s="5" t="n"/>
      <c r="D2267" s="6" t="n"/>
      <c r="E2267" s="7" t="n"/>
      <c r="F2267" s="6" t="n"/>
      <c r="G2267" s="8">
        <f>IF(B2267="","",IFERROR(VLOOKUP(--B2267,'CATALOGO CECO'!$A$2:$H$550,2,FALSE),"CECO NO EXISTE"))</f>
        <v/>
      </c>
      <c r="H2267" s="8">
        <f>IF(B2267="","",IFERROR(VLOOKUP(--B2267,'CATALOGO CECO'!$A$2:$H$550,3,FALSE),""))</f>
        <v/>
      </c>
      <c r="I2267" s="8">
        <f>IF(B2267="","",IFERROR(VLOOKUP(--B2267,'CATALOGO CECO'!$A$2:$H$550,5,FALSE),""))</f>
        <v/>
      </c>
      <c r="J2267" s="8">
        <f>IF(B2267="","",IFERROR(VLOOKUP(--B2267,'CATALOGO CECO'!$A$2:$H$550,8,FALSE),""))</f>
        <v/>
      </c>
      <c r="K2267" s="8">
        <f>IF(COUNTA(A2267:F2267)=0,"",IF(OR(LEN(A2267)&lt;&gt;7,MID(A2267,5,1)&lt;&gt;"-",ISERROR(--LEFT(A2267,4)),ISERROR(--RIGHT(A2267,2))),"ERROR: PERIODO debe ser AAAA-MM",IF(B2267="","ERROR: falta CODIGO CECO",IF(G2267="CECO NO EXISTE","ERROR: CECO no existe en el catálogo",IF(C2267="","ERROR: falta CUENTA",IF(ISERROR(--C2267),"ERROR: CUENTA debe tener solo dígitos",IF(ISERROR(FIND(LEFT(C2267,1),"567")),"ERROR: CUENTA fuera de las clases de costo",IF(NOT(ISNUMBER(E2267)),"ERROR: VALOR debe ser numérico",IF(E2267=0,"AVISO: valor cero (no se carga)",IF(J2267&lt;&gt;"ACTIVO","NO SE CARGA: CECO en estado "&amp;J2267,"OK"))))))))))</f>
        <v/>
      </c>
    </row>
    <row r="2268">
      <c r="A2268" s="5" t="n"/>
      <c r="B2268" s="6" t="n"/>
      <c r="C2268" s="5" t="n"/>
      <c r="D2268" s="6" t="n"/>
      <c r="E2268" s="7" t="n"/>
      <c r="F2268" s="6" t="n"/>
      <c r="G2268" s="8">
        <f>IF(B2268="","",IFERROR(VLOOKUP(--B2268,'CATALOGO CECO'!$A$2:$H$550,2,FALSE),"CECO NO EXISTE"))</f>
        <v/>
      </c>
      <c r="H2268" s="8">
        <f>IF(B2268="","",IFERROR(VLOOKUP(--B2268,'CATALOGO CECO'!$A$2:$H$550,3,FALSE),""))</f>
        <v/>
      </c>
      <c r="I2268" s="8">
        <f>IF(B2268="","",IFERROR(VLOOKUP(--B2268,'CATALOGO CECO'!$A$2:$H$550,5,FALSE),""))</f>
        <v/>
      </c>
      <c r="J2268" s="8">
        <f>IF(B2268="","",IFERROR(VLOOKUP(--B2268,'CATALOGO CECO'!$A$2:$H$550,8,FALSE),""))</f>
        <v/>
      </c>
      <c r="K2268" s="8">
        <f>IF(COUNTA(A2268:F2268)=0,"",IF(OR(LEN(A2268)&lt;&gt;7,MID(A2268,5,1)&lt;&gt;"-",ISERROR(--LEFT(A2268,4)),ISERROR(--RIGHT(A2268,2))),"ERROR: PERIODO debe ser AAAA-MM",IF(B2268="","ERROR: falta CODIGO CECO",IF(G2268="CECO NO EXISTE","ERROR: CECO no existe en el catálogo",IF(C2268="","ERROR: falta CUENTA",IF(ISERROR(--C2268),"ERROR: CUENTA debe tener solo dígitos",IF(ISERROR(FIND(LEFT(C2268,1),"567")),"ERROR: CUENTA fuera de las clases de costo",IF(NOT(ISNUMBER(E2268)),"ERROR: VALOR debe ser numérico",IF(E2268=0,"AVISO: valor cero (no se carga)",IF(J2268&lt;&gt;"ACTIVO","NO SE CARGA: CECO en estado "&amp;J2268,"OK"))))))))))</f>
        <v/>
      </c>
    </row>
    <row r="2269">
      <c r="A2269" s="5" t="n"/>
      <c r="B2269" s="6" t="n"/>
      <c r="C2269" s="5" t="n"/>
      <c r="D2269" s="6" t="n"/>
      <c r="E2269" s="7" t="n"/>
      <c r="F2269" s="6" t="n"/>
      <c r="G2269" s="8">
        <f>IF(B2269="","",IFERROR(VLOOKUP(--B2269,'CATALOGO CECO'!$A$2:$H$550,2,FALSE),"CECO NO EXISTE"))</f>
        <v/>
      </c>
      <c r="H2269" s="8">
        <f>IF(B2269="","",IFERROR(VLOOKUP(--B2269,'CATALOGO CECO'!$A$2:$H$550,3,FALSE),""))</f>
        <v/>
      </c>
      <c r="I2269" s="8">
        <f>IF(B2269="","",IFERROR(VLOOKUP(--B2269,'CATALOGO CECO'!$A$2:$H$550,5,FALSE),""))</f>
        <v/>
      </c>
      <c r="J2269" s="8">
        <f>IF(B2269="","",IFERROR(VLOOKUP(--B2269,'CATALOGO CECO'!$A$2:$H$550,8,FALSE),""))</f>
        <v/>
      </c>
      <c r="K2269" s="8">
        <f>IF(COUNTA(A2269:F2269)=0,"",IF(OR(LEN(A2269)&lt;&gt;7,MID(A2269,5,1)&lt;&gt;"-",ISERROR(--LEFT(A2269,4)),ISERROR(--RIGHT(A2269,2))),"ERROR: PERIODO debe ser AAAA-MM",IF(B2269="","ERROR: falta CODIGO CECO",IF(G2269="CECO NO EXISTE","ERROR: CECO no existe en el catálogo",IF(C2269="","ERROR: falta CUENTA",IF(ISERROR(--C2269),"ERROR: CUENTA debe tener solo dígitos",IF(ISERROR(FIND(LEFT(C2269,1),"567")),"ERROR: CUENTA fuera de las clases de costo",IF(NOT(ISNUMBER(E2269)),"ERROR: VALOR debe ser numérico",IF(E2269=0,"AVISO: valor cero (no se carga)",IF(J2269&lt;&gt;"ACTIVO","NO SE CARGA: CECO en estado "&amp;J2269,"OK"))))))))))</f>
        <v/>
      </c>
    </row>
    <row r="2270">
      <c r="A2270" s="5" t="n"/>
      <c r="B2270" s="6" t="n"/>
      <c r="C2270" s="5" t="n"/>
      <c r="D2270" s="6" t="n"/>
      <c r="E2270" s="7" t="n"/>
      <c r="F2270" s="6" t="n"/>
      <c r="G2270" s="8">
        <f>IF(B2270="","",IFERROR(VLOOKUP(--B2270,'CATALOGO CECO'!$A$2:$H$550,2,FALSE),"CECO NO EXISTE"))</f>
        <v/>
      </c>
      <c r="H2270" s="8">
        <f>IF(B2270="","",IFERROR(VLOOKUP(--B2270,'CATALOGO CECO'!$A$2:$H$550,3,FALSE),""))</f>
        <v/>
      </c>
      <c r="I2270" s="8">
        <f>IF(B2270="","",IFERROR(VLOOKUP(--B2270,'CATALOGO CECO'!$A$2:$H$550,5,FALSE),""))</f>
        <v/>
      </c>
      <c r="J2270" s="8">
        <f>IF(B2270="","",IFERROR(VLOOKUP(--B2270,'CATALOGO CECO'!$A$2:$H$550,8,FALSE),""))</f>
        <v/>
      </c>
      <c r="K2270" s="8">
        <f>IF(COUNTA(A2270:F2270)=0,"",IF(OR(LEN(A2270)&lt;&gt;7,MID(A2270,5,1)&lt;&gt;"-",ISERROR(--LEFT(A2270,4)),ISERROR(--RIGHT(A2270,2))),"ERROR: PERIODO debe ser AAAA-MM",IF(B2270="","ERROR: falta CODIGO CECO",IF(G2270="CECO NO EXISTE","ERROR: CECO no existe en el catálogo",IF(C2270="","ERROR: falta CUENTA",IF(ISERROR(--C2270),"ERROR: CUENTA debe tener solo dígitos",IF(ISERROR(FIND(LEFT(C2270,1),"567")),"ERROR: CUENTA fuera de las clases de costo",IF(NOT(ISNUMBER(E2270)),"ERROR: VALOR debe ser numérico",IF(E2270=0,"AVISO: valor cero (no se carga)",IF(J2270&lt;&gt;"ACTIVO","NO SE CARGA: CECO en estado "&amp;J2270,"OK"))))))))))</f>
        <v/>
      </c>
    </row>
    <row r="2271">
      <c r="A2271" s="5" t="n"/>
      <c r="B2271" s="6" t="n"/>
      <c r="C2271" s="5" t="n"/>
      <c r="D2271" s="6" t="n"/>
      <c r="E2271" s="7" t="n"/>
      <c r="F2271" s="6" t="n"/>
      <c r="G2271" s="8">
        <f>IF(B2271="","",IFERROR(VLOOKUP(--B2271,'CATALOGO CECO'!$A$2:$H$550,2,FALSE),"CECO NO EXISTE"))</f>
        <v/>
      </c>
      <c r="H2271" s="8">
        <f>IF(B2271="","",IFERROR(VLOOKUP(--B2271,'CATALOGO CECO'!$A$2:$H$550,3,FALSE),""))</f>
        <v/>
      </c>
      <c r="I2271" s="8">
        <f>IF(B2271="","",IFERROR(VLOOKUP(--B2271,'CATALOGO CECO'!$A$2:$H$550,5,FALSE),""))</f>
        <v/>
      </c>
      <c r="J2271" s="8">
        <f>IF(B2271="","",IFERROR(VLOOKUP(--B2271,'CATALOGO CECO'!$A$2:$H$550,8,FALSE),""))</f>
        <v/>
      </c>
      <c r="K2271" s="8">
        <f>IF(COUNTA(A2271:F2271)=0,"",IF(OR(LEN(A2271)&lt;&gt;7,MID(A2271,5,1)&lt;&gt;"-",ISERROR(--LEFT(A2271,4)),ISERROR(--RIGHT(A2271,2))),"ERROR: PERIODO debe ser AAAA-MM",IF(B2271="","ERROR: falta CODIGO CECO",IF(G2271="CECO NO EXISTE","ERROR: CECO no existe en el catálogo",IF(C2271="","ERROR: falta CUENTA",IF(ISERROR(--C2271),"ERROR: CUENTA debe tener solo dígitos",IF(ISERROR(FIND(LEFT(C2271,1),"567")),"ERROR: CUENTA fuera de las clases de costo",IF(NOT(ISNUMBER(E2271)),"ERROR: VALOR debe ser numérico",IF(E2271=0,"AVISO: valor cero (no se carga)",IF(J2271&lt;&gt;"ACTIVO","NO SE CARGA: CECO en estado "&amp;J2271,"OK"))))))))))</f>
        <v/>
      </c>
    </row>
    <row r="2272">
      <c r="A2272" s="5" t="n"/>
      <c r="B2272" s="6" t="n"/>
      <c r="C2272" s="5" t="n"/>
      <c r="D2272" s="6" t="n"/>
      <c r="E2272" s="7" t="n"/>
      <c r="F2272" s="6" t="n"/>
      <c r="G2272" s="8">
        <f>IF(B2272="","",IFERROR(VLOOKUP(--B2272,'CATALOGO CECO'!$A$2:$H$550,2,FALSE),"CECO NO EXISTE"))</f>
        <v/>
      </c>
      <c r="H2272" s="8">
        <f>IF(B2272="","",IFERROR(VLOOKUP(--B2272,'CATALOGO CECO'!$A$2:$H$550,3,FALSE),""))</f>
        <v/>
      </c>
      <c r="I2272" s="8">
        <f>IF(B2272="","",IFERROR(VLOOKUP(--B2272,'CATALOGO CECO'!$A$2:$H$550,5,FALSE),""))</f>
        <v/>
      </c>
      <c r="J2272" s="8">
        <f>IF(B2272="","",IFERROR(VLOOKUP(--B2272,'CATALOGO CECO'!$A$2:$H$550,8,FALSE),""))</f>
        <v/>
      </c>
      <c r="K2272" s="8">
        <f>IF(COUNTA(A2272:F2272)=0,"",IF(OR(LEN(A2272)&lt;&gt;7,MID(A2272,5,1)&lt;&gt;"-",ISERROR(--LEFT(A2272,4)),ISERROR(--RIGHT(A2272,2))),"ERROR: PERIODO debe ser AAAA-MM",IF(B2272="","ERROR: falta CODIGO CECO",IF(G2272="CECO NO EXISTE","ERROR: CECO no existe en el catálogo",IF(C2272="","ERROR: falta CUENTA",IF(ISERROR(--C2272),"ERROR: CUENTA debe tener solo dígitos",IF(ISERROR(FIND(LEFT(C2272,1),"567")),"ERROR: CUENTA fuera de las clases de costo",IF(NOT(ISNUMBER(E2272)),"ERROR: VALOR debe ser numérico",IF(E2272=0,"AVISO: valor cero (no se carga)",IF(J2272&lt;&gt;"ACTIVO","NO SE CARGA: CECO en estado "&amp;J2272,"OK"))))))))))</f>
        <v/>
      </c>
    </row>
    <row r="2273">
      <c r="A2273" s="5" t="n"/>
      <c r="B2273" s="6" t="n"/>
      <c r="C2273" s="5" t="n"/>
      <c r="D2273" s="6" t="n"/>
      <c r="E2273" s="7" t="n"/>
      <c r="F2273" s="6" t="n"/>
      <c r="G2273" s="8">
        <f>IF(B2273="","",IFERROR(VLOOKUP(--B2273,'CATALOGO CECO'!$A$2:$H$550,2,FALSE),"CECO NO EXISTE"))</f>
        <v/>
      </c>
      <c r="H2273" s="8">
        <f>IF(B2273="","",IFERROR(VLOOKUP(--B2273,'CATALOGO CECO'!$A$2:$H$550,3,FALSE),""))</f>
        <v/>
      </c>
      <c r="I2273" s="8">
        <f>IF(B2273="","",IFERROR(VLOOKUP(--B2273,'CATALOGO CECO'!$A$2:$H$550,5,FALSE),""))</f>
        <v/>
      </c>
      <c r="J2273" s="8">
        <f>IF(B2273="","",IFERROR(VLOOKUP(--B2273,'CATALOGO CECO'!$A$2:$H$550,8,FALSE),""))</f>
        <v/>
      </c>
      <c r="K2273" s="8">
        <f>IF(COUNTA(A2273:F2273)=0,"",IF(OR(LEN(A2273)&lt;&gt;7,MID(A2273,5,1)&lt;&gt;"-",ISERROR(--LEFT(A2273,4)),ISERROR(--RIGHT(A2273,2))),"ERROR: PERIODO debe ser AAAA-MM",IF(B2273="","ERROR: falta CODIGO CECO",IF(G2273="CECO NO EXISTE","ERROR: CECO no existe en el catálogo",IF(C2273="","ERROR: falta CUENTA",IF(ISERROR(--C2273),"ERROR: CUENTA debe tener solo dígitos",IF(ISERROR(FIND(LEFT(C2273,1),"567")),"ERROR: CUENTA fuera de las clases de costo",IF(NOT(ISNUMBER(E2273)),"ERROR: VALOR debe ser numérico",IF(E2273=0,"AVISO: valor cero (no se carga)",IF(J2273&lt;&gt;"ACTIVO","NO SE CARGA: CECO en estado "&amp;J2273,"OK"))))))))))</f>
        <v/>
      </c>
    </row>
    <row r="2274">
      <c r="A2274" s="5" t="n"/>
      <c r="B2274" s="6" t="n"/>
      <c r="C2274" s="5" t="n"/>
      <c r="D2274" s="6" t="n"/>
      <c r="E2274" s="7" t="n"/>
      <c r="F2274" s="6" t="n"/>
      <c r="G2274" s="8">
        <f>IF(B2274="","",IFERROR(VLOOKUP(--B2274,'CATALOGO CECO'!$A$2:$H$550,2,FALSE),"CECO NO EXISTE"))</f>
        <v/>
      </c>
      <c r="H2274" s="8">
        <f>IF(B2274="","",IFERROR(VLOOKUP(--B2274,'CATALOGO CECO'!$A$2:$H$550,3,FALSE),""))</f>
        <v/>
      </c>
      <c r="I2274" s="8">
        <f>IF(B2274="","",IFERROR(VLOOKUP(--B2274,'CATALOGO CECO'!$A$2:$H$550,5,FALSE),""))</f>
        <v/>
      </c>
      <c r="J2274" s="8">
        <f>IF(B2274="","",IFERROR(VLOOKUP(--B2274,'CATALOGO CECO'!$A$2:$H$550,8,FALSE),""))</f>
        <v/>
      </c>
      <c r="K2274" s="8">
        <f>IF(COUNTA(A2274:F2274)=0,"",IF(OR(LEN(A2274)&lt;&gt;7,MID(A2274,5,1)&lt;&gt;"-",ISERROR(--LEFT(A2274,4)),ISERROR(--RIGHT(A2274,2))),"ERROR: PERIODO debe ser AAAA-MM",IF(B2274="","ERROR: falta CODIGO CECO",IF(G2274="CECO NO EXISTE","ERROR: CECO no existe en el catálogo",IF(C2274="","ERROR: falta CUENTA",IF(ISERROR(--C2274),"ERROR: CUENTA debe tener solo dígitos",IF(ISERROR(FIND(LEFT(C2274,1),"567")),"ERROR: CUENTA fuera de las clases de costo",IF(NOT(ISNUMBER(E2274)),"ERROR: VALOR debe ser numérico",IF(E2274=0,"AVISO: valor cero (no se carga)",IF(J2274&lt;&gt;"ACTIVO","NO SE CARGA: CECO en estado "&amp;J2274,"OK"))))))))))</f>
        <v/>
      </c>
    </row>
    <row r="2275">
      <c r="A2275" s="5" t="n"/>
      <c r="B2275" s="6" t="n"/>
      <c r="C2275" s="5" t="n"/>
      <c r="D2275" s="6" t="n"/>
      <c r="E2275" s="7" t="n"/>
      <c r="F2275" s="6" t="n"/>
      <c r="G2275" s="8">
        <f>IF(B2275="","",IFERROR(VLOOKUP(--B2275,'CATALOGO CECO'!$A$2:$H$550,2,FALSE),"CECO NO EXISTE"))</f>
        <v/>
      </c>
      <c r="H2275" s="8">
        <f>IF(B2275="","",IFERROR(VLOOKUP(--B2275,'CATALOGO CECO'!$A$2:$H$550,3,FALSE),""))</f>
        <v/>
      </c>
      <c r="I2275" s="8">
        <f>IF(B2275="","",IFERROR(VLOOKUP(--B2275,'CATALOGO CECO'!$A$2:$H$550,5,FALSE),""))</f>
        <v/>
      </c>
      <c r="J2275" s="8">
        <f>IF(B2275="","",IFERROR(VLOOKUP(--B2275,'CATALOGO CECO'!$A$2:$H$550,8,FALSE),""))</f>
        <v/>
      </c>
      <c r="K2275" s="8">
        <f>IF(COUNTA(A2275:F2275)=0,"",IF(OR(LEN(A2275)&lt;&gt;7,MID(A2275,5,1)&lt;&gt;"-",ISERROR(--LEFT(A2275,4)),ISERROR(--RIGHT(A2275,2))),"ERROR: PERIODO debe ser AAAA-MM",IF(B2275="","ERROR: falta CODIGO CECO",IF(G2275="CECO NO EXISTE","ERROR: CECO no existe en el catálogo",IF(C2275="","ERROR: falta CUENTA",IF(ISERROR(--C2275),"ERROR: CUENTA debe tener solo dígitos",IF(ISERROR(FIND(LEFT(C2275,1),"567")),"ERROR: CUENTA fuera de las clases de costo",IF(NOT(ISNUMBER(E2275)),"ERROR: VALOR debe ser numérico",IF(E2275=0,"AVISO: valor cero (no se carga)",IF(J2275&lt;&gt;"ACTIVO","NO SE CARGA: CECO en estado "&amp;J2275,"OK"))))))))))</f>
        <v/>
      </c>
    </row>
    <row r="2276">
      <c r="A2276" s="5" t="n"/>
      <c r="B2276" s="6" t="n"/>
      <c r="C2276" s="5" t="n"/>
      <c r="D2276" s="6" t="n"/>
      <c r="E2276" s="7" t="n"/>
      <c r="F2276" s="6" t="n"/>
      <c r="G2276" s="8">
        <f>IF(B2276="","",IFERROR(VLOOKUP(--B2276,'CATALOGO CECO'!$A$2:$H$550,2,FALSE),"CECO NO EXISTE"))</f>
        <v/>
      </c>
      <c r="H2276" s="8">
        <f>IF(B2276="","",IFERROR(VLOOKUP(--B2276,'CATALOGO CECO'!$A$2:$H$550,3,FALSE),""))</f>
        <v/>
      </c>
      <c r="I2276" s="8">
        <f>IF(B2276="","",IFERROR(VLOOKUP(--B2276,'CATALOGO CECO'!$A$2:$H$550,5,FALSE),""))</f>
        <v/>
      </c>
      <c r="J2276" s="8">
        <f>IF(B2276="","",IFERROR(VLOOKUP(--B2276,'CATALOGO CECO'!$A$2:$H$550,8,FALSE),""))</f>
        <v/>
      </c>
      <c r="K2276" s="8">
        <f>IF(COUNTA(A2276:F2276)=0,"",IF(OR(LEN(A2276)&lt;&gt;7,MID(A2276,5,1)&lt;&gt;"-",ISERROR(--LEFT(A2276,4)),ISERROR(--RIGHT(A2276,2))),"ERROR: PERIODO debe ser AAAA-MM",IF(B2276="","ERROR: falta CODIGO CECO",IF(G2276="CECO NO EXISTE","ERROR: CECO no existe en el catálogo",IF(C2276="","ERROR: falta CUENTA",IF(ISERROR(--C2276),"ERROR: CUENTA debe tener solo dígitos",IF(ISERROR(FIND(LEFT(C2276,1),"567")),"ERROR: CUENTA fuera de las clases de costo",IF(NOT(ISNUMBER(E2276)),"ERROR: VALOR debe ser numérico",IF(E2276=0,"AVISO: valor cero (no se carga)",IF(J2276&lt;&gt;"ACTIVO","NO SE CARGA: CECO en estado "&amp;J2276,"OK"))))))))))</f>
        <v/>
      </c>
    </row>
    <row r="2277">
      <c r="A2277" s="5" t="n"/>
      <c r="B2277" s="6" t="n"/>
      <c r="C2277" s="5" t="n"/>
      <c r="D2277" s="6" t="n"/>
      <c r="E2277" s="7" t="n"/>
      <c r="F2277" s="6" t="n"/>
      <c r="G2277" s="8">
        <f>IF(B2277="","",IFERROR(VLOOKUP(--B2277,'CATALOGO CECO'!$A$2:$H$550,2,FALSE),"CECO NO EXISTE"))</f>
        <v/>
      </c>
      <c r="H2277" s="8">
        <f>IF(B2277="","",IFERROR(VLOOKUP(--B2277,'CATALOGO CECO'!$A$2:$H$550,3,FALSE),""))</f>
        <v/>
      </c>
      <c r="I2277" s="8">
        <f>IF(B2277="","",IFERROR(VLOOKUP(--B2277,'CATALOGO CECO'!$A$2:$H$550,5,FALSE),""))</f>
        <v/>
      </c>
      <c r="J2277" s="8">
        <f>IF(B2277="","",IFERROR(VLOOKUP(--B2277,'CATALOGO CECO'!$A$2:$H$550,8,FALSE),""))</f>
        <v/>
      </c>
      <c r="K2277" s="8">
        <f>IF(COUNTA(A2277:F2277)=0,"",IF(OR(LEN(A2277)&lt;&gt;7,MID(A2277,5,1)&lt;&gt;"-",ISERROR(--LEFT(A2277,4)),ISERROR(--RIGHT(A2277,2))),"ERROR: PERIODO debe ser AAAA-MM",IF(B2277="","ERROR: falta CODIGO CECO",IF(G2277="CECO NO EXISTE","ERROR: CECO no existe en el catálogo",IF(C2277="","ERROR: falta CUENTA",IF(ISERROR(--C2277),"ERROR: CUENTA debe tener solo dígitos",IF(ISERROR(FIND(LEFT(C2277,1),"567")),"ERROR: CUENTA fuera de las clases de costo",IF(NOT(ISNUMBER(E2277)),"ERROR: VALOR debe ser numérico",IF(E2277=0,"AVISO: valor cero (no se carga)",IF(J2277&lt;&gt;"ACTIVO","NO SE CARGA: CECO en estado "&amp;J2277,"OK"))))))))))</f>
        <v/>
      </c>
    </row>
    <row r="2278">
      <c r="A2278" s="5" t="n"/>
      <c r="B2278" s="6" t="n"/>
      <c r="C2278" s="5" t="n"/>
      <c r="D2278" s="6" t="n"/>
      <c r="E2278" s="7" t="n"/>
      <c r="F2278" s="6" t="n"/>
      <c r="G2278" s="8">
        <f>IF(B2278="","",IFERROR(VLOOKUP(--B2278,'CATALOGO CECO'!$A$2:$H$550,2,FALSE),"CECO NO EXISTE"))</f>
        <v/>
      </c>
      <c r="H2278" s="8">
        <f>IF(B2278="","",IFERROR(VLOOKUP(--B2278,'CATALOGO CECO'!$A$2:$H$550,3,FALSE),""))</f>
        <v/>
      </c>
      <c r="I2278" s="8">
        <f>IF(B2278="","",IFERROR(VLOOKUP(--B2278,'CATALOGO CECO'!$A$2:$H$550,5,FALSE),""))</f>
        <v/>
      </c>
      <c r="J2278" s="8">
        <f>IF(B2278="","",IFERROR(VLOOKUP(--B2278,'CATALOGO CECO'!$A$2:$H$550,8,FALSE),""))</f>
        <v/>
      </c>
      <c r="K2278" s="8">
        <f>IF(COUNTA(A2278:F2278)=0,"",IF(OR(LEN(A2278)&lt;&gt;7,MID(A2278,5,1)&lt;&gt;"-",ISERROR(--LEFT(A2278,4)),ISERROR(--RIGHT(A2278,2))),"ERROR: PERIODO debe ser AAAA-MM",IF(B2278="","ERROR: falta CODIGO CECO",IF(G2278="CECO NO EXISTE","ERROR: CECO no existe en el catálogo",IF(C2278="","ERROR: falta CUENTA",IF(ISERROR(--C2278),"ERROR: CUENTA debe tener solo dígitos",IF(ISERROR(FIND(LEFT(C2278,1),"567")),"ERROR: CUENTA fuera de las clases de costo",IF(NOT(ISNUMBER(E2278)),"ERROR: VALOR debe ser numérico",IF(E2278=0,"AVISO: valor cero (no se carga)",IF(J2278&lt;&gt;"ACTIVO","NO SE CARGA: CECO en estado "&amp;J2278,"OK"))))))))))</f>
        <v/>
      </c>
    </row>
    <row r="2279">
      <c r="A2279" s="5" t="n"/>
      <c r="B2279" s="6" t="n"/>
      <c r="C2279" s="5" t="n"/>
      <c r="D2279" s="6" t="n"/>
      <c r="E2279" s="7" t="n"/>
      <c r="F2279" s="6" t="n"/>
      <c r="G2279" s="8">
        <f>IF(B2279="","",IFERROR(VLOOKUP(--B2279,'CATALOGO CECO'!$A$2:$H$550,2,FALSE),"CECO NO EXISTE"))</f>
        <v/>
      </c>
      <c r="H2279" s="8">
        <f>IF(B2279="","",IFERROR(VLOOKUP(--B2279,'CATALOGO CECO'!$A$2:$H$550,3,FALSE),""))</f>
        <v/>
      </c>
      <c r="I2279" s="8">
        <f>IF(B2279="","",IFERROR(VLOOKUP(--B2279,'CATALOGO CECO'!$A$2:$H$550,5,FALSE),""))</f>
        <v/>
      </c>
      <c r="J2279" s="8">
        <f>IF(B2279="","",IFERROR(VLOOKUP(--B2279,'CATALOGO CECO'!$A$2:$H$550,8,FALSE),""))</f>
        <v/>
      </c>
      <c r="K2279" s="8">
        <f>IF(COUNTA(A2279:F2279)=0,"",IF(OR(LEN(A2279)&lt;&gt;7,MID(A2279,5,1)&lt;&gt;"-",ISERROR(--LEFT(A2279,4)),ISERROR(--RIGHT(A2279,2))),"ERROR: PERIODO debe ser AAAA-MM",IF(B2279="","ERROR: falta CODIGO CECO",IF(G2279="CECO NO EXISTE","ERROR: CECO no existe en el catálogo",IF(C2279="","ERROR: falta CUENTA",IF(ISERROR(--C2279),"ERROR: CUENTA debe tener solo dígitos",IF(ISERROR(FIND(LEFT(C2279,1),"567")),"ERROR: CUENTA fuera de las clases de costo",IF(NOT(ISNUMBER(E2279)),"ERROR: VALOR debe ser numérico",IF(E2279=0,"AVISO: valor cero (no se carga)",IF(J2279&lt;&gt;"ACTIVO","NO SE CARGA: CECO en estado "&amp;J2279,"OK"))))))))))</f>
        <v/>
      </c>
    </row>
    <row r="2280">
      <c r="A2280" s="5" t="n"/>
      <c r="B2280" s="6" t="n"/>
      <c r="C2280" s="5" t="n"/>
      <c r="D2280" s="6" t="n"/>
      <c r="E2280" s="7" t="n"/>
      <c r="F2280" s="6" t="n"/>
      <c r="G2280" s="8">
        <f>IF(B2280="","",IFERROR(VLOOKUP(--B2280,'CATALOGO CECO'!$A$2:$H$550,2,FALSE),"CECO NO EXISTE"))</f>
        <v/>
      </c>
      <c r="H2280" s="8">
        <f>IF(B2280="","",IFERROR(VLOOKUP(--B2280,'CATALOGO CECO'!$A$2:$H$550,3,FALSE),""))</f>
        <v/>
      </c>
      <c r="I2280" s="8">
        <f>IF(B2280="","",IFERROR(VLOOKUP(--B2280,'CATALOGO CECO'!$A$2:$H$550,5,FALSE),""))</f>
        <v/>
      </c>
      <c r="J2280" s="8">
        <f>IF(B2280="","",IFERROR(VLOOKUP(--B2280,'CATALOGO CECO'!$A$2:$H$550,8,FALSE),""))</f>
        <v/>
      </c>
      <c r="K2280" s="8">
        <f>IF(COUNTA(A2280:F2280)=0,"",IF(OR(LEN(A2280)&lt;&gt;7,MID(A2280,5,1)&lt;&gt;"-",ISERROR(--LEFT(A2280,4)),ISERROR(--RIGHT(A2280,2))),"ERROR: PERIODO debe ser AAAA-MM",IF(B2280="","ERROR: falta CODIGO CECO",IF(G2280="CECO NO EXISTE","ERROR: CECO no existe en el catálogo",IF(C2280="","ERROR: falta CUENTA",IF(ISERROR(--C2280),"ERROR: CUENTA debe tener solo dígitos",IF(ISERROR(FIND(LEFT(C2280,1),"567")),"ERROR: CUENTA fuera de las clases de costo",IF(NOT(ISNUMBER(E2280)),"ERROR: VALOR debe ser numérico",IF(E2280=0,"AVISO: valor cero (no se carga)",IF(J2280&lt;&gt;"ACTIVO","NO SE CARGA: CECO en estado "&amp;J2280,"OK"))))))))))</f>
        <v/>
      </c>
    </row>
    <row r="2281">
      <c r="A2281" s="5" t="n"/>
      <c r="B2281" s="6" t="n"/>
      <c r="C2281" s="5" t="n"/>
      <c r="D2281" s="6" t="n"/>
      <c r="E2281" s="7" t="n"/>
      <c r="F2281" s="6" t="n"/>
      <c r="G2281" s="8">
        <f>IF(B2281="","",IFERROR(VLOOKUP(--B2281,'CATALOGO CECO'!$A$2:$H$550,2,FALSE),"CECO NO EXISTE"))</f>
        <v/>
      </c>
      <c r="H2281" s="8">
        <f>IF(B2281="","",IFERROR(VLOOKUP(--B2281,'CATALOGO CECO'!$A$2:$H$550,3,FALSE),""))</f>
        <v/>
      </c>
      <c r="I2281" s="8">
        <f>IF(B2281="","",IFERROR(VLOOKUP(--B2281,'CATALOGO CECO'!$A$2:$H$550,5,FALSE),""))</f>
        <v/>
      </c>
      <c r="J2281" s="8">
        <f>IF(B2281="","",IFERROR(VLOOKUP(--B2281,'CATALOGO CECO'!$A$2:$H$550,8,FALSE),""))</f>
        <v/>
      </c>
      <c r="K2281" s="8">
        <f>IF(COUNTA(A2281:F2281)=0,"",IF(OR(LEN(A2281)&lt;&gt;7,MID(A2281,5,1)&lt;&gt;"-",ISERROR(--LEFT(A2281,4)),ISERROR(--RIGHT(A2281,2))),"ERROR: PERIODO debe ser AAAA-MM",IF(B2281="","ERROR: falta CODIGO CECO",IF(G2281="CECO NO EXISTE","ERROR: CECO no existe en el catálogo",IF(C2281="","ERROR: falta CUENTA",IF(ISERROR(--C2281),"ERROR: CUENTA debe tener solo dígitos",IF(ISERROR(FIND(LEFT(C2281,1),"567")),"ERROR: CUENTA fuera de las clases de costo",IF(NOT(ISNUMBER(E2281)),"ERROR: VALOR debe ser numérico",IF(E2281=0,"AVISO: valor cero (no se carga)",IF(J2281&lt;&gt;"ACTIVO","NO SE CARGA: CECO en estado "&amp;J2281,"OK"))))))))))</f>
        <v/>
      </c>
    </row>
    <row r="2282">
      <c r="A2282" s="5" t="n"/>
      <c r="B2282" s="6" t="n"/>
      <c r="C2282" s="5" t="n"/>
      <c r="D2282" s="6" t="n"/>
      <c r="E2282" s="7" t="n"/>
      <c r="F2282" s="6" t="n"/>
      <c r="G2282" s="8">
        <f>IF(B2282="","",IFERROR(VLOOKUP(--B2282,'CATALOGO CECO'!$A$2:$H$550,2,FALSE),"CECO NO EXISTE"))</f>
        <v/>
      </c>
      <c r="H2282" s="8">
        <f>IF(B2282="","",IFERROR(VLOOKUP(--B2282,'CATALOGO CECO'!$A$2:$H$550,3,FALSE),""))</f>
        <v/>
      </c>
      <c r="I2282" s="8">
        <f>IF(B2282="","",IFERROR(VLOOKUP(--B2282,'CATALOGO CECO'!$A$2:$H$550,5,FALSE),""))</f>
        <v/>
      </c>
      <c r="J2282" s="8">
        <f>IF(B2282="","",IFERROR(VLOOKUP(--B2282,'CATALOGO CECO'!$A$2:$H$550,8,FALSE),""))</f>
        <v/>
      </c>
      <c r="K2282" s="8">
        <f>IF(COUNTA(A2282:F2282)=0,"",IF(OR(LEN(A2282)&lt;&gt;7,MID(A2282,5,1)&lt;&gt;"-",ISERROR(--LEFT(A2282,4)),ISERROR(--RIGHT(A2282,2))),"ERROR: PERIODO debe ser AAAA-MM",IF(B2282="","ERROR: falta CODIGO CECO",IF(G2282="CECO NO EXISTE","ERROR: CECO no existe en el catálogo",IF(C2282="","ERROR: falta CUENTA",IF(ISERROR(--C2282),"ERROR: CUENTA debe tener solo dígitos",IF(ISERROR(FIND(LEFT(C2282,1),"567")),"ERROR: CUENTA fuera de las clases de costo",IF(NOT(ISNUMBER(E2282)),"ERROR: VALOR debe ser numérico",IF(E2282=0,"AVISO: valor cero (no se carga)",IF(J2282&lt;&gt;"ACTIVO","NO SE CARGA: CECO en estado "&amp;J2282,"OK"))))))))))</f>
        <v/>
      </c>
    </row>
    <row r="2283">
      <c r="A2283" s="5" t="n"/>
      <c r="B2283" s="6" t="n"/>
      <c r="C2283" s="5" t="n"/>
      <c r="D2283" s="6" t="n"/>
      <c r="E2283" s="7" t="n"/>
      <c r="F2283" s="6" t="n"/>
      <c r="G2283" s="8">
        <f>IF(B2283="","",IFERROR(VLOOKUP(--B2283,'CATALOGO CECO'!$A$2:$H$550,2,FALSE),"CECO NO EXISTE"))</f>
        <v/>
      </c>
      <c r="H2283" s="8">
        <f>IF(B2283="","",IFERROR(VLOOKUP(--B2283,'CATALOGO CECO'!$A$2:$H$550,3,FALSE),""))</f>
        <v/>
      </c>
      <c r="I2283" s="8">
        <f>IF(B2283="","",IFERROR(VLOOKUP(--B2283,'CATALOGO CECO'!$A$2:$H$550,5,FALSE),""))</f>
        <v/>
      </c>
      <c r="J2283" s="8">
        <f>IF(B2283="","",IFERROR(VLOOKUP(--B2283,'CATALOGO CECO'!$A$2:$H$550,8,FALSE),""))</f>
        <v/>
      </c>
      <c r="K2283" s="8">
        <f>IF(COUNTA(A2283:F2283)=0,"",IF(OR(LEN(A2283)&lt;&gt;7,MID(A2283,5,1)&lt;&gt;"-",ISERROR(--LEFT(A2283,4)),ISERROR(--RIGHT(A2283,2))),"ERROR: PERIODO debe ser AAAA-MM",IF(B2283="","ERROR: falta CODIGO CECO",IF(G2283="CECO NO EXISTE","ERROR: CECO no existe en el catálogo",IF(C2283="","ERROR: falta CUENTA",IF(ISERROR(--C2283),"ERROR: CUENTA debe tener solo dígitos",IF(ISERROR(FIND(LEFT(C2283,1),"567")),"ERROR: CUENTA fuera de las clases de costo",IF(NOT(ISNUMBER(E2283)),"ERROR: VALOR debe ser numérico",IF(E2283=0,"AVISO: valor cero (no se carga)",IF(J2283&lt;&gt;"ACTIVO","NO SE CARGA: CECO en estado "&amp;J2283,"OK"))))))))))</f>
        <v/>
      </c>
    </row>
    <row r="2284">
      <c r="A2284" s="5" t="n"/>
      <c r="B2284" s="6" t="n"/>
      <c r="C2284" s="5" t="n"/>
      <c r="D2284" s="6" t="n"/>
      <c r="E2284" s="7" t="n"/>
      <c r="F2284" s="6" t="n"/>
      <c r="G2284" s="8">
        <f>IF(B2284="","",IFERROR(VLOOKUP(--B2284,'CATALOGO CECO'!$A$2:$H$550,2,FALSE),"CECO NO EXISTE"))</f>
        <v/>
      </c>
      <c r="H2284" s="8">
        <f>IF(B2284="","",IFERROR(VLOOKUP(--B2284,'CATALOGO CECO'!$A$2:$H$550,3,FALSE),""))</f>
        <v/>
      </c>
      <c r="I2284" s="8">
        <f>IF(B2284="","",IFERROR(VLOOKUP(--B2284,'CATALOGO CECO'!$A$2:$H$550,5,FALSE),""))</f>
        <v/>
      </c>
      <c r="J2284" s="8">
        <f>IF(B2284="","",IFERROR(VLOOKUP(--B2284,'CATALOGO CECO'!$A$2:$H$550,8,FALSE),""))</f>
        <v/>
      </c>
      <c r="K2284" s="8">
        <f>IF(COUNTA(A2284:F2284)=0,"",IF(OR(LEN(A2284)&lt;&gt;7,MID(A2284,5,1)&lt;&gt;"-",ISERROR(--LEFT(A2284,4)),ISERROR(--RIGHT(A2284,2))),"ERROR: PERIODO debe ser AAAA-MM",IF(B2284="","ERROR: falta CODIGO CECO",IF(G2284="CECO NO EXISTE","ERROR: CECO no existe en el catálogo",IF(C2284="","ERROR: falta CUENTA",IF(ISERROR(--C2284),"ERROR: CUENTA debe tener solo dígitos",IF(ISERROR(FIND(LEFT(C2284,1),"567")),"ERROR: CUENTA fuera de las clases de costo",IF(NOT(ISNUMBER(E2284)),"ERROR: VALOR debe ser numérico",IF(E2284=0,"AVISO: valor cero (no se carga)",IF(J2284&lt;&gt;"ACTIVO","NO SE CARGA: CECO en estado "&amp;J2284,"OK"))))))))))</f>
        <v/>
      </c>
    </row>
    <row r="2285">
      <c r="A2285" s="5" t="n"/>
      <c r="B2285" s="6" t="n"/>
      <c r="C2285" s="5" t="n"/>
      <c r="D2285" s="6" t="n"/>
      <c r="E2285" s="7" t="n"/>
      <c r="F2285" s="6" t="n"/>
      <c r="G2285" s="8">
        <f>IF(B2285="","",IFERROR(VLOOKUP(--B2285,'CATALOGO CECO'!$A$2:$H$550,2,FALSE),"CECO NO EXISTE"))</f>
        <v/>
      </c>
      <c r="H2285" s="8">
        <f>IF(B2285="","",IFERROR(VLOOKUP(--B2285,'CATALOGO CECO'!$A$2:$H$550,3,FALSE),""))</f>
        <v/>
      </c>
      <c r="I2285" s="8">
        <f>IF(B2285="","",IFERROR(VLOOKUP(--B2285,'CATALOGO CECO'!$A$2:$H$550,5,FALSE),""))</f>
        <v/>
      </c>
      <c r="J2285" s="8">
        <f>IF(B2285="","",IFERROR(VLOOKUP(--B2285,'CATALOGO CECO'!$A$2:$H$550,8,FALSE),""))</f>
        <v/>
      </c>
      <c r="K2285" s="8">
        <f>IF(COUNTA(A2285:F2285)=0,"",IF(OR(LEN(A2285)&lt;&gt;7,MID(A2285,5,1)&lt;&gt;"-",ISERROR(--LEFT(A2285,4)),ISERROR(--RIGHT(A2285,2))),"ERROR: PERIODO debe ser AAAA-MM",IF(B2285="","ERROR: falta CODIGO CECO",IF(G2285="CECO NO EXISTE","ERROR: CECO no existe en el catálogo",IF(C2285="","ERROR: falta CUENTA",IF(ISERROR(--C2285),"ERROR: CUENTA debe tener solo dígitos",IF(ISERROR(FIND(LEFT(C2285,1),"567")),"ERROR: CUENTA fuera de las clases de costo",IF(NOT(ISNUMBER(E2285)),"ERROR: VALOR debe ser numérico",IF(E2285=0,"AVISO: valor cero (no se carga)",IF(J2285&lt;&gt;"ACTIVO","NO SE CARGA: CECO en estado "&amp;J2285,"OK"))))))))))</f>
        <v/>
      </c>
    </row>
    <row r="2286">
      <c r="A2286" s="5" t="n"/>
      <c r="B2286" s="6" t="n"/>
      <c r="C2286" s="5" t="n"/>
      <c r="D2286" s="6" t="n"/>
      <c r="E2286" s="7" t="n"/>
      <c r="F2286" s="6" t="n"/>
      <c r="G2286" s="8">
        <f>IF(B2286="","",IFERROR(VLOOKUP(--B2286,'CATALOGO CECO'!$A$2:$H$550,2,FALSE),"CECO NO EXISTE"))</f>
        <v/>
      </c>
      <c r="H2286" s="8">
        <f>IF(B2286="","",IFERROR(VLOOKUP(--B2286,'CATALOGO CECO'!$A$2:$H$550,3,FALSE),""))</f>
        <v/>
      </c>
      <c r="I2286" s="8">
        <f>IF(B2286="","",IFERROR(VLOOKUP(--B2286,'CATALOGO CECO'!$A$2:$H$550,5,FALSE),""))</f>
        <v/>
      </c>
      <c r="J2286" s="8">
        <f>IF(B2286="","",IFERROR(VLOOKUP(--B2286,'CATALOGO CECO'!$A$2:$H$550,8,FALSE),""))</f>
        <v/>
      </c>
      <c r="K2286" s="8">
        <f>IF(COUNTA(A2286:F2286)=0,"",IF(OR(LEN(A2286)&lt;&gt;7,MID(A2286,5,1)&lt;&gt;"-",ISERROR(--LEFT(A2286,4)),ISERROR(--RIGHT(A2286,2))),"ERROR: PERIODO debe ser AAAA-MM",IF(B2286="","ERROR: falta CODIGO CECO",IF(G2286="CECO NO EXISTE","ERROR: CECO no existe en el catálogo",IF(C2286="","ERROR: falta CUENTA",IF(ISERROR(--C2286),"ERROR: CUENTA debe tener solo dígitos",IF(ISERROR(FIND(LEFT(C2286,1),"567")),"ERROR: CUENTA fuera de las clases de costo",IF(NOT(ISNUMBER(E2286)),"ERROR: VALOR debe ser numérico",IF(E2286=0,"AVISO: valor cero (no se carga)",IF(J2286&lt;&gt;"ACTIVO","NO SE CARGA: CECO en estado "&amp;J2286,"OK"))))))))))</f>
        <v/>
      </c>
    </row>
    <row r="2287">
      <c r="A2287" s="5" t="n"/>
      <c r="B2287" s="6" t="n"/>
      <c r="C2287" s="5" t="n"/>
      <c r="D2287" s="6" t="n"/>
      <c r="E2287" s="7" t="n"/>
      <c r="F2287" s="6" t="n"/>
      <c r="G2287" s="8">
        <f>IF(B2287="","",IFERROR(VLOOKUP(--B2287,'CATALOGO CECO'!$A$2:$H$550,2,FALSE),"CECO NO EXISTE"))</f>
        <v/>
      </c>
      <c r="H2287" s="8">
        <f>IF(B2287="","",IFERROR(VLOOKUP(--B2287,'CATALOGO CECO'!$A$2:$H$550,3,FALSE),""))</f>
        <v/>
      </c>
      <c r="I2287" s="8">
        <f>IF(B2287="","",IFERROR(VLOOKUP(--B2287,'CATALOGO CECO'!$A$2:$H$550,5,FALSE),""))</f>
        <v/>
      </c>
      <c r="J2287" s="8">
        <f>IF(B2287="","",IFERROR(VLOOKUP(--B2287,'CATALOGO CECO'!$A$2:$H$550,8,FALSE),""))</f>
        <v/>
      </c>
      <c r="K2287" s="8">
        <f>IF(COUNTA(A2287:F2287)=0,"",IF(OR(LEN(A2287)&lt;&gt;7,MID(A2287,5,1)&lt;&gt;"-",ISERROR(--LEFT(A2287,4)),ISERROR(--RIGHT(A2287,2))),"ERROR: PERIODO debe ser AAAA-MM",IF(B2287="","ERROR: falta CODIGO CECO",IF(G2287="CECO NO EXISTE","ERROR: CECO no existe en el catálogo",IF(C2287="","ERROR: falta CUENTA",IF(ISERROR(--C2287),"ERROR: CUENTA debe tener solo dígitos",IF(ISERROR(FIND(LEFT(C2287,1),"567")),"ERROR: CUENTA fuera de las clases de costo",IF(NOT(ISNUMBER(E2287)),"ERROR: VALOR debe ser numérico",IF(E2287=0,"AVISO: valor cero (no se carga)",IF(J2287&lt;&gt;"ACTIVO","NO SE CARGA: CECO en estado "&amp;J2287,"OK"))))))))))</f>
        <v/>
      </c>
    </row>
    <row r="2288">
      <c r="A2288" s="5" t="n"/>
      <c r="B2288" s="6" t="n"/>
      <c r="C2288" s="5" t="n"/>
      <c r="D2288" s="6" t="n"/>
      <c r="E2288" s="7" t="n"/>
      <c r="F2288" s="6" t="n"/>
      <c r="G2288" s="8">
        <f>IF(B2288="","",IFERROR(VLOOKUP(--B2288,'CATALOGO CECO'!$A$2:$H$550,2,FALSE),"CECO NO EXISTE"))</f>
        <v/>
      </c>
      <c r="H2288" s="8">
        <f>IF(B2288="","",IFERROR(VLOOKUP(--B2288,'CATALOGO CECO'!$A$2:$H$550,3,FALSE),""))</f>
        <v/>
      </c>
      <c r="I2288" s="8">
        <f>IF(B2288="","",IFERROR(VLOOKUP(--B2288,'CATALOGO CECO'!$A$2:$H$550,5,FALSE),""))</f>
        <v/>
      </c>
      <c r="J2288" s="8">
        <f>IF(B2288="","",IFERROR(VLOOKUP(--B2288,'CATALOGO CECO'!$A$2:$H$550,8,FALSE),""))</f>
        <v/>
      </c>
      <c r="K2288" s="8">
        <f>IF(COUNTA(A2288:F2288)=0,"",IF(OR(LEN(A2288)&lt;&gt;7,MID(A2288,5,1)&lt;&gt;"-",ISERROR(--LEFT(A2288,4)),ISERROR(--RIGHT(A2288,2))),"ERROR: PERIODO debe ser AAAA-MM",IF(B2288="","ERROR: falta CODIGO CECO",IF(G2288="CECO NO EXISTE","ERROR: CECO no existe en el catálogo",IF(C2288="","ERROR: falta CUENTA",IF(ISERROR(--C2288),"ERROR: CUENTA debe tener solo dígitos",IF(ISERROR(FIND(LEFT(C2288,1),"567")),"ERROR: CUENTA fuera de las clases de costo",IF(NOT(ISNUMBER(E2288)),"ERROR: VALOR debe ser numérico",IF(E2288=0,"AVISO: valor cero (no se carga)",IF(J2288&lt;&gt;"ACTIVO","NO SE CARGA: CECO en estado "&amp;J2288,"OK"))))))))))</f>
        <v/>
      </c>
    </row>
    <row r="2289">
      <c r="A2289" s="5" t="n"/>
      <c r="B2289" s="6" t="n"/>
      <c r="C2289" s="5" t="n"/>
      <c r="D2289" s="6" t="n"/>
      <c r="E2289" s="7" t="n"/>
      <c r="F2289" s="6" t="n"/>
      <c r="G2289" s="8">
        <f>IF(B2289="","",IFERROR(VLOOKUP(--B2289,'CATALOGO CECO'!$A$2:$H$550,2,FALSE),"CECO NO EXISTE"))</f>
        <v/>
      </c>
      <c r="H2289" s="8">
        <f>IF(B2289="","",IFERROR(VLOOKUP(--B2289,'CATALOGO CECO'!$A$2:$H$550,3,FALSE),""))</f>
        <v/>
      </c>
      <c r="I2289" s="8">
        <f>IF(B2289="","",IFERROR(VLOOKUP(--B2289,'CATALOGO CECO'!$A$2:$H$550,5,FALSE),""))</f>
        <v/>
      </c>
      <c r="J2289" s="8">
        <f>IF(B2289="","",IFERROR(VLOOKUP(--B2289,'CATALOGO CECO'!$A$2:$H$550,8,FALSE),""))</f>
        <v/>
      </c>
      <c r="K2289" s="8">
        <f>IF(COUNTA(A2289:F2289)=0,"",IF(OR(LEN(A2289)&lt;&gt;7,MID(A2289,5,1)&lt;&gt;"-",ISERROR(--LEFT(A2289,4)),ISERROR(--RIGHT(A2289,2))),"ERROR: PERIODO debe ser AAAA-MM",IF(B2289="","ERROR: falta CODIGO CECO",IF(G2289="CECO NO EXISTE","ERROR: CECO no existe en el catálogo",IF(C2289="","ERROR: falta CUENTA",IF(ISERROR(--C2289),"ERROR: CUENTA debe tener solo dígitos",IF(ISERROR(FIND(LEFT(C2289,1),"567")),"ERROR: CUENTA fuera de las clases de costo",IF(NOT(ISNUMBER(E2289)),"ERROR: VALOR debe ser numérico",IF(E2289=0,"AVISO: valor cero (no se carga)",IF(J2289&lt;&gt;"ACTIVO","NO SE CARGA: CECO en estado "&amp;J2289,"OK"))))))))))</f>
        <v/>
      </c>
    </row>
    <row r="2290">
      <c r="A2290" s="5" t="n"/>
      <c r="B2290" s="6" t="n"/>
      <c r="C2290" s="5" t="n"/>
      <c r="D2290" s="6" t="n"/>
      <c r="E2290" s="7" t="n"/>
      <c r="F2290" s="6" t="n"/>
      <c r="G2290" s="8">
        <f>IF(B2290="","",IFERROR(VLOOKUP(--B2290,'CATALOGO CECO'!$A$2:$H$550,2,FALSE),"CECO NO EXISTE"))</f>
        <v/>
      </c>
      <c r="H2290" s="8">
        <f>IF(B2290="","",IFERROR(VLOOKUP(--B2290,'CATALOGO CECO'!$A$2:$H$550,3,FALSE),""))</f>
        <v/>
      </c>
      <c r="I2290" s="8">
        <f>IF(B2290="","",IFERROR(VLOOKUP(--B2290,'CATALOGO CECO'!$A$2:$H$550,5,FALSE),""))</f>
        <v/>
      </c>
      <c r="J2290" s="8">
        <f>IF(B2290="","",IFERROR(VLOOKUP(--B2290,'CATALOGO CECO'!$A$2:$H$550,8,FALSE),""))</f>
        <v/>
      </c>
      <c r="K2290" s="8">
        <f>IF(COUNTA(A2290:F2290)=0,"",IF(OR(LEN(A2290)&lt;&gt;7,MID(A2290,5,1)&lt;&gt;"-",ISERROR(--LEFT(A2290,4)),ISERROR(--RIGHT(A2290,2))),"ERROR: PERIODO debe ser AAAA-MM",IF(B2290="","ERROR: falta CODIGO CECO",IF(G2290="CECO NO EXISTE","ERROR: CECO no existe en el catálogo",IF(C2290="","ERROR: falta CUENTA",IF(ISERROR(--C2290),"ERROR: CUENTA debe tener solo dígitos",IF(ISERROR(FIND(LEFT(C2290,1),"567")),"ERROR: CUENTA fuera de las clases de costo",IF(NOT(ISNUMBER(E2290)),"ERROR: VALOR debe ser numérico",IF(E2290=0,"AVISO: valor cero (no se carga)",IF(J2290&lt;&gt;"ACTIVO","NO SE CARGA: CECO en estado "&amp;J2290,"OK"))))))))))</f>
        <v/>
      </c>
    </row>
    <row r="2291">
      <c r="A2291" s="5" t="n"/>
      <c r="B2291" s="6" t="n"/>
      <c r="C2291" s="5" t="n"/>
      <c r="D2291" s="6" t="n"/>
      <c r="E2291" s="7" t="n"/>
      <c r="F2291" s="6" t="n"/>
      <c r="G2291" s="8">
        <f>IF(B2291="","",IFERROR(VLOOKUP(--B2291,'CATALOGO CECO'!$A$2:$H$550,2,FALSE),"CECO NO EXISTE"))</f>
        <v/>
      </c>
      <c r="H2291" s="8">
        <f>IF(B2291="","",IFERROR(VLOOKUP(--B2291,'CATALOGO CECO'!$A$2:$H$550,3,FALSE),""))</f>
        <v/>
      </c>
      <c r="I2291" s="8">
        <f>IF(B2291="","",IFERROR(VLOOKUP(--B2291,'CATALOGO CECO'!$A$2:$H$550,5,FALSE),""))</f>
        <v/>
      </c>
      <c r="J2291" s="8">
        <f>IF(B2291="","",IFERROR(VLOOKUP(--B2291,'CATALOGO CECO'!$A$2:$H$550,8,FALSE),""))</f>
        <v/>
      </c>
      <c r="K2291" s="8">
        <f>IF(COUNTA(A2291:F2291)=0,"",IF(OR(LEN(A2291)&lt;&gt;7,MID(A2291,5,1)&lt;&gt;"-",ISERROR(--LEFT(A2291,4)),ISERROR(--RIGHT(A2291,2))),"ERROR: PERIODO debe ser AAAA-MM",IF(B2291="","ERROR: falta CODIGO CECO",IF(G2291="CECO NO EXISTE","ERROR: CECO no existe en el catálogo",IF(C2291="","ERROR: falta CUENTA",IF(ISERROR(--C2291),"ERROR: CUENTA debe tener solo dígitos",IF(ISERROR(FIND(LEFT(C2291,1),"567")),"ERROR: CUENTA fuera de las clases de costo",IF(NOT(ISNUMBER(E2291)),"ERROR: VALOR debe ser numérico",IF(E2291=0,"AVISO: valor cero (no se carga)",IF(J2291&lt;&gt;"ACTIVO","NO SE CARGA: CECO en estado "&amp;J2291,"OK"))))))))))</f>
        <v/>
      </c>
    </row>
    <row r="2292">
      <c r="A2292" s="5" t="n"/>
      <c r="B2292" s="6" t="n"/>
      <c r="C2292" s="5" t="n"/>
      <c r="D2292" s="6" t="n"/>
      <c r="E2292" s="7" t="n"/>
      <c r="F2292" s="6" t="n"/>
      <c r="G2292" s="8">
        <f>IF(B2292="","",IFERROR(VLOOKUP(--B2292,'CATALOGO CECO'!$A$2:$H$550,2,FALSE),"CECO NO EXISTE"))</f>
        <v/>
      </c>
      <c r="H2292" s="8">
        <f>IF(B2292="","",IFERROR(VLOOKUP(--B2292,'CATALOGO CECO'!$A$2:$H$550,3,FALSE),""))</f>
        <v/>
      </c>
      <c r="I2292" s="8">
        <f>IF(B2292="","",IFERROR(VLOOKUP(--B2292,'CATALOGO CECO'!$A$2:$H$550,5,FALSE),""))</f>
        <v/>
      </c>
      <c r="J2292" s="8">
        <f>IF(B2292="","",IFERROR(VLOOKUP(--B2292,'CATALOGO CECO'!$A$2:$H$550,8,FALSE),""))</f>
        <v/>
      </c>
      <c r="K2292" s="8">
        <f>IF(COUNTA(A2292:F2292)=0,"",IF(OR(LEN(A2292)&lt;&gt;7,MID(A2292,5,1)&lt;&gt;"-",ISERROR(--LEFT(A2292,4)),ISERROR(--RIGHT(A2292,2))),"ERROR: PERIODO debe ser AAAA-MM",IF(B2292="","ERROR: falta CODIGO CECO",IF(G2292="CECO NO EXISTE","ERROR: CECO no existe en el catálogo",IF(C2292="","ERROR: falta CUENTA",IF(ISERROR(--C2292),"ERROR: CUENTA debe tener solo dígitos",IF(ISERROR(FIND(LEFT(C2292,1),"567")),"ERROR: CUENTA fuera de las clases de costo",IF(NOT(ISNUMBER(E2292)),"ERROR: VALOR debe ser numérico",IF(E2292=0,"AVISO: valor cero (no se carga)",IF(J2292&lt;&gt;"ACTIVO","NO SE CARGA: CECO en estado "&amp;J2292,"OK"))))))))))</f>
        <v/>
      </c>
    </row>
    <row r="2293">
      <c r="A2293" s="5" t="n"/>
      <c r="B2293" s="6" t="n"/>
      <c r="C2293" s="5" t="n"/>
      <c r="D2293" s="6" t="n"/>
      <c r="E2293" s="7" t="n"/>
      <c r="F2293" s="6" t="n"/>
      <c r="G2293" s="8">
        <f>IF(B2293="","",IFERROR(VLOOKUP(--B2293,'CATALOGO CECO'!$A$2:$H$550,2,FALSE),"CECO NO EXISTE"))</f>
        <v/>
      </c>
      <c r="H2293" s="8">
        <f>IF(B2293="","",IFERROR(VLOOKUP(--B2293,'CATALOGO CECO'!$A$2:$H$550,3,FALSE),""))</f>
        <v/>
      </c>
      <c r="I2293" s="8">
        <f>IF(B2293="","",IFERROR(VLOOKUP(--B2293,'CATALOGO CECO'!$A$2:$H$550,5,FALSE),""))</f>
        <v/>
      </c>
      <c r="J2293" s="8">
        <f>IF(B2293="","",IFERROR(VLOOKUP(--B2293,'CATALOGO CECO'!$A$2:$H$550,8,FALSE),""))</f>
        <v/>
      </c>
      <c r="K2293" s="8">
        <f>IF(COUNTA(A2293:F2293)=0,"",IF(OR(LEN(A2293)&lt;&gt;7,MID(A2293,5,1)&lt;&gt;"-",ISERROR(--LEFT(A2293,4)),ISERROR(--RIGHT(A2293,2))),"ERROR: PERIODO debe ser AAAA-MM",IF(B2293="","ERROR: falta CODIGO CECO",IF(G2293="CECO NO EXISTE","ERROR: CECO no existe en el catálogo",IF(C2293="","ERROR: falta CUENTA",IF(ISERROR(--C2293),"ERROR: CUENTA debe tener solo dígitos",IF(ISERROR(FIND(LEFT(C2293,1),"567")),"ERROR: CUENTA fuera de las clases de costo",IF(NOT(ISNUMBER(E2293)),"ERROR: VALOR debe ser numérico",IF(E2293=0,"AVISO: valor cero (no se carga)",IF(J2293&lt;&gt;"ACTIVO","NO SE CARGA: CECO en estado "&amp;J2293,"OK"))))))))))</f>
        <v/>
      </c>
    </row>
    <row r="2294">
      <c r="A2294" s="5" t="n"/>
      <c r="B2294" s="6" t="n"/>
      <c r="C2294" s="5" t="n"/>
      <c r="D2294" s="6" t="n"/>
      <c r="E2294" s="7" t="n"/>
      <c r="F2294" s="6" t="n"/>
      <c r="G2294" s="8">
        <f>IF(B2294="","",IFERROR(VLOOKUP(--B2294,'CATALOGO CECO'!$A$2:$H$550,2,FALSE),"CECO NO EXISTE"))</f>
        <v/>
      </c>
      <c r="H2294" s="8">
        <f>IF(B2294="","",IFERROR(VLOOKUP(--B2294,'CATALOGO CECO'!$A$2:$H$550,3,FALSE),""))</f>
        <v/>
      </c>
      <c r="I2294" s="8">
        <f>IF(B2294="","",IFERROR(VLOOKUP(--B2294,'CATALOGO CECO'!$A$2:$H$550,5,FALSE),""))</f>
        <v/>
      </c>
      <c r="J2294" s="8">
        <f>IF(B2294="","",IFERROR(VLOOKUP(--B2294,'CATALOGO CECO'!$A$2:$H$550,8,FALSE),""))</f>
        <v/>
      </c>
      <c r="K2294" s="8">
        <f>IF(COUNTA(A2294:F2294)=0,"",IF(OR(LEN(A2294)&lt;&gt;7,MID(A2294,5,1)&lt;&gt;"-",ISERROR(--LEFT(A2294,4)),ISERROR(--RIGHT(A2294,2))),"ERROR: PERIODO debe ser AAAA-MM",IF(B2294="","ERROR: falta CODIGO CECO",IF(G2294="CECO NO EXISTE","ERROR: CECO no existe en el catálogo",IF(C2294="","ERROR: falta CUENTA",IF(ISERROR(--C2294),"ERROR: CUENTA debe tener solo dígitos",IF(ISERROR(FIND(LEFT(C2294,1),"567")),"ERROR: CUENTA fuera de las clases de costo",IF(NOT(ISNUMBER(E2294)),"ERROR: VALOR debe ser numérico",IF(E2294=0,"AVISO: valor cero (no se carga)",IF(J2294&lt;&gt;"ACTIVO","NO SE CARGA: CECO en estado "&amp;J2294,"OK"))))))))))</f>
        <v/>
      </c>
    </row>
    <row r="2295">
      <c r="A2295" s="5" t="n"/>
      <c r="B2295" s="6" t="n"/>
      <c r="C2295" s="5" t="n"/>
      <c r="D2295" s="6" t="n"/>
      <c r="E2295" s="7" t="n"/>
      <c r="F2295" s="6" t="n"/>
      <c r="G2295" s="8">
        <f>IF(B2295="","",IFERROR(VLOOKUP(--B2295,'CATALOGO CECO'!$A$2:$H$550,2,FALSE),"CECO NO EXISTE"))</f>
        <v/>
      </c>
      <c r="H2295" s="8">
        <f>IF(B2295="","",IFERROR(VLOOKUP(--B2295,'CATALOGO CECO'!$A$2:$H$550,3,FALSE),""))</f>
        <v/>
      </c>
      <c r="I2295" s="8">
        <f>IF(B2295="","",IFERROR(VLOOKUP(--B2295,'CATALOGO CECO'!$A$2:$H$550,5,FALSE),""))</f>
        <v/>
      </c>
      <c r="J2295" s="8">
        <f>IF(B2295="","",IFERROR(VLOOKUP(--B2295,'CATALOGO CECO'!$A$2:$H$550,8,FALSE),""))</f>
        <v/>
      </c>
      <c r="K2295" s="8">
        <f>IF(COUNTA(A2295:F2295)=0,"",IF(OR(LEN(A2295)&lt;&gt;7,MID(A2295,5,1)&lt;&gt;"-",ISERROR(--LEFT(A2295,4)),ISERROR(--RIGHT(A2295,2))),"ERROR: PERIODO debe ser AAAA-MM",IF(B2295="","ERROR: falta CODIGO CECO",IF(G2295="CECO NO EXISTE","ERROR: CECO no existe en el catálogo",IF(C2295="","ERROR: falta CUENTA",IF(ISERROR(--C2295),"ERROR: CUENTA debe tener solo dígitos",IF(ISERROR(FIND(LEFT(C2295,1),"567")),"ERROR: CUENTA fuera de las clases de costo",IF(NOT(ISNUMBER(E2295)),"ERROR: VALOR debe ser numérico",IF(E2295=0,"AVISO: valor cero (no se carga)",IF(J2295&lt;&gt;"ACTIVO","NO SE CARGA: CECO en estado "&amp;J2295,"OK"))))))))))</f>
        <v/>
      </c>
    </row>
    <row r="2296">
      <c r="A2296" s="5" t="n"/>
      <c r="B2296" s="6" t="n"/>
      <c r="C2296" s="5" t="n"/>
      <c r="D2296" s="6" t="n"/>
      <c r="E2296" s="7" t="n"/>
      <c r="F2296" s="6" t="n"/>
      <c r="G2296" s="8">
        <f>IF(B2296="","",IFERROR(VLOOKUP(--B2296,'CATALOGO CECO'!$A$2:$H$550,2,FALSE),"CECO NO EXISTE"))</f>
        <v/>
      </c>
      <c r="H2296" s="8">
        <f>IF(B2296="","",IFERROR(VLOOKUP(--B2296,'CATALOGO CECO'!$A$2:$H$550,3,FALSE),""))</f>
        <v/>
      </c>
      <c r="I2296" s="8">
        <f>IF(B2296="","",IFERROR(VLOOKUP(--B2296,'CATALOGO CECO'!$A$2:$H$550,5,FALSE),""))</f>
        <v/>
      </c>
      <c r="J2296" s="8">
        <f>IF(B2296="","",IFERROR(VLOOKUP(--B2296,'CATALOGO CECO'!$A$2:$H$550,8,FALSE),""))</f>
        <v/>
      </c>
      <c r="K2296" s="8">
        <f>IF(COUNTA(A2296:F2296)=0,"",IF(OR(LEN(A2296)&lt;&gt;7,MID(A2296,5,1)&lt;&gt;"-",ISERROR(--LEFT(A2296,4)),ISERROR(--RIGHT(A2296,2))),"ERROR: PERIODO debe ser AAAA-MM",IF(B2296="","ERROR: falta CODIGO CECO",IF(G2296="CECO NO EXISTE","ERROR: CECO no existe en el catálogo",IF(C2296="","ERROR: falta CUENTA",IF(ISERROR(--C2296),"ERROR: CUENTA debe tener solo dígitos",IF(ISERROR(FIND(LEFT(C2296,1),"567")),"ERROR: CUENTA fuera de las clases de costo",IF(NOT(ISNUMBER(E2296)),"ERROR: VALOR debe ser numérico",IF(E2296=0,"AVISO: valor cero (no se carga)",IF(J2296&lt;&gt;"ACTIVO","NO SE CARGA: CECO en estado "&amp;J2296,"OK"))))))))))</f>
        <v/>
      </c>
    </row>
    <row r="2297">
      <c r="A2297" s="5" t="n"/>
      <c r="B2297" s="6" t="n"/>
      <c r="C2297" s="5" t="n"/>
      <c r="D2297" s="6" t="n"/>
      <c r="E2297" s="7" t="n"/>
      <c r="F2297" s="6" t="n"/>
      <c r="G2297" s="8">
        <f>IF(B2297="","",IFERROR(VLOOKUP(--B2297,'CATALOGO CECO'!$A$2:$H$550,2,FALSE),"CECO NO EXISTE"))</f>
        <v/>
      </c>
      <c r="H2297" s="8">
        <f>IF(B2297="","",IFERROR(VLOOKUP(--B2297,'CATALOGO CECO'!$A$2:$H$550,3,FALSE),""))</f>
        <v/>
      </c>
      <c r="I2297" s="8">
        <f>IF(B2297="","",IFERROR(VLOOKUP(--B2297,'CATALOGO CECO'!$A$2:$H$550,5,FALSE),""))</f>
        <v/>
      </c>
      <c r="J2297" s="8">
        <f>IF(B2297="","",IFERROR(VLOOKUP(--B2297,'CATALOGO CECO'!$A$2:$H$550,8,FALSE),""))</f>
        <v/>
      </c>
      <c r="K2297" s="8">
        <f>IF(COUNTA(A2297:F2297)=0,"",IF(OR(LEN(A2297)&lt;&gt;7,MID(A2297,5,1)&lt;&gt;"-",ISERROR(--LEFT(A2297,4)),ISERROR(--RIGHT(A2297,2))),"ERROR: PERIODO debe ser AAAA-MM",IF(B2297="","ERROR: falta CODIGO CECO",IF(G2297="CECO NO EXISTE","ERROR: CECO no existe en el catálogo",IF(C2297="","ERROR: falta CUENTA",IF(ISERROR(--C2297),"ERROR: CUENTA debe tener solo dígitos",IF(ISERROR(FIND(LEFT(C2297,1),"567")),"ERROR: CUENTA fuera de las clases de costo",IF(NOT(ISNUMBER(E2297)),"ERROR: VALOR debe ser numérico",IF(E2297=0,"AVISO: valor cero (no se carga)",IF(J2297&lt;&gt;"ACTIVO","NO SE CARGA: CECO en estado "&amp;J2297,"OK"))))))))))</f>
        <v/>
      </c>
    </row>
    <row r="2298">
      <c r="A2298" s="5" t="n"/>
      <c r="B2298" s="6" t="n"/>
      <c r="C2298" s="5" t="n"/>
      <c r="D2298" s="6" t="n"/>
      <c r="E2298" s="7" t="n"/>
      <c r="F2298" s="6" t="n"/>
      <c r="G2298" s="8">
        <f>IF(B2298="","",IFERROR(VLOOKUP(--B2298,'CATALOGO CECO'!$A$2:$H$550,2,FALSE),"CECO NO EXISTE"))</f>
        <v/>
      </c>
      <c r="H2298" s="8">
        <f>IF(B2298="","",IFERROR(VLOOKUP(--B2298,'CATALOGO CECO'!$A$2:$H$550,3,FALSE),""))</f>
        <v/>
      </c>
      <c r="I2298" s="8">
        <f>IF(B2298="","",IFERROR(VLOOKUP(--B2298,'CATALOGO CECO'!$A$2:$H$550,5,FALSE),""))</f>
        <v/>
      </c>
      <c r="J2298" s="8">
        <f>IF(B2298="","",IFERROR(VLOOKUP(--B2298,'CATALOGO CECO'!$A$2:$H$550,8,FALSE),""))</f>
        <v/>
      </c>
      <c r="K2298" s="8">
        <f>IF(COUNTA(A2298:F2298)=0,"",IF(OR(LEN(A2298)&lt;&gt;7,MID(A2298,5,1)&lt;&gt;"-",ISERROR(--LEFT(A2298,4)),ISERROR(--RIGHT(A2298,2))),"ERROR: PERIODO debe ser AAAA-MM",IF(B2298="","ERROR: falta CODIGO CECO",IF(G2298="CECO NO EXISTE","ERROR: CECO no existe en el catálogo",IF(C2298="","ERROR: falta CUENTA",IF(ISERROR(--C2298),"ERROR: CUENTA debe tener solo dígitos",IF(ISERROR(FIND(LEFT(C2298,1),"567")),"ERROR: CUENTA fuera de las clases de costo",IF(NOT(ISNUMBER(E2298)),"ERROR: VALOR debe ser numérico",IF(E2298=0,"AVISO: valor cero (no se carga)",IF(J2298&lt;&gt;"ACTIVO","NO SE CARGA: CECO en estado "&amp;J2298,"OK"))))))))))</f>
        <v/>
      </c>
    </row>
    <row r="2299">
      <c r="A2299" s="5" t="n"/>
      <c r="B2299" s="6" t="n"/>
      <c r="C2299" s="5" t="n"/>
      <c r="D2299" s="6" t="n"/>
      <c r="E2299" s="7" t="n"/>
      <c r="F2299" s="6" t="n"/>
      <c r="G2299" s="8">
        <f>IF(B2299="","",IFERROR(VLOOKUP(--B2299,'CATALOGO CECO'!$A$2:$H$550,2,FALSE),"CECO NO EXISTE"))</f>
        <v/>
      </c>
      <c r="H2299" s="8">
        <f>IF(B2299="","",IFERROR(VLOOKUP(--B2299,'CATALOGO CECO'!$A$2:$H$550,3,FALSE),""))</f>
        <v/>
      </c>
      <c r="I2299" s="8">
        <f>IF(B2299="","",IFERROR(VLOOKUP(--B2299,'CATALOGO CECO'!$A$2:$H$550,5,FALSE),""))</f>
        <v/>
      </c>
      <c r="J2299" s="8">
        <f>IF(B2299="","",IFERROR(VLOOKUP(--B2299,'CATALOGO CECO'!$A$2:$H$550,8,FALSE),""))</f>
        <v/>
      </c>
      <c r="K2299" s="8">
        <f>IF(COUNTA(A2299:F2299)=0,"",IF(OR(LEN(A2299)&lt;&gt;7,MID(A2299,5,1)&lt;&gt;"-",ISERROR(--LEFT(A2299,4)),ISERROR(--RIGHT(A2299,2))),"ERROR: PERIODO debe ser AAAA-MM",IF(B2299="","ERROR: falta CODIGO CECO",IF(G2299="CECO NO EXISTE","ERROR: CECO no existe en el catálogo",IF(C2299="","ERROR: falta CUENTA",IF(ISERROR(--C2299),"ERROR: CUENTA debe tener solo dígitos",IF(ISERROR(FIND(LEFT(C2299,1),"567")),"ERROR: CUENTA fuera de las clases de costo",IF(NOT(ISNUMBER(E2299)),"ERROR: VALOR debe ser numérico",IF(E2299=0,"AVISO: valor cero (no se carga)",IF(J2299&lt;&gt;"ACTIVO","NO SE CARGA: CECO en estado "&amp;J2299,"OK"))))))))))</f>
        <v/>
      </c>
    </row>
    <row r="2300">
      <c r="A2300" s="5" t="n"/>
      <c r="B2300" s="6" t="n"/>
      <c r="C2300" s="5" t="n"/>
      <c r="D2300" s="6" t="n"/>
      <c r="E2300" s="7" t="n"/>
      <c r="F2300" s="6" t="n"/>
      <c r="G2300" s="8">
        <f>IF(B2300="","",IFERROR(VLOOKUP(--B2300,'CATALOGO CECO'!$A$2:$H$550,2,FALSE),"CECO NO EXISTE"))</f>
        <v/>
      </c>
      <c r="H2300" s="8">
        <f>IF(B2300="","",IFERROR(VLOOKUP(--B2300,'CATALOGO CECO'!$A$2:$H$550,3,FALSE),""))</f>
        <v/>
      </c>
      <c r="I2300" s="8">
        <f>IF(B2300="","",IFERROR(VLOOKUP(--B2300,'CATALOGO CECO'!$A$2:$H$550,5,FALSE),""))</f>
        <v/>
      </c>
      <c r="J2300" s="8">
        <f>IF(B2300="","",IFERROR(VLOOKUP(--B2300,'CATALOGO CECO'!$A$2:$H$550,8,FALSE),""))</f>
        <v/>
      </c>
      <c r="K2300" s="8">
        <f>IF(COUNTA(A2300:F2300)=0,"",IF(OR(LEN(A2300)&lt;&gt;7,MID(A2300,5,1)&lt;&gt;"-",ISERROR(--LEFT(A2300,4)),ISERROR(--RIGHT(A2300,2))),"ERROR: PERIODO debe ser AAAA-MM",IF(B2300="","ERROR: falta CODIGO CECO",IF(G2300="CECO NO EXISTE","ERROR: CECO no existe en el catálogo",IF(C2300="","ERROR: falta CUENTA",IF(ISERROR(--C2300),"ERROR: CUENTA debe tener solo dígitos",IF(ISERROR(FIND(LEFT(C2300,1),"567")),"ERROR: CUENTA fuera de las clases de costo",IF(NOT(ISNUMBER(E2300)),"ERROR: VALOR debe ser numérico",IF(E2300=0,"AVISO: valor cero (no se carga)",IF(J2300&lt;&gt;"ACTIVO","NO SE CARGA: CECO en estado "&amp;J2300,"OK"))))))))))</f>
        <v/>
      </c>
    </row>
    <row r="2301">
      <c r="A2301" s="5" t="n"/>
      <c r="B2301" s="6" t="n"/>
      <c r="C2301" s="5" t="n"/>
      <c r="D2301" s="6" t="n"/>
      <c r="E2301" s="7" t="n"/>
      <c r="F2301" s="6" t="n"/>
      <c r="G2301" s="8">
        <f>IF(B2301="","",IFERROR(VLOOKUP(--B2301,'CATALOGO CECO'!$A$2:$H$550,2,FALSE),"CECO NO EXISTE"))</f>
        <v/>
      </c>
      <c r="H2301" s="8">
        <f>IF(B2301="","",IFERROR(VLOOKUP(--B2301,'CATALOGO CECO'!$A$2:$H$550,3,FALSE),""))</f>
        <v/>
      </c>
      <c r="I2301" s="8">
        <f>IF(B2301="","",IFERROR(VLOOKUP(--B2301,'CATALOGO CECO'!$A$2:$H$550,5,FALSE),""))</f>
        <v/>
      </c>
      <c r="J2301" s="8">
        <f>IF(B2301="","",IFERROR(VLOOKUP(--B2301,'CATALOGO CECO'!$A$2:$H$550,8,FALSE),""))</f>
        <v/>
      </c>
      <c r="K2301" s="8">
        <f>IF(COUNTA(A2301:F2301)=0,"",IF(OR(LEN(A2301)&lt;&gt;7,MID(A2301,5,1)&lt;&gt;"-",ISERROR(--LEFT(A2301,4)),ISERROR(--RIGHT(A2301,2))),"ERROR: PERIODO debe ser AAAA-MM",IF(B2301="","ERROR: falta CODIGO CECO",IF(G2301="CECO NO EXISTE","ERROR: CECO no existe en el catálogo",IF(C2301="","ERROR: falta CUENTA",IF(ISERROR(--C2301),"ERROR: CUENTA debe tener solo dígitos",IF(ISERROR(FIND(LEFT(C2301,1),"567")),"ERROR: CUENTA fuera de las clases de costo",IF(NOT(ISNUMBER(E2301)),"ERROR: VALOR debe ser numérico",IF(E2301=0,"AVISO: valor cero (no se carga)",IF(J2301&lt;&gt;"ACTIVO","NO SE CARGA: CECO en estado "&amp;J2301,"OK"))))))))))</f>
        <v/>
      </c>
    </row>
    <row r="2302">
      <c r="A2302" s="5" t="n"/>
      <c r="B2302" s="6" t="n"/>
      <c r="C2302" s="5" t="n"/>
      <c r="D2302" s="6" t="n"/>
      <c r="E2302" s="7" t="n"/>
      <c r="F2302" s="6" t="n"/>
      <c r="G2302" s="8">
        <f>IF(B2302="","",IFERROR(VLOOKUP(--B2302,'CATALOGO CECO'!$A$2:$H$550,2,FALSE),"CECO NO EXISTE"))</f>
        <v/>
      </c>
      <c r="H2302" s="8">
        <f>IF(B2302="","",IFERROR(VLOOKUP(--B2302,'CATALOGO CECO'!$A$2:$H$550,3,FALSE),""))</f>
        <v/>
      </c>
      <c r="I2302" s="8">
        <f>IF(B2302="","",IFERROR(VLOOKUP(--B2302,'CATALOGO CECO'!$A$2:$H$550,5,FALSE),""))</f>
        <v/>
      </c>
      <c r="J2302" s="8">
        <f>IF(B2302="","",IFERROR(VLOOKUP(--B2302,'CATALOGO CECO'!$A$2:$H$550,8,FALSE),""))</f>
        <v/>
      </c>
      <c r="K2302" s="8">
        <f>IF(COUNTA(A2302:F2302)=0,"",IF(OR(LEN(A2302)&lt;&gt;7,MID(A2302,5,1)&lt;&gt;"-",ISERROR(--LEFT(A2302,4)),ISERROR(--RIGHT(A2302,2))),"ERROR: PERIODO debe ser AAAA-MM",IF(B2302="","ERROR: falta CODIGO CECO",IF(G2302="CECO NO EXISTE","ERROR: CECO no existe en el catálogo",IF(C2302="","ERROR: falta CUENTA",IF(ISERROR(--C2302),"ERROR: CUENTA debe tener solo dígitos",IF(ISERROR(FIND(LEFT(C2302,1),"567")),"ERROR: CUENTA fuera de las clases de costo",IF(NOT(ISNUMBER(E2302)),"ERROR: VALOR debe ser numérico",IF(E2302=0,"AVISO: valor cero (no se carga)",IF(J2302&lt;&gt;"ACTIVO","NO SE CARGA: CECO en estado "&amp;J2302,"OK"))))))))))</f>
        <v/>
      </c>
    </row>
    <row r="2303">
      <c r="A2303" s="5" t="n"/>
      <c r="B2303" s="6" t="n"/>
      <c r="C2303" s="5" t="n"/>
      <c r="D2303" s="6" t="n"/>
      <c r="E2303" s="7" t="n"/>
      <c r="F2303" s="6" t="n"/>
      <c r="G2303" s="8">
        <f>IF(B2303="","",IFERROR(VLOOKUP(--B2303,'CATALOGO CECO'!$A$2:$H$550,2,FALSE),"CECO NO EXISTE"))</f>
        <v/>
      </c>
      <c r="H2303" s="8">
        <f>IF(B2303="","",IFERROR(VLOOKUP(--B2303,'CATALOGO CECO'!$A$2:$H$550,3,FALSE),""))</f>
        <v/>
      </c>
      <c r="I2303" s="8">
        <f>IF(B2303="","",IFERROR(VLOOKUP(--B2303,'CATALOGO CECO'!$A$2:$H$550,5,FALSE),""))</f>
        <v/>
      </c>
      <c r="J2303" s="8">
        <f>IF(B2303="","",IFERROR(VLOOKUP(--B2303,'CATALOGO CECO'!$A$2:$H$550,8,FALSE),""))</f>
        <v/>
      </c>
      <c r="K2303" s="8">
        <f>IF(COUNTA(A2303:F2303)=0,"",IF(OR(LEN(A2303)&lt;&gt;7,MID(A2303,5,1)&lt;&gt;"-",ISERROR(--LEFT(A2303,4)),ISERROR(--RIGHT(A2303,2))),"ERROR: PERIODO debe ser AAAA-MM",IF(B2303="","ERROR: falta CODIGO CECO",IF(G2303="CECO NO EXISTE","ERROR: CECO no existe en el catálogo",IF(C2303="","ERROR: falta CUENTA",IF(ISERROR(--C2303),"ERROR: CUENTA debe tener solo dígitos",IF(ISERROR(FIND(LEFT(C2303,1),"567")),"ERROR: CUENTA fuera de las clases de costo",IF(NOT(ISNUMBER(E2303)),"ERROR: VALOR debe ser numérico",IF(E2303=0,"AVISO: valor cero (no se carga)",IF(J2303&lt;&gt;"ACTIVO","NO SE CARGA: CECO en estado "&amp;J2303,"OK"))))))))))</f>
        <v/>
      </c>
    </row>
    <row r="2304">
      <c r="A2304" s="5" t="n"/>
      <c r="B2304" s="6" t="n"/>
      <c r="C2304" s="5" t="n"/>
      <c r="D2304" s="6" t="n"/>
      <c r="E2304" s="7" t="n"/>
      <c r="F2304" s="6" t="n"/>
      <c r="G2304" s="8">
        <f>IF(B2304="","",IFERROR(VLOOKUP(--B2304,'CATALOGO CECO'!$A$2:$H$550,2,FALSE),"CECO NO EXISTE"))</f>
        <v/>
      </c>
      <c r="H2304" s="8">
        <f>IF(B2304="","",IFERROR(VLOOKUP(--B2304,'CATALOGO CECO'!$A$2:$H$550,3,FALSE),""))</f>
        <v/>
      </c>
      <c r="I2304" s="8">
        <f>IF(B2304="","",IFERROR(VLOOKUP(--B2304,'CATALOGO CECO'!$A$2:$H$550,5,FALSE),""))</f>
        <v/>
      </c>
      <c r="J2304" s="8">
        <f>IF(B2304="","",IFERROR(VLOOKUP(--B2304,'CATALOGO CECO'!$A$2:$H$550,8,FALSE),""))</f>
        <v/>
      </c>
      <c r="K2304" s="8">
        <f>IF(COUNTA(A2304:F2304)=0,"",IF(OR(LEN(A2304)&lt;&gt;7,MID(A2304,5,1)&lt;&gt;"-",ISERROR(--LEFT(A2304,4)),ISERROR(--RIGHT(A2304,2))),"ERROR: PERIODO debe ser AAAA-MM",IF(B2304="","ERROR: falta CODIGO CECO",IF(G2304="CECO NO EXISTE","ERROR: CECO no existe en el catálogo",IF(C2304="","ERROR: falta CUENTA",IF(ISERROR(--C2304),"ERROR: CUENTA debe tener solo dígitos",IF(ISERROR(FIND(LEFT(C2304,1),"567")),"ERROR: CUENTA fuera de las clases de costo",IF(NOT(ISNUMBER(E2304)),"ERROR: VALOR debe ser numérico",IF(E2304=0,"AVISO: valor cero (no se carga)",IF(J2304&lt;&gt;"ACTIVO","NO SE CARGA: CECO en estado "&amp;J2304,"OK"))))))))))</f>
        <v/>
      </c>
    </row>
    <row r="2305">
      <c r="A2305" s="5" t="n"/>
      <c r="B2305" s="6" t="n"/>
      <c r="C2305" s="5" t="n"/>
      <c r="D2305" s="6" t="n"/>
      <c r="E2305" s="7" t="n"/>
      <c r="F2305" s="6" t="n"/>
      <c r="G2305" s="8">
        <f>IF(B2305="","",IFERROR(VLOOKUP(--B2305,'CATALOGO CECO'!$A$2:$H$550,2,FALSE),"CECO NO EXISTE"))</f>
        <v/>
      </c>
      <c r="H2305" s="8">
        <f>IF(B2305="","",IFERROR(VLOOKUP(--B2305,'CATALOGO CECO'!$A$2:$H$550,3,FALSE),""))</f>
        <v/>
      </c>
      <c r="I2305" s="8">
        <f>IF(B2305="","",IFERROR(VLOOKUP(--B2305,'CATALOGO CECO'!$A$2:$H$550,5,FALSE),""))</f>
        <v/>
      </c>
      <c r="J2305" s="8">
        <f>IF(B2305="","",IFERROR(VLOOKUP(--B2305,'CATALOGO CECO'!$A$2:$H$550,8,FALSE),""))</f>
        <v/>
      </c>
      <c r="K2305" s="8">
        <f>IF(COUNTA(A2305:F2305)=0,"",IF(OR(LEN(A2305)&lt;&gt;7,MID(A2305,5,1)&lt;&gt;"-",ISERROR(--LEFT(A2305,4)),ISERROR(--RIGHT(A2305,2))),"ERROR: PERIODO debe ser AAAA-MM",IF(B2305="","ERROR: falta CODIGO CECO",IF(G2305="CECO NO EXISTE","ERROR: CECO no existe en el catálogo",IF(C2305="","ERROR: falta CUENTA",IF(ISERROR(--C2305),"ERROR: CUENTA debe tener solo dígitos",IF(ISERROR(FIND(LEFT(C2305,1),"567")),"ERROR: CUENTA fuera de las clases de costo",IF(NOT(ISNUMBER(E2305)),"ERROR: VALOR debe ser numérico",IF(E2305=0,"AVISO: valor cero (no se carga)",IF(J2305&lt;&gt;"ACTIVO","NO SE CARGA: CECO en estado "&amp;J2305,"OK"))))))))))</f>
        <v/>
      </c>
    </row>
    <row r="2306">
      <c r="A2306" s="5" t="n"/>
      <c r="B2306" s="6" t="n"/>
      <c r="C2306" s="5" t="n"/>
      <c r="D2306" s="6" t="n"/>
      <c r="E2306" s="7" t="n"/>
      <c r="F2306" s="6" t="n"/>
      <c r="G2306" s="8">
        <f>IF(B2306="","",IFERROR(VLOOKUP(--B2306,'CATALOGO CECO'!$A$2:$H$550,2,FALSE),"CECO NO EXISTE"))</f>
        <v/>
      </c>
      <c r="H2306" s="8">
        <f>IF(B2306="","",IFERROR(VLOOKUP(--B2306,'CATALOGO CECO'!$A$2:$H$550,3,FALSE),""))</f>
        <v/>
      </c>
      <c r="I2306" s="8">
        <f>IF(B2306="","",IFERROR(VLOOKUP(--B2306,'CATALOGO CECO'!$A$2:$H$550,5,FALSE),""))</f>
        <v/>
      </c>
      <c r="J2306" s="8">
        <f>IF(B2306="","",IFERROR(VLOOKUP(--B2306,'CATALOGO CECO'!$A$2:$H$550,8,FALSE),""))</f>
        <v/>
      </c>
      <c r="K2306" s="8">
        <f>IF(COUNTA(A2306:F2306)=0,"",IF(OR(LEN(A2306)&lt;&gt;7,MID(A2306,5,1)&lt;&gt;"-",ISERROR(--LEFT(A2306,4)),ISERROR(--RIGHT(A2306,2))),"ERROR: PERIODO debe ser AAAA-MM",IF(B2306="","ERROR: falta CODIGO CECO",IF(G2306="CECO NO EXISTE","ERROR: CECO no existe en el catálogo",IF(C2306="","ERROR: falta CUENTA",IF(ISERROR(--C2306),"ERROR: CUENTA debe tener solo dígitos",IF(ISERROR(FIND(LEFT(C2306,1),"567")),"ERROR: CUENTA fuera de las clases de costo",IF(NOT(ISNUMBER(E2306)),"ERROR: VALOR debe ser numérico",IF(E2306=0,"AVISO: valor cero (no se carga)",IF(J2306&lt;&gt;"ACTIVO","NO SE CARGA: CECO en estado "&amp;J2306,"OK"))))))))))</f>
        <v/>
      </c>
    </row>
    <row r="2307">
      <c r="A2307" s="5" t="n"/>
      <c r="B2307" s="6" t="n"/>
      <c r="C2307" s="5" t="n"/>
      <c r="D2307" s="6" t="n"/>
      <c r="E2307" s="7" t="n"/>
      <c r="F2307" s="6" t="n"/>
      <c r="G2307" s="8">
        <f>IF(B2307="","",IFERROR(VLOOKUP(--B2307,'CATALOGO CECO'!$A$2:$H$550,2,FALSE),"CECO NO EXISTE"))</f>
        <v/>
      </c>
      <c r="H2307" s="8">
        <f>IF(B2307="","",IFERROR(VLOOKUP(--B2307,'CATALOGO CECO'!$A$2:$H$550,3,FALSE),""))</f>
        <v/>
      </c>
      <c r="I2307" s="8">
        <f>IF(B2307="","",IFERROR(VLOOKUP(--B2307,'CATALOGO CECO'!$A$2:$H$550,5,FALSE),""))</f>
        <v/>
      </c>
      <c r="J2307" s="8">
        <f>IF(B2307="","",IFERROR(VLOOKUP(--B2307,'CATALOGO CECO'!$A$2:$H$550,8,FALSE),""))</f>
        <v/>
      </c>
      <c r="K2307" s="8">
        <f>IF(COUNTA(A2307:F2307)=0,"",IF(OR(LEN(A2307)&lt;&gt;7,MID(A2307,5,1)&lt;&gt;"-",ISERROR(--LEFT(A2307,4)),ISERROR(--RIGHT(A2307,2))),"ERROR: PERIODO debe ser AAAA-MM",IF(B2307="","ERROR: falta CODIGO CECO",IF(G2307="CECO NO EXISTE","ERROR: CECO no existe en el catálogo",IF(C2307="","ERROR: falta CUENTA",IF(ISERROR(--C2307),"ERROR: CUENTA debe tener solo dígitos",IF(ISERROR(FIND(LEFT(C2307,1),"567")),"ERROR: CUENTA fuera de las clases de costo",IF(NOT(ISNUMBER(E2307)),"ERROR: VALOR debe ser numérico",IF(E2307=0,"AVISO: valor cero (no se carga)",IF(J2307&lt;&gt;"ACTIVO","NO SE CARGA: CECO en estado "&amp;J2307,"OK"))))))))))</f>
        <v/>
      </c>
    </row>
    <row r="2308">
      <c r="A2308" s="5" t="n"/>
      <c r="B2308" s="6" t="n"/>
      <c r="C2308" s="5" t="n"/>
      <c r="D2308" s="6" t="n"/>
      <c r="E2308" s="7" t="n"/>
      <c r="F2308" s="6" t="n"/>
      <c r="G2308" s="8">
        <f>IF(B2308="","",IFERROR(VLOOKUP(--B2308,'CATALOGO CECO'!$A$2:$H$550,2,FALSE),"CECO NO EXISTE"))</f>
        <v/>
      </c>
      <c r="H2308" s="8">
        <f>IF(B2308="","",IFERROR(VLOOKUP(--B2308,'CATALOGO CECO'!$A$2:$H$550,3,FALSE),""))</f>
        <v/>
      </c>
      <c r="I2308" s="8">
        <f>IF(B2308="","",IFERROR(VLOOKUP(--B2308,'CATALOGO CECO'!$A$2:$H$550,5,FALSE),""))</f>
        <v/>
      </c>
      <c r="J2308" s="8">
        <f>IF(B2308="","",IFERROR(VLOOKUP(--B2308,'CATALOGO CECO'!$A$2:$H$550,8,FALSE),""))</f>
        <v/>
      </c>
      <c r="K2308" s="8">
        <f>IF(COUNTA(A2308:F2308)=0,"",IF(OR(LEN(A2308)&lt;&gt;7,MID(A2308,5,1)&lt;&gt;"-",ISERROR(--LEFT(A2308,4)),ISERROR(--RIGHT(A2308,2))),"ERROR: PERIODO debe ser AAAA-MM",IF(B2308="","ERROR: falta CODIGO CECO",IF(G2308="CECO NO EXISTE","ERROR: CECO no existe en el catálogo",IF(C2308="","ERROR: falta CUENTA",IF(ISERROR(--C2308),"ERROR: CUENTA debe tener solo dígitos",IF(ISERROR(FIND(LEFT(C2308,1),"567")),"ERROR: CUENTA fuera de las clases de costo",IF(NOT(ISNUMBER(E2308)),"ERROR: VALOR debe ser numérico",IF(E2308=0,"AVISO: valor cero (no se carga)",IF(J2308&lt;&gt;"ACTIVO","NO SE CARGA: CECO en estado "&amp;J2308,"OK"))))))))))</f>
        <v/>
      </c>
    </row>
    <row r="2309">
      <c r="A2309" s="5" t="n"/>
      <c r="B2309" s="6" t="n"/>
      <c r="C2309" s="5" t="n"/>
      <c r="D2309" s="6" t="n"/>
      <c r="E2309" s="7" t="n"/>
      <c r="F2309" s="6" t="n"/>
      <c r="G2309" s="8">
        <f>IF(B2309="","",IFERROR(VLOOKUP(--B2309,'CATALOGO CECO'!$A$2:$H$550,2,FALSE),"CECO NO EXISTE"))</f>
        <v/>
      </c>
      <c r="H2309" s="8">
        <f>IF(B2309="","",IFERROR(VLOOKUP(--B2309,'CATALOGO CECO'!$A$2:$H$550,3,FALSE),""))</f>
        <v/>
      </c>
      <c r="I2309" s="8">
        <f>IF(B2309="","",IFERROR(VLOOKUP(--B2309,'CATALOGO CECO'!$A$2:$H$550,5,FALSE),""))</f>
        <v/>
      </c>
      <c r="J2309" s="8">
        <f>IF(B2309="","",IFERROR(VLOOKUP(--B2309,'CATALOGO CECO'!$A$2:$H$550,8,FALSE),""))</f>
        <v/>
      </c>
      <c r="K2309" s="8">
        <f>IF(COUNTA(A2309:F2309)=0,"",IF(OR(LEN(A2309)&lt;&gt;7,MID(A2309,5,1)&lt;&gt;"-",ISERROR(--LEFT(A2309,4)),ISERROR(--RIGHT(A2309,2))),"ERROR: PERIODO debe ser AAAA-MM",IF(B2309="","ERROR: falta CODIGO CECO",IF(G2309="CECO NO EXISTE","ERROR: CECO no existe en el catálogo",IF(C2309="","ERROR: falta CUENTA",IF(ISERROR(--C2309),"ERROR: CUENTA debe tener solo dígitos",IF(ISERROR(FIND(LEFT(C2309,1),"567")),"ERROR: CUENTA fuera de las clases de costo",IF(NOT(ISNUMBER(E2309)),"ERROR: VALOR debe ser numérico",IF(E2309=0,"AVISO: valor cero (no se carga)",IF(J2309&lt;&gt;"ACTIVO","NO SE CARGA: CECO en estado "&amp;J2309,"OK"))))))))))</f>
        <v/>
      </c>
    </row>
    <row r="2310">
      <c r="A2310" s="5" t="n"/>
      <c r="B2310" s="6" t="n"/>
      <c r="C2310" s="5" t="n"/>
      <c r="D2310" s="6" t="n"/>
      <c r="E2310" s="7" t="n"/>
      <c r="F2310" s="6" t="n"/>
      <c r="G2310" s="8">
        <f>IF(B2310="","",IFERROR(VLOOKUP(--B2310,'CATALOGO CECO'!$A$2:$H$550,2,FALSE),"CECO NO EXISTE"))</f>
        <v/>
      </c>
      <c r="H2310" s="8">
        <f>IF(B2310="","",IFERROR(VLOOKUP(--B2310,'CATALOGO CECO'!$A$2:$H$550,3,FALSE),""))</f>
        <v/>
      </c>
      <c r="I2310" s="8">
        <f>IF(B2310="","",IFERROR(VLOOKUP(--B2310,'CATALOGO CECO'!$A$2:$H$550,5,FALSE),""))</f>
        <v/>
      </c>
      <c r="J2310" s="8">
        <f>IF(B2310="","",IFERROR(VLOOKUP(--B2310,'CATALOGO CECO'!$A$2:$H$550,8,FALSE),""))</f>
        <v/>
      </c>
      <c r="K2310" s="8">
        <f>IF(COUNTA(A2310:F2310)=0,"",IF(OR(LEN(A2310)&lt;&gt;7,MID(A2310,5,1)&lt;&gt;"-",ISERROR(--LEFT(A2310,4)),ISERROR(--RIGHT(A2310,2))),"ERROR: PERIODO debe ser AAAA-MM",IF(B2310="","ERROR: falta CODIGO CECO",IF(G2310="CECO NO EXISTE","ERROR: CECO no existe en el catálogo",IF(C2310="","ERROR: falta CUENTA",IF(ISERROR(--C2310),"ERROR: CUENTA debe tener solo dígitos",IF(ISERROR(FIND(LEFT(C2310,1),"567")),"ERROR: CUENTA fuera de las clases de costo",IF(NOT(ISNUMBER(E2310)),"ERROR: VALOR debe ser numérico",IF(E2310=0,"AVISO: valor cero (no se carga)",IF(J2310&lt;&gt;"ACTIVO","NO SE CARGA: CECO en estado "&amp;J2310,"OK"))))))))))</f>
        <v/>
      </c>
    </row>
    <row r="2311">
      <c r="A2311" s="5" t="n"/>
      <c r="B2311" s="6" t="n"/>
      <c r="C2311" s="5" t="n"/>
      <c r="D2311" s="6" t="n"/>
      <c r="E2311" s="7" t="n"/>
      <c r="F2311" s="6" t="n"/>
      <c r="G2311" s="8">
        <f>IF(B2311="","",IFERROR(VLOOKUP(--B2311,'CATALOGO CECO'!$A$2:$H$550,2,FALSE),"CECO NO EXISTE"))</f>
        <v/>
      </c>
      <c r="H2311" s="8">
        <f>IF(B2311="","",IFERROR(VLOOKUP(--B2311,'CATALOGO CECO'!$A$2:$H$550,3,FALSE),""))</f>
        <v/>
      </c>
      <c r="I2311" s="8">
        <f>IF(B2311="","",IFERROR(VLOOKUP(--B2311,'CATALOGO CECO'!$A$2:$H$550,5,FALSE),""))</f>
        <v/>
      </c>
      <c r="J2311" s="8">
        <f>IF(B2311="","",IFERROR(VLOOKUP(--B2311,'CATALOGO CECO'!$A$2:$H$550,8,FALSE),""))</f>
        <v/>
      </c>
      <c r="K2311" s="8">
        <f>IF(COUNTA(A2311:F2311)=0,"",IF(OR(LEN(A2311)&lt;&gt;7,MID(A2311,5,1)&lt;&gt;"-",ISERROR(--LEFT(A2311,4)),ISERROR(--RIGHT(A2311,2))),"ERROR: PERIODO debe ser AAAA-MM",IF(B2311="","ERROR: falta CODIGO CECO",IF(G2311="CECO NO EXISTE","ERROR: CECO no existe en el catálogo",IF(C2311="","ERROR: falta CUENTA",IF(ISERROR(--C2311),"ERROR: CUENTA debe tener solo dígitos",IF(ISERROR(FIND(LEFT(C2311,1),"567")),"ERROR: CUENTA fuera de las clases de costo",IF(NOT(ISNUMBER(E2311)),"ERROR: VALOR debe ser numérico",IF(E2311=0,"AVISO: valor cero (no se carga)",IF(J2311&lt;&gt;"ACTIVO","NO SE CARGA: CECO en estado "&amp;J2311,"OK"))))))))))</f>
        <v/>
      </c>
    </row>
    <row r="2312">
      <c r="A2312" s="5" t="n"/>
      <c r="B2312" s="6" t="n"/>
      <c r="C2312" s="5" t="n"/>
      <c r="D2312" s="6" t="n"/>
      <c r="E2312" s="7" t="n"/>
      <c r="F2312" s="6" t="n"/>
      <c r="G2312" s="8">
        <f>IF(B2312="","",IFERROR(VLOOKUP(--B2312,'CATALOGO CECO'!$A$2:$H$550,2,FALSE),"CECO NO EXISTE"))</f>
        <v/>
      </c>
      <c r="H2312" s="8">
        <f>IF(B2312="","",IFERROR(VLOOKUP(--B2312,'CATALOGO CECO'!$A$2:$H$550,3,FALSE),""))</f>
        <v/>
      </c>
      <c r="I2312" s="8">
        <f>IF(B2312="","",IFERROR(VLOOKUP(--B2312,'CATALOGO CECO'!$A$2:$H$550,5,FALSE),""))</f>
        <v/>
      </c>
      <c r="J2312" s="8">
        <f>IF(B2312="","",IFERROR(VLOOKUP(--B2312,'CATALOGO CECO'!$A$2:$H$550,8,FALSE),""))</f>
        <v/>
      </c>
      <c r="K2312" s="8">
        <f>IF(COUNTA(A2312:F2312)=0,"",IF(OR(LEN(A2312)&lt;&gt;7,MID(A2312,5,1)&lt;&gt;"-",ISERROR(--LEFT(A2312,4)),ISERROR(--RIGHT(A2312,2))),"ERROR: PERIODO debe ser AAAA-MM",IF(B2312="","ERROR: falta CODIGO CECO",IF(G2312="CECO NO EXISTE","ERROR: CECO no existe en el catálogo",IF(C2312="","ERROR: falta CUENTA",IF(ISERROR(--C2312),"ERROR: CUENTA debe tener solo dígitos",IF(ISERROR(FIND(LEFT(C2312,1),"567")),"ERROR: CUENTA fuera de las clases de costo",IF(NOT(ISNUMBER(E2312)),"ERROR: VALOR debe ser numérico",IF(E2312=0,"AVISO: valor cero (no se carga)",IF(J2312&lt;&gt;"ACTIVO","NO SE CARGA: CECO en estado "&amp;J2312,"OK"))))))))))</f>
        <v/>
      </c>
    </row>
    <row r="2313">
      <c r="A2313" s="5" t="n"/>
      <c r="B2313" s="6" t="n"/>
      <c r="C2313" s="5" t="n"/>
      <c r="D2313" s="6" t="n"/>
      <c r="E2313" s="7" t="n"/>
      <c r="F2313" s="6" t="n"/>
      <c r="G2313" s="8">
        <f>IF(B2313="","",IFERROR(VLOOKUP(--B2313,'CATALOGO CECO'!$A$2:$H$550,2,FALSE),"CECO NO EXISTE"))</f>
        <v/>
      </c>
      <c r="H2313" s="8">
        <f>IF(B2313="","",IFERROR(VLOOKUP(--B2313,'CATALOGO CECO'!$A$2:$H$550,3,FALSE),""))</f>
        <v/>
      </c>
      <c r="I2313" s="8">
        <f>IF(B2313="","",IFERROR(VLOOKUP(--B2313,'CATALOGO CECO'!$A$2:$H$550,5,FALSE),""))</f>
        <v/>
      </c>
      <c r="J2313" s="8">
        <f>IF(B2313="","",IFERROR(VLOOKUP(--B2313,'CATALOGO CECO'!$A$2:$H$550,8,FALSE),""))</f>
        <v/>
      </c>
      <c r="K2313" s="8">
        <f>IF(COUNTA(A2313:F2313)=0,"",IF(OR(LEN(A2313)&lt;&gt;7,MID(A2313,5,1)&lt;&gt;"-",ISERROR(--LEFT(A2313,4)),ISERROR(--RIGHT(A2313,2))),"ERROR: PERIODO debe ser AAAA-MM",IF(B2313="","ERROR: falta CODIGO CECO",IF(G2313="CECO NO EXISTE","ERROR: CECO no existe en el catálogo",IF(C2313="","ERROR: falta CUENTA",IF(ISERROR(--C2313),"ERROR: CUENTA debe tener solo dígitos",IF(ISERROR(FIND(LEFT(C2313,1),"567")),"ERROR: CUENTA fuera de las clases de costo",IF(NOT(ISNUMBER(E2313)),"ERROR: VALOR debe ser numérico",IF(E2313=0,"AVISO: valor cero (no se carga)",IF(J2313&lt;&gt;"ACTIVO","NO SE CARGA: CECO en estado "&amp;J2313,"OK"))))))))))</f>
        <v/>
      </c>
    </row>
    <row r="2314">
      <c r="A2314" s="5" t="n"/>
      <c r="B2314" s="6" t="n"/>
      <c r="C2314" s="5" t="n"/>
      <c r="D2314" s="6" t="n"/>
      <c r="E2314" s="7" t="n"/>
      <c r="F2314" s="6" t="n"/>
      <c r="G2314" s="8">
        <f>IF(B2314="","",IFERROR(VLOOKUP(--B2314,'CATALOGO CECO'!$A$2:$H$550,2,FALSE),"CECO NO EXISTE"))</f>
        <v/>
      </c>
      <c r="H2314" s="8">
        <f>IF(B2314="","",IFERROR(VLOOKUP(--B2314,'CATALOGO CECO'!$A$2:$H$550,3,FALSE),""))</f>
        <v/>
      </c>
      <c r="I2314" s="8">
        <f>IF(B2314="","",IFERROR(VLOOKUP(--B2314,'CATALOGO CECO'!$A$2:$H$550,5,FALSE),""))</f>
        <v/>
      </c>
      <c r="J2314" s="8">
        <f>IF(B2314="","",IFERROR(VLOOKUP(--B2314,'CATALOGO CECO'!$A$2:$H$550,8,FALSE),""))</f>
        <v/>
      </c>
      <c r="K2314" s="8">
        <f>IF(COUNTA(A2314:F2314)=0,"",IF(OR(LEN(A2314)&lt;&gt;7,MID(A2314,5,1)&lt;&gt;"-",ISERROR(--LEFT(A2314,4)),ISERROR(--RIGHT(A2314,2))),"ERROR: PERIODO debe ser AAAA-MM",IF(B2314="","ERROR: falta CODIGO CECO",IF(G2314="CECO NO EXISTE","ERROR: CECO no existe en el catálogo",IF(C2314="","ERROR: falta CUENTA",IF(ISERROR(--C2314),"ERROR: CUENTA debe tener solo dígitos",IF(ISERROR(FIND(LEFT(C2314,1),"567")),"ERROR: CUENTA fuera de las clases de costo",IF(NOT(ISNUMBER(E2314)),"ERROR: VALOR debe ser numérico",IF(E2314=0,"AVISO: valor cero (no se carga)",IF(J2314&lt;&gt;"ACTIVO","NO SE CARGA: CECO en estado "&amp;J2314,"OK"))))))))))</f>
        <v/>
      </c>
    </row>
    <row r="2315">
      <c r="A2315" s="5" t="n"/>
      <c r="B2315" s="6" t="n"/>
      <c r="C2315" s="5" t="n"/>
      <c r="D2315" s="6" t="n"/>
      <c r="E2315" s="7" t="n"/>
      <c r="F2315" s="6" t="n"/>
      <c r="G2315" s="8">
        <f>IF(B2315="","",IFERROR(VLOOKUP(--B2315,'CATALOGO CECO'!$A$2:$H$550,2,FALSE),"CECO NO EXISTE"))</f>
        <v/>
      </c>
      <c r="H2315" s="8">
        <f>IF(B2315="","",IFERROR(VLOOKUP(--B2315,'CATALOGO CECO'!$A$2:$H$550,3,FALSE),""))</f>
        <v/>
      </c>
      <c r="I2315" s="8">
        <f>IF(B2315="","",IFERROR(VLOOKUP(--B2315,'CATALOGO CECO'!$A$2:$H$550,5,FALSE),""))</f>
        <v/>
      </c>
      <c r="J2315" s="8">
        <f>IF(B2315="","",IFERROR(VLOOKUP(--B2315,'CATALOGO CECO'!$A$2:$H$550,8,FALSE),""))</f>
        <v/>
      </c>
      <c r="K2315" s="8">
        <f>IF(COUNTA(A2315:F2315)=0,"",IF(OR(LEN(A2315)&lt;&gt;7,MID(A2315,5,1)&lt;&gt;"-",ISERROR(--LEFT(A2315,4)),ISERROR(--RIGHT(A2315,2))),"ERROR: PERIODO debe ser AAAA-MM",IF(B2315="","ERROR: falta CODIGO CECO",IF(G2315="CECO NO EXISTE","ERROR: CECO no existe en el catálogo",IF(C2315="","ERROR: falta CUENTA",IF(ISERROR(--C2315),"ERROR: CUENTA debe tener solo dígitos",IF(ISERROR(FIND(LEFT(C2315,1),"567")),"ERROR: CUENTA fuera de las clases de costo",IF(NOT(ISNUMBER(E2315)),"ERROR: VALOR debe ser numérico",IF(E2315=0,"AVISO: valor cero (no se carga)",IF(J2315&lt;&gt;"ACTIVO","NO SE CARGA: CECO en estado "&amp;J2315,"OK"))))))))))</f>
        <v/>
      </c>
    </row>
    <row r="2316">
      <c r="A2316" s="5" t="n"/>
      <c r="B2316" s="6" t="n"/>
      <c r="C2316" s="5" t="n"/>
      <c r="D2316" s="6" t="n"/>
      <c r="E2316" s="7" t="n"/>
      <c r="F2316" s="6" t="n"/>
      <c r="G2316" s="8">
        <f>IF(B2316="","",IFERROR(VLOOKUP(--B2316,'CATALOGO CECO'!$A$2:$H$550,2,FALSE),"CECO NO EXISTE"))</f>
        <v/>
      </c>
      <c r="H2316" s="8">
        <f>IF(B2316="","",IFERROR(VLOOKUP(--B2316,'CATALOGO CECO'!$A$2:$H$550,3,FALSE),""))</f>
        <v/>
      </c>
      <c r="I2316" s="8">
        <f>IF(B2316="","",IFERROR(VLOOKUP(--B2316,'CATALOGO CECO'!$A$2:$H$550,5,FALSE),""))</f>
        <v/>
      </c>
      <c r="J2316" s="8">
        <f>IF(B2316="","",IFERROR(VLOOKUP(--B2316,'CATALOGO CECO'!$A$2:$H$550,8,FALSE),""))</f>
        <v/>
      </c>
      <c r="K2316" s="8">
        <f>IF(COUNTA(A2316:F2316)=0,"",IF(OR(LEN(A2316)&lt;&gt;7,MID(A2316,5,1)&lt;&gt;"-",ISERROR(--LEFT(A2316,4)),ISERROR(--RIGHT(A2316,2))),"ERROR: PERIODO debe ser AAAA-MM",IF(B2316="","ERROR: falta CODIGO CECO",IF(G2316="CECO NO EXISTE","ERROR: CECO no existe en el catálogo",IF(C2316="","ERROR: falta CUENTA",IF(ISERROR(--C2316),"ERROR: CUENTA debe tener solo dígitos",IF(ISERROR(FIND(LEFT(C2316,1),"567")),"ERROR: CUENTA fuera de las clases de costo",IF(NOT(ISNUMBER(E2316)),"ERROR: VALOR debe ser numérico",IF(E2316=0,"AVISO: valor cero (no se carga)",IF(J2316&lt;&gt;"ACTIVO","NO SE CARGA: CECO en estado "&amp;J2316,"OK"))))))))))</f>
        <v/>
      </c>
    </row>
    <row r="2317">
      <c r="A2317" s="5" t="n"/>
      <c r="B2317" s="6" t="n"/>
      <c r="C2317" s="5" t="n"/>
      <c r="D2317" s="6" t="n"/>
      <c r="E2317" s="7" t="n"/>
      <c r="F2317" s="6" t="n"/>
      <c r="G2317" s="8">
        <f>IF(B2317="","",IFERROR(VLOOKUP(--B2317,'CATALOGO CECO'!$A$2:$H$550,2,FALSE),"CECO NO EXISTE"))</f>
        <v/>
      </c>
      <c r="H2317" s="8">
        <f>IF(B2317="","",IFERROR(VLOOKUP(--B2317,'CATALOGO CECO'!$A$2:$H$550,3,FALSE),""))</f>
        <v/>
      </c>
      <c r="I2317" s="8">
        <f>IF(B2317="","",IFERROR(VLOOKUP(--B2317,'CATALOGO CECO'!$A$2:$H$550,5,FALSE),""))</f>
        <v/>
      </c>
      <c r="J2317" s="8">
        <f>IF(B2317="","",IFERROR(VLOOKUP(--B2317,'CATALOGO CECO'!$A$2:$H$550,8,FALSE),""))</f>
        <v/>
      </c>
      <c r="K2317" s="8">
        <f>IF(COUNTA(A2317:F2317)=0,"",IF(OR(LEN(A2317)&lt;&gt;7,MID(A2317,5,1)&lt;&gt;"-",ISERROR(--LEFT(A2317,4)),ISERROR(--RIGHT(A2317,2))),"ERROR: PERIODO debe ser AAAA-MM",IF(B2317="","ERROR: falta CODIGO CECO",IF(G2317="CECO NO EXISTE","ERROR: CECO no existe en el catálogo",IF(C2317="","ERROR: falta CUENTA",IF(ISERROR(--C2317),"ERROR: CUENTA debe tener solo dígitos",IF(ISERROR(FIND(LEFT(C2317,1),"567")),"ERROR: CUENTA fuera de las clases de costo",IF(NOT(ISNUMBER(E2317)),"ERROR: VALOR debe ser numérico",IF(E2317=0,"AVISO: valor cero (no se carga)",IF(J2317&lt;&gt;"ACTIVO","NO SE CARGA: CECO en estado "&amp;J2317,"OK"))))))))))</f>
        <v/>
      </c>
    </row>
    <row r="2318">
      <c r="A2318" s="5" t="n"/>
      <c r="B2318" s="6" t="n"/>
      <c r="C2318" s="5" t="n"/>
      <c r="D2318" s="6" t="n"/>
      <c r="E2318" s="7" t="n"/>
      <c r="F2318" s="6" t="n"/>
      <c r="G2318" s="8">
        <f>IF(B2318="","",IFERROR(VLOOKUP(--B2318,'CATALOGO CECO'!$A$2:$H$550,2,FALSE),"CECO NO EXISTE"))</f>
        <v/>
      </c>
      <c r="H2318" s="8">
        <f>IF(B2318="","",IFERROR(VLOOKUP(--B2318,'CATALOGO CECO'!$A$2:$H$550,3,FALSE),""))</f>
        <v/>
      </c>
      <c r="I2318" s="8">
        <f>IF(B2318="","",IFERROR(VLOOKUP(--B2318,'CATALOGO CECO'!$A$2:$H$550,5,FALSE),""))</f>
        <v/>
      </c>
      <c r="J2318" s="8">
        <f>IF(B2318="","",IFERROR(VLOOKUP(--B2318,'CATALOGO CECO'!$A$2:$H$550,8,FALSE),""))</f>
        <v/>
      </c>
      <c r="K2318" s="8">
        <f>IF(COUNTA(A2318:F2318)=0,"",IF(OR(LEN(A2318)&lt;&gt;7,MID(A2318,5,1)&lt;&gt;"-",ISERROR(--LEFT(A2318,4)),ISERROR(--RIGHT(A2318,2))),"ERROR: PERIODO debe ser AAAA-MM",IF(B2318="","ERROR: falta CODIGO CECO",IF(G2318="CECO NO EXISTE","ERROR: CECO no existe en el catálogo",IF(C2318="","ERROR: falta CUENTA",IF(ISERROR(--C2318),"ERROR: CUENTA debe tener solo dígitos",IF(ISERROR(FIND(LEFT(C2318,1),"567")),"ERROR: CUENTA fuera de las clases de costo",IF(NOT(ISNUMBER(E2318)),"ERROR: VALOR debe ser numérico",IF(E2318=0,"AVISO: valor cero (no se carga)",IF(J2318&lt;&gt;"ACTIVO","NO SE CARGA: CECO en estado "&amp;J2318,"OK"))))))))))</f>
        <v/>
      </c>
    </row>
    <row r="2319">
      <c r="A2319" s="5" t="n"/>
      <c r="B2319" s="6" t="n"/>
      <c r="C2319" s="5" t="n"/>
      <c r="D2319" s="6" t="n"/>
      <c r="E2319" s="7" t="n"/>
      <c r="F2319" s="6" t="n"/>
      <c r="G2319" s="8">
        <f>IF(B2319="","",IFERROR(VLOOKUP(--B2319,'CATALOGO CECO'!$A$2:$H$550,2,FALSE),"CECO NO EXISTE"))</f>
        <v/>
      </c>
      <c r="H2319" s="8">
        <f>IF(B2319="","",IFERROR(VLOOKUP(--B2319,'CATALOGO CECO'!$A$2:$H$550,3,FALSE),""))</f>
        <v/>
      </c>
      <c r="I2319" s="8">
        <f>IF(B2319="","",IFERROR(VLOOKUP(--B2319,'CATALOGO CECO'!$A$2:$H$550,5,FALSE),""))</f>
        <v/>
      </c>
      <c r="J2319" s="8">
        <f>IF(B2319="","",IFERROR(VLOOKUP(--B2319,'CATALOGO CECO'!$A$2:$H$550,8,FALSE),""))</f>
        <v/>
      </c>
      <c r="K2319" s="8">
        <f>IF(COUNTA(A2319:F2319)=0,"",IF(OR(LEN(A2319)&lt;&gt;7,MID(A2319,5,1)&lt;&gt;"-",ISERROR(--LEFT(A2319,4)),ISERROR(--RIGHT(A2319,2))),"ERROR: PERIODO debe ser AAAA-MM",IF(B2319="","ERROR: falta CODIGO CECO",IF(G2319="CECO NO EXISTE","ERROR: CECO no existe en el catálogo",IF(C2319="","ERROR: falta CUENTA",IF(ISERROR(--C2319),"ERROR: CUENTA debe tener solo dígitos",IF(ISERROR(FIND(LEFT(C2319,1),"567")),"ERROR: CUENTA fuera de las clases de costo",IF(NOT(ISNUMBER(E2319)),"ERROR: VALOR debe ser numérico",IF(E2319=0,"AVISO: valor cero (no se carga)",IF(J2319&lt;&gt;"ACTIVO","NO SE CARGA: CECO en estado "&amp;J2319,"OK"))))))))))</f>
        <v/>
      </c>
    </row>
    <row r="2320">
      <c r="A2320" s="5" t="n"/>
      <c r="B2320" s="6" t="n"/>
      <c r="C2320" s="5" t="n"/>
      <c r="D2320" s="6" t="n"/>
      <c r="E2320" s="7" t="n"/>
      <c r="F2320" s="6" t="n"/>
      <c r="G2320" s="8">
        <f>IF(B2320="","",IFERROR(VLOOKUP(--B2320,'CATALOGO CECO'!$A$2:$H$550,2,FALSE),"CECO NO EXISTE"))</f>
        <v/>
      </c>
      <c r="H2320" s="8">
        <f>IF(B2320="","",IFERROR(VLOOKUP(--B2320,'CATALOGO CECO'!$A$2:$H$550,3,FALSE),""))</f>
        <v/>
      </c>
      <c r="I2320" s="8">
        <f>IF(B2320="","",IFERROR(VLOOKUP(--B2320,'CATALOGO CECO'!$A$2:$H$550,5,FALSE),""))</f>
        <v/>
      </c>
      <c r="J2320" s="8">
        <f>IF(B2320="","",IFERROR(VLOOKUP(--B2320,'CATALOGO CECO'!$A$2:$H$550,8,FALSE),""))</f>
        <v/>
      </c>
      <c r="K2320" s="8">
        <f>IF(COUNTA(A2320:F2320)=0,"",IF(OR(LEN(A2320)&lt;&gt;7,MID(A2320,5,1)&lt;&gt;"-",ISERROR(--LEFT(A2320,4)),ISERROR(--RIGHT(A2320,2))),"ERROR: PERIODO debe ser AAAA-MM",IF(B2320="","ERROR: falta CODIGO CECO",IF(G2320="CECO NO EXISTE","ERROR: CECO no existe en el catálogo",IF(C2320="","ERROR: falta CUENTA",IF(ISERROR(--C2320),"ERROR: CUENTA debe tener solo dígitos",IF(ISERROR(FIND(LEFT(C2320,1),"567")),"ERROR: CUENTA fuera de las clases de costo",IF(NOT(ISNUMBER(E2320)),"ERROR: VALOR debe ser numérico",IF(E2320=0,"AVISO: valor cero (no se carga)",IF(J2320&lt;&gt;"ACTIVO","NO SE CARGA: CECO en estado "&amp;J2320,"OK"))))))))))</f>
        <v/>
      </c>
    </row>
    <row r="2321">
      <c r="A2321" s="5" t="n"/>
      <c r="B2321" s="6" t="n"/>
      <c r="C2321" s="5" t="n"/>
      <c r="D2321" s="6" t="n"/>
      <c r="E2321" s="7" t="n"/>
      <c r="F2321" s="6" t="n"/>
      <c r="G2321" s="8">
        <f>IF(B2321="","",IFERROR(VLOOKUP(--B2321,'CATALOGO CECO'!$A$2:$H$550,2,FALSE),"CECO NO EXISTE"))</f>
        <v/>
      </c>
      <c r="H2321" s="8">
        <f>IF(B2321="","",IFERROR(VLOOKUP(--B2321,'CATALOGO CECO'!$A$2:$H$550,3,FALSE),""))</f>
        <v/>
      </c>
      <c r="I2321" s="8">
        <f>IF(B2321="","",IFERROR(VLOOKUP(--B2321,'CATALOGO CECO'!$A$2:$H$550,5,FALSE),""))</f>
        <v/>
      </c>
      <c r="J2321" s="8">
        <f>IF(B2321="","",IFERROR(VLOOKUP(--B2321,'CATALOGO CECO'!$A$2:$H$550,8,FALSE),""))</f>
        <v/>
      </c>
      <c r="K2321" s="8">
        <f>IF(COUNTA(A2321:F2321)=0,"",IF(OR(LEN(A2321)&lt;&gt;7,MID(A2321,5,1)&lt;&gt;"-",ISERROR(--LEFT(A2321,4)),ISERROR(--RIGHT(A2321,2))),"ERROR: PERIODO debe ser AAAA-MM",IF(B2321="","ERROR: falta CODIGO CECO",IF(G2321="CECO NO EXISTE","ERROR: CECO no existe en el catálogo",IF(C2321="","ERROR: falta CUENTA",IF(ISERROR(--C2321),"ERROR: CUENTA debe tener solo dígitos",IF(ISERROR(FIND(LEFT(C2321,1),"567")),"ERROR: CUENTA fuera de las clases de costo",IF(NOT(ISNUMBER(E2321)),"ERROR: VALOR debe ser numérico",IF(E2321=0,"AVISO: valor cero (no se carga)",IF(J2321&lt;&gt;"ACTIVO","NO SE CARGA: CECO en estado "&amp;J2321,"OK"))))))))))</f>
        <v/>
      </c>
    </row>
    <row r="2322">
      <c r="A2322" s="5" t="n"/>
      <c r="B2322" s="6" t="n"/>
      <c r="C2322" s="5" t="n"/>
      <c r="D2322" s="6" t="n"/>
      <c r="E2322" s="7" t="n"/>
      <c r="F2322" s="6" t="n"/>
      <c r="G2322" s="8">
        <f>IF(B2322="","",IFERROR(VLOOKUP(--B2322,'CATALOGO CECO'!$A$2:$H$550,2,FALSE),"CECO NO EXISTE"))</f>
        <v/>
      </c>
      <c r="H2322" s="8">
        <f>IF(B2322="","",IFERROR(VLOOKUP(--B2322,'CATALOGO CECO'!$A$2:$H$550,3,FALSE),""))</f>
        <v/>
      </c>
      <c r="I2322" s="8">
        <f>IF(B2322="","",IFERROR(VLOOKUP(--B2322,'CATALOGO CECO'!$A$2:$H$550,5,FALSE),""))</f>
        <v/>
      </c>
      <c r="J2322" s="8">
        <f>IF(B2322="","",IFERROR(VLOOKUP(--B2322,'CATALOGO CECO'!$A$2:$H$550,8,FALSE),""))</f>
        <v/>
      </c>
      <c r="K2322" s="8">
        <f>IF(COUNTA(A2322:F2322)=0,"",IF(OR(LEN(A2322)&lt;&gt;7,MID(A2322,5,1)&lt;&gt;"-",ISERROR(--LEFT(A2322,4)),ISERROR(--RIGHT(A2322,2))),"ERROR: PERIODO debe ser AAAA-MM",IF(B2322="","ERROR: falta CODIGO CECO",IF(G2322="CECO NO EXISTE","ERROR: CECO no existe en el catálogo",IF(C2322="","ERROR: falta CUENTA",IF(ISERROR(--C2322),"ERROR: CUENTA debe tener solo dígitos",IF(ISERROR(FIND(LEFT(C2322,1),"567")),"ERROR: CUENTA fuera de las clases de costo",IF(NOT(ISNUMBER(E2322)),"ERROR: VALOR debe ser numérico",IF(E2322=0,"AVISO: valor cero (no se carga)",IF(J2322&lt;&gt;"ACTIVO","NO SE CARGA: CECO en estado "&amp;J2322,"OK"))))))))))</f>
        <v/>
      </c>
    </row>
    <row r="2323">
      <c r="A2323" s="5" t="n"/>
      <c r="B2323" s="6" t="n"/>
      <c r="C2323" s="5" t="n"/>
      <c r="D2323" s="6" t="n"/>
      <c r="E2323" s="7" t="n"/>
      <c r="F2323" s="6" t="n"/>
      <c r="G2323" s="8">
        <f>IF(B2323="","",IFERROR(VLOOKUP(--B2323,'CATALOGO CECO'!$A$2:$H$550,2,FALSE),"CECO NO EXISTE"))</f>
        <v/>
      </c>
      <c r="H2323" s="8">
        <f>IF(B2323="","",IFERROR(VLOOKUP(--B2323,'CATALOGO CECO'!$A$2:$H$550,3,FALSE),""))</f>
        <v/>
      </c>
      <c r="I2323" s="8">
        <f>IF(B2323="","",IFERROR(VLOOKUP(--B2323,'CATALOGO CECO'!$A$2:$H$550,5,FALSE),""))</f>
        <v/>
      </c>
      <c r="J2323" s="8">
        <f>IF(B2323="","",IFERROR(VLOOKUP(--B2323,'CATALOGO CECO'!$A$2:$H$550,8,FALSE),""))</f>
        <v/>
      </c>
      <c r="K2323" s="8">
        <f>IF(COUNTA(A2323:F2323)=0,"",IF(OR(LEN(A2323)&lt;&gt;7,MID(A2323,5,1)&lt;&gt;"-",ISERROR(--LEFT(A2323,4)),ISERROR(--RIGHT(A2323,2))),"ERROR: PERIODO debe ser AAAA-MM",IF(B2323="","ERROR: falta CODIGO CECO",IF(G2323="CECO NO EXISTE","ERROR: CECO no existe en el catálogo",IF(C2323="","ERROR: falta CUENTA",IF(ISERROR(--C2323),"ERROR: CUENTA debe tener solo dígitos",IF(ISERROR(FIND(LEFT(C2323,1),"567")),"ERROR: CUENTA fuera de las clases de costo",IF(NOT(ISNUMBER(E2323)),"ERROR: VALOR debe ser numérico",IF(E2323=0,"AVISO: valor cero (no se carga)",IF(J2323&lt;&gt;"ACTIVO","NO SE CARGA: CECO en estado "&amp;J2323,"OK"))))))))))</f>
        <v/>
      </c>
    </row>
    <row r="2324">
      <c r="A2324" s="5" t="n"/>
      <c r="B2324" s="6" t="n"/>
      <c r="C2324" s="5" t="n"/>
      <c r="D2324" s="6" t="n"/>
      <c r="E2324" s="7" t="n"/>
      <c r="F2324" s="6" t="n"/>
      <c r="G2324" s="8">
        <f>IF(B2324="","",IFERROR(VLOOKUP(--B2324,'CATALOGO CECO'!$A$2:$H$550,2,FALSE),"CECO NO EXISTE"))</f>
        <v/>
      </c>
      <c r="H2324" s="8">
        <f>IF(B2324="","",IFERROR(VLOOKUP(--B2324,'CATALOGO CECO'!$A$2:$H$550,3,FALSE),""))</f>
        <v/>
      </c>
      <c r="I2324" s="8">
        <f>IF(B2324="","",IFERROR(VLOOKUP(--B2324,'CATALOGO CECO'!$A$2:$H$550,5,FALSE),""))</f>
        <v/>
      </c>
      <c r="J2324" s="8">
        <f>IF(B2324="","",IFERROR(VLOOKUP(--B2324,'CATALOGO CECO'!$A$2:$H$550,8,FALSE),""))</f>
        <v/>
      </c>
      <c r="K2324" s="8">
        <f>IF(COUNTA(A2324:F2324)=0,"",IF(OR(LEN(A2324)&lt;&gt;7,MID(A2324,5,1)&lt;&gt;"-",ISERROR(--LEFT(A2324,4)),ISERROR(--RIGHT(A2324,2))),"ERROR: PERIODO debe ser AAAA-MM",IF(B2324="","ERROR: falta CODIGO CECO",IF(G2324="CECO NO EXISTE","ERROR: CECO no existe en el catálogo",IF(C2324="","ERROR: falta CUENTA",IF(ISERROR(--C2324),"ERROR: CUENTA debe tener solo dígitos",IF(ISERROR(FIND(LEFT(C2324,1),"567")),"ERROR: CUENTA fuera de las clases de costo",IF(NOT(ISNUMBER(E2324)),"ERROR: VALOR debe ser numérico",IF(E2324=0,"AVISO: valor cero (no se carga)",IF(J2324&lt;&gt;"ACTIVO","NO SE CARGA: CECO en estado "&amp;J2324,"OK"))))))))))</f>
        <v/>
      </c>
    </row>
    <row r="2325">
      <c r="A2325" s="5" t="n"/>
      <c r="B2325" s="6" t="n"/>
      <c r="C2325" s="5" t="n"/>
      <c r="D2325" s="6" t="n"/>
      <c r="E2325" s="7" t="n"/>
      <c r="F2325" s="6" t="n"/>
      <c r="G2325" s="8">
        <f>IF(B2325="","",IFERROR(VLOOKUP(--B2325,'CATALOGO CECO'!$A$2:$H$550,2,FALSE),"CECO NO EXISTE"))</f>
        <v/>
      </c>
      <c r="H2325" s="8">
        <f>IF(B2325="","",IFERROR(VLOOKUP(--B2325,'CATALOGO CECO'!$A$2:$H$550,3,FALSE),""))</f>
        <v/>
      </c>
      <c r="I2325" s="8">
        <f>IF(B2325="","",IFERROR(VLOOKUP(--B2325,'CATALOGO CECO'!$A$2:$H$550,5,FALSE),""))</f>
        <v/>
      </c>
      <c r="J2325" s="8">
        <f>IF(B2325="","",IFERROR(VLOOKUP(--B2325,'CATALOGO CECO'!$A$2:$H$550,8,FALSE),""))</f>
        <v/>
      </c>
      <c r="K2325" s="8">
        <f>IF(COUNTA(A2325:F2325)=0,"",IF(OR(LEN(A2325)&lt;&gt;7,MID(A2325,5,1)&lt;&gt;"-",ISERROR(--LEFT(A2325,4)),ISERROR(--RIGHT(A2325,2))),"ERROR: PERIODO debe ser AAAA-MM",IF(B2325="","ERROR: falta CODIGO CECO",IF(G2325="CECO NO EXISTE","ERROR: CECO no existe en el catálogo",IF(C2325="","ERROR: falta CUENTA",IF(ISERROR(--C2325),"ERROR: CUENTA debe tener solo dígitos",IF(ISERROR(FIND(LEFT(C2325,1),"567")),"ERROR: CUENTA fuera de las clases de costo",IF(NOT(ISNUMBER(E2325)),"ERROR: VALOR debe ser numérico",IF(E2325=0,"AVISO: valor cero (no se carga)",IF(J2325&lt;&gt;"ACTIVO","NO SE CARGA: CECO en estado "&amp;J2325,"OK"))))))))))</f>
        <v/>
      </c>
    </row>
    <row r="2326">
      <c r="A2326" s="5" t="n"/>
      <c r="B2326" s="6" t="n"/>
      <c r="C2326" s="5" t="n"/>
      <c r="D2326" s="6" t="n"/>
      <c r="E2326" s="7" t="n"/>
      <c r="F2326" s="6" t="n"/>
      <c r="G2326" s="8">
        <f>IF(B2326="","",IFERROR(VLOOKUP(--B2326,'CATALOGO CECO'!$A$2:$H$550,2,FALSE),"CECO NO EXISTE"))</f>
        <v/>
      </c>
      <c r="H2326" s="8">
        <f>IF(B2326="","",IFERROR(VLOOKUP(--B2326,'CATALOGO CECO'!$A$2:$H$550,3,FALSE),""))</f>
        <v/>
      </c>
      <c r="I2326" s="8">
        <f>IF(B2326="","",IFERROR(VLOOKUP(--B2326,'CATALOGO CECO'!$A$2:$H$550,5,FALSE),""))</f>
        <v/>
      </c>
      <c r="J2326" s="8">
        <f>IF(B2326="","",IFERROR(VLOOKUP(--B2326,'CATALOGO CECO'!$A$2:$H$550,8,FALSE),""))</f>
        <v/>
      </c>
      <c r="K2326" s="8">
        <f>IF(COUNTA(A2326:F2326)=0,"",IF(OR(LEN(A2326)&lt;&gt;7,MID(A2326,5,1)&lt;&gt;"-",ISERROR(--LEFT(A2326,4)),ISERROR(--RIGHT(A2326,2))),"ERROR: PERIODO debe ser AAAA-MM",IF(B2326="","ERROR: falta CODIGO CECO",IF(G2326="CECO NO EXISTE","ERROR: CECO no existe en el catálogo",IF(C2326="","ERROR: falta CUENTA",IF(ISERROR(--C2326),"ERROR: CUENTA debe tener solo dígitos",IF(ISERROR(FIND(LEFT(C2326,1),"567")),"ERROR: CUENTA fuera de las clases de costo",IF(NOT(ISNUMBER(E2326)),"ERROR: VALOR debe ser numérico",IF(E2326=0,"AVISO: valor cero (no se carga)",IF(J2326&lt;&gt;"ACTIVO","NO SE CARGA: CECO en estado "&amp;J2326,"OK"))))))))))</f>
        <v/>
      </c>
    </row>
    <row r="2327">
      <c r="A2327" s="5" t="n"/>
      <c r="B2327" s="6" t="n"/>
      <c r="C2327" s="5" t="n"/>
      <c r="D2327" s="6" t="n"/>
      <c r="E2327" s="7" t="n"/>
      <c r="F2327" s="6" t="n"/>
      <c r="G2327" s="8">
        <f>IF(B2327="","",IFERROR(VLOOKUP(--B2327,'CATALOGO CECO'!$A$2:$H$550,2,FALSE),"CECO NO EXISTE"))</f>
        <v/>
      </c>
      <c r="H2327" s="8">
        <f>IF(B2327="","",IFERROR(VLOOKUP(--B2327,'CATALOGO CECO'!$A$2:$H$550,3,FALSE),""))</f>
        <v/>
      </c>
      <c r="I2327" s="8">
        <f>IF(B2327="","",IFERROR(VLOOKUP(--B2327,'CATALOGO CECO'!$A$2:$H$550,5,FALSE),""))</f>
        <v/>
      </c>
      <c r="J2327" s="8">
        <f>IF(B2327="","",IFERROR(VLOOKUP(--B2327,'CATALOGO CECO'!$A$2:$H$550,8,FALSE),""))</f>
        <v/>
      </c>
      <c r="K2327" s="8">
        <f>IF(COUNTA(A2327:F2327)=0,"",IF(OR(LEN(A2327)&lt;&gt;7,MID(A2327,5,1)&lt;&gt;"-",ISERROR(--LEFT(A2327,4)),ISERROR(--RIGHT(A2327,2))),"ERROR: PERIODO debe ser AAAA-MM",IF(B2327="","ERROR: falta CODIGO CECO",IF(G2327="CECO NO EXISTE","ERROR: CECO no existe en el catálogo",IF(C2327="","ERROR: falta CUENTA",IF(ISERROR(--C2327),"ERROR: CUENTA debe tener solo dígitos",IF(ISERROR(FIND(LEFT(C2327,1),"567")),"ERROR: CUENTA fuera de las clases de costo",IF(NOT(ISNUMBER(E2327)),"ERROR: VALOR debe ser numérico",IF(E2327=0,"AVISO: valor cero (no se carga)",IF(J2327&lt;&gt;"ACTIVO","NO SE CARGA: CECO en estado "&amp;J2327,"OK"))))))))))</f>
        <v/>
      </c>
    </row>
    <row r="2328">
      <c r="A2328" s="5" t="n"/>
      <c r="B2328" s="6" t="n"/>
      <c r="C2328" s="5" t="n"/>
      <c r="D2328" s="6" t="n"/>
      <c r="E2328" s="7" t="n"/>
      <c r="F2328" s="6" t="n"/>
      <c r="G2328" s="8">
        <f>IF(B2328="","",IFERROR(VLOOKUP(--B2328,'CATALOGO CECO'!$A$2:$H$550,2,FALSE),"CECO NO EXISTE"))</f>
        <v/>
      </c>
      <c r="H2328" s="8">
        <f>IF(B2328="","",IFERROR(VLOOKUP(--B2328,'CATALOGO CECO'!$A$2:$H$550,3,FALSE),""))</f>
        <v/>
      </c>
      <c r="I2328" s="8">
        <f>IF(B2328="","",IFERROR(VLOOKUP(--B2328,'CATALOGO CECO'!$A$2:$H$550,5,FALSE),""))</f>
        <v/>
      </c>
      <c r="J2328" s="8">
        <f>IF(B2328="","",IFERROR(VLOOKUP(--B2328,'CATALOGO CECO'!$A$2:$H$550,8,FALSE),""))</f>
        <v/>
      </c>
      <c r="K2328" s="8">
        <f>IF(COUNTA(A2328:F2328)=0,"",IF(OR(LEN(A2328)&lt;&gt;7,MID(A2328,5,1)&lt;&gt;"-",ISERROR(--LEFT(A2328,4)),ISERROR(--RIGHT(A2328,2))),"ERROR: PERIODO debe ser AAAA-MM",IF(B2328="","ERROR: falta CODIGO CECO",IF(G2328="CECO NO EXISTE","ERROR: CECO no existe en el catálogo",IF(C2328="","ERROR: falta CUENTA",IF(ISERROR(--C2328),"ERROR: CUENTA debe tener solo dígitos",IF(ISERROR(FIND(LEFT(C2328,1),"567")),"ERROR: CUENTA fuera de las clases de costo",IF(NOT(ISNUMBER(E2328)),"ERROR: VALOR debe ser numérico",IF(E2328=0,"AVISO: valor cero (no se carga)",IF(J2328&lt;&gt;"ACTIVO","NO SE CARGA: CECO en estado "&amp;J2328,"OK"))))))))))</f>
        <v/>
      </c>
    </row>
    <row r="2329">
      <c r="A2329" s="5" t="n"/>
      <c r="B2329" s="6" t="n"/>
      <c r="C2329" s="5" t="n"/>
      <c r="D2329" s="6" t="n"/>
      <c r="E2329" s="7" t="n"/>
      <c r="F2329" s="6" t="n"/>
      <c r="G2329" s="8">
        <f>IF(B2329="","",IFERROR(VLOOKUP(--B2329,'CATALOGO CECO'!$A$2:$H$550,2,FALSE),"CECO NO EXISTE"))</f>
        <v/>
      </c>
      <c r="H2329" s="8">
        <f>IF(B2329="","",IFERROR(VLOOKUP(--B2329,'CATALOGO CECO'!$A$2:$H$550,3,FALSE),""))</f>
        <v/>
      </c>
      <c r="I2329" s="8">
        <f>IF(B2329="","",IFERROR(VLOOKUP(--B2329,'CATALOGO CECO'!$A$2:$H$550,5,FALSE),""))</f>
        <v/>
      </c>
      <c r="J2329" s="8">
        <f>IF(B2329="","",IFERROR(VLOOKUP(--B2329,'CATALOGO CECO'!$A$2:$H$550,8,FALSE),""))</f>
        <v/>
      </c>
      <c r="K2329" s="8">
        <f>IF(COUNTA(A2329:F2329)=0,"",IF(OR(LEN(A2329)&lt;&gt;7,MID(A2329,5,1)&lt;&gt;"-",ISERROR(--LEFT(A2329,4)),ISERROR(--RIGHT(A2329,2))),"ERROR: PERIODO debe ser AAAA-MM",IF(B2329="","ERROR: falta CODIGO CECO",IF(G2329="CECO NO EXISTE","ERROR: CECO no existe en el catálogo",IF(C2329="","ERROR: falta CUENTA",IF(ISERROR(--C2329),"ERROR: CUENTA debe tener solo dígitos",IF(ISERROR(FIND(LEFT(C2329,1),"567")),"ERROR: CUENTA fuera de las clases de costo",IF(NOT(ISNUMBER(E2329)),"ERROR: VALOR debe ser numérico",IF(E2329=0,"AVISO: valor cero (no se carga)",IF(J2329&lt;&gt;"ACTIVO","NO SE CARGA: CECO en estado "&amp;J2329,"OK"))))))))))</f>
        <v/>
      </c>
    </row>
    <row r="2330">
      <c r="A2330" s="5" t="n"/>
      <c r="B2330" s="6" t="n"/>
      <c r="C2330" s="5" t="n"/>
      <c r="D2330" s="6" t="n"/>
      <c r="E2330" s="7" t="n"/>
      <c r="F2330" s="6" t="n"/>
      <c r="G2330" s="8">
        <f>IF(B2330="","",IFERROR(VLOOKUP(--B2330,'CATALOGO CECO'!$A$2:$H$550,2,FALSE),"CECO NO EXISTE"))</f>
        <v/>
      </c>
      <c r="H2330" s="8">
        <f>IF(B2330="","",IFERROR(VLOOKUP(--B2330,'CATALOGO CECO'!$A$2:$H$550,3,FALSE),""))</f>
        <v/>
      </c>
      <c r="I2330" s="8">
        <f>IF(B2330="","",IFERROR(VLOOKUP(--B2330,'CATALOGO CECO'!$A$2:$H$550,5,FALSE),""))</f>
        <v/>
      </c>
      <c r="J2330" s="8">
        <f>IF(B2330="","",IFERROR(VLOOKUP(--B2330,'CATALOGO CECO'!$A$2:$H$550,8,FALSE),""))</f>
        <v/>
      </c>
      <c r="K2330" s="8">
        <f>IF(COUNTA(A2330:F2330)=0,"",IF(OR(LEN(A2330)&lt;&gt;7,MID(A2330,5,1)&lt;&gt;"-",ISERROR(--LEFT(A2330,4)),ISERROR(--RIGHT(A2330,2))),"ERROR: PERIODO debe ser AAAA-MM",IF(B2330="","ERROR: falta CODIGO CECO",IF(G2330="CECO NO EXISTE","ERROR: CECO no existe en el catálogo",IF(C2330="","ERROR: falta CUENTA",IF(ISERROR(--C2330),"ERROR: CUENTA debe tener solo dígitos",IF(ISERROR(FIND(LEFT(C2330,1),"567")),"ERROR: CUENTA fuera de las clases de costo",IF(NOT(ISNUMBER(E2330)),"ERROR: VALOR debe ser numérico",IF(E2330=0,"AVISO: valor cero (no se carga)",IF(J2330&lt;&gt;"ACTIVO","NO SE CARGA: CECO en estado "&amp;J2330,"OK"))))))))))</f>
        <v/>
      </c>
    </row>
    <row r="2331">
      <c r="A2331" s="5" t="n"/>
      <c r="B2331" s="6" t="n"/>
      <c r="C2331" s="5" t="n"/>
      <c r="D2331" s="6" t="n"/>
      <c r="E2331" s="7" t="n"/>
      <c r="F2331" s="6" t="n"/>
      <c r="G2331" s="8">
        <f>IF(B2331="","",IFERROR(VLOOKUP(--B2331,'CATALOGO CECO'!$A$2:$H$550,2,FALSE),"CECO NO EXISTE"))</f>
        <v/>
      </c>
      <c r="H2331" s="8">
        <f>IF(B2331="","",IFERROR(VLOOKUP(--B2331,'CATALOGO CECO'!$A$2:$H$550,3,FALSE),""))</f>
        <v/>
      </c>
      <c r="I2331" s="8">
        <f>IF(B2331="","",IFERROR(VLOOKUP(--B2331,'CATALOGO CECO'!$A$2:$H$550,5,FALSE),""))</f>
        <v/>
      </c>
      <c r="J2331" s="8">
        <f>IF(B2331="","",IFERROR(VLOOKUP(--B2331,'CATALOGO CECO'!$A$2:$H$550,8,FALSE),""))</f>
        <v/>
      </c>
      <c r="K2331" s="8">
        <f>IF(COUNTA(A2331:F2331)=0,"",IF(OR(LEN(A2331)&lt;&gt;7,MID(A2331,5,1)&lt;&gt;"-",ISERROR(--LEFT(A2331,4)),ISERROR(--RIGHT(A2331,2))),"ERROR: PERIODO debe ser AAAA-MM",IF(B2331="","ERROR: falta CODIGO CECO",IF(G2331="CECO NO EXISTE","ERROR: CECO no existe en el catálogo",IF(C2331="","ERROR: falta CUENTA",IF(ISERROR(--C2331),"ERROR: CUENTA debe tener solo dígitos",IF(ISERROR(FIND(LEFT(C2331,1),"567")),"ERROR: CUENTA fuera de las clases de costo",IF(NOT(ISNUMBER(E2331)),"ERROR: VALOR debe ser numérico",IF(E2331=0,"AVISO: valor cero (no se carga)",IF(J2331&lt;&gt;"ACTIVO","NO SE CARGA: CECO en estado "&amp;J2331,"OK"))))))))))</f>
        <v/>
      </c>
    </row>
    <row r="2332">
      <c r="A2332" s="5" t="n"/>
      <c r="B2332" s="6" t="n"/>
      <c r="C2332" s="5" t="n"/>
      <c r="D2332" s="6" t="n"/>
      <c r="E2332" s="7" t="n"/>
      <c r="F2332" s="6" t="n"/>
      <c r="G2332" s="8">
        <f>IF(B2332="","",IFERROR(VLOOKUP(--B2332,'CATALOGO CECO'!$A$2:$H$550,2,FALSE),"CECO NO EXISTE"))</f>
        <v/>
      </c>
      <c r="H2332" s="8">
        <f>IF(B2332="","",IFERROR(VLOOKUP(--B2332,'CATALOGO CECO'!$A$2:$H$550,3,FALSE),""))</f>
        <v/>
      </c>
      <c r="I2332" s="8">
        <f>IF(B2332="","",IFERROR(VLOOKUP(--B2332,'CATALOGO CECO'!$A$2:$H$550,5,FALSE),""))</f>
        <v/>
      </c>
      <c r="J2332" s="8">
        <f>IF(B2332="","",IFERROR(VLOOKUP(--B2332,'CATALOGO CECO'!$A$2:$H$550,8,FALSE),""))</f>
        <v/>
      </c>
      <c r="K2332" s="8">
        <f>IF(COUNTA(A2332:F2332)=0,"",IF(OR(LEN(A2332)&lt;&gt;7,MID(A2332,5,1)&lt;&gt;"-",ISERROR(--LEFT(A2332,4)),ISERROR(--RIGHT(A2332,2))),"ERROR: PERIODO debe ser AAAA-MM",IF(B2332="","ERROR: falta CODIGO CECO",IF(G2332="CECO NO EXISTE","ERROR: CECO no existe en el catálogo",IF(C2332="","ERROR: falta CUENTA",IF(ISERROR(--C2332),"ERROR: CUENTA debe tener solo dígitos",IF(ISERROR(FIND(LEFT(C2332,1),"567")),"ERROR: CUENTA fuera de las clases de costo",IF(NOT(ISNUMBER(E2332)),"ERROR: VALOR debe ser numérico",IF(E2332=0,"AVISO: valor cero (no se carga)",IF(J2332&lt;&gt;"ACTIVO","NO SE CARGA: CECO en estado "&amp;J2332,"OK"))))))))))</f>
        <v/>
      </c>
    </row>
    <row r="2333">
      <c r="A2333" s="5" t="n"/>
      <c r="B2333" s="6" t="n"/>
      <c r="C2333" s="5" t="n"/>
      <c r="D2333" s="6" t="n"/>
      <c r="E2333" s="7" t="n"/>
      <c r="F2333" s="6" t="n"/>
      <c r="G2333" s="8">
        <f>IF(B2333="","",IFERROR(VLOOKUP(--B2333,'CATALOGO CECO'!$A$2:$H$550,2,FALSE),"CECO NO EXISTE"))</f>
        <v/>
      </c>
      <c r="H2333" s="8">
        <f>IF(B2333="","",IFERROR(VLOOKUP(--B2333,'CATALOGO CECO'!$A$2:$H$550,3,FALSE),""))</f>
        <v/>
      </c>
      <c r="I2333" s="8">
        <f>IF(B2333="","",IFERROR(VLOOKUP(--B2333,'CATALOGO CECO'!$A$2:$H$550,5,FALSE),""))</f>
        <v/>
      </c>
      <c r="J2333" s="8">
        <f>IF(B2333="","",IFERROR(VLOOKUP(--B2333,'CATALOGO CECO'!$A$2:$H$550,8,FALSE),""))</f>
        <v/>
      </c>
      <c r="K2333" s="8">
        <f>IF(COUNTA(A2333:F2333)=0,"",IF(OR(LEN(A2333)&lt;&gt;7,MID(A2333,5,1)&lt;&gt;"-",ISERROR(--LEFT(A2333,4)),ISERROR(--RIGHT(A2333,2))),"ERROR: PERIODO debe ser AAAA-MM",IF(B2333="","ERROR: falta CODIGO CECO",IF(G2333="CECO NO EXISTE","ERROR: CECO no existe en el catálogo",IF(C2333="","ERROR: falta CUENTA",IF(ISERROR(--C2333),"ERROR: CUENTA debe tener solo dígitos",IF(ISERROR(FIND(LEFT(C2333,1),"567")),"ERROR: CUENTA fuera de las clases de costo",IF(NOT(ISNUMBER(E2333)),"ERROR: VALOR debe ser numérico",IF(E2333=0,"AVISO: valor cero (no se carga)",IF(J2333&lt;&gt;"ACTIVO","NO SE CARGA: CECO en estado "&amp;J2333,"OK"))))))))))</f>
        <v/>
      </c>
    </row>
    <row r="2334">
      <c r="A2334" s="5" t="n"/>
      <c r="B2334" s="6" t="n"/>
      <c r="C2334" s="5" t="n"/>
      <c r="D2334" s="6" t="n"/>
      <c r="E2334" s="7" t="n"/>
      <c r="F2334" s="6" t="n"/>
      <c r="G2334" s="8">
        <f>IF(B2334="","",IFERROR(VLOOKUP(--B2334,'CATALOGO CECO'!$A$2:$H$550,2,FALSE),"CECO NO EXISTE"))</f>
        <v/>
      </c>
      <c r="H2334" s="8">
        <f>IF(B2334="","",IFERROR(VLOOKUP(--B2334,'CATALOGO CECO'!$A$2:$H$550,3,FALSE),""))</f>
        <v/>
      </c>
      <c r="I2334" s="8">
        <f>IF(B2334="","",IFERROR(VLOOKUP(--B2334,'CATALOGO CECO'!$A$2:$H$550,5,FALSE),""))</f>
        <v/>
      </c>
      <c r="J2334" s="8">
        <f>IF(B2334="","",IFERROR(VLOOKUP(--B2334,'CATALOGO CECO'!$A$2:$H$550,8,FALSE),""))</f>
        <v/>
      </c>
      <c r="K2334" s="8">
        <f>IF(COUNTA(A2334:F2334)=0,"",IF(OR(LEN(A2334)&lt;&gt;7,MID(A2334,5,1)&lt;&gt;"-",ISERROR(--LEFT(A2334,4)),ISERROR(--RIGHT(A2334,2))),"ERROR: PERIODO debe ser AAAA-MM",IF(B2334="","ERROR: falta CODIGO CECO",IF(G2334="CECO NO EXISTE","ERROR: CECO no existe en el catálogo",IF(C2334="","ERROR: falta CUENTA",IF(ISERROR(--C2334),"ERROR: CUENTA debe tener solo dígitos",IF(ISERROR(FIND(LEFT(C2334,1),"567")),"ERROR: CUENTA fuera de las clases de costo",IF(NOT(ISNUMBER(E2334)),"ERROR: VALOR debe ser numérico",IF(E2334=0,"AVISO: valor cero (no se carga)",IF(J2334&lt;&gt;"ACTIVO","NO SE CARGA: CECO en estado "&amp;J2334,"OK"))))))))))</f>
        <v/>
      </c>
    </row>
    <row r="2335">
      <c r="A2335" s="5" t="n"/>
      <c r="B2335" s="6" t="n"/>
      <c r="C2335" s="5" t="n"/>
      <c r="D2335" s="6" t="n"/>
      <c r="E2335" s="7" t="n"/>
      <c r="F2335" s="6" t="n"/>
      <c r="G2335" s="8">
        <f>IF(B2335="","",IFERROR(VLOOKUP(--B2335,'CATALOGO CECO'!$A$2:$H$550,2,FALSE),"CECO NO EXISTE"))</f>
        <v/>
      </c>
      <c r="H2335" s="8">
        <f>IF(B2335="","",IFERROR(VLOOKUP(--B2335,'CATALOGO CECO'!$A$2:$H$550,3,FALSE),""))</f>
        <v/>
      </c>
      <c r="I2335" s="8">
        <f>IF(B2335="","",IFERROR(VLOOKUP(--B2335,'CATALOGO CECO'!$A$2:$H$550,5,FALSE),""))</f>
        <v/>
      </c>
      <c r="J2335" s="8">
        <f>IF(B2335="","",IFERROR(VLOOKUP(--B2335,'CATALOGO CECO'!$A$2:$H$550,8,FALSE),""))</f>
        <v/>
      </c>
      <c r="K2335" s="8">
        <f>IF(COUNTA(A2335:F2335)=0,"",IF(OR(LEN(A2335)&lt;&gt;7,MID(A2335,5,1)&lt;&gt;"-",ISERROR(--LEFT(A2335,4)),ISERROR(--RIGHT(A2335,2))),"ERROR: PERIODO debe ser AAAA-MM",IF(B2335="","ERROR: falta CODIGO CECO",IF(G2335="CECO NO EXISTE","ERROR: CECO no existe en el catálogo",IF(C2335="","ERROR: falta CUENTA",IF(ISERROR(--C2335),"ERROR: CUENTA debe tener solo dígitos",IF(ISERROR(FIND(LEFT(C2335,1),"567")),"ERROR: CUENTA fuera de las clases de costo",IF(NOT(ISNUMBER(E2335)),"ERROR: VALOR debe ser numérico",IF(E2335=0,"AVISO: valor cero (no se carga)",IF(J2335&lt;&gt;"ACTIVO","NO SE CARGA: CECO en estado "&amp;J2335,"OK"))))))))))</f>
        <v/>
      </c>
    </row>
    <row r="2336">
      <c r="A2336" s="5" t="n"/>
      <c r="B2336" s="6" t="n"/>
      <c r="C2336" s="5" t="n"/>
      <c r="D2336" s="6" t="n"/>
      <c r="E2336" s="7" t="n"/>
      <c r="F2336" s="6" t="n"/>
      <c r="G2336" s="8">
        <f>IF(B2336="","",IFERROR(VLOOKUP(--B2336,'CATALOGO CECO'!$A$2:$H$550,2,FALSE),"CECO NO EXISTE"))</f>
        <v/>
      </c>
      <c r="H2336" s="8">
        <f>IF(B2336="","",IFERROR(VLOOKUP(--B2336,'CATALOGO CECO'!$A$2:$H$550,3,FALSE),""))</f>
        <v/>
      </c>
      <c r="I2336" s="8">
        <f>IF(B2336="","",IFERROR(VLOOKUP(--B2336,'CATALOGO CECO'!$A$2:$H$550,5,FALSE),""))</f>
        <v/>
      </c>
      <c r="J2336" s="8">
        <f>IF(B2336="","",IFERROR(VLOOKUP(--B2336,'CATALOGO CECO'!$A$2:$H$550,8,FALSE),""))</f>
        <v/>
      </c>
      <c r="K2336" s="8">
        <f>IF(COUNTA(A2336:F2336)=0,"",IF(OR(LEN(A2336)&lt;&gt;7,MID(A2336,5,1)&lt;&gt;"-",ISERROR(--LEFT(A2336,4)),ISERROR(--RIGHT(A2336,2))),"ERROR: PERIODO debe ser AAAA-MM",IF(B2336="","ERROR: falta CODIGO CECO",IF(G2336="CECO NO EXISTE","ERROR: CECO no existe en el catálogo",IF(C2336="","ERROR: falta CUENTA",IF(ISERROR(--C2336),"ERROR: CUENTA debe tener solo dígitos",IF(ISERROR(FIND(LEFT(C2336,1),"567")),"ERROR: CUENTA fuera de las clases de costo",IF(NOT(ISNUMBER(E2336)),"ERROR: VALOR debe ser numérico",IF(E2336=0,"AVISO: valor cero (no se carga)",IF(J2336&lt;&gt;"ACTIVO","NO SE CARGA: CECO en estado "&amp;J2336,"OK"))))))))))</f>
        <v/>
      </c>
    </row>
    <row r="2337">
      <c r="A2337" s="5" t="n"/>
      <c r="B2337" s="6" t="n"/>
      <c r="C2337" s="5" t="n"/>
      <c r="D2337" s="6" t="n"/>
      <c r="E2337" s="7" t="n"/>
      <c r="F2337" s="6" t="n"/>
      <c r="G2337" s="8">
        <f>IF(B2337="","",IFERROR(VLOOKUP(--B2337,'CATALOGO CECO'!$A$2:$H$550,2,FALSE),"CECO NO EXISTE"))</f>
        <v/>
      </c>
      <c r="H2337" s="8">
        <f>IF(B2337="","",IFERROR(VLOOKUP(--B2337,'CATALOGO CECO'!$A$2:$H$550,3,FALSE),""))</f>
        <v/>
      </c>
      <c r="I2337" s="8">
        <f>IF(B2337="","",IFERROR(VLOOKUP(--B2337,'CATALOGO CECO'!$A$2:$H$550,5,FALSE),""))</f>
        <v/>
      </c>
      <c r="J2337" s="8">
        <f>IF(B2337="","",IFERROR(VLOOKUP(--B2337,'CATALOGO CECO'!$A$2:$H$550,8,FALSE),""))</f>
        <v/>
      </c>
      <c r="K2337" s="8">
        <f>IF(COUNTA(A2337:F2337)=0,"",IF(OR(LEN(A2337)&lt;&gt;7,MID(A2337,5,1)&lt;&gt;"-",ISERROR(--LEFT(A2337,4)),ISERROR(--RIGHT(A2337,2))),"ERROR: PERIODO debe ser AAAA-MM",IF(B2337="","ERROR: falta CODIGO CECO",IF(G2337="CECO NO EXISTE","ERROR: CECO no existe en el catálogo",IF(C2337="","ERROR: falta CUENTA",IF(ISERROR(--C2337),"ERROR: CUENTA debe tener solo dígitos",IF(ISERROR(FIND(LEFT(C2337,1),"567")),"ERROR: CUENTA fuera de las clases de costo",IF(NOT(ISNUMBER(E2337)),"ERROR: VALOR debe ser numérico",IF(E2337=0,"AVISO: valor cero (no se carga)",IF(J2337&lt;&gt;"ACTIVO","NO SE CARGA: CECO en estado "&amp;J2337,"OK"))))))))))</f>
        <v/>
      </c>
    </row>
    <row r="2338">
      <c r="A2338" s="5" t="n"/>
      <c r="B2338" s="6" t="n"/>
      <c r="C2338" s="5" t="n"/>
      <c r="D2338" s="6" t="n"/>
      <c r="E2338" s="7" t="n"/>
      <c r="F2338" s="6" t="n"/>
      <c r="G2338" s="8">
        <f>IF(B2338="","",IFERROR(VLOOKUP(--B2338,'CATALOGO CECO'!$A$2:$H$550,2,FALSE),"CECO NO EXISTE"))</f>
        <v/>
      </c>
      <c r="H2338" s="8">
        <f>IF(B2338="","",IFERROR(VLOOKUP(--B2338,'CATALOGO CECO'!$A$2:$H$550,3,FALSE),""))</f>
        <v/>
      </c>
      <c r="I2338" s="8">
        <f>IF(B2338="","",IFERROR(VLOOKUP(--B2338,'CATALOGO CECO'!$A$2:$H$550,5,FALSE),""))</f>
        <v/>
      </c>
      <c r="J2338" s="8">
        <f>IF(B2338="","",IFERROR(VLOOKUP(--B2338,'CATALOGO CECO'!$A$2:$H$550,8,FALSE),""))</f>
        <v/>
      </c>
      <c r="K2338" s="8">
        <f>IF(COUNTA(A2338:F2338)=0,"",IF(OR(LEN(A2338)&lt;&gt;7,MID(A2338,5,1)&lt;&gt;"-",ISERROR(--LEFT(A2338,4)),ISERROR(--RIGHT(A2338,2))),"ERROR: PERIODO debe ser AAAA-MM",IF(B2338="","ERROR: falta CODIGO CECO",IF(G2338="CECO NO EXISTE","ERROR: CECO no existe en el catálogo",IF(C2338="","ERROR: falta CUENTA",IF(ISERROR(--C2338),"ERROR: CUENTA debe tener solo dígitos",IF(ISERROR(FIND(LEFT(C2338,1),"567")),"ERROR: CUENTA fuera de las clases de costo",IF(NOT(ISNUMBER(E2338)),"ERROR: VALOR debe ser numérico",IF(E2338=0,"AVISO: valor cero (no se carga)",IF(J2338&lt;&gt;"ACTIVO","NO SE CARGA: CECO en estado "&amp;J2338,"OK"))))))))))</f>
        <v/>
      </c>
    </row>
    <row r="2339">
      <c r="A2339" s="5" t="n"/>
      <c r="B2339" s="6" t="n"/>
      <c r="C2339" s="5" t="n"/>
      <c r="D2339" s="6" t="n"/>
      <c r="E2339" s="7" t="n"/>
      <c r="F2339" s="6" t="n"/>
      <c r="G2339" s="8">
        <f>IF(B2339="","",IFERROR(VLOOKUP(--B2339,'CATALOGO CECO'!$A$2:$H$550,2,FALSE),"CECO NO EXISTE"))</f>
        <v/>
      </c>
      <c r="H2339" s="8">
        <f>IF(B2339="","",IFERROR(VLOOKUP(--B2339,'CATALOGO CECO'!$A$2:$H$550,3,FALSE),""))</f>
        <v/>
      </c>
      <c r="I2339" s="8">
        <f>IF(B2339="","",IFERROR(VLOOKUP(--B2339,'CATALOGO CECO'!$A$2:$H$550,5,FALSE),""))</f>
        <v/>
      </c>
      <c r="J2339" s="8">
        <f>IF(B2339="","",IFERROR(VLOOKUP(--B2339,'CATALOGO CECO'!$A$2:$H$550,8,FALSE),""))</f>
        <v/>
      </c>
      <c r="K2339" s="8">
        <f>IF(COUNTA(A2339:F2339)=0,"",IF(OR(LEN(A2339)&lt;&gt;7,MID(A2339,5,1)&lt;&gt;"-",ISERROR(--LEFT(A2339,4)),ISERROR(--RIGHT(A2339,2))),"ERROR: PERIODO debe ser AAAA-MM",IF(B2339="","ERROR: falta CODIGO CECO",IF(G2339="CECO NO EXISTE","ERROR: CECO no existe en el catálogo",IF(C2339="","ERROR: falta CUENTA",IF(ISERROR(--C2339),"ERROR: CUENTA debe tener solo dígitos",IF(ISERROR(FIND(LEFT(C2339,1),"567")),"ERROR: CUENTA fuera de las clases de costo",IF(NOT(ISNUMBER(E2339)),"ERROR: VALOR debe ser numérico",IF(E2339=0,"AVISO: valor cero (no se carga)",IF(J2339&lt;&gt;"ACTIVO","NO SE CARGA: CECO en estado "&amp;J2339,"OK"))))))))))</f>
        <v/>
      </c>
    </row>
    <row r="2340">
      <c r="A2340" s="5" t="n"/>
      <c r="B2340" s="6" t="n"/>
      <c r="C2340" s="5" t="n"/>
      <c r="D2340" s="6" t="n"/>
      <c r="E2340" s="7" t="n"/>
      <c r="F2340" s="6" t="n"/>
      <c r="G2340" s="8">
        <f>IF(B2340="","",IFERROR(VLOOKUP(--B2340,'CATALOGO CECO'!$A$2:$H$550,2,FALSE),"CECO NO EXISTE"))</f>
        <v/>
      </c>
      <c r="H2340" s="8">
        <f>IF(B2340="","",IFERROR(VLOOKUP(--B2340,'CATALOGO CECO'!$A$2:$H$550,3,FALSE),""))</f>
        <v/>
      </c>
      <c r="I2340" s="8">
        <f>IF(B2340="","",IFERROR(VLOOKUP(--B2340,'CATALOGO CECO'!$A$2:$H$550,5,FALSE),""))</f>
        <v/>
      </c>
      <c r="J2340" s="8">
        <f>IF(B2340="","",IFERROR(VLOOKUP(--B2340,'CATALOGO CECO'!$A$2:$H$550,8,FALSE),""))</f>
        <v/>
      </c>
      <c r="K2340" s="8">
        <f>IF(COUNTA(A2340:F2340)=0,"",IF(OR(LEN(A2340)&lt;&gt;7,MID(A2340,5,1)&lt;&gt;"-",ISERROR(--LEFT(A2340,4)),ISERROR(--RIGHT(A2340,2))),"ERROR: PERIODO debe ser AAAA-MM",IF(B2340="","ERROR: falta CODIGO CECO",IF(G2340="CECO NO EXISTE","ERROR: CECO no existe en el catálogo",IF(C2340="","ERROR: falta CUENTA",IF(ISERROR(--C2340),"ERROR: CUENTA debe tener solo dígitos",IF(ISERROR(FIND(LEFT(C2340,1),"567")),"ERROR: CUENTA fuera de las clases de costo",IF(NOT(ISNUMBER(E2340)),"ERROR: VALOR debe ser numérico",IF(E2340=0,"AVISO: valor cero (no se carga)",IF(J2340&lt;&gt;"ACTIVO","NO SE CARGA: CECO en estado "&amp;J2340,"OK"))))))))))</f>
        <v/>
      </c>
    </row>
    <row r="2341">
      <c r="A2341" s="5" t="n"/>
      <c r="B2341" s="6" t="n"/>
      <c r="C2341" s="5" t="n"/>
      <c r="D2341" s="6" t="n"/>
      <c r="E2341" s="7" t="n"/>
      <c r="F2341" s="6" t="n"/>
      <c r="G2341" s="8">
        <f>IF(B2341="","",IFERROR(VLOOKUP(--B2341,'CATALOGO CECO'!$A$2:$H$550,2,FALSE),"CECO NO EXISTE"))</f>
        <v/>
      </c>
      <c r="H2341" s="8">
        <f>IF(B2341="","",IFERROR(VLOOKUP(--B2341,'CATALOGO CECO'!$A$2:$H$550,3,FALSE),""))</f>
        <v/>
      </c>
      <c r="I2341" s="8">
        <f>IF(B2341="","",IFERROR(VLOOKUP(--B2341,'CATALOGO CECO'!$A$2:$H$550,5,FALSE),""))</f>
        <v/>
      </c>
      <c r="J2341" s="8">
        <f>IF(B2341="","",IFERROR(VLOOKUP(--B2341,'CATALOGO CECO'!$A$2:$H$550,8,FALSE),""))</f>
        <v/>
      </c>
      <c r="K2341" s="8">
        <f>IF(COUNTA(A2341:F2341)=0,"",IF(OR(LEN(A2341)&lt;&gt;7,MID(A2341,5,1)&lt;&gt;"-",ISERROR(--LEFT(A2341,4)),ISERROR(--RIGHT(A2341,2))),"ERROR: PERIODO debe ser AAAA-MM",IF(B2341="","ERROR: falta CODIGO CECO",IF(G2341="CECO NO EXISTE","ERROR: CECO no existe en el catálogo",IF(C2341="","ERROR: falta CUENTA",IF(ISERROR(--C2341),"ERROR: CUENTA debe tener solo dígitos",IF(ISERROR(FIND(LEFT(C2341,1),"567")),"ERROR: CUENTA fuera de las clases de costo",IF(NOT(ISNUMBER(E2341)),"ERROR: VALOR debe ser numérico",IF(E2341=0,"AVISO: valor cero (no se carga)",IF(J2341&lt;&gt;"ACTIVO","NO SE CARGA: CECO en estado "&amp;J2341,"OK"))))))))))</f>
        <v/>
      </c>
    </row>
    <row r="2342">
      <c r="A2342" s="5" t="n"/>
      <c r="B2342" s="6" t="n"/>
      <c r="C2342" s="5" t="n"/>
      <c r="D2342" s="6" t="n"/>
      <c r="E2342" s="7" t="n"/>
      <c r="F2342" s="6" t="n"/>
      <c r="G2342" s="8">
        <f>IF(B2342="","",IFERROR(VLOOKUP(--B2342,'CATALOGO CECO'!$A$2:$H$550,2,FALSE),"CECO NO EXISTE"))</f>
        <v/>
      </c>
      <c r="H2342" s="8">
        <f>IF(B2342="","",IFERROR(VLOOKUP(--B2342,'CATALOGO CECO'!$A$2:$H$550,3,FALSE),""))</f>
        <v/>
      </c>
      <c r="I2342" s="8">
        <f>IF(B2342="","",IFERROR(VLOOKUP(--B2342,'CATALOGO CECO'!$A$2:$H$550,5,FALSE),""))</f>
        <v/>
      </c>
      <c r="J2342" s="8">
        <f>IF(B2342="","",IFERROR(VLOOKUP(--B2342,'CATALOGO CECO'!$A$2:$H$550,8,FALSE),""))</f>
        <v/>
      </c>
      <c r="K2342" s="8">
        <f>IF(COUNTA(A2342:F2342)=0,"",IF(OR(LEN(A2342)&lt;&gt;7,MID(A2342,5,1)&lt;&gt;"-",ISERROR(--LEFT(A2342,4)),ISERROR(--RIGHT(A2342,2))),"ERROR: PERIODO debe ser AAAA-MM",IF(B2342="","ERROR: falta CODIGO CECO",IF(G2342="CECO NO EXISTE","ERROR: CECO no existe en el catálogo",IF(C2342="","ERROR: falta CUENTA",IF(ISERROR(--C2342),"ERROR: CUENTA debe tener solo dígitos",IF(ISERROR(FIND(LEFT(C2342,1),"567")),"ERROR: CUENTA fuera de las clases de costo",IF(NOT(ISNUMBER(E2342)),"ERROR: VALOR debe ser numérico",IF(E2342=0,"AVISO: valor cero (no se carga)",IF(J2342&lt;&gt;"ACTIVO","NO SE CARGA: CECO en estado "&amp;J2342,"OK"))))))))))</f>
        <v/>
      </c>
    </row>
    <row r="2343">
      <c r="A2343" s="5" t="n"/>
      <c r="B2343" s="6" t="n"/>
      <c r="C2343" s="5" t="n"/>
      <c r="D2343" s="6" t="n"/>
      <c r="E2343" s="7" t="n"/>
      <c r="F2343" s="6" t="n"/>
      <c r="G2343" s="8">
        <f>IF(B2343="","",IFERROR(VLOOKUP(--B2343,'CATALOGO CECO'!$A$2:$H$550,2,FALSE),"CECO NO EXISTE"))</f>
        <v/>
      </c>
      <c r="H2343" s="8">
        <f>IF(B2343="","",IFERROR(VLOOKUP(--B2343,'CATALOGO CECO'!$A$2:$H$550,3,FALSE),""))</f>
        <v/>
      </c>
      <c r="I2343" s="8">
        <f>IF(B2343="","",IFERROR(VLOOKUP(--B2343,'CATALOGO CECO'!$A$2:$H$550,5,FALSE),""))</f>
        <v/>
      </c>
      <c r="J2343" s="8">
        <f>IF(B2343="","",IFERROR(VLOOKUP(--B2343,'CATALOGO CECO'!$A$2:$H$550,8,FALSE),""))</f>
        <v/>
      </c>
      <c r="K2343" s="8">
        <f>IF(COUNTA(A2343:F2343)=0,"",IF(OR(LEN(A2343)&lt;&gt;7,MID(A2343,5,1)&lt;&gt;"-",ISERROR(--LEFT(A2343,4)),ISERROR(--RIGHT(A2343,2))),"ERROR: PERIODO debe ser AAAA-MM",IF(B2343="","ERROR: falta CODIGO CECO",IF(G2343="CECO NO EXISTE","ERROR: CECO no existe en el catálogo",IF(C2343="","ERROR: falta CUENTA",IF(ISERROR(--C2343),"ERROR: CUENTA debe tener solo dígitos",IF(ISERROR(FIND(LEFT(C2343,1),"567")),"ERROR: CUENTA fuera de las clases de costo",IF(NOT(ISNUMBER(E2343)),"ERROR: VALOR debe ser numérico",IF(E2343=0,"AVISO: valor cero (no se carga)",IF(J2343&lt;&gt;"ACTIVO","NO SE CARGA: CECO en estado "&amp;J2343,"OK"))))))))))</f>
        <v/>
      </c>
    </row>
    <row r="2344">
      <c r="A2344" s="5" t="n"/>
      <c r="B2344" s="6" t="n"/>
      <c r="C2344" s="5" t="n"/>
      <c r="D2344" s="6" t="n"/>
      <c r="E2344" s="7" t="n"/>
      <c r="F2344" s="6" t="n"/>
      <c r="G2344" s="8">
        <f>IF(B2344="","",IFERROR(VLOOKUP(--B2344,'CATALOGO CECO'!$A$2:$H$550,2,FALSE),"CECO NO EXISTE"))</f>
        <v/>
      </c>
      <c r="H2344" s="8">
        <f>IF(B2344="","",IFERROR(VLOOKUP(--B2344,'CATALOGO CECO'!$A$2:$H$550,3,FALSE),""))</f>
        <v/>
      </c>
      <c r="I2344" s="8">
        <f>IF(B2344="","",IFERROR(VLOOKUP(--B2344,'CATALOGO CECO'!$A$2:$H$550,5,FALSE),""))</f>
        <v/>
      </c>
      <c r="J2344" s="8">
        <f>IF(B2344="","",IFERROR(VLOOKUP(--B2344,'CATALOGO CECO'!$A$2:$H$550,8,FALSE),""))</f>
        <v/>
      </c>
      <c r="K2344" s="8">
        <f>IF(COUNTA(A2344:F2344)=0,"",IF(OR(LEN(A2344)&lt;&gt;7,MID(A2344,5,1)&lt;&gt;"-",ISERROR(--LEFT(A2344,4)),ISERROR(--RIGHT(A2344,2))),"ERROR: PERIODO debe ser AAAA-MM",IF(B2344="","ERROR: falta CODIGO CECO",IF(G2344="CECO NO EXISTE","ERROR: CECO no existe en el catálogo",IF(C2344="","ERROR: falta CUENTA",IF(ISERROR(--C2344),"ERROR: CUENTA debe tener solo dígitos",IF(ISERROR(FIND(LEFT(C2344,1),"567")),"ERROR: CUENTA fuera de las clases de costo",IF(NOT(ISNUMBER(E2344)),"ERROR: VALOR debe ser numérico",IF(E2344=0,"AVISO: valor cero (no se carga)",IF(J2344&lt;&gt;"ACTIVO","NO SE CARGA: CECO en estado "&amp;J2344,"OK"))))))))))</f>
        <v/>
      </c>
    </row>
    <row r="2345">
      <c r="A2345" s="5" t="n"/>
      <c r="B2345" s="6" t="n"/>
      <c r="C2345" s="5" t="n"/>
      <c r="D2345" s="6" t="n"/>
      <c r="E2345" s="7" t="n"/>
      <c r="F2345" s="6" t="n"/>
      <c r="G2345" s="8">
        <f>IF(B2345="","",IFERROR(VLOOKUP(--B2345,'CATALOGO CECO'!$A$2:$H$550,2,FALSE),"CECO NO EXISTE"))</f>
        <v/>
      </c>
      <c r="H2345" s="8">
        <f>IF(B2345="","",IFERROR(VLOOKUP(--B2345,'CATALOGO CECO'!$A$2:$H$550,3,FALSE),""))</f>
        <v/>
      </c>
      <c r="I2345" s="8">
        <f>IF(B2345="","",IFERROR(VLOOKUP(--B2345,'CATALOGO CECO'!$A$2:$H$550,5,FALSE),""))</f>
        <v/>
      </c>
      <c r="J2345" s="8">
        <f>IF(B2345="","",IFERROR(VLOOKUP(--B2345,'CATALOGO CECO'!$A$2:$H$550,8,FALSE),""))</f>
        <v/>
      </c>
      <c r="K2345" s="8">
        <f>IF(COUNTA(A2345:F2345)=0,"",IF(OR(LEN(A2345)&lt;&gt;7,MID(A2345,5,1)&lt;&gt;"-",ISERROR(--LEFT(A2345,4)),ISERROR(--RIGHT(A2345,2))),"ERROR: PERIODO debe ser AAAA-MM",IF(B2345="","ERROR: falta CODIGO CECO",IF(G2345="CECO NO EXISTE","ERROR: CECO no existe en el catálogo",IF(C2345="","ERROR: falta CUENTA",IF(ISERROR(--C2345),"ERROR: CUENTA debe tener solo dígitos",IF(ISERROR(FIND(LEFT(C2345,1),"567")),"ERROR: CUENTA fuera de las clases de costo",IF(NOT(ISNUMBER(E2345)),"ERROR: VALOR debe ser numérico",IF(E2345=0,"AVISO: valor cero (no se carga)",IF(J2345&lt;&gt;"ACTIVO","NO SE CARGA: CECO en estado "&amp;J2345,"OK"))))))))))</f>
        <v/>
      </c>
    </row>
    <row r="2346">
      <c r="A2346" s="5" t="n"/>
      <c r="B2346" s="6" t="n"/>
      <c r="C2346" s="5" t="n"/>
      <c r="D2346" s="6" t="n"/>
      <c r="E2346" s="7" t="n"/>
      <c r="F2346" s="6" t="n"/>
      <c r="G2346" s="8">
        <f>IF(B2346="","",IFERROR(VLOOKUP(--B2346,'CATALOGO CECO'!$A$2:$H$550,2,FALSE),"CECO NO EXISTE"))</f>
        <v/>
      </c>
      <c r="H2346" s="8">
        <f>IF(B2346="","",IFERROR(VLOOKUP(--B2346,'CATALOGO CECO'!$A$2:$H$550,3,FALSE),""))</f>
        <v/>
      </c>
      <c r="I2346" s="8">
        <f>IF(B2346="","",IFERROR(VLOOKUP(--B2346,'CATALOGO CECO'!$A$2:$H$550,5,FALSE),""))</f>
        <v/>
      </c>
      <c r="J2346" s="8">
        <f>IF(B2346="","",IFERROR(VLOOKUP(--B2346,'CATALOGO CECO'!$A$2:$H$550,8,FALSE),""))</f>
        <v/>
      </c>
      <c r="K2346" s="8">
        <f>IF(COUNTA(A2346:F2346)=0,"",IF(OR(LEN(A2346)&lt;&gt;7,MID(A2346,5,1)&lt;&gt;"-",ISERROR(--LEFT(A2346,4)),ISERROR(--RIGHT(A2346,2))),"ERROR: PERIODO debe ser AAAA-MM",IF(B2346="","ERROR: falta CODIGO CECO",IF(G2346="CECO NO EXISTE","ERROR: CECO no existe en el catálogo",IF(C2346="","ERROR: falta CUENTA",IF(ISERROR(--C2346),"ERROR: CUENTA debe tener solo dígitos",IF(ISERROR(FIND(LEFT(C2346,1),"567")),"ERROR: CUENTA fuera de las clases de costo",IF(NOT(ISNUMBER(E2346)),"ERROR: VALOR debe ser numérico",IF(E2346=0,"AVISO: valor cero (no se carga)",IF(J2346&lt;&gt;"ACTIVO","NO SE CARGA: CECO en estado "&amp;J2346,"OK"))))))))))</f>
        <v/>
      </c>
    </row>
    <row r="2347">
      <c r="A2347" s="5" t="n"/>
      <c r="B2347" s="6" t="n"/>
      <c r="C2347" s="5" t="n"/>
      <c r="D2347" s="6" t="n"/>
      <c r="E2347" s="7" t="n"/>
      <c r="F2347" s="6" t="n"/>
      <c r="G2347" s="8">
        <f>IF(B2347="","",IFERROR(VLOOKUP(--B2347,'CATALOGO CECO'!$A$2:$H$550,2,FALSE),"CECO NO EXISTE"))</f>
        <v/>
      </c>
      <c r="H2347" s="8">
        <f>IF(B2347="","",IFERROR(VLOOKUP(--B2347,'CATALOGO CECO'!$A$2:$H$550,3,FALSE),""))</f>
        <v/>
      </c>
      <c r="I2347" s="8">
        <f>IF(B2347="","",IFERROR(VLOOKUP(--B2347,'CATALOGO CECO'!$A$2:$H$550,5,FALSE),""))</f>
        <v/>
      </c>
      <c r="J2347" s="8">
        <f>IF(B2347="","",IFERROR(VLOOKUP(--B2347,'CATALOGO CECO'!$A$2:$H$550,8,FALSE),""))</f>
        <v/>
      </c>
      <c r="K2347" s="8">
        <f>IF(COUNTA(A2347:F2347)=0,"",IF(OR(LEN(A2347)&lt;&gt;7,MID(A2347,5,1)&lt;&gt;"-",ISERROR(--LEFT(A2347,4)),ISERROR(--RIGHT(A2347,2))),"ERROR: PERIODO debe ser AAAA-MM",IF(B2347="","ERROR: falta CODIGO CECO",IF(G2347="CECO NO EXISTE","ERROR: CECO no existe en el catálogo",IF(C2347="","ERROR: falta CUENTA",IF(ISERROR(--C2347),"ERROR: CUENTA debe tener solo dígitos",IF(ISERROR(FIND(LEFT(C2347,1),"567")),"ERROR: CUENTA fuera de las clases de costo",IF(NOT(ISNUMBER(E2347)),"ERROR: VALOR debe ser numérico",IF(E2347=0,"AVISO: valor cero (no se carga)",IF(J2347&lt;&gt;"ACTIVO","NO SE CARGA: CECO en estado "&amp;J2347,"OK"))))))))))</f>
        <v/>
      </c>
    </row>
    <row r="2348">
      <c r="A2348" s="5" t="n"/>
      <c r="B2348" s="6" t="n"/>
      <c r="C2348" s="5" t="n"/>
      <c r="D2348" s="6" t="n"/>
      <c r="E2348" s="7" t="n"/>
      <c r="F2348" s="6" t="n"/>
      <c r="G2348" s="8">
        <f>IF(B2348="","",IFERROR(VLOOKUP(--B2348,'CATALOGO CECO'!$A$2:$H$550,2,FALSE),"CECO NO EXISTE"))</f>
        <v/>
      </c>
      <c r="H2348" s="8">
        <f>IF(B2348="","",IFERROR(VLOOKUP(--B2348,'CATALOGO CECO'!$A$2:$H$550,3,FALSE),""))</f>
        <v/>
      </c>
      <c r="I2348" s="8">
        <f>IF(B2348="","",IFERROR(VLOOKUP(--B2348,'CATALOGO CECO'!$A$2:$H$550,5,FALSE),""))</f>
        <v/>
      </c>
      <c r="J2348" s="8">
        <f>IF(B2348="","",IFERROR(VLOOKUP(--B2348,'CATALOGO CECO'!$A$2:$H$550,8,FALSE),""))</f>
        <v/>
      </c>
      <c r="K2348" s="8">
        <f>IF(COUNTA(A2348:F2348)=0,"",IF(OR(LEN(A2348)&lt;&gt;7,MID(A2348,5,1)&lt;&gt;"-",ISERROR(--LEFT(A2348,4)),ISERROR(--RIGHT(A2348,2))),"ERROR: PERIODO debe ser AAAA-MM",IF(B2348="","ERROR: falta CODIGO CECO",IF(G2348="CECO NO EXISTE","ERROR: CECO no existe en el catálogo",IF(C2348="","ERROR: falta CUENTA",IF(ISERROR(--C2348),"ERROR: CUENTA debe tener solo dígitos",IF(ISERROR(FIND(LEFT(C2348,1),"567")),"ERROR: CUENTA fuera de las clases de costo",IF(NOT(ISNUMBER(E2348)),"ERROR: VALOR debe ser numérico",IF(E2348=0,"AVISO: valor cero (no se carga)",IF(J2348&lt;&gt;"ACTIVO","NO SE CARGA: CECO en estado "&amp;J2348,"OK"))))))))))</f>
        <v/>
      </c>
    </row>
    <row r="2349">
      <c r="A2349" s="5" t="n"/>
      <c r="B2349" s="6" t="n"/>
      <c r="C2349" s="5" t="n"/>
      <c r="D2349" s="6" t="n"/>
      <c r="E2349" s="7" t="n"/>
      <c r="F2349" s="6" t="n"/>
      <c r="G2349" s="8">
        <f>IF(B2349="","",IFERROR(VLOOKUP(--B2349,'CATALOGO CECO'!$A$2:$H$550,2,FALSE),"CECO NO EXISTE"))</f>
        <v/>
      </c>
      <c r="H2349" s="8">
        <f>IF(B2349="","",IFERROR(VLOOKUP(--B2349,'CATALOGO CECO'!$A$2:$H$550,3,FALSE),""))</f>
        <v/>
      </c>
      <c r="I2349" s="8">
        <f>IF(B2349="","",IFERROR(VLOOKUP(--B2349,'CATALOGO CECO'!$A$2:$H$550,5,FALSE),""))</f>
        <v/>
      </c>
      <c r="J2349" s="8">
        <f>IF(B2349="","",IFERROR(VLOOKUP(--B2349,'CATALOGO CECO'!$A$2:$H$550,8,FALSE),""))</f>
        <v/>
      </c>
      <c r="K2349" s="8">
        <f>IF(COUNTA(A2349:F2349)=0,"",IF(OR(LEN(A2349)&lt;&gt;7,MID(A2349,5,1)&lt;&gt;"-",ISERROR(--LEFT(A2349,4)),ISERROR(--RIGHT(A2349,2))),"ERROR: PERIODO debe ser AAAA-MM",IF(B2349="","ERROR: falta CODIGO CECO",IF(G2349="CECO NO EXISTE","ERROR: CECO no existe en el catálogo",IF(C2349="","ERROR: falta CUENTA",IF(ISERROR(--C2349),"ERROR: CUENTA debe tener solo dígitos",IF(ISERROR(FIND(LEFT(C2349,1),"567")),"ERROR: CUENTA fuera de las clases de costo",IF(NOT(ISNUMBER(E2349)),"ERROR: VALOR debe ser numérico",IF(E2349=0,"AVISO: valor cero (no se carga)",IF(J2349&lt;&gt;"ACTIVO","NO SE CARGA: CECO en estado "&amp;J2349,"OK"))))))))))</f>
        <v/>
      </c>
    </row>
    <row r="2350">
      <c r="A2350" s="5" t="n"/>
      <c r="B2350" s="6" t="n"/>
      <c r="C2350" s="5" t="n"/>
      <c r="D2350" s="6" t="n"/>
      <c r="E2350" s="7" t="n"/>
      <c r="F2350" s="6" t="n"/>
      <c r="G2350" s="8">
        <f>IF(B2350="","",IFERROR(VLOOKUP(--B2350,'CATALOGO CECO'!$A$2:$H$550,2,FALSE),"CECO NO EXISTE"))</f>
        <v/>
      </c>
      <c r="H2350" s="8">
        <f>IF(B2350="","",IFERROR(VLOOKUP(--B2350,'CATALOGO CECO'!$A$2:$H$550,3,FALSE),""))</f>
        <v/>
      </c>
      <c r="I2350" s="8">
        <f>IF(B2350="","",IFERROR(VLOOKUP(--B2350,'CATALOGO CECO'!$A$2:$H$550,5,FALSE),""))</f>
        <v/>
      </c>
      <c r="J2350" s="8">
        <f>IF(B2350="","",IFERROR(VLOOKUP(--B2350,'CATALOGO CECO'!$A$2:$H$550,8,FALSE),""))</f>
        <v/>
      </c>
      <c r="K2350" s="8">
        <f>IF(COUNTA(A2350:F2350)=0,"",IF(OR(LEN(A2350)&lt;&gt;7,MID(A2350,5,1)&lt;&gt;"-",ISERROR(--LEFT(A2350,4)),ISERROR(--RIGHT(A2350,2))),"ERROR: PERIODO debe ser AAAA-MM",IF(B2350="","ERROR: falta CODIGO CECO",IF(G2350="CECO NO EXISTE","ERROR: CECO no existe en el catálogo",IF(C2350="","ERROR: falta CUENTA",IF(ISERROR(--C2350),"ERROR: CUENTA debe tener solo dígitos",IF(ISERROR(FIND(LEFT(C2350,1),"567")),"ERROR: CUENTA fuera de las clases de costo",IF(NOT(ISNUMBER(E2350)),"ERROR: VALOR debe ser numérico",IF(E2350=0,"AVISO: valor cero (no se carga)",IF(J2350&lt;&gt;"ACTIVO","NO SE CARGA: CECO en estado "&amp;J2350,"OK"))))))))))</f>
        <v/>
      </c>
    </row>
    <row r="2351">
      <c r="A2351" s="5" t="n"/>
      <c r="B2351" s="6" t="n"/>
      <c r="C2351" s="5" t="n"/>
      <c r="D2351" s="6" t="n"/>
      <c r="E2351" s="7" t="n"/>
      <c r="F2351" s="6" t="n"/>
      <c r="G2351" s="8">
        <f>IF(B2351="","",IFERROR(VLOOKUP(--B2351,'CATALOGO CECO'!$A$2:$H$550,2,FALSE),"CECO NO EXISTE"))</f>
        <v/>
      </c>
      <c r="H2351" s="8">
        <f>IF(B2351="","",IFERROR(VLOOKUP(--B2351,'CATALOGO CECO'!$A$2:$H$550,3,FALSE),""))</f>
        <v/>
      </c>
      <c r="I2351" s="8">
        <f>IF(B2351="","",IFERROR(VLOOKUP(--B2351,'CATALOGO CECO'!$A$2:$H$550,5,FALSE),""))</f>
        <v/>
      </c>
      <c r="J2351" s="8">
        <f>IF(B2351="","",IFERROR(VLOOKUP(--B2351,'CATALOGO CECO'!$A$2:$H$550,8,FALSE),""))</f>
        <v/>
      </c>
      <c r="K2351" s="8">
        <f>IF(COUNTA(A2351:F2351)=0,"",IF(OR(LEN(A2351)&lt;&gt;7,MID(A2351,5,1)&lt;&gt;"-",ISERROR(--LEFT(A2351,4)),ISERROR(--RIGHT(A2351,2))),"ERROR: PERIODO debe ser AAAA-MM",IF(B2351="","ERROR: falta CODIGO CECO",IF(G2351="CECO NO EXISTE","ERROR: CECO no existe en el catálogo",IF(C2351="","ERROR: falta CUENTA",IF(ISERROR(--C2351),"ERROR: CUENTA debe tener solo dígitos",IF(ISERROR(FIND(LEFT(C2351,1),"567")),"ERROR: CUENTA fuera de las clases de costo",IF(NOT(ISNUMBER(E2351)),"ERROR: VALOR debe ser numérico",IF(E2351=0,"AVISO: valor cero (no se carga)",IF(J2351&lt;&gt;"ACTIVO","NO SE CARGA: CECO en estado "&amp;J2351,"OK"))))))))))</f>
        <v/>
      </c>
    </row>
    <row r="2352">
      <c r="A2352" s="5" t="n"/>
      <c r="B2352" s="6" t="n"/>
      <c r="C2352" s="5" t="n"/>
      <c r="D2352" s="6" t="n"/>
      <c r="E2352" s="7" t="n"/>
      <c r="F2352" s="6" t="n"/>
      <c r="G2352" s="8">
        <f>IF(B2352="","",IFERROR(VLOOKUP(--B2352,'CATALOGO CECO'!$A$2:$H$550,2,FALSE),"CECO NO EXISTE"))</f>
        <v/>
      </c>
      <c r="H2352" s="8">
        <f>IF(B2352="","",IFERROR(VLOOKUP(--B2352,'CATALOGO CECO'!$A$2:$H$550,3,FALSE),""))</f>
        <v/>
      </c>
      <c r="I2352" s="8">
        <f>IF(B2352="","",IFERROR(VLOOKUP(--B2352,'CATALOGO CECO'!$A$2:$H$550,5,FALSE),""))</f>
        <v/>
      </c>
      <c r="J2352" s="8">
        <f>IF(B2352="","",IFERROR(VLOOKUP(--B2352,'CATALOGO CECO'!$A$2:$H$550,8,FALSE),""))</f>
        <v/>
      </c>
      <c r="K2352" s="8">
        <f>IF(COUNTA(A2352:F2352)=0,"",IF(OR(LEN(A2352)&lt;&gt;7,MID(A2352,5,1)&lt;&gt;"-",ISERROR(--LEFT(A2352,4)),ISERROR(--RIGHT(A2352,2))),"ERROR: PERIODO debe ser AAAA-MM",IF(B2352="","ERROR: falta CODIGO CECO",IF(G2352="CECO NO EXISTE","ERROR: CECO no existe en el catálogo",IF(C2352="","ERROR: falta CUENTA",IF(ISERROR(--C2352),"ERROR: CUENTA debe tener solo dígitos",IF(ISERROR(FIND(LEFT(C2352,1),"567")),"ERROR: CUENTA fuera de las clases de costo",IF(NOT(ISNUMBER(E2352)),"ERROR: VALOR debe ser numérico",IF(E2352=0,"AVISO: valor cero (no se carga)",IF(J2352&lt;&gt;"ACTIVO","NO SE CARGA: CECO en estado "&amp;J2352,"OK"))))))))))</f>
        <v/>
      </c>
    </row>
    <row r="2353">
      <c r="A2353" s="5" t="n"/>
      <c r="B2353" s="6" t="n"/>
      <c r="C2353" s="5" t="n"/>
      <c r="D2353" s="6" t="n"/>
      <c r="E2353" s="7" t="n"/>
      <c r="F2353" s="6" t="n"/>
      <c r="G2353" s="8">
        <f>IF(B2353="","",IFERROR(VLOOKUP(--B2353,'CATALOGO CECO'!$A$2:$H$550,2,FALSE),"CECO NO EXISTE"))</f>
        <v/>
      </c>
      <c r="H2353" s="8">
        <f>IF(B2353="","",IFERROR(VLOOKUP(--B2353,'CATALOGO CECO'!$A$2:$H$550,3,FALSE),""))</f>
        <v/>
      </c>
      <c r="I2353" s="8">
        <f>IF(B2353="","",IFERROR(VLOOKUP(--B2353,'CATALOGO CECO'!$A$2:$H$550,5,FALSE),""))</f>
        <v/>
      </c>
      <c r="J2353" s="8">
        <f>IF(B2353="","",IFERROR(VLOOKUP(--B2353,'CATALOGO CECO'!$A$2:$H$550,8,FALSE),""))</f>
        <v/>
      </c>
      <c r="K2353" s="8">
        <f>IF(COUNTA(A2353:F2353)=0,"",IF(OR(LEN(A2353)&lt;&gt;7,MID(A2353,5,1)&lt;&gt;"-",ISERROR(--LEFT(A2353,4)),ISERROR(--RIGHT(A2353,2))),"ERROR: PERIODO debe ser AAAA-MM",IF(B2353="","ERROR: falta CODIGO CECO",IF(G2353="CECO NO EXISTE","ERROR: CECO no existe en el catálogo",IF(C2353="","ERROR: falta CUENTA",IF(ISERROR(--C2353),"ERROR: CUENTA debe tener solo dígitos",IF(ISERROR(FIND(LEFT(C2353,1),"567")),"ERROR: CUENTA fuera de las clases de costo",IF(NOT(ISNUMBER(E2353)),"ERROR: VALOR debe ser numérico",IF(E2353=0,"AVISO: valor cero (no se carga)",IF(J2353&lt;&gt;"ACTIVO","NO SE CARGA: CECO en estado "&amp;J2353,"OK"))))))))))</f>
        <v/>
      </c>
    </row>
    <row r="2354">
      <c r="A2354" s="5" t="n"/>
      <c r="B2354" s="6" t="n"/>
      <c r="C2354" s="5" t="n"/>
      <c r="D2354" s="6" t="n"/>
      <c r="E2354" s="7" t="n"/>
      <c r="F2354" s="6" t="n"/>
      <c r="G2354" s="8">
        <f>IF(B2354="","",IFERROR(VLOOKUP(--B2354,'CATALOGO CECO'!$A$2:$H$550,2,FALSE),"CECO NO EXISTE"))</f>
        <v/>
      </c>
      <c r="H2354" s="8">
        <f>IF(B2354="","",IFERROR(VLOOKUP(--B2354,'CATALOGO CECO'!$A$2:$H$550,3,FALSE),""))</f>
        <v/>
      </c>
      <c r="I2354" s="8">
        <f>IF(B2354="","",IFERROR(VLOOKUP(--B2354,'CATALOGO CECO'!$A$2:$H$550,5,FALSE),""))</f>
        <v/>
      </c>
      <c r="J2354" s="8">
        <f>IF(B2354="","",IFERROR(VLOOKUP(--B2354,'CATALOGO CECO'!$A$2:$H$550,8,FALSE),""))</f>
        <v/>
      </c>
      <c r="K2354" s="8">
        <f>IF(COUNTA(A2354:F2354)=0,"",IF(OR(LEN(A2354)&lt;&gt;7,MID(A2354,5,1)&lt;&gt;"-",ISERROR(--LEFT(A2354,4)),ISERROR(--RIGHT(A2354,2))),"ERROR: PERIODO debe ser AAAA-MM",IF(B2354="","ERROR: falta CODIGO CECO",IF(G2354="CECO NO EXISTE","ERROR: CECO no existe en el catálogo",IF(C2354="","ERROR: falta CUENTA",IF(ISERROR(--C2354),"ERROR: CUENTA debe tener solo dígitos",IF(ISERROR(FIND(LEFT(C2354,1),"567")),"ERROR: CUENTA fuera de las clases de costo",IF(NOT(ISNUMBER(E2354)),"ERROR: VALOR debe ser numérico",IF(E2354=0,"AVISO: valor cero (no se carga)",IF(J2354&lt;&gt;"ACTIVO","NO SE CARGA: CECO en estado "&amp;J2354,"OK"))))))))))</f>
        <v/>
      </c>
    </row>
    <row r="2355">
      <c r="A2355" s="5" t="n"/>
      <c r="B2355" s="6" t="n"/>
      <c r="C2355" s="5" t="n"/>
      <c r="D2355" s="6" t="n"/>
      <c r="E2355" s="7" t="n"/>
      <c r="F2355" s="6" t="n"/>
      <c r="G2355" s="8">
        <f>IF(B2355="","",IFERROR(VLOOKUP(--B2355,'CATALOGO CECO'!$A$2:$H$550,2,FALSE),"CECO NO EXISTE"))</f>
        <v/>
      </c>
      <c r="H2355" s="8">
        <f>IF(B2355="","",IFERROR(VLOOKUP(--B2355,'CATALOGO CECO'!$A$2:$H$550,3,FALSE),""))</f>
        <v/>
      </c>
      <c r="I2355" s="8">
        <f>IF(B2355="","",IFERROR(VLOOKUP(--B2355,'CATALOGO CECO'!$A$2:$H$550,5,FALSE),""))</f>
        <v/>
      </c>
      <c r="J2355" s="8">
        <f>IF(B2355="","",IFERROR(VLOOKUP(--B2355,'CATALOGO CECO'!$A$2:$H$550,8,FALSE),""))</f>
        <v/>
      </c>
      <c r="K2355" s="8">
        <f>IF(COUNTA(A2355:F2355)=0,"",IF(OR(LEN(A2355)&lt;&gt;7,MID(A2355,5,1)&lt;&gt;"-",ISERROR(--LEFT(A2355,4)),ISERROR(--RIGHT(A2355,2))),"ERROR: PERIODO debe ser AAAA-MM",IF(B2355="","ERROR: falta CODIGO CECO",IF(G2355="CECO NO EXISTE","ERROR: CECO no existe en el catálogo",IF(C2355="","ERROR: falta CUENTA",IF(ISERROR(--C2355),"ERROR: CUENTA debe tener solo dígitos",IF(ISERROR(FIND(LEFT(C2355,1),"567")),"ERROR: CUENTA fuera de las clases de costo",IF(NOT(ISNUMBER(E2355)),"ERROR: VALOR debe ser numérico",IF(E2355=0,"AVISO: valor cero (no se carga)",IF(J2355&lt;&gt;"ACTIVO","NO SE CARGA: CECO en estado "&amp;J2355,"OK"))))))))))</f>
        <v/>
      </c>
    </row>
    <row r="2356">
      <c r="A2356" s="5" t="n"/>
      <c r="B2356" s="6" t="n"/>
      <c r="C2356" s="5" t="n"/>
      <c r="D2356" s="6" t="n"/>
      <c r="E2356" s="7" t="n"/>
      <c r="F2356" s="6" t="n"/>
      <c r="G2356" s="8">
        <f>IF(B2356="","",IFERROR(VLOOKUP(--B2356,'CATALOGO CECO'!$A$2:$H$550,2,FALSE),"CECO NO EXISTE"))</f>
        <v/>
      </c>
      <c r="H2356" s="8">
        <f>IF(B2356="","",IFERROR(VLOOKUP(--B2356,'CATALOGO CECO'!$A$2:$H$550,3,FALSE),""))</f>
        <v/>
      </c>
      <c r="I2356" s="8">
        <f>IF(B2356="","",IFERROR(VLOOKUP(--B2356,'CATALOGO CECO'!$A$2:$H$550,5,FALSE),""))</f>
        <v/>
      </c>
      <c r="J2356" s="8">
        <f>IF(B2356="","",IFERROR(VLOOKUP(--B2356,'CATALOGO CECO'!$A$2:$H$550,8,FALSE),""))</f>
        <v/>
      </c>
      <c r="K2356" s="8">
        <f>IF(COUNTA(A2356:F2356)=0,"",IF(OR(LEN(A2356)&lt;&gt;7,MID(A2356,5,1)&lt;&gt;"-",ISERROR(--LEFT(A2356,4)),ISERROR(--RIGHT(A2356,2))),"ERROR: PERIODO debe ser AAAA-MM",IF(B2356="","ERROR: falta CODIGO CECO",IF(G2356="CECO NO EXISTE","ERROR: CECO no existe en el catálogo",IF(C2356="","ERROR: falta CUENTA",IF(ISERROR(--C2356),"ERROR: CUENTA debe tener solo dígitos",IF(ISERROR(FIND(LEFT(C2356,1),"567")),"ERROR: CUENTA fuera de las clases de costo",IF(NOT(ISNUMBER(E2356)),"ERROR: VALOR debe ser numérico",IF(E2356=0,"AVISO: valor cero (no se carga)",IF(J2356&lt;&gt;"ACTIVO","NO SE CARGA: CECO en estado "&amp;J2356,"OK"))))))))))</f>
        <v/>
      </c>
    </row>
    <row r="2357">
      <c r="A2357" s="5" t="n"/>
      <c r="B2357" s="6" t="n"/>
      <c r="C2357" s="5" t="n"/>
      <c r="D2357" s="6" t="n"/>
      <c r="E2357" s="7" t="n"/>
      <c r="F2357" s="6" t="n"/>
      <c r="G2357" s="8">
        <f>IF(B2357="","",IFERROR(VLOOKUP(--B2357,'CATALOGO CECO'!$A$2:$H$550,2,FALSE),"CECO NO EXISTE"))</f>
        <v/>
      </c>
      <c r="H2357" s="8">
        <f>IF(B2357="","",IFERROR(VLOOKUP(--B2357,'CATALOGO CECO'!$A$2:$H$550,3,FALSE),""))</f>
        <v/>
      </c>
      <c r="I2357" s="8">
        <f>IF(B2357="","",IFERROR(VLOOKUP(--B2357,'CATALOGO CECO'!$A$2:$H$550,5,FALSE),""))</f>
        <v/>
      </c>
      <c r="J2357" s="8">
        <f>IF(B2357="","",IFERROR(VLOOKUP(--B2357,'CATALOGO CECO'!$A$2:$H$550,8,FALSE),""))</f>
        <v/>
      </c>
      <c r="K2357" s="8">
        <f>IF(COUNTA(A2357:F2357)=0,"",IF(OR(LEN(A2357)&lt;&gt;7,MID(A2357,5,1)&lt;&gt;"-",ISERROR(--LEFT(A2357,4)),ISERROR(--RIGHT(A2357,2))),"ERROR: PERIODO debe ser AAAA-MM",IF(B2357="","ERROR: falta CODIGO CECO",IF(G2357="CECO NO EXISTE","ERROR: CECO no existe en el catálogo",IF(C2357="","ERROR: falta CUENTA",IF(ISERROR(--C2357),"ERROR: CUENTA debe tener solo dígitos",IF(ISERROR(FIND(LEFT(C2357,1),"567")),"ERROR: CUENTA fuera de las clases de costo",IF(NOT(ISNUMBER(E2357)),"ERROR: VALOR debe ser numérico",IF(E2357=0,"AVISO: valor cero (no se carga)",IF(J2357&lt;&gt;"ACTIVO","NO SE CARGA: CECO en estado "&amp;J2357,"OK"))))))))))</f>
        <v/>
      </c>
    </row>
    <row r="2358">
      <c r="A2358" s="5" t="n"/>
      <c r="B2358" s="6" t="n"/>
      <c r="C2358" s="5" t="n"/>
      <c r="D2358" s="6" t="n"/>
      <c r="E2358" s="7" t="n"/>
      <c r="F2358" s="6" t="n"/>
      <c r="G2358" s="8">
        <f>IF(B2358="","",IFERROR(VLOOKUP(--B2358,'CATALOGO CECO'!$A$2:$H$550,2,FALSE),"CECO NO EXISTE"))</f>
        <v/>
      </c>
      <c r="H2358" s="8">
        <f>IF(B2358="","",IFERROR(VLOOKUP(--B2358,'CATALOGO CECO'!$A$2:$H$550,3,FALSE),""))</f>
        <v/>
      </c>
      <c r="I2358" s="8">
        <f>IF(B2358="","",IFERROR(VLOOKUP(--B2358,'CATALOGO CECO'!$A$2:$H$550,5,FALSE),""))</f>
        <v/>
      </c>
      <c r="J2358" s="8">
        <f>IF(B2358="","",IFERROR(VLOOKUP(--B2358,'CATALOGO CECO'!$A$2:$H$550,8,FALSE),""))</f>
        <v/>
      </c>
      <c r="K2358" s="8">
        <f>IF(COUNTA(A2358:F2358)=0,"",IF(OR(LEN(A2358)&lt;&gt;7,MID(A2358,5,1)&lt;&gt;"-",ISERROR(--LEFT(A2358,4)),ISERROR(--RIGHT(A2358,2))),"ERROR: PERIODO debe ser AAAA-MM",IF(B2358="","ERROR: falta CODIGO CECO",IF(G2358="CECO NO EXISTE","ERROR: CECO no existe en el catálogo",IF(C2358="","ERROR: falta CUENTA",IF(ISERROR(--C2358),"ERROR: CUENTA debe tener solo dígitos",IF(ISERROR(FIND(LEFT(C2358,1),"567")),"ERROR: CUENTA fuera de las clases de costo",IF(NOT(ISNUMBER(E2358)),"ERROR: VALOR debe ser numérico",IF(E2358=0,"AVISO: valor cero (no se carga)",IF(J2358&lt;&gt;"ACTIVO","NO SE CARGA: CECO en estado "&amp;J2358,"OK"))))))))))</f>
        <v/>
      </c>
    </row>
    <row r="2359">
      <c r="A2359" s="5" t="n"/>
      <c r="B2359" s="6" t="n"/>
      <c r="C2359" s="5" t="n"/>
      <c r="D2359" s="6" t="n"/>
      <c r="E2359" s="7" t="n"/>
      <c r="F2359" s="6" t="n"/>
      <c r="G2359" s="8">
        <f>IF(B2359="","",IFERROR(VLOOKUP(--B2359,'CATALOGO CECO'!$A$2:$H$550,2,FALSE),"CECO NO EXISTE"))</f>
        <v/>
      </c>
      <c r="H2359" s="8">
        <f>IF(B2359="","",IFERROR(VLOOKUP(--B2359,'CATALOGO CECO'!$A$2:$H$550,3,FALSE),""))</f>
        <v/>
      </c>
      <c r="I2359" s="8">
        <f>IF(B2359="","",IFERROR(VLOOKUP(--B2359,'CATALOGO CECO'!$A$2:$H$550,5,FALSE),""))</f>
        <v/>
      </c>
      <c r="J2359" s="8">
        <f>IF(B2359="","",IFERROR(VLOOKUP(--B2359,'CATALOGO CECO'!$A$2:$H$550,8,FALSE),""))</f>
        <v/>
      </c>
      <c r="K2359" s="8">
        <f>IF(COUNTA(A2359:F2359)=0,"",IF(OR(LEN(A2359)&lt;&gt;7,MID(A2359,5,1)&lt;&gt;"-",ISERROR(--LEFT(A2359,4)),ISERROR(--RIGHT(A2359,2))),"ERROR: PERIODO debe ser AAAA-MM",IF(B2359="","ERROR: falta CODIGO CECO",IF(G2359="CECO NO EXISTE","ERROR: CECO no existe en el catálogo",IF(C2359="","ERROR: falta CUENTA",IF(ISERROR(--C2359),"ERROR: CUENTA debe tener solo dígitos",IF(ISERROR(FIND(LEFT(C2359,1),"567")),"ERROR: CUENTA fuera de las clases de costo",IF(NOT(ISNUMBER(E2359)),"ERROR: VALOR debe ser numérico",IF(E2359=0,"AVISO: valor cero (no se carga)",IF(J2359&lt;&gt;"ACTIVO","NO SE CARGA: CECO en estado "&amp;J2359,"OK"))))))))))</f>
        <v/>
      </c>
    </row>
    <row r="2360">
      <c r="A2360" s="5" t="n"/>
      <c r="B2360" s="6" t="n"/>
      <c r="C2360" s="5" t="n"/>
      <c r="D2360" s="6" t="n"/>
      <c r="E2360" s="7" t="n"/>
      <c r="F2360" s="6" t="n"/>
      <c r="G2360" s="8">
        <f>IF(B2360="","",IFERROR(VLOOKUP(--B2360,'CATALOGO CECO'!$A$2:$H$550,2,FALSE),"CECO NO EXISTE"))</f>
        <v/>
      </c>
      <c r="H2360" s="8">
        <f>IF(B2360="","",IFERROR(VLOOKUP(--B2360,'CATALOGO CECO'!$A$2:$H$550,3,FALSE),""))</f>
        <v/>
      </c>
      <c r="I2360" s="8">
        <f>IF(B2360="","",IFERROR(VLOOKUP(--B2360,'CATALOGO CECO'!$A$2:$H$550,5,FALSE),""))</f>
        <v/>
      </c>
      <c r="J2360" s="8">
        <f>IF(B2360="","",IFERROR(VLOOKUP(--B2360,'CATALOGO CECO'!$A$2:$H$550,8,FALSE),""))</f>
        <v/>
      </c>
      <c r="K2360" s="8">
        <f>IF(COUNTA(A2360:F2360)=0,"",IF(OR(LEN(A2360)&lt;&gt;7,MID(A2360,5,1)&lt;&gt;"-",ISERROR(--LEFT(A2360,4)),ISERROR(--RIGHT(A2360,2))),"ERROR: PERIODO debe ser AAAA-MM",IF(B2360="","ERROR: falta CODIGO CECO",IF(G2360="CECO NO EXISTE","ERROR: CECO no existe en el catálogo",IF(C2360="","ERROR: falta CUENTA",IF(ISERROR(--C2360),"ERROR: CUENTA debe tener solo dígitos",IF(ISERROR(FIND(LEFT(C2360,1),"567")),"ERROR: CUENTA fuera de las clases de costo",IF(NOT(ISNUMBER(E2360)),"ERROR: VALOR debe ser numérico",IF(E2360=0,"AVISO: valor cero (no se carga)",IF(J2360&lt;&gt;"ACTIVO","NO SE CARGA: CECO en estado "&amp;J2360,"OK"))))))))))</f>
        <v/>
      </c>
    </row>
    <row r="2361">
      <c r="A2361" s="5" t="n"/>
      <c r="B2361" s="6" t="n"/>
      <c r="C2361" s="5" t="n"/>
      <c r="D2361" s="6" t="n"/>
      <c r="E2361" s="7" t="n"/>
      <c r="F2361" s="6" t="n"/>
      <c r="G2361" s="8">
        <f>IF(B2361="","",IFERROR(VLOOKUP(--B2361,'CATALOGO CECO'!$A$2:$H$550,2,FALSE),"CECO NO EXISTE"))</f>
        <v/>
      </c>
      <c r="H2361" s="8">
        <f>IF(B2361="","",IFERROR(VLOOKUP(--B2361,'CATALOGO CECO'!$A$2:$H$550,3,FALSE),""))</f>
        <v/>
      </c>
      <c r="I2361" s="8">
        <f>IF(B2361="","",IFERROR(VLOOKUP(--B2361,'CATALOGO CECO'!$A$2:$H$550,5,FALSE),""))</f>
        <v/>
      </c>
      <c r="J2361" s="8">
        <f>IF(B2361="","",IFERROR(VLOOKUP(--B2361,'CATALOGO CECO'!$A$2:$H$550,8,FALSE),""))</f>
        <v/>
      </c>
      <c r="K2361" s="8">
        <f>IF(COUNTA(A2361:F2361)=0,"",IF(OR(LEN(A2361)&lt;&gt;7,MID(A2361,5,1)&lt;&gt;"-",ISERROR(--LEFT(A2361,4)),ISERROR(--RIGHT(A2361,2))),"ERROR: PERIODO debe ser AAAA-MM",IF(B2361="","ERROR: falta CODIGO CECO",IF(G2361="CECO NO EXISTE","ERROR: CECO no existe en el catálogo",IF(C2361="","ERROR: falta CUENTA",IF(ISERROR(--C2361),"ERROR: CUENTA debe tener solo dígitos",IF(ISERROR(FIND(LEFT(C2361,1),"567")),"ERROR: CUENTA fuera de las clases de costo",IF(NOT(ISNUMBER(E2361)),"ERROR: VALOR debe ser numérico",IF(E2361=0,"AVISO: valor cero (no se carga)",IF(J2361&lt;&gt;"ACTIVO","NO SE CARGA: CECO en estado "&amp;J2361,"OK"))))))))))</f>
        <v/>
      </c>
    </row>
    <row r="2362">
      <c r="A2362" s="5" t="n"/>
      <c r="B2362" s="6" t="n"/>
      <c r="C2362" s="5" t="n"/>
      <c r="D2362" s="6" t="n"/>
      <c r="E2362" s="7" t="n"/>
      <c r="F2362" s="6" t="n"/>
      <c r="G2362" s="8">
        <f>IF(B2362="","",IFERROR(VLOOKUP(--B2362,'CATALOGO CECO'!$A$2:$H$550,2,FALSE),"CECO NO EXISTE"))</f>
        <v/>
      </c>
      <c r="H2362" s="8">
        <f>IF(B2362="","",IFERROR(VLOOKUP(--B2362,'CATALOGO CECO'!$A$2:$H$550,3,FALSE),""))</f>
        <v/>
      </c>
      <c r="I2362" s="8">
        <f>IF(B2362="","",IFERROR(VLOOKUP(--B2362,'CATALOGO CECO'!$A$2:$H$550,5,FALSE),""))</f>
        <v/>
      </c>
      <c r="J2362" s="8">
        <f>IF(B2362="","",IFERROR(VLOOKUP(--B2362,'CATALOGO CECO'!$A$2:$H$550,8,FALSE),""))</f>
        <v/>
      </c>
      <c r="K2362" s="8">
        <f>IF(COUNTA(A2362:F2362)=0,"",IF(OR(LEN(A2362)&lt;&gt;7,MID(A2362,5,1)&lt;&gt;"-",ISERROR(--LEFT(A2362,4)),ISERROR(--RIGHT(A2362,2))),"ERROR: PERIODO debe ser AAAA-MM",IF(B2362="","ERROR: falta CODIGO CECO",IF(G2362="CECO NO EXISTE","ERROR: CECO no existe en el catálogo",IF(C2362="","ERROR: falta CUENTA",IF(ISERROR(--C2362),"ERROR: CUENTA debe tener solo dígitos",IF(ISERROR(FIND(LEFT(C2362,1),"567")),"ERROR: CUENTA fuera de las clases de costo",IF(NOT(ISNUMBER(E2362)),"ERROR: VALOR debe ser numérico",IF(E2362=0,"AVISO: valor cero (no se carga)",IF(J2362&lt;&gt;"ACTIVO","NO SE CARGA: CECO en estado "&amp;J2362,"OK"))))))))))</f>
        <v/>
      </c>
    </row>
    <row r="2363">
      <c r="A2363" s="5" t="n"/>
      <c r="B2363" s="6" t="n"/>
      <c r="C2363" s="5" t="n"/>
      <c r="D2363" s="6" t="n"/>
      <c r="E2363" s="7" t="n"/>
      <c r="F2363" s="6" t="n"/>
      <c r="G2363" s="8">
        <f>IF(B2363="","",IFERROR(VLOOKUP(--B2363,'CATALOGO CECO'!$A$2:$H$550,2,FALSE),"CECO NO EXISTE"))</f>
        <v/>
      </c>
      <c r="H2363" s="8">
        <f>IF(B2363="","",IFERROR(VLOOKUP(--B2363,'CATALOGO CECO'!$A$2:$H$550,3,FALSE),""))</f>
        <v/>
      </c>
      <c r="I2363" s="8">
        <f>IF(B2363="","",IFERROR(VLOOKUP(--B2363,'CATALOGO CECO'!$A$2:$H$550,5,FALSE),""))</f>
        <v/>
      </c>
      <c r="J2363" s="8">
        <f>IF(B2363="","",IFERROR(VLOOKUP(--B2363,'CATALOGO CECO'!$A$2:$H$550,8,FALSE),""))</f>
        <v/>
      </c>
      <c r="K2363" s="8">
        <f>IF(COUNTA(A2363:F2363)=0,"",IF(OR(LEN(A2363)&lt;&gt;7,MID(A2363,5,1)&lt;&gt;"-",ISERROR(--LEFT(A2363,4)),ISERROR(--RIGHT(A2363,2))),"ERROR: PERIODO debe ser AAAA-MM",IF(B2363="","ERROR: falta CODIGO CECO",IF(G2363="CECO NO EXISTE","ERROR: CECO no existe en el catálogo",IF(C2363="","ERROR: falta CUENTA",IF(ISERROR(--C2363),"ERROR: CUENTA debe tener solo dígitos",IF(ISERROR(FIND(LEFT(C2363,1),"567")),"ERROR: CUENTA fuera de las clases de costo",IF(NOT(ISNUMBER(E2363)),"ERROR: VALOR debe ser numérico",IF(E2363=0,"AVISO: valor cero (no se carga)",IF(J2363&lt;&gt;"ACTIVO","NO SE CARGA: CECO en estado "&amp;J2363,"OK"))))))))))</f>
        <v/>
      </c>
    </row>
    <row r="2364">
      <c r="A2364" s="5" t="n"/>
      <c r="B2364" s="6" t="n"/>
      <c r="C2364" s="5" t="n"/>
      <c r="D2364" s="6" t="n"/>
      <c r="E2364" s="7" t="n"/>
      <c r="F2364" s="6" t="n"/>
      <c r="G2364" s="8">
        <f>IF(B2364="","",IFERROR(VLOOKUP(--B2364,'CATALOGO CECO'!$A$2:$H$550,2,FALSE),"CECO NO EXISTE"))</f>
        <v/>
      </c>
      <c r="H2364" s="8">
        <f>IF(B2364="","",IFERROR(VLOOKUP(--B2364,'CATALOGO CECO'!$A$2:$H$550,3,FALSE),""))</f>
        <v/>
      </c>
      <c r="I2364" s="8">
        <f>IF(B2364="","",IFERROR(VLOOKUP(--B2364,'CATALOGO CECO'!$A$2:$H$550,5,FALSE),""))</f>
        <v/>
      </c>
      <c r="J2364" s="8">
        <f>IF(B2364="","",IFERROR(VLOOKUP(--B2364,'CATALOGO CECO'!$A$2:$H$550,8,FALSE),""))</f>
        <v/>
      </c>
      <c r="K2364" s="8">
        <f>IF(COUNTA(A2364:F2364)=0,"",IF(OR(LEN(A2364)&lt;&gt;7,MID(A2364,5,1)&lt;&gt;"-",ISERROR(--LEFT(A2364,4)),ISERROR(--RIGHT(A2364,2))),"ERROR: PERIODO debe ser AAAA-MM",IF(B2364="","ERROR: falta CODIGO CECO",IF(G2364="CECO NO EXISTE","ERROR: CECO no existe en el catálogo",IF(C2364="","ERROR: falta CUENTA",IF(ISERROR(--C2364),"ERROR: CUENTA debe tener solo dígitos",IF(ISERROR(FIND(LEFT(C2364,1),"567")),"ERROR: CUENTA fuera de las clases de costo",IF(NOT(ISNUMBER(E2364)),"ERROR: VALOR debe ser numérico",IF(E2364=0,"AVISO: valor cero (no se carga)",IF(J2364&lt;&gt;"ACTIVO","NO SE CARGA: CECO en estado "&amp;J2364,"OK"))))))))))</f>
        <v/>
      </c>
    </row>
    <row r="2365">
      <c r="A2365" s="5" t="n"/>
      <c r="B2365" s="6" t="n"/>
      <c r="C2365" s="5" t="n"/>
      <c r="D2365" s="6" t="n"/>
      <c r="E2365" s="7" t="n"/>
      <c r="F2365" s="6" t="n"/>
      <c r="G2365" s="8">
        <f>IF(B2365="","",IFERROR(VLOOKUP(--B2365,'CATALOGO CECO'!$A$2:$H$550,2,FALSE),"CECO NO EXISTE"))</f>
        <v/>
      </c>
      <c r="H2365" s="8">
        <f>IF(B2365="","",IFERROR(VLOOKUP(--B2365,'CATALOGO CECO'!$A$2:$H$550,3,FALSE),""))</f>
        <v/>
      </c>
      <c r="I2365" s="8">
        <f>IF(B2365="","",IFERROR(VLOOKUP(--B2365,'CATALOGO CECO'!$A$2:$H$550,5,FALSE),""))</f>
        <v/>
      </c>
      <c r="J2365" s="8">
        <f>IF(B2365="","",IFERROR(VLOOKUP(--B2365,'CATALOGO CECO'!$A$2:$H$550,8,FALSE),""))</f>
        <v/>
      </c>
      <c r="K2365" s="8">
        <f>IF(COUNTA(A2365:F2365)=0,"",IF(OR(LEN(A2365)&lt;&gt;7,MID(A2365,5,1)&lt;&gt;"-",ISERROR(--LEFT(A2365,4)),ISERROR(--RIGHT(A2365,2))),"ERROR: PERIODO debe ser AAAA-MM",IF(B2365="","ERROR: falta CODIGO CECO",IF(G2365="CECO NO EXISTE","ERROR: CECO no existe en el catálogo",IF(C2365="","ERROR: falta CUENTA",IF(ISERROR(--C2365),"ERROR: CUENTA debe tener solo dígitos",IF(ISERROR(FIND(LEFT(C2365,1),"567")),"ERROR: CUENTA fuera de las clases de costo",IF(NOT(ISNUMBER(E2365)),"ERROR: VALOR debe ser numérico",IF(E2365=0,"AVISO: valor cero (no se carga)",IF(J2365&lt;&gt;"ACTIVO","NO SE CARGA: CECO en estado "&amp;J2365,"OK"))))))))))</f>
        <v/>
      </c>
    </row>
    <row r="2366">
      <c r="A2366" s="5" t="n"/>
      <c r="B2366" s="6" t="n"/>
      <c r="C2366" s="5" t="n"/>
      <c r="D2366" s="6" t="n"/>
      <c r="E2366" s="7" t="n"/>
      <c r="F2366" s="6" t="n"/>
      <c r="G2366" s="8">
        <f>IF(B2366="","",IFERROR(VLOOKUP(--B2366,'CATALOGO CECO'!$A$2:$H$550,2,FALSE),"CECO NO EXISTE"))</f>
        <v/>
      </c>
      <c r="H2366" s="8">
        <f>IF(B2366="","",IFERROR(VLOOKUP(--B2366,'CATALOGO CECO'!$A$2:$H$550,3,FALSE),""))</f>
        <v/>
      </c>
      <c r="I2366" s="8">
        <f>IF(B2366="","",IFERROR(VLOOKUP(--B2366,'CATALOGO CECO'!$A$2:$H$550,5,FALSE),""))</f>
        <v/>
      </c>
      <c r="J2366" s="8">
        <f>IF(B2366="","",IFERROR(VLOOKUP(--B2366,'CATALOGO CECO'!$A$2:$H$550,8,FALSE),""))</f>
        <v/>
      </c>
      <c r="K2366" s="8">
        <f>IF(COUNTA(A2366:F2366)=0,"",IF(OR(LEN(A2366)&lt;&gt;7,MID(A2366,5,1)&lt;&gt;"-",ISERROR(--LEFT(A2366,4)),ISERROR(--RIGHT(A2366,2))),"ERROR: PERIODO debe ser AAAA-MM",IF(B2366="","ERROR: falta CODIGO CECO",IF(G2366="CECO NO EXISTE","ERROR: CECO no existe en el catálogo",IF(C2366="","ERROR: falta CUENTA",IF(ISERROR(--C2366),"ERROR: CUENTA debe tener solo dígitos",IF(ISERROR(FIND(LEFT(C2366,1),"567")),"ERROR: CUENTA fuera de las clases de costo",IF(NOT(ISNUMBER(E2366)),"ERROR: VALOR debe ser numérico",IF(E2366=0,"AVISO: valor cero (no se carga)",IF(J2366&lt;&gt;"ACTIVO","NO SE CARGA: CECO en estado "&amp;J2366,"OK"))))))))))</f>
        <v/>
      </c>
    </row>
    <row r="2367">
      <c r="A2367" s="5" t="n"/>
      <c r="B2367" s="6" t="n"/>
      <c r="C2367" s="5" t="n"/>
      <c r="D2367" s="6" t="n"/>
      <c r="E2367" s="7" t="n"/>
      <c r="F2367" s="6" t="n"/>
      <c r="G2367" s="8">
        <f>IF(B2367="","",IFERROR(VLOOKUP(--B2367,'CATALOGO CECO'!$A$2:$H$550,2,FALSE),"CECO NO EXISTE"))</f>
        <v/>
      </c>
      <c r="H2367" s="8">
        <f>IF(B2367="","",IFERROR(VLOOKUP(--B2367,'CATALOGO CECO'!$A$2:$H$550,3,FALSE),""))</f>
        <v/>
      </c>
      <c r="I2367" s="8">
        <f>IF(B2367="","",IFERROR(VLOOKUP(--B2367,'CATALOGO CECO'!$A$2:$H$550,5,FALSE),""))</f>
        <v/>
      </c>
      <c r="J2367" s="8">
        <f>IF(B2367="","",IFERROR(VLOOKUP(--B2367,'CATALOGO CECO'!$A$2:$H$550,8,FALSE),""))</f>
        <v/>
      </c>
      <c r="K2367" s="8">
        <f>IF(COUNTA(A2367:F2367)=0,"",IF(OR(LEN(A2367)&lt;&gt;7,MID(A2367,5,1)&lt;&gt;"-",ISERROR(--LEFT(A2367,4)),ISERROR(--RIGHT(A2367,2))),"ERROR: PERIODO debe ser AAAA-MM",IF(B2367="","ERROR: falta CODIGO CECO",IF(G2367="CECO NO EXISTE","ERROR: CECO no existe en el catálogo",IF(C2367="","ERROR: falta CUENTA",IF(ISERROR(--C2367),"ERROR: CUENTA debe tener solo dígitos",IF(ISERROR(FIND(LEFT(C2367,1),"567")),"ERROR: CUENTA fuera de las clases de costo",IF(NOT(ISNUMBER(E2367)),"ERROR: VALOR debe ser numérico",IF(E2367=0,"AVISO: valor cero (no se carga)",IF(J2367&lt;&gt;"ACTIVO","NO SE CARGA: CECO en estado "&amp;J2367,"OK"))))))))))</f>
        <v/>
      </c>
    </row>
    <row r="2368">
      <c r="A2368" s="5" t="n"/>
      <c r="B2368" s="6" t="n"/>
      <c r="C2368" s="5" t="n"/>
      <c r="D2368" s="6" t="n"/>
      <c r="E2368" s="7" t="n"/>
      <c r="F2368" s="6" t="n"/>
      <c r="G2368" s="8">
        <f>IF(B2368="","",IFERROR(VLOOKUP(--B2368,'CATALOGO CECO'!$A$2:$H$550,2,FALSE),"CECO NO EXISTE"))</f>
        <v/>
      </c>
      <c r="H2368" s="8">
        <f>IF(B2368="","",IFERROR(VLOOKUP(--B2368,'CATALOGO CECO'!$A$2:$H$550,3,FALSE),""))</f>
        <v/>
      </c>
      <c r="I2368" s="8">
        <f>IF(B2368="","",IFERROR(VLOOKUP(--B2368,'CATALOGO CECO'!$A$2:$H$550,5,FALSE),""))</f>
        <v/>
      </c>
      <c r="J2368" s="8">
        <f>IF(B2368="","",IFERROR(VLOOKUP(--B2368,'CATALOGO CECO'!$A$2:$H$550,8,FALSE),""))</f>
        <v/>
      </c>
      <c r="K2368" s="8">
        <f>IF(COUNTA(A2368:F2368)=0,"",IF(OR(LEN(A2368)&lt;&gt;7,MID(A2368,5,1)&lt;&gt;"-",ISERROR(--LEFT(A2368,4)),ISERROR(--RIGHT(A2368,2))),"ERROR: PERIODO debe ser AAAA-MM",IF(B2368="","ERROR: falta CODIGO CECO",IF(G2368="CECO NO EXISTE","ERROR: CECO no existe en el catálogo",IF(C2368="","ERROR: falta CUENTA",IF(ISERROR(--C2368),"ERROR: CUENTA debe tener solo dígitos",IF(ISERROR(FIND(LEFT(C2368,1),"567")),"ERROR: CUENTA fuera de las clases de costo",IF(NOT(ISNUMBER(E2368)),"ERROR: VALOR debe ser numérico",IF(E2368=0,"AVISO: valor cero (no se carga)",IF(J2368&lt;&gt;"ACTIVO","NO SE CARGA: CECO en estado "&amp;J2368,"OK"))))))))))</f>
        <v/>
      </c>
    </row>
    <row r="2369">
      <c r="A2369" s="5" t="n"/>
      <c r="B2369" s="6" t="n"/>
      <c r="C2369" s="5" t="n"/>
      <c r="D2369" s="6" t="n"/>
      <c r="E2369" s="7" t="n"/>
      <c r="F2369" s="6" t="n"/>
      <c r="G2369" s="8">
        <f>IF(B2369="","",IFERROR(VLOOKUP(--B2369,'CATALOGO CECO'!$A$2:$H$550,2,FALSE),"CECO NO EXISTE"))</f>
        <v/>
      </c>
      <c r="H2369" s="8">
        <f>IF(B2369="","",IFERROR(VLOOKUP(--B2369,'CATALOGO CECO'!$A$2:$H$550,3,FALSE),""))</f>
        <v/>
      </c>
      <c r="I2369" s="8">
        <f>IF(B2369="","",IFERROR(VLOOKUP(--B2369,'CATALOGO CECO'!$A$2:$H$550,5,FALSE),""))</f>
        <v/>
      </c>
      <c r="J2369" s="8">
        <f>IF(B2369="","",IFERROR(VLOOKUP(--B2369,'CATALOGO CECO'!$A$2:$H$550,8,FALSE),""))</f>
        <v/>
      </c>
      <c r="K2369" s="8">
        <f>IF(COUNTA(A2369:F2369)=0,"",IF(OR(LEN(A2369)&lt;&gt;7,MID(A2369,5,1)&lt;&gt;"-",ISERROR(--LEFT(A2369,4)),ISERROR(--RIGHT(A2369,2))),"ERROR: PERIODO debe ser AAAA-MM",IF(B2369="","ERROR: falta CODIGO CECO",IF(G2369="CECO NO EXISTE","ERROR: CECO no existe en el catálogo",IF(C2369="","ERROR: falta CUENTA",IF(ISERROR(--C2369),"ERROR: CUENTA debe tener solo dígitos",IF(ISERROR(FIND(LEFT(C2369,1),"567")),"ERROR: CUENTA fuera de las clases de costo",IF(NOT(ISNUMBER(E2369)),"ERROR: VALOR debe ser numérico",IF(E2369=0,"AVISO: valor cero (no se carga)",IF(J2369&lt;&gt;"ACTIVO","NO SE CARGA: CECO en estado "&amp;J2369,"OK"))))))))))</f>
        <v/>
      </c>
    </row>
    <row r="2370">
      <c r="A2370" s="5" t="n"/>
      <c r="B2370" s="6" t="n"/>
      <c r="C2370" s="5" t="n"/>
      <c r="D2370" s="6" t="n"/>
      <c r="E2370" s="7" t="n"/>
      <c r="F2370" s="6" t="n"/>
      <c r="G2370" s="8">
        <f>IF(B2370="","",IFERROR(VLOOKUP(--B2370,'CATALOGO CECO'!$A$2:$H$550,2,FALSE),"CECO NO EXISTE"))</f>
        <v/>
      </c>
      <c r="H2370" s="8">
        <f>IF(B2370="","",IFERROR(VLOOKUP(--B2370,'CATALOGO CECO'!$A$2:$H$550,3,FALSE),""))</f>
        <v/>
      </c>
      <c r="I2370" s="8">
        <f>IF(B2370="","",IFERROR(VLOOKUP(--B2370,'CATALOGO CECO'!$A$2:$H$550,5,FALSE),""))</f>
        <v/>
      </c>
      <c r="J2370" s="8">
        <f>IF(B2370="","",IFERROR(VLOOKUP(--B2370,'CATALOGO CECO'!$A$2:$H$550,8,FALSE),""))</f>
        <v/>
      </c>
      <c r="K2370" s="8">
        <f>IF(COUNTA(A2370:F2370)=0,"",IF(OR(LEN(A2370)&lt;&gt;7,MID(A2370,5,1)&lt;&gt;"-",ISERROR(--LEFT(A2370,4)),ISERROR(--RIGHT(A2370,2))),"ERROR: PERIODO debe ser AAAA-MM",IF(B2370="","ERROR: falta CODIGO CECO",IF(G2370="CECO NO EXISTE","ERROR: CECO no existe en el catálogo",IF(C2370="","ERROR: falta CUENTA",IF(ISERROR(--C2370),"ERROR: CUENTA debe tener solo dígitos",IF(ISERROR(FIND(LEFT(C2370,1),"567")),"ERROR: CUENTA fuera de las clases de costo",IF(NOT(ISNUMBER(E2370)),"ERROR: VALOR debe ser numérico",IF(E2370=0,"AVISO: valor cero (no se carga)",IF(J2370&lt;&gt;"ACTIVO","NO SE CARGA: CECO en estado "&amp;J2370,"OK"))))))))))</f>
        <v/>
      </c>
    </row>
    <row r="2371">
      <c r="A2371" s="5" t="n"/>
      <c r="B2371" s="6" t="n"/>
      <c r="C2371" s="5" t="n"/>
      <c r="D2371" s="6" t="n"/>
      <c r="E2371" s="7" t="n"/>
      <c r="F2371" s="6" t="n"/>
      <c r="G2371" s="8">
        <f>IF(B2371="","",IFERROR(VLOOKUP(--B2371,'CATALOGO CECO'!$A$2:$H$550,2,FALSE),"CECO NO EXISTE"))</f>
        <v/>
      </c>
      <c r="H2371" s="8">
        <f>IF(B2371="","",IFERROR(VLOOKUP(--B2371,'CATALOGO CECO'!$A$2:$H$550,3,FALSE),""))</f>
        <v/>
      </c>
      <c r="I2371" s="8">
        <f>IF(B2371="","",IFERROR(VLOOKUP(--B2371,'CATALOGO CECO'!$A$2:$H$550,5,FALSE),""))</f>
        <v/>
      </c>
      <c r="J2371" s="8">
        <f>IF(B2371="","",IFERROR(VLOOKUP(--B2371,'CATALOGO CECO'!$A$2:$H$550,8,FALSE),""))</f>
        <v/>
      </c>
      <c r="K2371" s="8">
        <f>IF(COUNTA(A2371:F2371)=0,"",IF(OR(LEN(A2371)&lt;&gt;7,MID(A2371,5,1)&lt;&gt;"-",ISERROR(--LEFT(A2371,4)),ISERROR(--RIGHT(A2371,2))),"ERROR: PERIODO debe ser AAAA-MM",IF(B2371="","ERROR: falta CODIGO CECO",IF(G2371="CECO NO EXISTE","ERROR: CECO no existe en el catálogo",IF(C2371="","ERROR: falta CUENTA",IF(ISERROR(--C2371),"ERROR: CUENTA debe tener solo dígitos",IF(ISERROR(FIND(LEFT(C2371,1),"567")),"ERROR: CUENTA fuera de las clases de costo",IF(NOT(ISNUMBER(E2371)),"ERROR: VALOR debe ser numérico",IF(E2371=0,"AVISO: valor cero (no se carga)",IF(J2371&lt;&gt;"ACTIVO","NO SE CARGA: CECO en estado "&amp;J2371,"OK"))))))))))</f>
        <v/>
      </c>
    </row>
    <row r="2372">
      <c r="A2372" s="5" t="n"/>
      <c r="B2372" s="6" t="n"/>
      <c r="C2372" s="5" t="n"/>
      <c r="D2372" s="6" t="n"/>
      <c r="E2372" s="7" t="n"/>
      <c r="F2372" s="6" t="n"/>
      <c r="G2372" s="8">
        <f>IF(B2372="","",IFERROR(VLOOKUP(--B2372,'CATALOGO CECO'!$A$2:$H$550,2,FALSE),"CECO NO EXISTE"))</f>
        <v/>
      </c>
      <c r="H2372" s="8">
        <f>IF(B2372="","",IFERROR(VLOOKUP(--B2372,'CATALOGO CECO'!$A$2:$H$550,3,FALSE),""))</f>
        <v/>
      </c>
      <c r="I2372" s="8">
        <f>IF(B2372="","",IFERROR(VLOOKUP(--B2372,'CATALOGO CECO'!$A$2:$H$550,5,FALSE),""))</f>
        <v/>
      </c>
      <c r="J2372" s="8">
        <f>IF(B2372="","",IFERROR(VLOOKUP(--B2372,'CATALOGO CECO'!$A$2:$H$550,8,FALSE),""))</f>
        <v/>
      </c>
      <c r="K2372" s="8">
        <f>IF(COUNTA(A2372:F2372)=0,"",IF(OR(LEN(A2372)&lt;&gt;7,MID(A2372,5,1)&lt;&gt;"-",ISERROR(--LEFT(A2372,4)),ISERROR(--RIGHT(A2372,2))),"ERROR: PERIODO debe ser AAAA-MM",IF(B2372="","ERROR: falta CODIGO CECO",IF(G2372="CECO NO EXISTE","ERROR: CECO no existe en el catálogo",IF(C2372="","ERROR: falta CUENTA",IF(ISERROR(--C2372),"ERROR: CUENTA debe tener solo dígitos",IF(ISERROR(FIND(LEFT(C2372,1),"567")),"ERROR: CUENTA fuera de las clases de costo",IF(NOT(ISNUMBER(E2372)),"ERROR: VALOR debe ser numérico",IF(E2372=0,"AVISO: valor cero (no se carga)",IF(J2372&lt;&gt;"ACTIVO","NO SE CARGA: CECO en estado "&amp;J2372,"OK"))))))))))</f>
        <v/>
      </c>
    </row>
    <row r="2373">
      <c r="A2373" s="5" t="n"/>
      <c r="B2373" s="6" t="n"/>
      <c r="C2373" s="5" t="n"/>
      <c r="D2373" s="6" t="n"/>
      <c r="E2373" s="7" t="n"/>
      <c r="F2373" s="6" t="n"/>
      <c r="G2373" s="8">
        <f>IF(B2373="","",IFERROR(VLOOKUP(--B2373,'CATALOGO CECO'!$A$2:$H$550,2,FALSE),"CECO NO EXISTE"))</f>
        <v/>
      </c>
      <c r="H2373" s="8">
        <f>IF(B2373="","",IFERROR(VLOOKUP(--B2373,'CATALOGO CECO'!$A$2:$H$550,3,FALSE),""))</f>
        <v/>
      </c>
      <c r="I2373" s="8">
        <f>IF(B2373="","",IFERROR(VLOOKUP(--B2373,'CATALOGO CECO'!$A$2:$H$550,5,FALSE),""))</f>
        <v/>
      </c>
      <c r="J2373" s="8">
        <f>IF(B2373="","",IFERROR(VLOOKUP(--B2373,'CATALOGO CECO'!$A$2:$H$550,8,FALSE),""))</f>
        <v/>
      </c>
      <c r="K2373" s="8">
        <f>IF(COUNTA(A2373:F2373)=0,"",IF(OR(LEN(A2373)&lt;&gt;7,MID(A2373,5,1)&lt;&gt;"-",ISERROR(--LEFT(A2373,4)),ISERROR(--RIGHT(A2373,2))),"ERROR: PERIODO debe ser AAAA-MM",IF(B2373="","ERROR: falta CODIGO CECO",IF(G2373="CECO NO EXISTE","ERROR: CECO no existe en el catálogo",IF(C2373="","ERROR: falta CUENTA",IF(ISERROR(--C2373),"ERROR: CUENTA debe tener solo dígitos",IF(ISERROR(FIND(LEFT(C2373,1),"567")),"ERROR: CUENTA fuera de las clases de costo",IF(NOT(ISNUMBER(E2373)),"ERROR: VALOR debe ser numérico",IF(E2373=0,"AVISO: valor cero (no se carga)",IF(J2373&lt;&gt;"ACTIVO","NO SE CARGA: CECO en estado "&amp;J2373,"OK"))))))))))</f>
        <v/>
      </c>
    </row>
    <row r="2374">
      <c r="A2374" s="5" t="n"/>
      <c r="B2374" s="6" t="n"/>
      <c r="C2374" s="5" t="n"/>
      <c r="D2374" s="6" t="n"/>
      <c r="E2374" s="7" t="n"/>
      <c r="F2374" s="6" t="n"/>
      <c r="G2374" s="8">
        <f>IF(B2374="","",IFERROR(VLOOKUP(--B2374,'CATALOGO CECO'!$A$2:$H$550,2,FALSE),"CECO NO EXISTE"))</f>
        <v/>
      </c>
      <c r="H2374" s="8">
        <f>IF(B2374="","",IFERROR(VLOOKUP(--B2374,'CATALOGO CECO'!$A$2:$H$550,3,FALSE),""))</f>
        <v/>
      </c>
      <c r="I2374" s="8">
        <f>IF(B2374="","",IFERROR(VLOOKUP(--B2374,'CATALOGO CECO'!$A$2:$H$550,5,FALSE),""))</f>
        <v/>
      </c>
      <c r="J2374" s="8">
        <f>IF(B2374="","",IFERROR(VLOOKUP(--B2374,'CATALOGO CECO'!$A$2:$H$550,8,FALSE),""))</f>
        <v/>
      </c>
      <c r="K2374" s="8">
        <f>IF(COUNTA(A2374:F2374)=0,"",IF(OR(LEN(A2374)&lt;&gt;7,MID(A2374,5,1)&lt;&gt;"-",ISERROR(--LEFT(A2374,4)),ISERROR(--RIGHT(A2374,2))),"ERROR: PERIODO debe ser AAAA-MM",IF(B2374="","ERROR: falta CODIGO CECO",IF(G2374="CECO NO EXISTE","ERROR: CECO no existe en el catálogo",IF(C2374="","ERROR: falta CUENTA",IF(ISERROR(--C2374),"ERROR: CUENTA debe tener solo dígitos",IF(ISERROR(FIND(LEFT(C2374,1),"567")),"ERROR: CUENTA fuera de las clases de costo",IF(NOT(ISNUMBER(E2374)),"ERROR: VALOR debe ser numérico",IF(E2374=0,"AVISO: valor cero (no se carga)",IF(J2374&lt;&gt;"ACTIVO","NO SE CARGA: CECO en estado "&amp;J2374,"OK"))))))))))</f>
        <v/>
      </c>
    </row>
    <row r="2375">
      <c r="A2375" s="5" t="n"/>
      <c r="B2375" s="6" t="n"/>
      <c r="C2375" s="5" t="n"/>
      <c r="D2375" s="6" t="n"/>
      <c r="E2375" s="7" t="n"/>
      <c r="F2375" s="6" t="n"/>
      <c r="G2375" s="8">
        <f>IF(B2375="","",IFERROR(VLOOKUP(--B2375,'CATALOGO CECO'!$A$2:$H$550,2,FALSE),"CECO NO EXISTE"))</f>
        <v/>
      </c>
      <c r="H2375" s="8">
        <f>IF(B2375="","",IFERROR(VLOOKUP(--B2375,'CATALOGO CECO'!$A$2:$H$550,3,FALSE),""))</f>
        <v/>
      </c>
      <c r="I2375" s="8">
        <f>IF(B2375="","",IFERROR(VLOOKUP(--B2375,'CATALOGO CECO'!$A$2:$H$550,5,FALSE),""))</f>
        <v/>
      </c>
      <c r="J2375" s="8">
        <f>IF(B2375="","",IFERROR(VLOOKUP(--B2375,'CATALOGO CECO'!$A$2:$H$550,8,FALSE),""))</f>
        <v/>
      </c>
      <c r="K2375" s="8">
        <f>IF(COUNTA(A2375:F2375)=0,"",IF(OR(LEN(A2375)&lt;&gt;7,MID(A2375,5,1)&lt;&gt;"-",ISERROR(--LEFT(A2375,4)),ISERROR(--RIGHT(A2375,2))),"ERROR: PERIODO debe ser AAAA-MM",IF(B2375="","ERROR: falta CODIGO CECO",IF(G2375="CECO NO EXISTE","ERROR: CECO no existe en el catálogo",IF(C2375="","ERROR: falta CUENTA",IF(ISERROR(--C2375),"ERROR: CUENTA debe tener solo dígitos",IF(ISERROR(FIND(LEFT(C2375,1),"567")),"ERROR: CUENTA fuera de las clases de costo",IF(NOT(ISNUMBER(E2375)),"ERROR: VALOR debe ser numérico",IF(E2375=0,"AVISO: valor cero (no se carga)",IF(J2375&lt;&gt;"ACTIVO","NO SE CARGA: CECO en estado "&amp;J2375,"OK"))))))))))</f>
        <v/>
      </c>
    </row>
    <row r="2376">
      <c r="A2376" s="5" t="n"/>
      <c r="B2376" s="6" t="n"/>
      <c r="C2376" s="5" t="n"/>
      <c r="D2376" s="6" t="n"/>
      <c r="E2376" s="7" t="n"/>
      <c r="F2376" s="6" t="n"/>
      <c r="G2376" s="8">
        <f>IF(B2376="","",IFERROR(VLOOKUP(--B2376,'CATALOGO CECO'!$A$2:$H$550,2,FALSE),"CECO NO EXISTE"))</f>
        <v/>
      </c>
      <c r="H2376" s="8">
        <f>IF(B2376="","",IFERROR(VLOOKUP(--B2376,'CATALOGO CECO'!$A$2:$H$550,3,FALSE),""))</f>
        <v/>
      </c>
      <c r="I2376" s="8">
        <f>IF(B2376="","",IFERROR(VLOOKUP(--B2376,'CATALOGO CECO'!$A$2:$H$550,5,FALSE),""))</f>
        <v/>
      </c>
      <c r="J2376" s="8">
        <f>IF(B2376="","",IFERROR(VLOOKUP(--B2376,'CATALOGO CECO'!$A$2:$H$550,8,FALSE),""))</f>
        <v/>
      </c>
      <c r="K2376" s="8">
        <f>IF(COUNTA(A2376:F2376)=0,"",IF(OR(LEN(A2376)&lt;&gt;7,MID(A2376,5,1)&lt;&gt;"-",ISERROR(--LEFT(A2376,4)),ISERROR(--RIGHT(A2376,2))),"ERROR: PERIODO debe ser AAAA-MM",IF(B2376="","ERROR: falta CODIGO CECO",IF(G2376="CECO NO EXISTE","ERROR: CECO no existe en el catálogo",IF(C2376="","ERROR: falta CUENTA",IF(ISERROR(--C2376),"ERROR: CUENTA debe tener solo dígitos",IF(ISERROR(FIND(LEFT(C2376,1),"567")),"ERROR: CUENTA fuera de las clases de costo",IF(NOT(ISNUMBER(E2376)),"ERROR: VALOR debe ser numérico",IF(E2376=0,"AVISO: valor cero (no se carga)",IF(J2376&lt;&gt;"ACTIVO","NO SE CARGA: CECO en estado "&amp;J2376,"OK"))))))))))</f>
        <v/>
      </c>
    </row>
    <row r="2377">
      <c r="A2377" s="5" t="n"/>
      <c r="B2377" s="6" t="n"/>
      <c r="C2377" s="5" t="n"/>
      <c r="D2377" s="6" t="n"/>
      <c r="E2377" s="7" t="n"/>
      <c r="F2377" s="6" t="n"/>
      <c r="G2377" s="8">
        <f>IF(B2377="","",IFERROR(VLOOKUP(--B2377,'CATALOGO CECO'!$A$2:$H$550,2,FALSE),"CECO NO EXISTE"))</f>
        <v/>
      </c>
      <c r="H2377" s="8">
        <f>IF(B2377="","",IFERROR(VLOOKUP(--B2377,'CATALOGO CECO'!$A$2:$H$550,3,FALSE),""))</f>
        <v/>
      </c>
      <c r="I2377" s="8">
        <f>IF(B2377="","",IFERROR(VLOOKUP(--B2377,'CATALOGO CECO'!$A$2:$H$550,5,FALSE),""))</f>
        <v/>
      </c>
      <c r="J2377" s="8">
        <f>IF(B2377="","",IFERROR(VLOOKUP(--B2377,'CATALOGO CECO'!$A$2:$H$550,8,FALSE),""))</f>
        <v/>
      </c>
      <c r="K2377" s="8">
        <f>IF(COUNTA(A2377:F2377)=0,"",IF(OR(LEN(A2377)&lt;&gt;7,MID(A2377,5,1)&lt;&gt;"-",ISERROR(--LEFT(A2377,4)),ISERROR(--RIGHT(A2377,2))),"ERROR: PERIODO debe ser AAAA-MM",IF(B2377="","ERROR: falta CODIGO CECO",IF(G2377="CECO NO EXISTE","ERROR: CECO no existe en el catálogo",IF(C2377="","ERROR: falta CUENTA",IF(ISERROR(--C2377),"ERROR: CUENTA debe tener solo dígitos",IF(ISERROR(FIND(LEFT(C2377,1),"567")),"ERROR: CUENTA fuera de las clases de costo",IF(NOT(ISNUMBER(E2377)),"ERROR: VALOR debe ser numérico",IF(E2377=0,"AVISO: valor cero (no se carga)",IF(J2377&lt;&gt;"ACTIVO","NO SE CARGA: CECO en estado "&amp;J2377,"OK"))))))))))</f>
        <v/>
      </c>
    </row>
    <row r="2378">
      <c r="A2378" s="5" t="n"/>
      <c r="B2378" s="6" t="n"/>
      <c r="C2378" s="5" t="n"/>
      <c r="D2378" s="6" t="n"/>
      <c r="E2378" s="7" t="n"/>
      <c r="F2378" s="6" t="n"/>
      <c r="G2378" s="8">
        <f>IF(B2378="","",IFERROR(VLOOKUP(--B2378,'CATALOGO CECO'!$A$2:$H$550,2,FALSE),"CECO NO EXISTE"))</f>
        <v/>
      </c>
      <c r="H2378" s="8">
        <f>IF(B2378="","",IFERROR(VLOOKUP(--B2378,'CATALOGO CECO'!$A$2:$H$550,3,FALSE),""))</f>
        <v/>
      </c>
      <c r="I2378" s="8">
        <f>IF(B2378="","",IFERROR(VLOOKUP(--B2378,'CATALOGO CECO'!$A$2:$H$550,5,FALSE),""))</f>
        <v/>
      </c>
      <c r="J2378" s="8">
        <f>IF(B2378="","",IFERROR(VLOOKUP(--B2378,'CATALOGO CECO'!$A$2:$H$550,8,FALSE),""))</f>
        <v/>
      </c>
      <c r="K2378" s="8">
        <f>IF(COUNTA(A2378:F2378)=0,"",IF(OR(LEN(A2378)&lt;&gt;7,MID(A2378,5,1)&lt;&gt;"-",ISERROR(--LEFT(A2378,4)),ISERROR(--RIGHT(A2378,2))),"ERROR: PERIODO debe ser AAAA-MM",IF(B2378="","ERROR: falta CODIGO CECO",IF(G2378="CECO NO EXISTE","ERROR: CECO no existe en el catálogo",IF(C2378="","ERROR: falta CUENTA",IF(ISERROR(--C2378),"ERROR: CUENTA debe tener solo dígitos",IF(ISERROR(FIND(LEFT(C2378,1),"567")),"ERROR: CUENTA fuera de las clases de costo",IF(NOT(ISNUMBER(E2378)),"ERROR: VALOR debe ser numérico",IF(E2378=0,"AVISO: valor cero (no se carga)",IF(J2378&lt;&gt;"ACTIVO","NO SE CARGA: CECO en estado "&amp;J2378,"OK"))))))))))</f>
        <v/>
      </c>
    </row>
    <row r="2379">
      <c r="A2379" s="5" t="n"/>
      <c r="B2379" s="6" t="n"/>
      <c r="C2379" s="5" t="n"/>
      <c r="D2379" s="6" t="n"/>
      <c r="E2379" s="7" t="n"/>
      <c r="F2379" s="6" t="n"/>
      <c r="G2379" s="8">
        <f>IF(B2379="","",IFERROR(VLOOKUP(--B2379,'CATALOGO CECO'!$A$2:$H$550,2,FALSE),"CECO NO EXISTE"))</f>
        <v/>
      </c>
      <c r="H2379" s="8">
        <f>IF(B2379="","",IFERROR(VLOOKUP(--B2379,'CATALOGO CECO'!$A$2:$H$550,3,FALSE),""))</f>
        <v/>
      </c>
      <c r="I2379" s="8">
        <f>IF(B2379="","",IFERROR(VLOOKUP(--B2379,'CATALOGO CECO'!$A$2:$H$550,5,FALSE),""))</f>
        <v/>
      </c>
      <c r="J2379" s="8">
        <f>IF(B2379="","",IFERROR(VLOOKUP(--B2379,'CATALOGO CECO'!$A$2:$H$550,8,FALSE),""))</f>
        <v/>
      </c>
      <c r="K2379" s="8">
        <f>IF(COUNTA(A2379:F2379)=0,"",IF(OR(LEN(A2379)&lt;&gt;7,MID(A2379,5,1)&lt;&gt;"-",ISERROR(--LEFT(A2379,4)),ISERROR(--RIGHT(A2379,2))),"ERROR: PERIODO debe ser AAAA-MM",IF(B2379="","ERROR: falta CODIGO CECO",IF(G2379="CECO NO EXISTE","ERROR: CECO no existe en el catálogo",IF(C2379="","ERROR: falta CUENTA",IF(ISERROR(--C2379),"ERROR: CUENTA debe tener solo dígitos",IF(ISERROR(FIND(LEFT(C2379,1),"567")),"ERROR: CUENTA fuera de las clases de costo",IF(NOT(ISNUMBER(E2379)),"ERROR: VALOR debe ser numérico",IF(E2379=0,"AVISO: valor cero (no se carga)",IF(J2379&lt;&gt;"ACTIVO","NO SE CARGA: CECO en estado "&amp;J2379,"OK"))))))))))</f>
        <v/>
      </c>
    </row>
    <row r="2380">
      <c r="A2380" s="5" t="n"/>
      <c r="B2380" s="6" t="n"/>
      <c r="C2380" s="5" t="n"/>
      <c r="D2380" s="6" t="n"/>
      <c r="E2380" s="7" t="n"/>
      <c r="F2380" s="6" t="n"/>
      <c r="G2380" s="8">
        <f>IF(B2380="","",IFERROR(VLOOKUP(--B2380,'CATALOGO CECO'!$A$2:$H$550,2,FALSE),"CECO NO EXISTE"))</f>
        <v/>
      </c>
      <c r="H2380" s="8">
        <f>IF(B2380="","",IFERROR(VLOOKUP(--B2380,'CATALOGO CECO'!$A$2:$H$550,3,FALSE),""))</f>
        <v/>
      </c>
      <c r="I2380" s="8">
        <f>IF(B2380="","",IFERROR(VLOOKUP(--B2380,'CATALOGO CECO'!$A$2:$H$550,5,FALSE),""))</f>
        <v/>
      </c>
      <c r="J2380" s="8">
        <f>IF(B2380="","",IFERROR(VLOOKUP(--B2380,'CATALOGO CECO'!$A$2:$H$550,8,FALSE),""))</f>
        <v/>
      </c>
      <c r="K2380" s="8">
        <f>IF(COUNTA(A2380:F2380)=0,"",IF(OR(LEN(A2380)&lt;&gt;7,MID(A2380,5,1)&lt;&gt;"-",ISERROR(--LEFT(A2380,4)),ISERROR(--RIGHT(A2380,2))),"ERROR: PERIODO debe ser AAAA-MM",IF(B2380="","ERROR: falta CODIGO CECO",IF(G2380="CECO NO EXISTE","ERROR: CECO no existe en el catálogo",IF(C2380="","ERROR: falta CUENTA",IF(ISERROR(--C2380),"ERROR: CUENTA debe tener solo dígitos",IF(ISERROR(FIND(LEFT(C2380,1),"567")),"ERROR: CUENTA fuera de las clases de costo",IF(NOT(ISNUMBER(E2380)),"ERROR: VALOR debe ser numérico",IF(E2380=0,"AVISO: valor cero (no se carga)",IF(J2380&lt;&gt;"ACTIVO","NO SE CARGA: CECO en estado "&amp;J2380,"OK"))))))))))</f>
        <v/>
      </c>
    </row>
    <row r="2381">
      <c r="A2381" s="5" t="n"/>
      <c r="B2381" s="6" t="n"/>
      <c r="C2381" s="5" t="n"/>
      <c r="D2381" s="6" t="n"/>
      <c r="E2381" s="7" t="n"/>
      <c r="F2381" s="6" t="n"/>
      <c r="G2381" s="8">
        <f>IF(B2381="","",IFERROR(VLOOKUP(--B2381,'CATALOGO CECO'!$A$2:$H$550,2,FALSE),"CECO NO EXISTE"))</f>
        <v/>
      </c>
      <c r="H2381" s="8">
        <f>IF(B2381="","",IFERROR(VLOOKUP(--B2381,'CATALOGO CECO'!$A$2:$H$550,3,FALSE),""))</f>
        <v/>
      </c>
      <c r="I2381" s="8">
        <f>IF(B2381="","",IFERROR(VLOOKUP(--B2381,'CATALOGO CECO'!$A$2:$H$550,5,FALSE),""))</f>
        <v/>
      </c>
      <c r="J2381" s="8">
        <f>IF(B2381="","",IFERROR(VLOOKUP(--B2381,'CATALOGO CECO'!$A$2:$H$550,8,FALSE),""))</f>
        <v/>
      </c>
      <c r="K2381" s="8">
        <f>IF(COUNTA(A2381:F2381)=0,"",IF(OR(LEN(A2381)&lt;&gt;7,MID(A2381,5,1)&lt;&gt;"-",ISERROR(--LEFT(A2381,4)),ISERROR(--RIGHT(A2381,2))),"ERROR: PERIODO debe ser AAAA-MM",IF(B2381="","ERROR: falta CODIGO CECO",IF(G2381="CECO NO EXISTE","ERROR: CECO no existe en el catálogo",IF(C2381="","ERROR: falta CUENTA",IF(ISERROR(--C2381),"ERROR: CUENTA debe tener solo dígitos",IF(ISERROR(FIND(LEFT(C2381,1),"567")),"ERROR: CUENTA fuera de las clases de costo",IF(NOT(ISNUMBER(E2381)),"ERROR: VALOR debe ser numérico",IF(E2381=0,"AVISO: valor cero (no se carga)",IF(J2381&lt;&gt;"ACTIVO","NO SE CARGA: CECO en estado "&amp;J2381,"OK"))))))))))</f>
        <v/>
      </c>
    </row>
    <row r="2382">
      <c r="A2382" s="5" t="n"/>
      <c r="B2382" s="6" t="n"/>
      <c r="C2382" s="5" t="n"/>
      <c r="D2382" s="6" t="n"/>
      <c r="E2382" s="7" t="n"/>
      <c r="F2382" s="6" t="n"/>
      <c r="G2382" s="8">
        <f>IF(B2382="","",IFERROR(VLOOKUP(--B2382,'CATALOGO CECO'!$A$2:$H$550,2,FALSE),"CECO NO EXISTE"))</f>
        <v/>
      </c>
      <c r="H2382" s="8">
        <f>IF(B2382="","",IFERROR(VLOOKUP(--B2382,'CATALOGO CECO'!$A$2:$H$550,3,FALSE),""))</f>
        <v/>
      </c>
      <c r="I2382" s="8">
        <f>IF(B2382="","",IFERROR(VLOOKUP(--B2382,'CATALOGO CECO'!$A$2:$H$550,5,FALSE),""))</f>
        <v/>
      </c>
      <c r="J2382" s="8">
        <f>IF(B2382="","",IFERROR(VLOOKUP(--B2382,'CATALOGO CECO'!$A$2:$H$550,8,FALSE),""))</f>
        <v/>
      </c>
      <c r="K2382" s="8">
        <f>IF(COUNTA(A2382:F2382)=0,"",IF(OR(LEN(A2382)&lt;&gt;7,MID(A2382,5,1)&lt;&gt;"-",ISERROR(--LEFT(A2382,4)),ISERROR(--RIGHT(A2382,2))),"ERROR: PERIODO debe ser AAAA-MM",IF(B2382="","ERROR: falta CODIGO CECO",IF(G2382="CECO NO EXISTE","ERROR: CECO no existe en el catálogo",IF(C2382="","ERROR: falta CUENTA",IF(ISERROR(--C2382),"ERROR: CUENTA debe tener solo dígitos",IF(ISERROR(FIND(LEFT(C2382,1),"567")),"ERROR: CUENTA fuera de las clases de costo",IF(NOT(ISNUMBER(E2382)),"ERROR: VALOR debe ser numérico",IF(E2382=0,"AVISO: valor cero (no se carga)",IF(J2382&lt;&gt;"ACTIVO","NO SE CARGA: CECO en estado "&amp;J2382,"OK"))))))))))</f>
        <v/>
      </c>
    </row>
    <row r="2383">
      <c r="A2383" s="5" t="n"/>
      <c r="B2383" s="6" t="n"/>
      <c r="C2383" s="5" t="n"/>
      <c r="D2383" s="6" t="n"/>
      <c r="E2383" s="7" t="n"/>
      <c r="F2383" s="6" t="n"/>
      <c r="G2383" s="8">
        <f>IF(B2383="","",IFERROR(VLOOKUP(--B2383,'CATALOGO CECO'!$A$2:$H$550,2,FALSE),"CECO NO EXISTE"))</f>
        <v/>
      </c>
      <c r="H2383" s="8">
        <f>IF(B2383="","",IFERROR(VLOOKUP(--B2383,'CATALOGO CECO'!$A$2:$H$550,3,FALSE),""))</f>
        <v/>
      </c>
      <c r="I2383" s="8">
        <f>IF(B2383="","",IFERROR(VLOOKUP(--B2383,'CATALOGO CECO'!$A$2:$H$550,5,FALSE),""))</f>
        <v/>
      </c>
      <c r="J2383" s="8">
        <f>IF(B2383="","",IFERROR(VLOOKUP(--B2383,'CATALOGO CECO'!$A$2:$H$550,8,FALSE),""))</f>
        <v/>
      </c>
      <c r="K2383" s="8">
        <f>IF(COUNTA(A2383:F2383)=0,"",IF(OR(LEN(A2383)&lt;&gt;7,MID(A2383,5,1)&lt;&gt;"-",ISERROR(--LEFT(A2383,4)),ISERROR(--RIGHT(A2383,2))),"ERROR: PERIODO debe ser AAAA-MM",IF(B2383="","ERROR: falta CODIGO CECO",IF(G2383="CECO NO EXISTE","ERROR: CECO no existe en el catálogo",IF(C2383="","ERROR: falta CUENTA",IF(ISERROR(--C2383),"ERROR: CUENTA debe tener solo dígitos",IF(ISERROR(FIND(LEFT(C2383,1),"567")),"ERROR: CUENTA fuera de las clases de costo",IF(NOT(ISNUMBER(E2383)),"ERROR: VALOR debe ser numérico",IF(E2383=0,"AVISO: valor cero (no se carga)",IF(J2383&lt;&gt;"ACTIVO","NO SE CARGA: CECO en estado "&amp;J2383,"OK"))))))))))</f>
        <v/>
      </c>
    </row>
    <row r="2384">
      <c r="A2384" s="5" t="n"/>
      <c r="B2384" s="6" t="n"/>
      <c r="C2384" s="5" t="n"/>
      <c r="D2384" s="6" t="n"/>
      <c r="E2384" s="7" t="n"/>
      <c r="F2384" s="6" t="n"/>
      <c r="G2384" s="8">
        <f>IF(B2384="","",IFERROR(VLOOKUP(--B2384,'CATALOGO CECO'!$A$2:$H$550,2,FALSE),"CECO NO EXISTE"))</f>
        <v/>
      </c>
      <c r="H2384" s="8">
        <f>IF(B2384="","",IFERROR(VLOOKUP(--B2384,'CATALOGO CECO'!$A$2:$H$550,3,FALSE),""))</f>
        <v/>
      </c>
      <c r="I2384" s="8">
        <f>IF(B2384="","",IFERROR(VLOOKUP(--B2384,'CATALOGO CECO'!$A$2:$H$550,5,FALSE),""))</f>
        <v/>
      </c>
      <c r="J2384" s="8">
        <f>IF(B2384="","",IFERROR(VLOOKUP(--B2384,'CATALOGO CECO'!$A$2:$H$550,8,FALSE),""))</f>
        <v/>
      </c>
      <c r="K2384" s="8">
        <f>IF(COUNTA(A2384:F2384)=0,"",IF(OR(LEN(A2384)&lt;&gt;7,MID(A2384,5,1)&lt;&gt;"-",ISERROR(--LEFT(A2384,4)),ISERROR(--RIGHT(A2384,2))),"ERROR: PERIODO debe ser AAAA-MM",IF(B2384="","ERROR: falta CODIGO CECO",IF(G2384="CECO NO EXISTE","ERROR: CECO no existe en el catálogo",IF(C2384="","ERROR: falta CUENTA",IF(ISERROR(--C2384),"ERROR: CUENTA debe tener solo dígitos",IF(ISERROR(FIND(LEFT(C2384,1),"567")),"ERROR: CUENTA fuera de las clases de costo",IF(NOT(ISNUMBER(E2384)),"ERROR: VALOR debe ser numérico",IF(E2384=0,"AVISO: valor cero (no se carga)",IF(J2384&lt;&gt;"ACTIVO","NO SE CARGA: CECO en estado "&amp;J2384,"OK"))))))))))</f>
        <v/>
      </c>
    </row>
    <row r="2385">
      <c r="A2385" s="5" t="n"/>
      <c r="B2385" s="6" t="n"/>
      <c r="C2385" s="5" t="n"/>
      <c r="D2385" s="6" t="n"/>
      <c r="E2385" s="7" t="n"/>
      <c r="F2385" s="6" t="n"/>
      <c r="G2385" s="8">
        <f>IF(B2385="","",IFERROR(VLOOKUP(--B2385,'CATALOGO CECO'!$A$2:$H$550,2,FALSE),"CECO NO EXISTE"))</f>
        <v/>
      </c>
      <c r="H2385" s="8">
        <f>IF(B2385="","",IFERROR(VLOOKUP(--B2385,'CATALOGO CECO'!$A$2:$H$550,3,FALSE),""))</f>
        <v/>
      </c>
      <c r="I2385" s="8">
        <f>IF(B2385="","",IFERROR(VLOOKUP(--B2385,'CATALOGO CECO'!$A$2:$H$550,5,FALSE),""))</f>
        <v/>
      </c>
      <c r="J2385" s="8">
        <f>IF(B2385="","",IFERROR(VLOOKUP(--B2385,'CATALOGO CECO'!$A$2:$H$550,8,FALSE),""))</f>
        <v/>
      </c>
      <c r="K2385" s="8">
        <f>IF(COUNTA(A2385:F2385)=0,"",IF(OR(LEN(A2385)&lt;&gt;7,MID(A2385,5,1)&lt;&gt;"-",ISERROR(--LEFT(A2385,4)),ISERROR(--RIGHT(A2385,2))),"ERROR: PERIODO debe ser AAAA-MM",IF(B2385="","ERROR: falta CODIGO CECO",IF(G2385="CECO NO EXISTE","ERROR: CECO no existe en el catálogo",IF(C2385="","ERROR: falta CUENTA",IF(ISERROR(--C2385),"ERROR: CUENTA debe tener solo dígitos",IF(ISERROR(FIND(LEFT(C2385,1),"567")),"ERROR: CUENTA fuera de las clases de costo",IF(NOT(ISNUMBER(E2385)),"ERROR: VALOR debe ser numérico",IF(E2385=0,"AVISO: valor cero (no se carga)",IF(J2385&lt;&gt;"ACTIVO","NO SE CARGA: CECO en estado "&amp;J2385,"OK"))))))))))</f>
        <v/>
      </c>
    </row>
    <row r="2386">
      <c r="A2386" s="5" t="n"/>
      <c r="B2386" s="6" t="n"/>
      <c r="C2386" s="5" t="n"/>
      <c r="D2386" s="6" t="n"/>
      <c r="E2386" s="7" t="n"/>
      <c r="F2386" s="6" t="n"/>
      <c r="G2386" s="8">
        <f>IF(B2386="","",IFERROR(VLOOKUP(--B2386,'CATALOGO CECO'!$A$2:$H$550,2,FALSE),"CECO NO EXISTE"))</f>
        <v/>
      </c>
      <c r="H2386" s="8">
        <f>IF(B2386="","",IFERROR(VLOOKUP(--B2386,'CATALOGO CECO'!$A$2:$H$550,3,FALSE),""))</f>
        <v/>
      </c>
      <c r="I2386" s="8">
        <f>IF(B2386="","",IFERROR(VLOOKUP(--B2386,'CATALOGO CECO'!$A$2:$H$550,5,FALSE),""))</f>
        <v/>
      </c>
      <c r="J2386" s="8">
        <f>IF(B2386="","",IFERROR(VLOOKUP(--B2386,'CATALOGO CECO'!$A$2:$H$550,8,FALSE),""))</f>
        <v/>
      </c>
      <c r="K2386" s="8">
        <f>IF(COUNTA(A2386:F2386)=0,"",IF(OR(LEN(A2386)&lt;&gt;7,MID(A2386,5,1)&lt;&gt;"-",ISERROR(--LEFT(A2386,4)),ISERROR(--RIGHT(A2386,2))),"ERROR: PERIODO debe ser AAAA-MM",IF(B2386="","ERROR: falta CODIGO CECO",IF(G2386="CECO NO EXISTE","ERROR: CECO no existe en el catálogo",IF(C2386="","ERROR: falta CUENTA",IF(ISERROR(--C2386),"ERROR: CUENTA debe tener solo dígitos",IF(ISERROR(FIND(LEFT(C2386,1),"567")),"ERROR: CUENTA fuera de las clases de costo",IF(NOT(ISNUMBER(E2386)),"ERROR: VALOR debe ser numérico",IF(E2386=0,"AVISO: valor cero (no se carga)",IF(J2386&lt;&gt;"ACTIVO","NO SE CARGA: CECO en estado "&amp;J2386,"OK"))))))))))</f>
        <v/>
      </c>
    </row>
    <row r="2387">
      <c r="A2387" s="5" t="n"/>
      <c r="B2387" s="6" t="n"/>
      <c r="C2387" s="5" t="n"/>
      <c r="D2387" s="6" t="n"/>
      <c r="E2387" s="7" t="n"/>
      <c r="F2387" s="6" t="n"/>
      <c r="G2387" s="8">
        <f>IF(B2387="","",IFERROR(VLOOKUP(--B2387,'CATALOGO CECO'!$A$2:$H$550,2,FALSE),"CECO NO EXISTE"))</f>
        <v/>
      </c>
      <c r="H2387" s="8">
        <f>IF(B2387="","",IFERROR(VLOOKUP(--B2387,'CATALOGO CECO'!$A$2:$H$550,3,FALSE),""))</f>
        <v/>
      </c>
      <c r="I2387" s="8">
        <f>IF(B2387="","",IFERROR(VLOOKUP(--B2387,'CATALOGO CECO'!$A$2:$H$550,5,FALSE),""))</f>
        <v/>
      </c>
      <c r="J2387" s="8">
        <f>IF(B2387="","",IFERROR(VLOOKUP(--B2387,'CATALOGO CECO'!$A$2:$H$550,8,FALSE),""))</f>
        <v/>
      </c>
      <c r="K2387" s="8">
        <f>IF(COUNTA(A2387:F2387)=0,"",IF(OR(LEN(A2387)&lt;&gt;7,MID(A2387,5,1)&lt;&gt;"-",ISERROR(--LEFT(A2387,4)),ISERROR(--RIGHT(A2387,2))),"ERROR: PERIODO debe ser AAAA-MM",IF(B2387="","ERROR: falta CODIGO CECO",IF(G2387="CECO NO EXISTE","ERROR: CECO no existe en el catálogo",IF(C2387="","ERROR: falta CUENTA",IF(ISERROR(--C2387),"ERROR: CUENTA debe tener solo dígitos",IF(ISERROR(FIND(LEFT(C2387,1),"567")),"ERROR: CUENTA fuera de las clases de costo",IF(NOT(ISNUMBER(E2387)),"ERROR: VALOR debe ser numérico",IF(E2387=0,"AVISO: valor cero (no se carga)",IF(J2387&lt;&gt;"ACTIVO","NO SE CARGA: CECO en estado "&amp;J2387,"OK"))))))))))</f>
        <v/>
      </c>
    </row>
    <row r="2388">
      <c r="A2388" s="5" t="n"/>
      <c r="B2388" s="6" t="n"/>
      <c r="C2388" s="5" t="n"/>
      <c r="D2388" s="6" t="n"/>
      <c r="E2388" s="7" t="n"/>
      <c r="F2388" s="6" t="n"/>
      <c r="G2388" s="8">
        <f>IF(B2388="","",IFERROR(VLOOKUP(--B2388,'CATALOGO CECO'!$A$2:$H$550,2,FALSE),"CECO NO EXISTE"))</f>
        <v/>
      </c>
      <c r="H2388" s="8">
        <f>IF(B2388="","",IFERROR(VLOOKUP(--B2388,'CATALOGO CECO'!$A$2:$H$550,3,FALSE),""))</f>
        <v/>
      </c>
      <c r="I2388" s="8">
        <f>IF(B2388="","",IFERROR(VLOOKUP(--B2388,'CATALOGO CECO'!$A$2:$H$550,5,FALSE),""))</f>
        <v/>
      </c>
      <c r="J2388" s="8">
        <f>IF(B2388="","",IFERROR(VLOOKUP(--B2388,'CATALOGO CECO'!$A$2:$H$550,8,FALSE),""))</f>
        <v/>
      </c>
      <c r="K2388" s="8">
        <f>IF(COUNTA(A2388:F2388)=0,"",IF(OR(LEN(A2388)&lt;&gt;7,MID(A2388,5,1)&lt;&gt;"-",ISERROR(--LEFT(A2388,4)),ISERROR(--RIGHT(A2388,2))),"ERROR: PERIODO debe ser AAAA-MM",IF(B2388="","ERROR: falta CODIGO CECO",IF(G2388="CECO NO EXISTE","ERROR: CECO no existe en el catálogo",IF(C2388="","ERROR: falta CUENTA",IF(ISERROR(--C2388),"ERROR: CUENTA debe tener solo dígitos",IF(ISERROR(FIND(LEFT(C2388,1),"567")),"ERROR: CUENTA fuera de las clases de costo",IF(NOT(ISNUMBER(E2388)),"ERROR: VALOR debe ser numérico",IF(E2388=0,"AVISO: valor cero (no se carga)",IF(J2388&lt;&gt;"ACTIVO","NO SE CARGA: CECO en estado "&amp;J2388,"OK"))))))))))</f>
        <v/>
      </c>
    </row>
    <row r="2389">
      <c r="A2389" s="5" t="n"/>
      <c r="B2389" s="6" t="n"/>
      <c r="C2389" s="5" t="n"/>
      <c r="D2389" s="6" t="n"/>
      <c r="E2389" s="7" t="n"/>
      <c r="F2389" s="6" t="n"/>
      <c r="G2389" s="8">
        <f>IF(B2389="","",IFERROR(VLOOKUP(--B2389,'CATALOGO CECO'!$A$2:$H$550,2,FALSE),"CECO NO EXISTE"))</f>
        <v/>
      </c>
      <c r="H2389" s="8">
        <f>IF(B2389="","",IFERROR(VLOOKUP(--B2389,'CATALOGO CECO'!$A$2:$H$550,3,FALSE),""))</f>
        <v/>
      </c>
      <c r="I2389" s="8">
        <f>IF(B2389="","",IFERROR(VLOOKUP(--B2389,'CATALOGO CECO'!$A$2:$H$550,5,FALSE),""))</f>
        <v/>
      </c>
      <c r="J2389" s="8">
        <f>IF(B2389="","",IFERROR(VLOOKUP(--B2389,'CATALOGO CECO'!$A$2:$H$550,8,FALSE),""))</f>
        <v/>
      </c>
      <c r="K2389" s="8">
        <f>IF(COUNTA(A2389:F2389)=0,"",IF(OR(LEN(A2389)&lt;&gt;7,MID(A2389,5,1)&lt;&gt;"-",ISERROR(--LEFT(A2389,4)),ISERROR(--RIGHT(A2389,2))),"ERROR: PERIODO debe ser AAAA-MM",IF(B2389="","ERROR: falta CODIGO CECO",IF(G2389="CECO NO EXISTE","ERROR: CECO no existe en el catálogo",IF(C2389="","ERROR: falta CUENTA",IF(ISERROR(--C2389),"ERROR: CUENTA debe tener solo dígitos",IF(ISERROR(FIND(LEFT(C2389,1),"567")),"ERROR: CUENTA fuera de las clases de costo",IF(NOT(ISNUMBER(E2389)),"ERROR: VALOR debe ser numérico",IF(E2389=0,"AVISO: valor cero (no se carga)",IF(J2389&lt;&gt;"ACTIVO","NO SE CARGA: CECO en estado "&amp;J2389,"OK"))))))))))</f>
        <v/>
      </c>
    </row>
    <row r="2390">
      <c r="A2390" s="5" t="n"/>
      <c r="B2390" s="6" t="n"/>
      <c r="C2390" s="5" t="n"/>
      <c r="D2390" s="6" t="n"/>
      <c r="E2390" s="7" t="n"/>
      <c r="F2390" s="6" t="n"/>
      <c r="G2390" s="8">
        <f>IF(B2390="","",IFERROR(VLOOKUP(--B2390,'CATALOGO CECO'!$A$2:$H$550,2,FALSE),"CECO NO EXISTE"))</f>
        <v/>
      </c>
      <c r="H2390" s="8">
        <f>IF(B2390="","",IFERROR(VLOOKUP(--B2390,'CATALOGO CECO'!$A$2:$H$550,3,FALSE),""))</f>
        <v/>
      </c>
      <c r="I2390" s="8">
        <f>IF(B2390="","",IFERROR(VLOOKUP(--B2390,'CATALOGO CECO'!$A$2:$H$550,5,FALSE),""))</f>
        <v/>
      </c>
      <c r="J2390" s="8">
        <f>IF(B2390="","",IFERROR(VLOOKUP(--B2390,'CATALOGO CECO'!$A$2:$H$550,8,FALSE),""))</f>
        <v/>
      </c>
      <c r="K2390" s="8">
        <f>IF(COUNTA(A2390:F2390)=0,"",IF(OR(LEN(A2390)&lt;&gt;7,MID(A2390,5,1)&lt;&gt;"-",ISERROR(--LEFT(A2390,4)),ISERROR(--RIGHT(A2390,2))),"ERROR: PERIODO debe ser AAAA-MM",IF(B2390="","ERROR: falta CODIGO CECO",IF(G2390="CECO NO EXISTE","ERROR: CECO no existe en el catálogo",IF(C2390="","ERROR: falta CUENTA",IF(ISERROR(--C2390),"ERROR: CUENTA debe tener solo dígitos",IF(ISERROR(FIND(LEFT(C2390,1),"567")),"ERROR: CUENTA fuera de las clases de costo",IF(NOT(ISNUMBER(E2390)),"ERROR: VALOR debe ser numérico",IF(E2390=0,"AVISO: valor cero (no se carga)",IF(J2390&lt;&gt;"ACTIVO","NO SE CARGA: CECO en estado "&amp;J2390,"OK"))))))))))</f>
        <v/>
      </c>
    </row>
    <row r="2391">
      <c r="A2391" s="5" t="n"/>
      <c r="B2391" s="6" t="n"/>
      <c r="C2391" s="5" t="n"/>
      <c r="D2391" s="6" t="n"/>
      <c r="E2391" s="7" t="n"/>
      <c r="F2391" s="6" t="n"/>
      <c r="G2391" s="8">
        <f>IF(B2391="","",IFERROR(VLOOKUP(--B2391,'CATALOGO CECO'!$A$2:$H$550,2,FALSE),"CECO NO EXISTE"))</f>
        <v/>
      </c>
      <c r="H2391" s="8">
        <f>IF(B2391="","",IFERROR(VLOOKUP(--B2391,'CATALOGO CECO'!$A$2:$H$550,3,FALSE),""))</f>
        <v/>
      </c>
      <c r="I2391" s="8">
        <f>IF(B2391="","",IFERROR(VLOOKUP(--B2391,'CATALOGO CECO'!$A$2:$H$550,5,FALSE),""))</f>
        <v/>
      </c>
      <c r="J2391" s="8">
        <f>IF(B2391="","",IFERROR(VLOOKUP(--B2391,'CATALOGO CECO'!$A$2:$H$550,8,FALSE),""))</f>
        <v/>
      </c>
      <c r="K2391" s="8">
        <f>IF(COUNTA(A2391:F2391)=0,"",IF(OR(LEN(A2391)&lt;&gt;7,MID(A2391,5,1)&lt;&gt;"-",ISERROR(--LEFT(A2391,4)),ISERROR(--RIGHT(A2391,2))),"ERROR: PERIODO debe ser AAAA-MM",IF(B2391="","ERROR: falta CODIGO CECO",IF(G2391="CECO NO EXISTE","ERROR: CECO no existe en el catálogo",IF(C2391="","ERROR: falta CUENTA",IF(ISERROR(--C2391),"ERROR: CUENTA debe tener solo dígitos",IF(ISERROR(FIND(LEFT(C2391,1),"567")),"ERROR: CUENTA fuera de las clases de costo",IF(NOT(ISNUMBER(E2391)),"ERROR: VALOR debe ser numérico",IF(E2391=0,"AVISO: valor cero (no se carga)",IF(J2391&lt;&gt;"ACTIVO","NO SE CARGA: CECO en estado "&amp;J2391,"OK"))))))))))</f>
        <v/>
      </c>
    </row>
    <row r="2392">
      <c r="A2392" s="5" t="n"/>
      <c r="B2392" s="6" t="n"/>
      <c r="C2392" s="5" t="n"/>
      <c r="D2392" s="6" t="n"/>
      <c r="E2392" s="7" t="n"/>
      <c r="F2392" s="6" t="n"/>
      <c r="G2392" s="8">
        <f>IF(B2392="","",IFERROR(VLOOKUP(--B2392,'CATALOGO CECO'!$A$2:$H$550,2,FALSE),"CECO NO EXISTE"))</f>
        <v/>
      </c>
      <c r="H2392" s="8">
        <f>IF(B2392="","",IFERROR(VLOOKUP(--B2392,'CATALOGO CECO'!$A$2:$H$550,3,FALSE),""))</f>
        <v/>
      </c>
      <c r="I2392" s="8">
        <f>IF(B2392="","",IFERROR(VLOOKUP(--B2392,'CATALOGO CECO'!$A$2:$H$550,5,FALSE),""))</f>
        <v/>
      </c>
      <c r="J2392" s="8">
        <f>IF(B2392="","",IFERROR(VLOOKUP(--B2392,'CATALOGO CECO'!$A$2:$H$550,8,FALSE),""))</f>
        <v/>
      </c>
      <c r="K2392" s="8">
        <f>IF(COUNTA(A2392:F2392)=0,"",IF(OR(LEN(A2392)&lt;&gt;7,MID(A2392,5,1)&lt;&gt;"-",ISERROR(--LEFT(A2392,4)),ISERROR(--RIGHT(A2392,2))),"ERROR: PERIODO debe ser AAAA-MM",IF(B2392="","ERROR: falta CODIGO CECO",IF(G2392="CECO NO EXISTE","ERROR: CECO no existe en el catálogo",IF(C2392="","ERROR: falta CUENTA",IF(ISERROR(--C2392),"ERROR: CUENTA debe tener solo dígitos",IF(ISERROR(FIND(LEFT(C2392,1),"567")),"ERROR: CUENTA fuera de las clases de costo",IF(NOT(ISNUMBER(E2392)),"ERROR: VALOR debe ser numérico",IF(E2392=0,"AVISO: valor cero (no se carga)",IF(J2392&lt;&gt;"ACTIVO","NO SE CARGA: CECO en estado "&amp;J2392,"OK"))))))))))</f>
        <v/>
      </c>
    </row>
    <row r="2393">
      <c r="A2393" s="5" t="n"/>
      <c r="B2393" s="6" t="n"/>
      <c r="C2393" s="5" t="n"/>
      <c r="D2393" s="6" t="n"/>
      <c r="E2393" s="7" t="n"/>
      <c r="F2393" s="6" t="n"/>
      <c r="G2393" s="8">
        <f>IF(B2393="","",IFERROR(VLOOKUP(--B2393,'CATALOGO CECO'!$A$2:$H$550,2,FALSE),"CECO NO EXISTE"))</f>
        <v/>
      </c>
      <c r="H2393" s="8">
        <f>IF(B2393="","",IFERROR(VLOOKUP(--B2393,'CATALOGO CECO'!$A$2:$H$550,3,FALSE),""))</f>
        <v/>
      </c>
      <c r="I2393" s="8">
        <f>IF(B2393="","",IFERROR(VLOOKUP(--B2393,'CATALOGO CECO'!$A$2:$H$550,5,FALSE),""))</f>
        <v/>
      </c>
      <c r="J2393" s="8">
        <f>IF(B2393="","",IFERROR(VLOOKUP(--B2393,'CATALOGO CECO'!$A$2:$H$550,8,FALSE),""))</f>
        <v/>
      </c>
      <c r="K2393" s="8">
        <f>IF(COUNTA(A2393:F2393)=0,"",IF(OR(LEN(A2393)&lt;&gt;7,MID(A2393,5,1)&lt;&gt;"-",ISERROR(--LEFT(A2393,4)),ISERROR(--RIGHT(A2393,2))),"ERROR: PERIODO debe ser AAAA-MM",IF(B2393="","ERROR: falta CODIGO CECO",IF(G2393="CECO NO EXISTE","ERROR: CECO no existe en el catálogo",IF(C2393="","ERROR: falta CUENTA",IF(ISERROR(--C2393),"ERROR: CUENTA debe tener solo dígitos",IF(ISERROR(FIND(LEFT(C2393,1),"567")),"ERROR: CUENTA fuera de las clases de costo",IF(NOT(ISNUMBER(E2393)),"ERROR: VALOR debe ser numérico",IF(E2393=0,"AVISO: valor cero (no se carga)",IF(J2393&lt;&gt;"ACTIVO","NO SE CARGA: CECO en estado "&amp;J2393,"OK"))))))))))</f>
        <v/>
      </c>
    </row>
    <row r="2394">
      <c r="A2394" s="5" t="n"/>
      <c r="B2394" s="6" t="n"/>
      <c r="C2394" s="5" t="n"/>
      <c r="D2394" s="6" t="n"/>
      <c r="E2394" s="7" t="n"/>
      <c r="F2394" s="6" t="n"/>
      <c r="G2394" s="8">
        <f>IF(B2394="","",IFERROR(VLOOKUP(--B2394,'CATALOGO CECO'!$A$2:$H$550,2,FALSE),"CECO NO EXISTE"))</f>
        <v/>
      </c>
      <c r="H2394" s="8">
        <f>IF(B2394="","",IFERROR(VLOOKUP(--B2394,'CATALOGO CECO'!$A$2:$H$550,3,FALSE),""))</f>
        <v/>
      </c>
      <c r="I2394" s="8">
        <f>IF(B2394="","",IFERROR(VLOOKUP(--B2394,'CATALOGO CECO'!$A$2:$H$550,5,FALSE),""))</f>
        <v/>
      </c>
      <c r="J2394" s="8">
        <f>IF(B2394="","",IFERROR(VLOOKUP(--B2394,'CATALOGO CECO'!$A$2:$H$550,8,FALSE),""))</f>
        <v/>
      </c>
      <c r="K2394" s="8">
        <f>IF(COUNTA(A2394:F2394)=0,"",IF(OR(LEN(A2394)&lt;&gt;7,MID(A2394,5,1)&lt;&gt;"-",ISERROR(--LEFT(A2394,4)),ISERROR(--RIGHT(A2394,2))),"ERROR: PERIODO debe ser AAAA-MM",IF(B2394="","ERROR: falta CODIGO CECO",IF(G2394="CECO NO EXISTE","ERROR: CECO no existe en el catálogo",IF(C2394="","ERROR: falta CUENTA",IF(ISERROR(--C2394),"ERROR: CUENTA debe tener solo dígitos",IF(ISERROR(FIND(LEFT(C2394,1),"567")),"ERROR: CUENTA fuera de las clases de costo",IF(NOT(ISNUMBER(E2394)),"ERROR: VALOR debe ser numérico",IF(E2394=0,"AVISO: valor cero (no se carga)",IF(J2394&lt;&gt;"ACTIVO","NO SE CARGA: CECO en estado "&amp;J2394,"OK"))))))))))</f>
        <v/>
      </c>
    </row>
    <row r="2395">
      <c r="A2395" s="5" t="n"/>
      <c r="B2395" s="6" t="n"/>
      <c r="C2395" s="5" t="n"/>
      <c r="D2395" s="6" t="n"/>
      <c r="E2395" s="7" t="n"/>
      <c r="F2395" s="6" t="n"/>
      <c r="G2395" s="8">
        <f>IF(B2395="","",IFERROR(VLOOKUP(--B2395,'CATALOGO CECO'!$A$2:$H$550,2,FALSE),"CECO NO EXISTE"))</f>
        <v/>
      </c>
      <c r="H2395" s="8">
        <f>IF(B2395="","",IFERROR(VLOOKUP(--B2395,'CATALOGO CECO'!$A$2:$H$550,3,FALSE),""))</f>
        <v/>
      </c>
      <c r="I2395" s="8">
        <f>IF(B2395="","",IFERROR(VLOOKUP(--B2395,'CATALOGO CECO'!$A$2:$H$550,5,FALSE),""))</f>
        <v/>
      </c>
      <c r="J2395" s="8">
        <f>IF(B2395="","",IFERROR(VLOOKUP(--B2395,'CATALOGO CECO'!$A$2:$H$550,8,FALSE),""))</f>
        <v/>
      </c>
      <c r="K2395" s="8">
        <f>IF(COUNTA(A2395:F2395)=0,"",IF(OR(LEN(A2395)&lt;&gt;7,MID(A2395,5,1)&lt;&gt;"-",ISERROR(--LEFT(A2395,4)),ISERROR(--RIGHT(A2395,2))),"ERROR: PERIODO debe ser AAAA-MM",IF(B2395="","ERROR: falta CODIGO CECO",IF(G2395="CECO NO EXISTE","ERROR: CECO no existe en el catálogo",IF(C2395="","ERROR: falta CUENTA",IF(ISERROR(--C2395),"ERROR: CUENTA debe tener solo dígitos",IF(ISERROR(FIND(LEFT(C2395,1),"567")),"ERROR: CUENTA fuera de las clases de costo",IF(NOT(ISNUMBER(E2395)),"ERROR: VALOR debe ser numérico",IF(E2395=0,"AVISO: valor cero (no se carga)",IF(J2395&lt;&gt;"ACTIVO","NO SE CARGA: CECO en estado "&amp;J2395,"OK"))))))))))</f>
        <v/>
      </c>
    </row>
    <row r="2396">
      <c r="A2396" s="5" t="n"/>
      <c r="B2396" s="6" t="n"/>
      <c r="C2396" s="5" t="n"/>
      <c r="D2396" s="6" t="n"/>
      <c r="E2396" s="7" t="n"/>
      <c r="F2396" s="6" t="n"/>
      <c r="G2396" s="8">
        <f>IF(B2396="","",IFERROR(VLOOKUP(--B2396,'CATALOGO CECO'!$A$2:$H$550,2,FALSE),"CECO NO EXISTE"))</f>
        <v/>
      </c>
      <c r="H2396" s="8">
        <f>IF(B2396="","",IFERROR(VLOOKUP(--B2396,'CATALOGO CECO'!$A$2:$H$550,3,FALSE),""))</f>
        <v/>
      </c>
      <c r="I2396" s="8">
        <f>IF(B2396="","",IFERROR(VLOOKUP(--B2396,'CATALOGO CECO'!$A$2:$H$550,5,FALSE),""))</f>
        <v/>
      </c>
      <c r="J2396" s="8">
        <f>IF(B2396="","",IFERROR(VLOOKUP(--B2396,'CATALOGO CECO'!$A$2:$H$550,8,FALSE),""))</f>
        <v/>
      </c>
      <c r="K2396" s="8">
        <f>IF(COUNTA(A2396:F2396)=0,"",IF(OR(LEN(A2396)&lt;&gt;7,MID(A2396,5,1)&lt;&gt;"-",ISERROR(--LEFT(A2396,4)),ISERROR(--RIGHT(A2396,2))),"ERROR: PERIODO debe ser AAAA-MM",IF(B2396="","ERROR: falta CODIGO CECO",IF(G2396="CECO NO EXISTE","ERROR: CECO no existe en el catálogo",IF(C2396="","ERROR: falta CUENTA",IF(ISERROR(--C2396),"ERROR: CUENTA debe tener solo dígitos",IF(ISERROR(FIND(LEFT(C2396,1),"567")),"ERROR: CUENTA fuera de las clases de costo",IF(NOT(ISNUMBER(E2396)),"ERROR: VALOR debe ser numérico",IF(E2396=0,"AVISO: valor cero (no se carga)",IF(J2396&lt;&gt;"ACTIVO","NO SE CARGA: CECO en estado "&amp;J2396,"OK"))))))))))</f>
        <v/>
      </c>
    </row>
    <row r="2397">
      <c r="A2397" s="5" t="n"/>
      <c r="B2397" s="6" t="n"/>
      <c r="C2397" s="5" t="n"/>
      <c r="D2397" s="6" t="n"/>
      <c r="E2397" s="7" t="n"/>
      <c r="F2397" s="6" t="n"/>
      <c r="G2397" s="8">
        <f>IF(B2397="","",IFERROR(VLOOKUP(--B2397,'CATALOGO CECO'!$A$2:$H$550,2,FALSE),"CECO NO EXISTE"))</f>
        <v/>
      </c>
      <c r="H2397" s="8">
        <f>IF(B2397="","",IFERROR(VLOOKUP(--B2397,'CATALOGO CECO'!$A$2:$H$550,3,FALSE),""))</f>
        <v/>
      </c>
      <c r="I2397" s="8">
        <f>IF(B2397="","",IFERROR(VLOOKUP(--B2397,'CATALOGO CECO'!$A$2:$H$550,5,FALSE),""))</f>
        <v/>
      </c>
      <c r="J2397" s="8">
        <f>IF(B2397="","",IFERROR(VLOOKUP(--B2397,'CATALOGO CECO'!$A$2:$H$550,8,FALSE),""))</f>
        <v/>
      </c>
      <c r="K2397" s="8">
        <f>IF(COUNTA(A2397:F2397)=0,"",IF(OR(LEN(A2397)&lt;&gt;7,MID(A2397,5,1)&lt;&gt;"-",ISERROR(--LEFT(A2397,4)),ISERROR(--RIGHT(A2397,2))),"ERROR: PERIODO debe ser AAAA-MM",IF(B2397="","ERROR: falta CODIGO CECO",IF(G2397="CECO NO EXISTE","ERROR: CECO no existe en el catálogo",IF(C2397="","ERROR: falta CUENTA",IF(ISERROR(--C2397),"ERROR: CUENTA debe tener solo dígitos",IF(ISERROR(FIND(LEFT(C2397,1),"567")),"ERROR: CUENTA fuera de las clases de costo",IF(NOT(ISNUMBER(E2397)),"ERROR: VALOR debe ser numérico",IF(E2397=0,"AVISO: valor cero (no se carga)",IF(J2397&lt;&gt;"ACTIVO","NO SE CARGA: CECO en estado "&amp;J2397,"OK"))))))))))</f>
        <v/>
      </c>
    </row>
    <row r="2398">
      <c r="A2398" s="5" t="n"/>
      <c r="B2398" s="6" t="n"/>
      <c r="C2398" s="5" t="n"/>
      <c r="D2398" s="6" t="n"/>
      <c r="E2398" s="7" t="n"/>
      <c r="F2398" s="6" t="n"/>
      <c r="G2398" s="8">
        <f>IF(B2398="","",IFERROR(VLOOKUP(--B2398,'CATALOGO CECO'!$A$2:$H$550,2,FALSE),"CECO NO EXISTE"))</f>
        <v/>
      </c>
      <c r="H2398" s="8">
        <f>IF(B2398="","",IFERROR(VLOOKUP(--B2398,'CATALOGO CECO'!$A$2:$H$550,3,FALSE),""))</f>
        <v/>
      </c>
      <c r="I2398" s="8">
        <f>IF(B2398="","",IFERROR(VLOOKUP(--B2398,'CATALOGO CECO'!$A$2:$H$550,5,FALSE),""))</f>
        <v/>
      </c>
      <c r="J2398" s="8">
        <f>IF(B2398="","",IFERROR(VLOOKUP(--B2398,'CATALOGO CECO'!$A$2:$H$550,8,FALSE),""))</f>
        <v/>
      </c>
      <c r="K2398" s="8">
        <f>IF(COUNTA(A2398:F2398)=0,"",IF(OR(LEN(A2398)&lt;&gt;7,MID(A2398,5,1)&lt;&gt;"-",ISERROR(--LEFT(A2398,4)),ISERROR(--RIGHT(A2398,2))),"ERROR: PERIODO debe ser AAAA-MM",IF(B2398="","ERROR: falta CODIGO CECO",IF(G2398="CECO NO EXISTE","ERROR: CECO no existe en el catálogo",IF(C2398="","ERROR: falta CUENTA",IF(ISERROR(--C2398),"ERROR: CUENTA debe tener solo dígitos",IF(ISERROR(FIND(LEFT(C2398,1),"567")),"ERROR: CUENTA fuera de las clases de costo",IF(NOT(ISNUMBER(E2398)),"ERROR: VALOR debe ser numérico",IF(E2398=0,"AVISO: valor cero (no se carga)",IF(J2398&lt;&gt;"ACTIVO","NO SE CARGA: CECO en estado "&amp;J2398,"OK"))))))))))</f>
        <v/>
      </c>
    </row>
    <row r="2399">
      <c r="A2399" s="5" t="n"/>
      <c r="B2399" s="6" t="n"/>
      <c r="C2399" s="5" t="n"/>
      <c r="D2399" s="6" t="n"/>
      <c r="E2399" s="7" t="n"/>
      <c r="F2399" s="6" t="n"/>
      <c r="G2399" s="8">
        <f>IF(B2399="","",IFERROR(VLOOKUP(--B2399,'CATALOGO CECO'!$A$2:$H$550,2,FALSE),"CECO NO EXISTE"))</f>
        <v/>
      </c>
      <c r="H2399" s="8">
        <f>IF(B2399="","",IFERROR(VLOOKUP(--B2399,'CATALOGO CECO'!$A$2:$H$550,3,FALSE),""))</f>
        <v/>
      </c>
      <c r="I2399" s="8">
        <f>IF(B2399="","",IFERROR(VLOOKUP(--B2399,'CATALOGO CECO'!$A$2:$H$550,5,FALSE),""))</f>
        <v/>
      </c>
      <c r="J2399" s="8">
        <f>IF(B2399="","",IFERROR(VLOOKUP(--B2399,'CATALOGO CECO'!$A$2:$H$550,8,FALSE),""))</f>
        <v/>
      </c>
      <c r="K2399" s="8">
        <f>IF(COUNTA(A2399:F2399)=0,"",IF(OR(LEN(A2399)&lt;&gt;7,MID(A2399,5,1)&lt;&gt;"-",ISERROR(--LEFT(A2399,4)),ISERROR(--RIGHT(A2399,2))),"ERROR: PERIODO debe ser AAAA-MM",IF(B2399="","ERROR: falta CODIGO CECO",IF(G2399="CECO NO EXISTE","ERROR: CECO no existe en el catálogo",IF(C2399="","ERROR: falta CUENTA",IF(ISERROR(--C2399),"ERROR: CUENTA debe tener solo dígitos",IF(ISERROR(FIND(LEFT(C2399,1),"567")),"ERROR: CUENTA fuera de las clases de costo",IF(NOT(ISNUMBER(E2399)),"ERROR: VALOR debe ser numérico",IF(E2399=0,"AVISO: valor cero (no se carga)",IF(J2399&lt;&gt;"ACTIVO","NO SE CARGA: CECO en estado "&amp;J2399,"OK"))))))))))</f>
        <v/>
      </c>
    </row>
    <row r="2400">
      <c r="A2400" s="5" t="n"/>
      <c r="B2400" s="6" t="n"/>
      <c r="C2400" s="5" t="n"/>
      <c r="D2400" s="6" t="n"/>
      <c r="E2400" s="7" t="n"/>
      <c r="F2400" s="6" t="n"/>
      <c r="G2400" s="8">
        <f>IF(B2400="","",IFERROR(VLOOKUP(--B2400,'CATALOGO CECO'!$A$2:$H$550,2,FALSE),"CECO NO EXISTE"))</f>
        <v/>
      </c>
      <c r="H2400" s="8">
        <f>IF(B2400="","",IFERROR(VLOOKUP(--B2400,'CATALOGO CECO'!$A$2:$H$550,3,FALSE),""))</f>
        <v/>
      </c>
      <c r="I2400" s="8">
        <f>IF(B2400="","",IFERROR(VLOOKUP(--B2400,'CATALOGO CECO'!$A$2:$H$550,5,FALSE),""))</f>
        <v/>
      </c>
      <c r="J2400" s="8">
        <f>IF(B2400="","",IFERROR(VLOOKUP(--B2400,'CATALOGO CECO'!$A$2:$H$550,8,FALSE),""))</f>
        <v/>
      </c>
      <c r="K2400" s="8">
        <f>IF(COUNTA(A2400:F2400)=0,"",IF(OR(LEN(A2400)&lt;&gt;7,MID(A2400,5,1)&lt;&gt;"-",ISERROR(--LEFT(A2400,4)),ISERROR(--RIGHT(A2400,2))),"ERROR: PERIODO debe ser AAAA-MM",IF(B2400="","ERROR: falta CODIGO CECO",IF(G2400="CECO NO EXISTE","ERROR: CECO no existe en el catálogo",IF(C2400="","ERROR: falta CUENTA",IF(ISERROR(--C2400),"ERROR: CUENTA debe tener solo dígitos",IF(ISERROR(FIND(LEFT(C2400,1),"567")),"ERROR: CUENTA fuera de las clases de costo",IF(NOT(ISNUMBER(E2400)),"ERROR: VALOR debe ser numérico",IF(E2400=0,"AVISO: valor cero (no se carga)",IF(J2400&lt;&gt;"ACTIVO","NO SE CARGA: CECO en estado "&amp;J2400,"OK"))))))))))</f>
        <v/>
      </c>
    </row>
    <row r="2401">
      <c r="A2401" s="5" t="n"/>
      <c r="B2401" s="6" t="n"/>
      <c r="C2401" s="5" t="n"/>
      <c r="D2401" s="6" t="n"/>
      <c r="E2401" s="7" t="n"/>
      <c r="F2401" s="6" t="n"/>
      <c r="G2401" s="8">
        <f>IF(B2401="","",IFERROR(VLOOKUP(--B2401,'CATALOGO CECO'!$A$2:$H$550,2,FALSE),"CECO NO EXISTE"))</f>
        <v/>
      </c>
      <c r="H2401" s="8">
        <f>IF(B2401="","",IFERROR(VLOOKUP(--B2401,'CATALOGO CECO'!$A$2:$H$550,3,FALSE),""))</f>
        <v/>
      </c>
      <c r="I2401" s="8">
        <f>IF(B2401="","",IFERROR(VLOOKUP(--B2401,'CATALOGO CECO'!$A$2:$H$550,5,FALSE),""))</f>
        <v/>
      </c>
      <c r="J2401" s="8">
        <f>IF(B2401="","",IFERROR(VLOOKUP(--B2401,'CATALOGO CECO'!$A$2:$H$550,8,FALSE),""))</f>
        <v/>
      </c>
      <c r="K2401" s="8">
        <f>IF(COUNTA(A2401:F2401)=0,"",IF(OR(LEN(A2401)&lt;&gt;7,MID(A2401,5,1)&lt;&gt;"-",ISERROR(--LEFT(A2401,4)),ISERROR(--RIGHT(A2401,2))),"ERROR: PERIODO debe ser AAAA-MM",IF(B2401="","ERROR: falta CODIGO CECO",IF(G2401="CECO NO EXISTE","ERROR: CECO no existe en el catálogo",IF(C2401="","ERROR: falta CUENTA",IF(ISERROR(--C2401),"ERROR: CUENTA debe tener solo dígitos",IF(ISERROR(FIND(LEFT(C2401,1),"567")),"ERROR: CUENTA fuera de las clases de costo",IF(NOT(ISNUMBER(E2401)),"ERROR: VALOR debe ser numérico",IF(E2401=0,"AVISO: valor cero (no se carga)",IF(J2401&lt;&gt;"ACTIVO","NO SE CARGA: CECO en estado "&amp;J2401,"OK"))))))))))</f>
        <v/>
      </c>
    </row>
    <row r="2402">
      <c r="A2402" s="5" t="n"/>
      <c r="B2402" s="6" t="n"/>
      <c r="C2402" s="5" t="n"/>
      <c r="D2402" s="6" t="n"/>
      <c r="E2402" s="7" t="n"/>
      <c r="F2402" s="6" t="n"/>
      <c r="G2402" s="8">
        <f>IF(B2402="","",IFERROR(VLOOKUP(--B2402,'CATALOGO CECO'!$A$2:$H$550,2,FALSE),"CECO NO EXISTE"))</f>
        <v/>
      </c>
      <c r="H2402" s="8">
        <f>IF(B2402="","",IFERROR(VLOOKUP(--B2402,'CATALOGO CECO'!$A$2:$H$550,3,FALSE),""))</f>
        <v/>
      </c>
      <c r="I2402" s="8">
        <f>IF(B2402="","",IFERROR(VLOOKUP(--B2402,'CATALOGO CECO'!$A$2:$H$550,5,FALSE),""))</f>
        <v/>
      </c>
      <c r="J2402" s="8">
        <f>IF(B2402="","",IFERROR(VLOOKUP(--B2402,'CATALOGO CECO'!$A$2:$H$550,8,FALSE),""))</f>
        <v/>
      </c>
      <c r="K2402" s="8">
        <f>IF(COUNTA(A2402:F2402)=0,"",IF(OR(LEN(A2402)&lt;&gt;7,MID(A2402,5,1)&lt;&gt;"-",ISERROR(--LEFT(A2402,4)),ISERROR(--RIGHT(A2402,2))),"ERROR: PERIODO debe ser AAAA-MM",IF(B2402="","ERROR: falta CODIGO CECO",IF(G2402="CECO NO EXISTE","ERROR: CECO no existe en el catálogo",IF(C2402="","ERROR: falta CUENTA",IF(ISERROR(--C2402),"ERROR: CUENTA debe tener solo dígitos",IF(ISERROR(FIND(LEFT(C2402,1),"567")),"ERROR: CUENTA fuera de las clases de costo",IF(NOT(ISNUMBER(E2402)),"ERROR: VALOR debe ser numérico",IF(E2402=0,"AVISO: valor cero (no se carga)",IF(J2402&lt;&gt;"ACTIVO","NO SE CARGA: CECO en estado "&amp;J2402,"OK"))))))))))</f>
        <v/>
      </c>
    </row>
    <row r="2403">
      <c r="A2403" s="5" t="n"/>
      <c r="B2403" s="6" t="n"/>
      <c r="C2403" s="5" t="n"/>
      <c r="D2403" s="6" t="n"/>
      <c r="E2403" s="7" t="n"/>
      <c r="F2403" s="6" t="n"/>
      <c r="G2403" s="8">
        <f>IF(B2403="","",IFERROR(VLOOKUP(--B2403,'CATALOGO CECO'!$A$2:$H$550,2,FALSE),"CECO NO EXISTE"))</f>
        <v/>
      </c>
      <c r="H2403" s="8">
        <f>IF(B2403="","",IFERROR(VLOOKUP(--B2403,'CATALOGO CECO'!$A$2:$H$550,3,FALSE),""))</f>
        <v/>
      </c>
      <c r="I2403" s="8">
        <f>IF(B2403="","",IFERROR(VLOOKUP(--B2403,'CATALOGO CECO'!$A$2:$H$550,5,FALSE),""))</f>
        <v/>
      </c>
      <c r="J2403" s="8">
        <f>IF(B2403="","",IFERROR(VLOOKUP(--B2403,'CATALOGO CECO'!$A$2:$H$550,8,FALSE),""))</f>
        <v/>
      </c>
      <c r="K2403" s="8">
        <f>IF(COUNTA(A2403:F2403)=0,"",IF(OR(LEN(A2403)&lt;&gt;7,MID(A2403,5,1)&lt;&gt;"-",ISERROR(--LEFT(A2403,4)),ISERROR(--RIGHT(A2403,2))),"ERROR: PERIODO debe ser AAAA-MM",IF(B2403="","ERROR: falta CODIGO CECO",IF(G2403="CECO NO EXISTE","ERROR: CECO no existe en el catálogo",IF(C2403="","ERROR: falta CUENTA",IF(ISERROR(--C2403),"ERROR: CUENTA debe tener solo dígitos",IF(ISERROR(FIND(LEFT(C2403,1),"567")),"ERROR: CUENTA fuera de las clases de costo",IF(NOT(ISNUMBER(E2403)),"ERROR: VALOR debe ser numérico",IF(E2403=0,"AVISO: valor cero (no se carga)",IF(J2403&lt;&gt;"ACTIVO","NO SE CARGA: CECO en estado "&amp;J2403,"OK"))))))))))</f>
        <v/>
      </c>
    </row>
    <row r="2404">
      <c r="A2404" s="5" t="n"/>
      <c r="B2404" s="6" t="n"/>
      <c r="C2404" s="5" t="n"/>
      <c r="D2404" s="6" t="n"/>
      <c r="E2404" s="7" t="n"/>
      <c r="F2404" s="6" t="n"/>
      <c r="G2404" s="8">
        <f>IF(B2404="","",IFERROR(VLOOKUP(--B2404,'CATALOGO CECO'!$A$2:$H$550,2,FALSE),"CECO NO EXISTE"))</f>
        <v/>
      </c>
      <c r="H2404" s="8">
        <f>IF(B2404="","",IFERROR(VLOOKUP(--B2404,'CATALOGO CECO'!$A$2:$H$550,3,FALSE),""))</f>
        <v/>
      </c>
      <c r="I2404" s="8">
        <f>IF(B2404="","",IFERROR(VLOOKUP(--B2404,'CATALOGO CECO'!$A$2:$H$550,5,FALSE),""))</f>
        <v/>
      </c>
      <c r="J2404" s="8">
        <f>IF(B2404="","",IFERROR(VLOOKUP(--B2404,'CATALOGO CECO'!$A$2:$H$550,8,FALSE),""))</f>
        <v/>
      </c>
      <c r="K2404" s="8">
        <f>IF(COUNTA(A2404:F2404)=0,"",IF(OR(LEN(A2404)&lt;&gt;7,MID(A2404,5,1)&lt;&gt;"-",ISERROR(--LEFT(A2404,4)),ISERROR(--RIGHT(A2404,2))),"ERROR: PERIODO debe ser AAAA-MM",IF(B2404="","ERROR: falta CODIGO CECO",IF(G2404="CECO NO EXISTE","ERROR: CECO no existe en el catálogo",IF(C2404="","ERROR: falta CUENTA",IF(ISERROR(--C2404),"ERROR: CUENTA debe tener solo dígitos",IF(ISERROR(FIND(LEFT(C2404,1),"567")),"ERROR: CUENTA fuera de las clases de costo",IF(NOT(ISNUMBER(E2404)),"ERROR: VALOR debe ser numérico",IF(E2404=0,"AVISO: valor cero (no se carga)",IF(J2404&lt;&gt;"ACTIVO","NO SE CARGA: CECO en estado "&amp;J2404,"OK"))))))))))</f>
        <v/>
      </c>
    </row>
    <row r="2405">
      <c r="A2405" s="5" t="n"/>
      <c r="B2405" s="6" t="n"/>
      <c r="C2405" s="5" t="n"/>
      <c r="D2405" s="6" t="n"/>
      <c r="E2405" s="7" t="n"/>
      <c r="F2405" s="6" t="n"/>
      <c r="G2405" s="8">
        <f>IF(B2405="","",IFERROR(VLOOKUP(--B2405,'CATALOGO CECO'!$A$2:$H$550,2,FALSE),"CECO NO EXISTE"))</f>
        <v/>
      </c>
      <c r="H2405" s="8">
        <f>IF(B2405="","",IFERROR(VLOOKUP(--B2405,'CATALOGO CECO'!$A$2:$H$550,3,FALSE),""))</f>
        <v/>
      </c>
      <c r="I2405" s="8">
        <f>IF(B2405="","",IFERROR(VLOOKUP(--B2405,'CATALOGO CECO'!$A$2:$H$550,5,FALSE),""))</f>
        <v/>
      </c>
      <c r="J2405" s="8">
        <f>IF(B2405="","",IFERROR(VLOOKUP(--B2405,'CATALOGO CECO'!$A$2:$H$550,8,FALSE),""))</f>
        <v/>
      </c>
      <c r="K2405" s="8">
        <f>IF(COUNTA(A2405:F2405)=0,"",IF(OR(LEN(A2405)&lt;&gt;7,MID(A2405,5,1)&lt;&gt;"-",ISERROR(--LEFT(A2405,4)),ISERROR(--RIGHT(A2405,2))),"ERROR: PERIODO debe ser AAAA-MM",IF(B2405="","ERROR: falta CODIGO CECO",IF(G2405="CECO NO EXISTE","ERROR: CECO no existe en el catálogo",IF(C2405="","ERROR: falta CUENTA",IF(ISERROR(--C2405),"ERROR: CUENTA debe tener solo dígitos",IF(ISERROR(FIND(LEFT(C2405,1),"567")),"ERROR: CUENTA fuera de las clases de costo",IF(NOT(ISNUMBER(E2405)),"ERROR: VALOR debe ser numérico",IF(E2405=0,"AVISO: valor cero (no se carga)",IF(J2405&lt;&gt;"ACTIVO","NO SE CARGA: CECO en estado "&amp;J2405,"OK"))))))))))</f>
        <v/>
      </c>
    </row>
    <row r="2406">
      <c r="A2406" s="5" t="n"/>
      <c r="B2406" s="6" t="n"/>
      <c r="C2406" s="5" t="n"/>
      <c r="D2406" s="6" t="n"/>
      <c r="E2406" s="7" t="n"/>
      <c r="F2406" s="6" t="n"/>
      <c r="G2406" s="8">
        <f>IF(B2406="","",IFERROR(VLOOKUP(--B2406,'CATALOGO CECO'!$A$2:$H$550,2,FALSE),"CECO NO EXISTE"))</f>
        <v/>
      </c>
      <c r="H2406" s="8">
        <f>IF(B2406="","",IFERROR(VLOOKUP(--B2406,'CATALOGO CECO'!$A$2:$H$550,3,FALSE),""))</f>
        <v/>
      </c>
      <c r="I2406" s="8">
        <f>IF(B2406="","",IFERROR(VLOOKUP(--B2406,'CATALOGO CECO'!$A$2:$H$550,5,FALSE),""))</f>
        <v/>
      </c>
      <c r="J2406" s="8">
        <f>IF(B2406="","",IFERROR(VLOOKUP(--B2406,'CATALOGO CECO'!$A$2:$H$550,8,FALSE),""))</f>
        <v/>
      </c>
      <c r="K2406" s="8">
        <f>IF(COUNTA(A2406:F2406)=0,"",IF(OR(LEN(A2406)&lt;&gt;7,MID(A2406,5,1)&lt;&gt;"-",ISERROR(--LEFT(A2406,4)),ISERROR(--RIGHT(A2406,2))),"ERROR: PERIODO debe ser AAAA-MM",IF(B2406="","ERROR: falta CODIGO CECO",IF(G2406="CECO NO EXISTE","ERROR: CECO no existe en el catálogo",IF(C2406="","ERROR: falta CUENTA",IF(ISERROR(--C2406),"ERROR: CUENTA debe tener solo dígitos",IF(ISERROR(FIND(LEFT(C2406,1),"567")),"ERROR: CUENTA fuera de las clases de costo",IF(NOT(ISNUMBER(E2406)),"ERROR: VALOR debe ser numérico",IF(E2406=0,"AVISO: valor cero (no se carga)",IF(J2406&lt;&gt;"ACTIVO","NO SE CARGA: CECO en estado "&amp;J2406,"OK"))))))))))</f>
        <v/>
      </c>
    </row>
    <row r="2407">
      <c r="A2407" s="5" t="n"/>
      <c r="B2407" s="6" t="n"/>
      <c r="C2407" s="5" t="n"/>
      <c r="D2407" s="6" t="n"/>
      <c r="E2407" s="7" t="n"/>
      <c r="F2407" s="6" t="n"/>
      <c r="G2407" s="8">
        <f>IF(B2407="","",IFERROR(VLOOKUP(--B2407,'CATALOGO CECO'!$A$2:$H$550,2,FALSE),"CECO NO EXISTE"))</f>
        <v/>
      </c>
      <c r="H2407" s="8">
        <f>IF(B2407="","",IFERROR(VLOOKUP(--B2407,'CATALOGO CECO'!$A$2:$H$550,3,FALSE),""))</f>
        <v/>
      </c>
      <c r="I2407" s="8">
        <f>IF(B2407="","",IFERROR(VLOOKUP(--B2407,'CATALOGO CECO'!$A$2:$H$550,5,FALSE),""))</f>
        <v/>
      </c>
      <c r="J2407" s="8">
        <f>IF(B2407="","",IFERROR(VLOOKUP(--B2407,'CATALOGO CECO'!$A$2:$H$550,8,FALSE),""))</f>
        <v/>
      </c>
      <c r="K2407" s="8">
        <f>IF(COUNTA(A2407:F2407)=0,"",IF(OR(LEN(A2407)&lt;&gt;7,MID(A2407,5,1)&lt;&gt;"-",ISERROR(--LEFT(A2407,4)),ISERROR(--RIGHT(A2407,2))),"ERROR: PERIODO debe ser AAAA-MM",IF(B2407="","ERROR: falta CODIGO CECO",IF(G2407="CECO NO EXISTE","ERROR: CECO no existe en el catálogo",IF(C2407="","ERROR: falta CUENTA",IF(ISERROR(--C2407),"ERROR: CUENTA debe tener solo dígitos",IF(ISERROR(FIND(LEFT(C2407,1),"567")),"ERROR: CUENTA fuera de las clases de costo",IF(NOT(ISNUMBER(E2407)),"ERROR: VALOR debe ser numérico",IF(E2407=0,"AVISO: valor cero (no se carga)",IF(J2407&lt;&gt;"ACTIVO","NO SE CARGA: CECO en estado "&amp;J2407,"OK"))))))))))</f>
        <v/>
      </c>
    </row>
    <row r="2408">
      <c r="A2408" s="5" t="n"/>
      <c r="B2408" s="6" t="n"/>
      <c r="C2408" s="5" t="n"/>
      <c r="D2408" s="6" t="n"/>
      <c r="E2408" s="7" t="n"/>
      <c r="F2408" s="6" t="n"/>
      <c r="G2408" s="8">
        <f>IF(B2408="","",IFERROR(VLOOKUP(--B2408,'CATALOGO CECO'!$A$2:$H$550,2,FALSE),"CECO NO EXISTE"))</f>
        <v/>
      </c>
      <c r="H2408" s="8">
        <f>IF(B2408="","",IFERROR(VLOOKUP(--B2408,'CATALOGO CECO'!$A$2:$H$550,3,FALSE),""))</f>
        <v/>
      </c>
      <c r="I2408" s="8">
        <f>IF(B2408="","",IFERROR(VLOOKUP(--B2408,'CATALOGO CECO'!$A$2:$H$550,5,FALSE),""))</f>
        <v/>
      </c>
      <c r="J2408" s="8">
        <f>IF(B2408="","",IFERROR(VLOOKUP(--B2408,'CATALOGO CECO'!$A$2:$H$550,8,FALSE),""))</f>
        <v/>
      </c>
      <c r="K2408" s="8">
        <f>IF(COUNTA(A2408:F2408)=0,"",IF(OR(LEN(A2408)&lt;&gt;7,MID(A2408,5,1)&lt;&gt;"-",ISERROR(--LEFT(A2408,4)),ISERROR(--RIGHT(A2408,2))),"ERROR: PERIODO debe ser AAAA-MM",IF(B2408="","ERROR: falta CODIGO CECO",IF(G2408="CECO NO EXISTE","ERROR: CECO no existe en el catálogo",IF(C2408="","ERROR: falta CUENTA",IF(ISERROR(--C2408),"ERROR: CUENTA debe tener solo dígitos",IF(ISERROR(FIND(LEFT(C2408,1),"567")),"ERROR: CUENTA fuera de las clases de costo",IF(NOT(ISNUMBER(E2408)),"ERROR: VALOR debe ser numérico",IF(E2408=0,"AVISO: valor cero (no se carga)",IF(J2408&lt;&gt;"ACTIVO","NO SE CARGA: CECO en estado "&amp;J2408,"OK"))))))))))</f>
        <v/>
      </c>
    </row>
    <row r="2409">
      <c r="A2409" s="5" t="n"/>
      <c r="B2409" s="6" t="n"/>
      <c r="C2409" s="5" t="n"/>
      <c r="D2409" s="6" t="n"/>
      <c r="E2409" s="7" t="n"/>
      <c r="F2409" s="6" t="n"/>
      <c r="G2409" s="8">
        <f>IF(B2409="","",IFERROR(VLOOKUP(--B2409,'CATALOGO CECO'!$A$2:$H$550,2,FALSE),"CECO NO EXISTE"))</f>
        <v/>
      </c>
      <c r="H2409" s="8">
        <f>IF(B2409="","",IFERROR(VLOOKUP(--B2409,'CATALOGO CECO'!$A$2:$H$550,3,FALSE),""))</f>
        <v/>
      </c>
      <c r="I2409" s="8">
        <f>IF(B2409="","",IFERROR(VLOOKUP(--B2409,'CATALOGO CECO'!$A$2:$H$550,5,FALSE),""))</f>
        <v/>
      </c>
      <c r="J2409" s="8">
        <f>IF(B2409="","",IFERROR(VLOOKUP(--B2409,'CATALOGO CECO'!$A$2:$H$550,8,FALSE),""))</f>
        <v/>
      </c>
      <c r="K2409" s="8">
        <f>IF(COUNTA(A2409:F2409)=0,"",IF(OR(LEN(A2409)&lt;&gt;7,MID(A2409,5,1)&lt;&gt;"-",ISERROR(--LEFT(A2409,4)),ISERROR(--RIGHT(A2409,2))),"ERROR: PERIODO debe ser AAAA-MM",IF(B2409="","ERROR: falta CODIGO CECO",IF(G2409="CECO NO EXISTE","ERROR: CECO no existe en el catálogo",IF(C2409="","ERROR: falta CUENTA",IF(ISERROR(--C2409),"ERROR: CUENTA debe tener solo dígitos",IF(ISERROR(FIND(LEFT(C2409,1),"567")),"ERROR: CUENTA fuera de las clases de costo",IF(NOT(ISNUMBER(E2409)),"ERROR: VALOR debe ser numérico",IF(E2409=0,"AVISO: valor cero (no se carga)",IF(J2409&lt;&gt;"ACTIVO","NO SE CARGA: CECO en estado "&amp;J2409,"OK"))))))))))</f>
        <v/>
      </c>
    </row>
    <row r="2410">
      <c r="A2410" s="5" t="n"/>
      <c r="B2410" s="6" t="n"/>
      <c r="C2410" s="5" t="n"/>
      <c r="D2410" s="6" t="n"/>
      <c r="E2410" s="7" t="n"/>
      <c r="F2410" s="6" t="n"/>
      <c r="G2410" s="8">
        <f>IF(B2410="","",IFERROR(VLOOKUP(--B2410,'CATALOGO CECO'!$A$2:$H$550,2,FALSE),"CECO NO EXISTE"))</f>
        <v/>
      </c>
      <c r="H2410" s="8">
        <f>IF(B2410="","",IFERROR(VLOOKUP(--B2410,'CATALOGO CECO'!$A$2:$H$550,3,FALSE),""))</f>
        <v/>
      </c>
      <c r="I2410" s="8">
        <f>IF(B2410="","",IFERROR(VLOOKUP(--B2410,'CATALOGO CECO'!$A$2:$H$550,5,FALSE),""))</f>
        <v/>
      </c>
      <c r="J2410" s="8">
        <f>IF(B2410="","",IFERROR(VLOOKUP(--B2410,'CATALOGO CECO'!$A$2:$H$550,8,FALSE),""))</f>
        <v/>
      </c>
      <c r="K2410" s="8">
        <f>IF(COUNTA(A2410:F2410)=0,"",IF(OR(LEN(A2410)&lt;&gt;7,MID(A2410,5,1)&lt;&gt;"-",ISERROR(--LEFT(A2410,4)),ISERROR(--RIGHT(A2410,2))),"ERROR: PERIODO debe ser AAAA-MM",IF(B2410="","ERROR: falta CODIGO CECO",IF(G2410="CECO NO EXISTE","ERROR: CECO no existe en el catálogo",IF(C2410="","ERROR: falta CUENTA",IF(ISERROR(--C2410),"ERROR: CUENTA debe tener solo dígitos",IF(ISERROR(FIND(LEFT(C2410,1),"567")),"ERROR: CUENTA fuera de las clases de costo",IF(NOT(ISNUMBER(E2410)),"ERROR: VALOR debe ser numérico",IF(E2410=0,"AVISO: valor cero (no se carga)",IF(J2410&lt;&gt;"ACTIVO","NO SE CARGA: CECO en estado "&amp;J2410,"OK"))))))))))</f>
        <v/>
      </c>
    </row>
    <row r="2411">
      <c r="A2411" s="5" t="n"/>
      <c r="B2411" s="6" t="n"/>
      <c r="C2411" s="5" t="n"/>
      <c r="D2411" s="6" t="n"/>
      <c r="E2411" s="7" t="n"/>
      <c r="F2411" s="6" t="n"/>
      <c r="G2411" s="8">
        <f>IF(B2411="","",IFERROR(VLOOKUP(--B2411,'CATALOGO CECO'!$A$2:$H$550,2,FALSE),"CECO NO EXISTE"))</f>
        <v/>
      </c>
      <c r="H2411" s="8">
        <f>IF(B2411="","",IFERROR(VLOOKUP(--B2411,'CATALOGO CECO'!$A$2:$H$550,3,FALSE),""))</f>
        <v/>
      </c>
      <c r="I2411" s="8">
        <f>IF(B2411="","",IFERROR(VLOOKUP(--B2411,'CATALOGO CECO'!$A$2:$H$550,5,FALSE),""))</f>
        <v/>
      </c>
      <c r="J2411" s="8">
        <f>IF(B2411="","",IFERROR(VLOOKUP(--B2411,'CATALOGO CECO'!$A$2:$H$550,8,FALSE),""))</f>
        <v/>
      </c>
      <c r="K2411" s="8">
        <f>IF(COUNTA(A2411:F2411)=0,"",IF(OR(LEN(A2411)&lt;&gt;7,MID(A2411,5,1)&lt;&gt;"-",ISERROR(--LEFT(A2411,4)),ISERROR(--RIGHT(A2411,2))),"ERROR: PERIODO debe ser AAAA-MM",IF(B2411="","ERROR: falta CODIGO CECO",IF(G2411="CECO NO EXISTE","ERROR: CECO no existe en el catálogo",IF(C2411="","ERROR: falta CUENTA",IF(ISERROR(--C2411),"ERROR: CUENTA debe tener solo dígitos",IF(ISERROR(FIND(LEFT(C2411,1),"567")),"ERROR: CUENTA fuera de las clases de costo",IF(NOT(ISNUMBER(E2411)),"ERROR: VALOR debe ser numérico",IF(E2411=0,"AVISO: valor cero (no se carga)",IF(J2411&lt;&gt;"ACTIVO","NO SE CARGA: CECO en estado "&amp;J2411,"OK"))))))))))</f>
        <v/>
      </c>
    </row>
    <row r="2412">
      <c r="A2412" s="5" t="n"/>
      <c r="B2412" s="6" t="n"/>
      <c r="C2412" s="5" t="n"/>
      <c r="D2412" s="6" t="n"/>
      <c r="E2412" s="7" t="n"/>
      <c r="F2412" s="6" t="n"/>
      <c r="G2412" s="8">
        <f>IF(B2412="","",IFERROR(VLOOKUP(--B2412,'CATALOGO CECO'!$A$2:$H$550,2,FALSE),"CECO NO EXISTE"))</f>
        <v/>
      </c>
      <c r="H2412" s="8">
        <f>IF(B2412="","",IFERROR(VLOOKUP(--B2412,'CATALOGO CECO'!$A$2:$H$550,3,FALSE),""))</f>
        <v/>
      </c>
      <c r="I2412" s="8">
        <f>IF(B2412="","",IFERROR(VLOOKUP(--B2412,'CATALOGO CECO'!$A$2:$H$550,5,FALSE),""))</f>
        <v/>
      </c>
      <c r="J2412" s="8">
        <f>IF(B2412="","",IFERROR(VLOOKUP(--B2412,'CATALOGO CECO'!$A$2:$H$550,8,FALSE),""))</f>
        <v/>
      </c>
      <c r="K2412" s="8">
        <f>IF(COUNTA(A2412:F2412)=0,"",IF(OR(LEN(A2412)&lt;&gt;7,MID(A2412,5,1)&lt;&gt;"-",ISERROR(--LEFT(A2412,4)),ISERROR(--RIGHT(A2412,2))),"ERROR: PERIODO debe ser AAAA-MM",IF(B2412="","ERROR: falta CODIGO CECO",IF(G2412="CECO NO EXISTE","ERROR: CECO no existe en el catálogo",IF(C2412="","ERROR: falta CUENTA",IF(ISERROR(--C2412),"ERROR: CUENTA debe tener solo dígitos",IF(ISERROR(FIND(LEFT(C2412,1),"567")),"ERROR: CUENTA fuera de las clases de costo",IF(NOT(ISNUMBER(E2412)),"ERROR: VALOR debe ser numérico",IF(E2412=0,"AVISO: valor cero (no se carga)",IF(J2412&lt;&gt;"ACTIVO","NO SE CARGA: CECO en estado "&amp;J2412,"OK"))))))))))</f>
        <v/>
      </c>
    </row>
    <row r="2413">
      <c r="A2413" s="5" t="n"/>
      <c r="B2413" s="6" t="n"/>
      <c r="C2413" s="5" t="n"/>
      <c r="D2413" s="6" t="n"/>
      <c r="E2413" s="7" t="n"/>
      <c r="F2413" s="6" t="n"/>
      <c r="G2413" s="8">
        <f>IF(B2413="","",IFERROR(VLOOKUP(--B2413,'CATALOGO CECO'!$A$2:$H$550,2,FALSE),"CECO NO EXISTE"))</f>
        <v/>
      </c>
      <c r="H2413" s="8">
        <f>IF(B2413="","",IFERROR(VLOOKUP(--B2413,'CATALOGO CECO'!$A$2:$H$550,3,FALSE),""))</f>
        <v/>
      </c>
      <c r="I2413" s="8">
        <f>IF(B2413="","",IFERROR(VLOOKUP(--B2413,'CATALOGO CECO'!$A$2:$H$550,5,FALSE),""))</f>
        <v/>
      </c>
      <c r="J2413" s="8">
        <f>IF(B2413="","",IFERROR(VLOOKUP(--B2413,'CATALOGO CECO'!$A$2:$H$550,8,FALSE),""))</f>
        <v/>
      </c>
      <c r="K2413" s="8">
        <f>IF(COUNTA(A2413:F2413)=0,"",IF(OR(LEN(A2413)&lt;&gt;7,MID(A2413,5,1)&lt;&gt;"-",ISERROR(--LEFT(A2413,4)),ISERROR(--RIGHT(A2413,2))),"ERROR: PERIODO debe ser AAAA-MM",IF(B2413="","ERROR: falta CODIGO CECO",IF(G2413="CECO NO EXISTE","ERROR: CECO no existe en el catálogo",IF(C2413="","ERROR: falta CUENTA",IF(ISERROR(--C2413),"ERROR: CUENTA debe tener solo dígitos",IF(ISERROR(FIND(LEFT(C2413,1),"567")),"ERROR: CUENTA fuera de las clases de costo",IF(NOT(ISNUMBER(E2413)),"ERROR: VALOR debe ser numérico",IF(E2413=0,"AVISO: valor cero (no se carga)",IF(J2413&lt;&gt;"ACTIVO","NO SE CARGA: CECO en estado "&amp;J2413,"OK"))))))))))</f>
        <v/>
      </c>
    </row>
    <row r="2414">
      <c r="A2414" s="5" t="n"/>
      <c r="B2414" s="6" t="n"/>
      <c r="C2414" s="5" t="n"/>
      <c r="D2414" s="6" t="n"/>
      <c r="E2414" s="7" t="n"/>
      <c r="F2414" s="6" t="n"/>
      <c r="G2414" s="8">
        <f>IF(B2414="","",IFERROR(VLOOKUP(--B2414,'CATALOGO CECO'!$A$2:$H$550,2,FALSE),"CECO NO EXISTE"))</f>
        <v/>
      </c>
      <c r="H2414" s="8">
        <f>IF(B2414="","",IFERROR(VLOOKUP(--B2414,'CATALOGO CECO'!$A$2:$H$550,3,FALSE),""))</f>
        <v/>
      </c>
      <c r="I2414" s="8">
        <f>IF(B2414="","",IFERROR(VLOOKUP(--B2414,'CATALOGO CECO'!$A$2:$H$550,5,FALSE),""))</f>
        <v/>
      </c>
      <c r="J2414" s="8">
        <f>IF(B2414="","",IFERROR(VLOOKUP(--B2414,'CATALOGO CECO'!$A$2:$H$550,8,FALSE),""))</f>
        <v/>
      </c>
      <c r="K2414" s="8">
        <f>IF(COUNTA(A2414:F2414)=0,"",IF(OR(LEN(A2414)&lt;&gt;7,MID(A2414,5,1)&lt;&gt;"-",ISERROR(--LEFT(A2414,4)),ISERROR(--RIGHT(A2414,2))),"ERROR: PERIODO debe ser AAAA-MM",IF(B2414="","ERROR: falta CODIGO CECO",IF(G2414="CECO NO EXISTE","ERROR: CECO no existe en el catálogo",IF(C2414="","ERROR: falta CUENTA",IF(ISERROR(--C2414),"ERROR: CUENTA debe tener solo dígitos",IF(ISERROR(FIND(LEFT(C2414,1),"567")),"ERROR: CUENTA fuera de las clases de costo",IF(NOT(ISNUMBER(E2414)),"ERROR: VALOR debe ser numérico",IF(E2414=0,"AVISO: valor cero (no se carga)",IF(J2414&lt;&gt;"ACTIVO","NO SE CARGA: CECO en estado "&amp;J2414,"OK"))))))))))</f>
        <v/>
      </c>
    </row>
    <row r="2415">
      <c r="A2415" s="5" t="n"/>
      <c r="B2415" s="6" t="n"/>
      <c r="C2415" s="5" t="n"/>
      <c r="D2415" s="6" t="n"/>
      <c r="E2415" s="7" t="n"/>
      <c r="F2415" s="6" t="n"/>
      <c r="G2415" s="8">
        <f>IF(B2415="","",IFERROR(VLOOKUP(--B2415,'CATALOGO CECO'!$A$2:$H$550,2,FALSE),"CECO NO EXISTE"))</f>
        <v/>
      </c>
      <c r="H2415" s="8">
        <f>IF(B2415="","",IFERROR(VLOOKUP(--B2415,'CATALOGO CECO'!$A$2:$H$550,3,FALSE),""))</f>
        <v/>
      </c>
      <c r="I2415" s="8">
        <f>IF(B2415="","",IFERROR(VLOOKUP(--B2415,'CATALOGO CECO'!$A$2:$H$550,5,FALSE),""))</f>
        <v/>
      </c>
      <c r="J2415" s="8">
        <f>IF(B2415="","",IFERROR(VLOOKUP(--B2415,'CATALOGO CECO'!$A$2:$H$550,8,FALSE),""))</f>
        <v/>
      </c>
      <c r="K2415" s="8">
        <f>IF(COUNTA(A2415:F2415)=0,"",IF(OR(LEN(A2415)&lt;&gt;7,MID(A2415,5,1)&lt;&gt;"-",ISERROR(--LEFT(A2415,4)),ISERROR(--RIGHT(A2415,2))),"ERROR: PERIODO debe ser AAAA-MM",IF(B2415="","ERROR: falta CODIGO CECO",IF(G2415="CECO NO EXISTE","ERROR: CECO no existe en el catálogo",IF(C2415="","ERROR: falta CUENTA",IF(ISERROR(--C2415),"ERROR: CUENTA debe tener solo dígitos",IF(ISERROR(FIND(LEFT(C2415,1),"567")),"ERROR: CUENTA fuera de las clases de costo",IF(NOT(ISNUMBER(E2415)),"ERROR: VALOR debe ser numérico",IF(E2415=0,"AVISO: valor cero (no se carga)",IF(J2415&lt;&gt;"ACTIVO","NO SE CARGA: CECO en estado "&amp;J2415,"OK"))))))))))</f>
        <v/>
      </c>
    </row>
    <row r="2416">
      <c r="A2416" s="5" t="n"/>
      <c r="B2416" s="6" t="n"/>
      <c r="C2416" s="5" t="n"/>
      <c r="D2416" s="6" t="n"/>
      <c r="E2416" s="7" t="n"/>
      <c r="F2416" s="6" t="n"/>
      <c r="G2416" s="8">
        <f>IF(B2416="","",IFERROR(VLOOKUP(--B2416,'CATALOGO CECO'!$A$2:$H$550,2,FALSE),"CECO NO EXISTE"))</f>
        <v/>
      </c>
      <c r="H2416" s="8">
        <f>IF(B2416="","",IFERROR(VLOOKUP(--B2416,'CATALOGO CECO'!$A$2:$H$550,3,FALSE),""))</f>
        <v/>
      </c>
      <c r="I2416" s="8">
        <f>IF(B2416="","",IFERROR(VLOOKUP(--B2416,'CATALOGO CECO'!$A$2:$H$550,5,FALSE),""))</f>
        <v/>
      </c>
      <c r="J2416" s="8">
        <f>IF(B2416="","",IFERROR(VLOOKUP(--B2416,'CATALOGO CECO'!$A$2:$H$550,8,FALSE),""))</f>
        <v/>
      </c>
      <c r="K2416" s="8">
        <f>IF(COUNTA(A2416:F2416)=0,"",IF(OR(LEN(A2416)&lt;&gt;7,MID(A2416,5,1)&lt;&gt;"-",ISERROR(--LEFT(A2416,4)),ISERROR(--RIGHT(A2416,2))),"ERROR: PERIODO debe ser AAAA-MM",IF(B2416="","ERROR: falta CODIGO CECO",IF(G2416="CECO NO EXISTE","ERROR: CECO no existe en el catálogo",IF(C2416="","ERROR: falta CUENTA",IF(ISERROR(--C2416),"ERROR: CUENTA debe tener solo dígitos",IF(ISERROR(FIND(LEFT(C2416,1),"567")),"ERROR: CUENTA fuera de las clases de costo",IF(NOT(ISNUMBER(E2416)),"ERROR: VALOR debe ser numérico",IF(E2416=0,"AVISO: valor cero (no se carga)",IF(J2416&lt;&gt;"ACTIVO","NO SE CARGA: CECO en estado "&amp;J2416,"OK"))))))))))</f>
        <v/>
      </c>
    </row>
    <row r="2417">
      <c r="A2417" s="5" t="n"/>
      <c r="B2417" s="6" t="n"/>
      <c r="C2417" s="5" t="n"/>
      <c r="D2417" s="6" t="n"/>
      <c r="E2417" s="7" t="n"/>
      <c r="F2417" s="6" t="n"/>
      <c r="G2417" s="8">
        <f>IF(B2417="","",IFERROR(VLOOKUP(--B2417,'CATALOGO CECO'!$A$2:$H$550,2,FALSE),"CECO NO EXISTE"))</f>
        <v/>
      </c>
      <c r="H2417" s="8">
        <f>IF(B2417="","",IFERROR(VLOOKUP(--B2417,'CATALOGO CECO'!$A$2:$H$550,3,FALSE),""))</f>
        <v/>
      </c>
      <c r="I2417" s="8">
        <f>IF(B2417="","",IFERROR(VLOOKUP(--B2417,'CATALOGO CECO'!$A$2:$H$550,5,FALSE),""))</f>
        <v/>
      </c>
      <c r="J2417" s="8">
        <f>IF(B2417="","",IFERROR(VLOOKUP(--B2417,'CATALOGO CECO'!$A$2:$H$550,8,FALSE),""))</f>
        <v/>
      </c>
      <c r="K2417" s="8">
        <f>IF(COUNTA(A2417:F2417)=0,"",IF(OR(LEN(A2417)&lt;&gt;7,MID(A2417,5,1)&lt;&gt;"-",ISERROR(--LEFT(A2417,4)),ISERROR(--RIGHT(A2417,2))),"ERROR: PERIODO debe ser AAAA-MM",IF(B2417="","ERROR: falta CODIGO CECO",IF(G2417="CECO NO EXISTE","ERROR: CECO no existe en el catálogo",IF(C2417="","ERROR: falta CUENTA",IF(ISERROR(--C2417),"ERROR: CUENTA debe tener solo dígitos",IF(ISERROR(FIND(LEFT(C2417,1),"567")),"ERROR: CUENTA fuera de las clases de costo",IF(NOT(ISNUMBER(E2417)),"ERROR: VALOR debe ser numérico",IF(E2417=0,"AVISO: valor cero (no se carga)",IF(J2417&lt;&gt;"ACTIVO","NO SE CARGA: CECO en estado "&amp;J2417,"OK"))))))))))</f>
        <v/>
      </c>
    </row>
    <row r="2418">
      <c r="A2418" s="5" t="n"/>
      <c r="B2418" s="6" t="n"/>
      <c r="C2418" s="5" t="n"/>
      <c r="D2418" s="6" t="n"/>
      <c r="E2418" s="7" t="n"/>
      <c r="F2418" s="6" t="n"/>
      <c r="G2418" s="8">
        <f>IF(B2418="","",IFERROR(VLOOKUP(--B2418,'CATALOGO CECO'!$A$2:$H$550,2,FALSE),"CECO NO EXISTE"))</f>
        <v/>
      </c>
      <c r="H2418" s="8">
        <f>IF(B2418="","",IFERROR(VLOOKUP(--B2418,'CATALOGO CECO'!$A$2:$H$550,3,FALSE),""))</f>
        <v/>
      </c>
      <c r="I2418" s="8">
        <f>IF(B2418="","",IFERROR(VLOOKUP(--B2418,'CATALOGO CECO'!$A$2:$H$550,5,FALSE),""))</f>
        <v/>
      </c>
      <c r="J2418" s="8">
        <f>IF(B2418="","",IFERROR(VLOOKUP(--B2418,'CATALOGO CECO'!$A$2:$H$550,8,FALSE),""))</f>
        <v/>
      </c>
      <c r="K2418" s="8">
        <f>IF(COUNTA(A2418:F2418)=0,"",IF(OR(LEN(A2418)&lt;&gt;7,MID(A2418,5,1)&lt;&gt;"-",ISERROR(--LEFT(A2418,4)),ISERROR(--RIGHT(A2418,2))),"ERROR: PERIODO debe ser AAAA-MM",IF(B2418="","ERROR: falta CODIGO CECO",IF(G2418="CECO NO EXISTE","ERROR: CECO no existe en el catálogo",IF(C2418="","ERROR: falta CUENTA",IF(ISERROR(--C2418),"ERROR: CUENTA debe tener solo dígitos",IF(ISERROR(FIND(LEFT(C2418,1),"567")),"ERROR: CUENTA fuera de las clases de costo",IF(NOT(ISNUMBER(E2418)),"ERROR: VALOR debe ser numérico",IF(E2418=0,"AVISO: valor cero (no se carga)",IF(J2418&lt;&gt;"ACTIVO","NO SE CARGA: CECO en estado "&amp;J2418,"OK"))))))))))</f>
        <v/>
      </c>
    </row>
    <row r="2419">
      <c r="A2419" s="5" t="n"/>
      <c r="B2419" s="6" t="n"/>
      <c r="C2419" s="5" t="n"/>
      <c r="D2419" s="6" t="n"/>
      <c r="E2419" s="7" t="n"/>
      <c r="F2419" s="6" t="n"/>
      <c r="G2419" s="8">
        <f>IF(B2419="","",IFERROR(VLOOKUP(--B2419,'CATALOGO CECO'!$A$2:$H$550,2,FALSE),"CECO NO EXISTE"))</f>
        <v/>
      </c>
      <c r="H2419" s="8">
        <f>IF(B2419="","",IFERROR(VLOOKUP(--B2419,'CATALOGO CECO'!$A$2:$H$550,3,FALSE),""))</f>
        <v/>
      </c>
      <c r="I2419" s="8">
        <f>IF(B2419="","",IFERROR(VLOOKUP(--B2419,'CATALOGO CECO'!$A$2:$H$550,5,FALSE),""))</f>
        <v/>
      </c>
      <c r="J2419" s="8">
        <f>IF(B2419="","",IFERROR(VLOOKUP(--B2419,'CATALOGO CECO'!$A$2:$H$550,8,FALSE),""))</f>
        <v/>
      </c>
      <c r="K2419" s="8">
        <f>IF(COUNTA(A2419:F2419)=0,"",IF(OR(LEN(A2419)&lt;&gt;7,MID(A2419,5,1)&lt;&gt;"-",ISERROR(--LEFT(A2419,4)),ISERROR(--RIGHT(A2419,2))),"ERROR: PERIODO debe ser AAAA-MM",IF(B2419="","ERROR: falta CODIGO CECO",IF(G2419="CECO NO EXISTE","ERROR: CECO no existe en el catálogo",IF(C2419="","ERROR: falta CUENTA",IF(ISERROR(--C2419),"ERROR: CUENTA debe tener solo dígitos",IF(ISERROR(FIND(LEFT(C2419,1),"567")),"ERROR: CUENTA fuera de las clases de costo",IF(NOT(ISNUMBER(E2419)),"ERROR: VALOR debe ser numérico",IF(E2419=0,"AVISO: valor cero (no se carga)",IF(J2419&lt;&gt;"ACTIVO","NO SE CARGA: CECO en estado "&amp;J2419,"OK"))))))))))</f>
        <v/>
      </c>
    </row>
    <row r="2420">
      <c r="A2420" s="5" t="n"/>
      <c r="B2420" s="6" t="n"/>
      <c r="C2420" s="5" t="n"/>
      <c r="D2420" s="6" t="n"/>
      <c r="E2420" s="7" t="n"/>
      <c r="F2420" s="6" t="n"/>
      <c r="G2420" s="8">
        <f>IF(B2420="","",IFERROR(VLOOKUP(--B2420,'CATALOGO CECO'!$A$2:$H$550,2,FALSE),"CECO NO EXISTE"))</f>
        <v/>
      </c>
      <c r="H2420" s="8">
        <f>IF(B2420="","",IFERROR(VLOOKUP(--B2420,'CATALOGO CECO'!$A$2:$H$550,3,FALSE),""))</f>
        <v/>
      </c>
      <c r="I2420" s="8">
        <f>IF(B2420="","",IFERROR(VLOOKUP(--B2420,'CATALOGO CECO'!$A$2:$H$550,5,FALSE),""))</f>
        <v/>
      </c>
      <c r="J2420" s="8">
        <f>IF(B2420="","",IFERROR(VLOOKUP(--B2420,'CATALOGO CECO'!$A$2:$H$550,8,FALSE),""))</f>
        <v/>
      </c>
      <c r="K2420" s="8">
        <f>IF(COUNTA(A2420:F2420)=0,"",IF(OR(LEN(A2420)&lt;&gt;7,MID(A2420,5,1)&lt;&gt;"-",ISERROR(--LEFT(A2420,4)),ISERROR(--RIGHT(A2420,2))),"ERROR: PERIODO debe ser AAAA-MM",IF(B2420="","ERROR: falta CODIGO CECO",IF(G2420="CECO NO EXISTE","ERROR: CECO no existe en el catálogo",IF(C2420="","ERROR: falta CUENTA",IF(ISERROR(--C2420),"ERROR: CUENTA debe tener solo dígitos",IF(ISERROR(FIND(LEFT(C2420,1),"567")),"ERROR: CUENTA fuera de las clases de costo",IF(NOT(ISNUMBER(E2420)),"ERROR: VALOR debe ser numérico",IF(E2420=0,"AVISO: valor cero (no se carga)",IF(J2420&lt;&gt;"ACTIVO","NO SE CARGA: CECO en estado "&amp;J2420,"OK"))))))))))</f>
        <v/>
      </c>
    </row>
    <row r="2421">
      <c r="A2421" s="5" t="n"/>
      <c r="B2421" s="6" t="n"/>
      <c r="C2421" s="5" t="n"/>
      <c r="D2421" s="6" t="n"/>
      <c r="E2421" s="7" t="n"/>
      <c r="F2421" s="6" t="n"/>
      <c r="G2421" s="8">
        <f>IF(B2421="","",IFERROR(VLOOKUP(--B2421,'CATALOGO CECO'!$A$2:$H$550,2,FALSE),"CECO NO EXISTE"))</f>
        <v/>
      </c>
      <c r="H2421" s="8">
        <f>IF(B2421="","",IFERROR(VLOOKUP(--B2421,'CATALOGO CECO'!$A$2:$H$550,3,FALSE),""))</f>
        <v/>
      </c>
      <c r="I2421" s="8">
        <f>IF(B2421="","",IFERROR(VLOOKUP(--B2421,'CATALOGO CECO'!$A$2:$H$550,5,FALSE),""))</f>
        <v/>
      </c>
      <c r="J2421" s="8">
        <f>IF(B2421="","",IFERROR(VLOOKUP(--B2421,'CATALOGO CECO'!$A$2:$H$550,8,FALSE),""))</f>
        <v/>
      </c>
      <c r="K2421" s="8">
        <f>IF(COUNTA(A2421:F2421)=0,"",IF(OR(LEN(A2421)&lt;&gt;7,MID(A2421,5,1)&lt;&gt;"-",ISERROR(--LEFT(A2421,4)),ISERROR(--RIGHT(A2421,2))),"ERROR: PERIODO debe ser AAAA-MM",IF(B2421="","ERROR: falta CODIGO CECO",IF(G2421="CECO NO EXISTE","ERROR: CECO no existe en el catálogo",IF(C2421="","ERROR: falta CUENTA",IF(ISERROR(--C2421),"ERROR: CUENTA debe tener solo dígitos",IF(ISERROR(FIND(LEFT(C2421,1),"567")),"ERROR: CUENTA fuera de las clases de costo",IF(NOT(ISNUMBER(E2421)),"ERROR: VALOR debe ser numérico",IF(E2421=0,"AVISO: valor cero (no se carga)",IF(J2421&lt;&gt;"ACTIVO","NO SE CARGA: CECO en estado "&amp;J2421,"OK"))))))))))</f>
        <v/>
      </c>
    </row>
    <row r="2422">
      <c r="A2422" s="5" t="n"/>
      <c r="B2422" s="6" t="n"/>
      <c r="C2422" s="5" t="n"/>
      <c r="D2422" s="6" t="n"/>
      <c r="E2422" s="7" t="n"/>
      <c r="F2422" s="6" t="n"/>
      <c r="G2422" s="8">
        <f>IF(B2422="","",IFERROR(VLOOKUP(--B2422,'CATALOGO CECO'!$A$2:$H$550,2,FALSE),"CECO NO EXISTE"))</f>
        <v/>
      </c>
      <c r="H2422" s="8">
        <f>IF(B2422="","",IFERROR(VLOOKUP(--B2422,'CATALOGO CECO'!$A$2:$H$550,3,FALSE),""))</f>
        <v/>
      </c>
      <c r="I2422" s="8">
        <f>IF(B2422="","",IFERROR(VLOOKUP(--B2422,'CATALOGO CECO'!$A$2:$H$550,5,FALSE),""))</f>
        <v/>
      </c>
      <c r="J2422" s="8">
        <f>IF(B2422="","",IFERROR(VLOOKUP(--B2422,'CATALOGO CECO'!$A$2:$H$550,8,FALSE),""))</f>
        <v/>
      </c>
      <c r="K2422" s="8">
        <f>IF(COUNTA(A2422:F2422)=0,"",IF(OR(LEN(A2422)&lt;&gt;7,MID(A2422,5,1)&lt;&gt;"-",ISERROR(--LEFT(A2422,4)),ISERROR(--RIGHT(A2422,2))),"ERROR: PERIODO debe ser AAAA-MM",IF(B2422="","ERROR: falta CODIGO CECO",IF(G2422="CECO NO EXISTE","ERROR: CECO no existe en el catálogo",IF(C2422="","ERROR: falta CUENTA",IF(ISERROR(--C2422),"ERROR: CUENTA debe tener solo dígitos",IF(ISERROR(FIND(LEFT(C2422,1),"567")),"ERROR: CUENTA fuera de las clases de costo",IF(NOT(ISNUMBER(E2422)),"ERROR: VALOR debe ser numérico",IF(E2422=0,"AVISO: valor cero (no se carga)",IF(J2422&lt;&gt;"ACTIVO","NO SE CARGA: CECO en estado "&amp;J2422,"OK"))))))))))</f>
        <v/>
      </c>
    </row>
    <row r="2423">
      <c r="A2423" s="5" t="n"/>
      <c r="B2423" s="6" t="n"/>
      <c r="C2423" s="5" t="n"/>
      <c r="D2423" s="6" t="n"/>
      <c r="E2423" s="7" t="n"/>
      <c r="F2423" s="6" t="n"/>
      <c r="G2423" s="8">
        <f>IF(B2423="","",IFERROR(VLOOKUP(--B2423,'CATALOGO CECO'!$A$2:$H$550,2,FALSE),"CECO NO EXISTE"))</f>
        <v/>
      </c>
      <c r="H2423" s="8">
        <f>IF(B2423="","",IFERROR(VLOOKUP(--B2423,'CATALOGO CECO'!$A$2:$H$550,3,FALSE),""))</f>
        <v/>
      </c>
      <c r="I2423" s="8">
        <f>IF(B2423="","",IFERROR(VLOOKUP(--B2423,'CATALOGO CECO'!$A$2:$H$550,5,FALSE),""))</f>
        <v/>
      </c>
      <c r="J2423" s="8">
        <f>IF(B2423="","",IFERROR(VLOOKUP(--B2423,'CATALOGO CECO'!$A$2:$H$550,8,FALSE),""))</f>
        <v/>
      </c>
      <c r="K2423" s="8">
        <f>IF(COUNTA(A2423:F2423)=0,"",IF(OR(LEN(A2423)&lt;&gt;7,MID(A2423,5,1)&lt;&gt;"-",ISERROR(--LEFT(A2423,4)),ISERROR(--RIGHT(A2423,2))),"ERROR: PERIODO debe ser AAAA-MM",IF(B2423="","ERROR: falta CODIGO CECO",IF(G2423="CECO NO EXISTE","ERROR: CECO no existe en el catálogo",IF(C2423="","ERROR: falta CUENTA",IF(ISERROR(--C2423),"ERROR: CUENTA debe tener solo dígitos",IF(ISERROR(FIND(LEFT(C2423,1),"567")),"ERROR: CUENTA fuera de las clases de costo",IF(NOT(ISNUMBER(E2423)),"ERROR: VALOR debe ser numérico",IF(E2423=0,"AVISO: valor cero (no se carga)",IF(J2423&lt;&gt;"ACTIVO","NO SE CARGA: CECO en estado "&amp;J2423,"OK"))))))))))</f>
        <v/>
      </c>
    </row>
    <row r="2424">
      <c r="A2424" s="5" t="n"/>
      <c r="B2424" s="6" t="n"/>
      <c r="C2424" s="5" t="n"/>
      <c r="D2424" s="6" t="n"/>
      <c r="E2424" s="7" t="n"/>
      <c r="F2424" s="6" t="n"/>
      <c r="G2424" s="8">
        <f>IF(B2424="","",IFERROR(VLOOKUP(--B2424,'CATALOGO CECO'!$A$2:$H$550,2,FALSE),"CECO NO EXISTE"))</f>
        <v/>
      </c>
      <c r="H2424" s="8">
        <f>IF(B2424="","",IFERROR(VLOOKUP(--B2424,'CATALOGO CECO'!$A$2:$H$550,3,FALSE),""))</f>
        <v/>
      </c>
      <c r="I2424" s="8">
        <f>IF(B2424="","",IFERROR(VLOOKUP(--B2424,'CATALOGO CECO'!$A$2:$H$550,5,FALSE),""))</f>
        <v/>
      </c>
      <c r="J2424" s="8">
        <f>IF(B2424="","",IFERROR(VLOOKUP(--B2424,'CATALOGO CECO'!$A$2:$H$550,8,FALSE),""))</f>
        <v/>
      </c>
      <c r="K2424" s="8">
        <f>IF(COUNTA(A2424:F2424)=0,"",IF(OR(LEN(A2424)&lt;&gt;7,MID(A2424,5,1)&lt;&gt;"-",ISERROR(--LEFT(A2424,4)),ISERROR(--RIGHT(A2424,2))),"ERROR: PERIODO debe ser AAAA-MM",IF(B2424="","ERROR: falta CODIGO CECO",IF(G2424="CECO NO EXISTE","ERROR: CECO no existe en el catálogo",IF(C2424="","ERROR: falta CUENTA",IF(ISERROR(--C2424),"ERROR: CUENTA debe tener solo dígitos",IF(ISERROR(FIND(LEFT(C2424,1),"567")),"ERROR: CUENTA fuera de las clases de costo",IF(NOT(ISNUMBER(E2424)),"ERROR: VALOR debe ser numérico",IF(E2424=0,"AVISO: valor cero (no se carga)",IF(J2424&lt;&gt;"ACTIVO","NO SE CARGA: CECO en estado "&amp;J2424,"OK"))))))))))</f>
        <v/>
      </c>
    </row>
    <row r="2425">
      <c r="A2425" s="5" t="n"/>
      <c r="B2425" s="6" t="n"/>
      <c r="C2425" s="5" t="n"/>
      <c r="D2425" s="6" t="n"/>
      <c r="E2425" s="7" t="n"/>
      <c r="F2425" s="6" t="n"/>
      <c r="G2425" s="8">
        <f>IF(B2425="","",IFERROR(VLOOKUP(--B2425,'CATALOGO CECO'!$A$2:$H$550,2,FALSE),"CECO NO EXISTE"))</f>
        <v/>
      </c>
      <c r="H2425" s="8">
        <f>IF(B2425="","",IFERROR(VLOOKUP(--B2425,'CATALOGO CECO'!$A$2:$H$550,3,FALSE),""))</f>
        <v/>
      </c>
      <c r="I2425" s="8">
        <f>IF(B2425="","",IFERROR(VLOOKUP(--B2425,'CATALOGO CECO'!$A$2:$H$550,5,FALSE),""))</f>
        <v/>
      </c>
      <c r="J2425" s="8">
        <f>IF(B2425="","",IFERROR(VLOOKUP(--B2425,'CATALOGO CECO'!$A$2:$H$550,8,FALSE),""))</f>
        <v/>
      </c>
      <c r="K2425" s="8">
        <f>IF(COUNTA(A2425:F2425)=0,"",IF(OR(LEN(A2425)&lt;&gt;7,MID(A2425,5,1)&lt;&gt;"-",ISERROR(--LEFT(A2425,4)),ISERROR(--RIGHT(A2425,2))),"ERROR: PERIODO debe ser AAAA-MM",IF(B2425="","ERROR: falta CODIGO CECO",IF(G2425="CECO NO EXISTE","ERROR: CECO no existe en el catálogo",IF(C2425="","ERROR: falta CUENTA",IF(ISERROR(--C2425),"ERROR: CUENTA debe tener solo dígitos",IF(ISERROR(FIND(LEFT(C2425,1),"567")),"ERROR: CUENTA fuera de las clases de costo",IF(NOT(ISNUMBER(E2425)),"ERROR: VALOR debe ser numérico",IF(E2425=0,"AVISO: valor cero (no se carga)",IF(J2425&lt;&gt;"ACTIVO","NO SE CARGA: CECO en estado "&amp;J2425,"OK"))))))))))</f>
        <v/>
      </c>
    </row>
    <row r="2426">
      <c r="A2426" s="5" t="n"/>
      <c r="B2426" s="6" t="n"/>
      <c r="C2426" s="5" t="n"/>
      <c r="D2426" s="6" t="n"/>
      <c r="E2426" s="7" t="n"/>
      <c r="F2426" s="6" t="n"/>
      <c r="G2426" s="8">
        <f>IF(B2426="","",IFERROR(VLOOKUP(--B2426,'CATALOGO CECO'!$A$2:$H$550,2,FALSE),"CECO NO EXISTE"))</f>
        <v/>
      </c>
      <c r="H2426" s="8">
        <f>IF(B2426="","",IFERROR(VLOOKUP(--B2426,'CATALOGO CECO'!$A$2:$H$550,3,FALSE),""))</f>
        <v/>
      </c>
      <c r="I2426" s="8">
        <f>IF(B2426="","",IFERROR(VLOOKUP(--B2426,'CATALOGO CECO'!$A$2:$H$550,5,FALSE),""))</f>
        <v/>
      </c>
      <c r="J2426" s="8">
        <f>IF(B2426="","",IFERROR(VLOOKUP(--B2426,'CATALOGO CECO'!$A$2:$H$550,8,FALSE),""))</f>
        <v/>
      </c>
      <c r="K2426" s="8">
        <f>IF(COUNTA(A2426:F2426)=0,"",IF(OR(LEN(A2426)&lt;&gt;7,MID(A2426,5,1)&lt;&gt;"-",ISERROR(--LEFT(A2426,4)),ISERROR(--RIGHT(A2426,2))),"ERROR: PERIODO debe ser AAAA-MM",IF(B2426="","ERROR: falta CODIGO CECO",IF(G2426="CECO NO EXISTE","ERROR: CECO no existe en el catálogo",IF(C2426="","ERROR: falta CUENTA",IF(ISERROR(--C2426),"ERROR: CUENTA debe tener solo dígitos",IF(ISERROR(FIND(LEFT(C2426,1),"567")),"ERROR: CUENTA fuera de las clases de costo",IF(NOT(ISNUMBER(E2426)),"ERROR: VALOR debe ser numérico",IF(E2426=0,"AVISO: valor cero (no se carga)",IF(J2426&lt;&gt;"ACTIVO","NO SE CARGA: CECO en estado "&amp;J2426,"OK"))))))))))</f>
        <v/>
      </c>
    </row>
    <row r="2427">
      <c r="A2427" s="5" t="n"/>
      <c r="B2427" s="6" t="n"/>
      <c r="C2427" s="5" t="n"/>
      <c r="D2427" s="6" t="n"/>
      <c r="E2427" s="7" t="n"/>
      <c r="F2427" s="6" t="n"/>
      <c r="G2427" s="8">
        <f>IF(B2427="","",IFERROR(VLOOKUP(--B2427,'CATALOGO CECO'!$A$2:$H$550,2,FALSE),"CECO NO EXISTE"))</f>
        <v/>
      </c>
      <c r="H2427" s="8">
        <f>IF(B2427="","",IFERROR(VLOOKUP(--B2427,'CATALOGO CECO'!$A$2:$H$550,3,FALSE),""))</f>
        <v/>
      </c>
      <c r="I2427" s="8">
        <f>IF(B2427="","",IFERROR(VLOOKUP(--B2427,'CATALOGO CECO'!$A$2:$H$550,5,FALSE),""))</f>
        <v/>
      </c>
      <c r="J2427" s="8">
        <f>IF(B2427="","",IFERROR(VLOOKUP(--B2427,'CATALOGO CECO'!$A$2:$H$550,8,FALSE),""))</f>
        <v/>
      </c>
      <c r="K2427" s="8">
        <f>IF(COUNTA(A2427:F2427)=0,"",IF(OR(LEN(A2427)&lt;&gt;7,MID(A2427,5,1)&lt;&gt;"-",ISERROR(--LEFT(A2427,4)),ISERROR(--RIGHT(A2427,2))),"ERROR: PERIODO debe ser AAAA-MM",IF(B2427="","ERROR: falta CODIGO CECO",IF(G2427="CECO NO EXISTE","ERROR: CECO no existe en el catálogo",IF(C2427="","ERROR: falta CUENTA",IF(ISERROR(--C2427),"ERROR: CUENTA debe tener solo dígitos",IF(ISERROR(FIND(LEFT(C2427,1),"567")),"ERROR: CUENTA fuera de las clases de costo",IF(NOT(ISNUMBER(E2427)),"ERROR: VALOR debe ser numérico",IF(E2427=0,"AVISO: valor cero (no se carga)",IF(J2427&lt;&gt;"ACTIVO","NO SE CARGA: CECO en estado "&amp;J2427,"OK"))))))))))</f>
        <v/>
      </c>
    </row>
    <row r="2428">
      <c r="A2428" s="5" t="n"/>
      <c r="B2428" s="6" t="n"/>
      <c r="C2428" s="5" t="n"/>
      <c r="D2428" s="6" t="n"/>
      <c r="E2428" s="7" t="n"/>
      <c r="F2428" s="6" t="n"/>
      <c r="G2428" s="8">
        <f>IF(B2428="","",IFERROR(VLOOKUP(--B2428,'CATALOGO CECO'!$A$2:$H$550,2,FALSE),"CECO NO EXISTE"))</f>
        <v/>
      </c>
      <c r="H2428" s="8">
        <f>IF(B2428="","",IFERROR(VLOOKUP(--B2428,'CATALOGO CECO'!$A$2:$H$550,3,FALSE),""))</f>
        <v/>
      </c>
      <c r="I2428" s="8">
        <f>IF(B2428="","",IFERROR(VLOOKUP(--B2428,'CATALOGO CECO'!$A$2:$H$550,5,FALSE),""))</f>
        <v/>
      </c>
      <c r="J2428" s="8">
        <f>IF(B2428="","",IFERROR(VLOOKUP(--B2428,'CATALOGO CECO'!$A$2:$H$550,8,FALSE),""))</f>
        <v/>
      </c>
      <c r="K2428" s="8">
        <f>IF(COUNTA(A2428:F2428)=0,"",IF(OR(LEN(A2428)&lt;&gt;7,MID(A2428,5,1)&lt;&gt;"-",ISERROR(--LEFT(A2428,4)),ISERROR(--RIGHT(A2428,2))),"ERROR: PERIODO debe ser AAAA-MM",IF(B2428="","ERROR: falta CODIGO CECO",IF(G2428="CECO NO EXISTE","ERROR: CECO no existe en el catálogo",IF(C2428="","ERROR: falta CUENTA",IF(ISERROR(--C2428),"ERROR: CUENTA debe tener solo dígitos",IF(ISERROR(FIND(LEFT(C2428,1),"567")),"ERROR: CUENTA fuera de las clases de costo",IF(NOT(ISNUMBER(E2428)),"ERROR: VALOR debe ser numérico",IF(E2428=0,"AVISO: valor cero (no se carga)",IF(J2428&lt;&gt;"ACTIVO","NO SE CARGA: CECO en estado "&amp;J2428,"OK"))))))))))</f>
        <v/>
      </c>
    </row>
    <row r="2429">
      <c r="A2429" s="5" t="n"/>
      <c r="B2429" s="6" t="n"/>
      <c r="C2429" s="5" t="n"/>
      <c r="D2429" s="6" t="n"/>
      <c r="E2429" s="7" t="n"/>
      <c r="F2429" s="6" t="n"/>
      <c r="G2429" s="8">
        <f>IF(B2429="","",IFERROR(VLOOKUP(--B2429,'CATALOGO CECO'!$A$2:$H$550,2,FALSE),"CECO NO EXISTE"))</f>
        <v/>
      </c>
      <c r="H2429" s="8">
        <f>IF(B2429="","",IFERROR(VLOOKUP(--B2429,'CATALOGO CECO'!$A$2:$H$550,3,FALSE),""))</f>
        <v/>
      </c>
      <c r="I2429" s="8">
        <f>IF(B2429="","",IFERROR(VLOOKUP(--B2429,'CATALOGO CECO'!$A$2:$H$550,5,FALSE),""))</f>
        <v/>
      </c>
      <c r="J2429" s="8">
        <f>IF(B2429="","",IFERROR(VLOOKUP(--B2429,'CATALOGO CECO'!$A$2:$H$550,8,FALSE),""))</f>
        <v/>
      </c>
      <c r="K2429" s="8">
        <f>IF(COUNTA(A2429:F2429)=0,"",IF(OR(LEN(A2429)&lt;&gt;7,MID(A2429,5,1)&lt;&gt;"-",ISERROR(--LEFT(A2429,4)),ISERROR(--RIGHT(A2429,2))),"ERROR: PERIODO debe ser AAAA-MM",IF(B2429="","ERROR: falta CODIGO CECO",IF(G2429="CECO NO EXISTE","ERROR: CECO no existe en el catálogo",IF(C2429="","ERROR: falta CUENTA",IF(ISERROR(--C2429),"ERROR: CUENTA debe tener solo dígitos",IF(ISERROR(FIND(LEFT(C2429,1),"567")),"ERROR: CUENTA fuera de las clases de costo",IF(NOT(ISNUMBER(E2429)),"ERROR: VALOR debe ser numérico",IF(E2429=0,"AVISO: valor cero (no se carga)",IF(J2429&lt;&gt;"ACTIVO","NO SE CARGA: CECO en estado "&amp;J2429,"OK"))))))))))</f>
        <v/>
      </c>
    </row>
    <row r="2430">
      <c r="A2430" s="5" t="n"/>
      <c r="B2430" s="6" t="n"/>
      <c r="C2430" s="5" t="n"/>
      <c r="D2430" s="6" t="n"/>
      <c r="E2430" s="7" t="n"/>
      <c r="F2430" s="6" t="n"/>
      <c r="G2430" s="8">
        <f>IF(B2430="","",IFERROR(VLOOKUP(--B2430,'CATALOGO CECO'!$A$2:$H$550,2,FALSE),"CECO NO EXISTE"))</f>
        <v/>
      </c>
      <c r="H2430" s="8">
        <f>IF(B2430="","",IFERROR(VLOOKUP(--B2430,'CATALOGO CECO'!$A$2:$H$550,3,FALSE),""))</f>
        <v/>
      </c>
      <c r="I2430" s="8">
        <f>IF(B2430="","",IFERROR(VLOOKUP(--B2430,'CATALOGO CECO'!$A$2:$H$550,5,FALSE),""))</f>
        <v/>
      </c>
      <c r="J2430" s="8">
        <f>IF(B2430="","",IFERROR(VLOOKUP(--B2430,'CATALOGO CECO'!$A$2:$H$550,8,FALSE),""))</f>
        <v/>
      </c>
      <c r="K2430" s="8">
        <f>IF(COUNTA(A2430:F2430)=0,"",IF(OR(LEN(A2430)&lt;&gt;7,MID(A2430,5,1)&lt;&gt;"-",ISERROR(--LEFT(A2430,4)),ISERROR(--RIGHT(A2430,2))),"ERROR: PERIODO debe ser AAAA-MM",IF(B2430="","ERROR: falta CODIGO CECO",IF(G2430="CECO NO EXISTE","ERROR: CECO no existe en el catálogo",IF(C2430="","ERROR: falta CUENTA",IF(ISERROR(--C2430),"ERROR: CUENTA debe tener solo dígitos",IF(ISERROR(FIND(LEFT(C2430,1),"567")),"ERROR: CUENTA fuera de las clases de costo",IF(NOT(ISNUMBER(E2430)),"ERROR: VALOR debe ser numérico",IF(E2430=0,"AVISO: valor cero (no se carga)",IF(J2430&lt;&gt;"ACTIVO","NO SE CARGA: CECO en estado "&amp;J2430,"OK"))))))))))</f>
        <v/>
      </c>
    </row>
    <row r="2431">
      <c r="A2431" s="5" t="n"/>
      <c r="B2431" s="6" t="n"/>
      <c r="C2431" s="5" t="n"/>
      <c r="D2431" s="6" t="n"/>
      <c r="E2431" s="7" t="n"/>
      <c r="F2431" s="6" t="n"/>
      <c r="G2431" s="8">
        <f>IF(B2431="","",IFERROR(VLOOKUP(--B2431,'CATALOGO CECO'!$A$2:$H$550,2,FALSE),"CECO NO EXISTE"))</f>
        <v/>
      </c>
      <c r="H2431" s="8">
        <f>IF(B2431="","",IFERROR(VLOOKUP(--B2431,'CATALOGO CECO'!$A$2:$H$550,3,FALSE),""))</f>
        <v/>
      </c>
      <c r="I2431" s="8">
        <f>IF(B2431="","",IFERROR(VLOOKUP(--B2431,'CATALOGO CECO'!$A$2:$H$550,5,FALSE),""))</f>
        <v/>
      </c>
      <c r="J2431" s="8">
        <f>IF(B2431="","",IFERROR(VLOOKUP(--B2431,'CATALOGO CECO'!$A$2:$H$550,8,FALSE),""))</f>
        <v/>
      </c>
      <c r="K2431" s="8">
        <f>IF(COUNTA(A2431:F2431)=0,"",IF(OR(LEN(A2431)&lt;&gt;7,MID(A2431,5,1)&lt;&gt;"-",ISERROR(--LEFT(A2431,4)),ISERROR(--RIGHT(A2431,2))),"ERROR: PERIODO debe ser AAAA-MM",IF(B2431="","ERROR: falta CODIGO CECO",IF(G2431="CECO NO EXISTE","ERROR: CECO no existe en el catálogo",IF(C2431="","ERROR: falta CUENTA",IF(ISERROR(--C2431),"ERROR: CUENTA debe tener solo dígitos",IF(ISERROR(FIND(LEFT(C2431,1),"567")),"ERROR: CUENTA fuera de las clases de costo",IF(NOT(ISNUMBER(E2431)),"ERROR: VALOR debe ser numérico",IF(E2431=0,"AVISO: valor cero (no se carga)",IF(J2431&lt;&gt;"ACTIVO","NO SE CARGA: CECO en estado "&amp;J2431,"OK"))))))))))</f>
        <v/>
      </c>
    </row>
    <row r="2432">
      <c r="A2432" s="5" t="n"/>
      <c r="B2432" s="6" t="n"/>
      <c r="C2432" s="5" t="n"/>
      <c r="D2432" s="6" t="n"/>
      <c r="E2432" s="7" t="n"/>
      <c r="F2432" s="6" t="n"/>
      <c r="G2432" s="8">
        <f>IF(B2432="","",IFERROR(VLOOKUP(--B2432,'CATALOGO CECO'!$A$2:$H$550,2,FALSE),"CECO NO EXISTE"))</f>
        <v/>
      </c>
      <c r="H2432" s="8">
        <f>IF(B2432="","",IFERROR(VLOOKUP(--B2432,'CATALOGO CECO'!$A$2:$H$550,3,FALSE),""))</f>
        <v/>
      </c>
      <c r="I2432" s="8">
        <f>IF(B2432="","",IFERROR(VLOOKUP(--B2432,'CATALOGO CECO'!$A$2:$H$550,5,FALSE),""))</f>
        <v/>
      </c>
      <c r="J2432" s="8">
        <f>IF(B2432="","",IFERROR(VLOOKUP(--B2432,'CATALOGO CECO'!$A$2:$H$550,8,FALSE),""))</f>
        <v/>
      </c>
      <c r="K2432" s="8">
        <f>IF(COUNTA(A2432:F2432)=0,"",IF(OR(LEN(A2432)&lt;&gt;7,MID(A2432,5,1)&lt;&gt;"-",ISERROR(--LEFT(A2432,4)),ISERROR(--RIGHT(A2432,2))),"ERROR: PERIODO debe ser AAAA-MM",IF(B2432="","ERROR: falta CODIGO CECO",IF(G2432="CECO NO EXISTE","ERROR: CECO no existe en el catálogo",IF(C2432="","ERROR: falta CUENTA",IF(ISERROR(--C2432),"ERROR: CUENTA debe tener solo dígitos",IF(ISERROR(FIND(LEFT(C2432,1),"567")),"ERROR: CUENTA fuera de las clases de costo",IF(NOT(ISNUMBER(E2432)),"ERROR: VALOR debe ser numérico",IF(E2432=0,"AVISO: valor cero (no se carga)",IF(J2432&lt;&gt;"ACTIVO","NO SE CARGA: CECO en estado "&amp;J2432,"OK"))))))))))</f>
        <v/>
      </c>
    </row>
    <row r="2433">
      <c r="A2433" s="5" t="n"/>
      <c r="B2433" s="6" t="n"/>
      <c r="C2433" s="5" t="n"/>
      <c r="D2433" s="6" t="n"/>
      <c r="E2433" s="7" t="n"/>
      <c r="F2433" s="6" t="n"/>
      <c r="G2433" s="8">
        <f>IF(B2433="","",IFERROR(VLOOKUP(--B2433,'CATALOGO CECO'!$A$2:$H$550,2,FALSE),"CECO NO EXISTE"))</f>
        <v/>
      </c>
      <c r="H2433" s="8">
        <f>IF(B2433="","",IFERROR(VLOOKUP(--B2433,'CATALOGO CECO'!$A$2:$H$550,3,FALSE),""))</f>
        <v/>
      </c>
      <c r="I2433" s="8">
        <f>IF(B2433="","",IFERROR(VLOOKUP(--B2433,'CATALOGO CECO'!$A$2:$H$550,5,FALSE),""))</f>
        <v/>
      </c>
      <c r="J2433" s="8">
        <f>IF(B2433="","",IFERROR(VLOOKUP(--B2433,'CATALOGO CECO'!$A$2:$H$550,8,FALSE),""))</f>
        <v/>
      </c>
      <c r="K2433" s="8">
        <f>IF(COUNTA(A2433:F2433)=0,"",IF(OR(LEN(A2433)&lt;&gt;7,MID(A2433,5,1)&lt;&gt;"-",ISERROR(--LEFT(A2433,4)),ISERROR(--RIGHT(A2433,2))),"ERROR: PERIODO debe ser AAAA-MM",IF(B2433="","ERROR: falta CODIGO CECO",IF(G2433="CECO NO EXISTE","ERROR: CECO no existe en el catálogo",IF(C2433="","ERROR: falta CUENTA",IF(ISERROR(--C2433),"ERROR: CUENTA debe tener solo dígitos",IF(ISERROR(FIND(LEFT(C2433,1),"567")),"ERROR: CUENTA fuera de las clases de costo",IF(NOT(ISNUMBER(E2433)),"ERROR: VALOR debe ser numérico",IF(E2433=0,"AVISO: valor cero (no se carga)",IF(J2433&lt;&gt;"ACTIVO","NO SE CARGA: CECO en estado "&amp;J2433,"OK"))))))))))</f>
        <v/>
      </c>
    </row>
    <row r="2434">
      <c r="A2434" s="5" t="n"/>
      <c r="B2434" s="6" t="n"/>
      <c r="C2434" s="5" t="n"/>
      <c r="D2434" s="6" t="n"/>
      <c r="E2434" s="7" t="n"/>
      <c r="F2434" s="6" t="n"/>
      <c r="G2434" s="8">
        <f>IF(B2434="","",IFERROR(VLOOKUP(--B2434,'CATALOGO CECO'!$A$2:$H$550,2,FALSE),"CECO NO EXISTE"))</f>
        <v/>
      </c>
      <c r="H2434" s="8">
        <f>IF(B2434="","",IFERROR(VLOOKUP(--B2434,'CATALOGO CECO'!$A$2:$H$550,3,FALSE),""))</f>
        <v/>
      </c>
      <c r="I2434" s="8">
        <f>IF(B2434="","",IFERROR(VLOOKUP(--B2434,'CATALOGO CECO'!$A$2:$H$550,5,FALSE),""))</f>
        <v/>
      </c>
      <c r="J2434" s="8">
        <f>IF(B2434="","",IFERROR(VLOOKUP(--B2434,'CATALOGO CECO'!$A$2:$H$550,8,FALSE),""))</f>
        <v/>
      </c>
      <c r="K2434" s="8">
        <f>IF(COUNTA(A2434:F2434)=0,"",IF(OR(LEN(A2434)&lt;&gt;7,MID(A2434,5,1)&lt;&gt;"-",ISERROR(--LEFT(A2434,4)),ISERROR(--RIGHT(A2434,2))),"ERROR: PERIODO debe ser AAAA-MM",IF(B2434="","ERROR: falta CODIGO CECO",IF(G2434="CECO NO EXISTE","ERROR: CECO no existe en el catálogo",IF(C2434="","ERROR: falta CUENTA",IF(ISERROR(--C2434),"ERROR: CUENTA debe tener solo dígitos",IF(ISERROR(FIND(LEFT(C2434,1),"567")),"ERROR: CUENTA fuera de las clases de costo",IF(NOT(ISNUMBER(E2434)),"ERROR: VALOR debe ser numérico",IF(E2434=0,"AVISO: valor cero (no se carga)",IF(J2434&lt;&gt;"ACTIVO","NO SE CARGA: CECO en estado "&amp;J2434,"OK"))))))))))</f>
        <v/>
      </c>
    </row>
    <row r="2435">
      <c r="A2435" s="5" t="n"/>
      <c r="B2435" s="6" t="n"/>
      <c r="C2435" s="5" t="n"/>
      <c r="D2435" s="6" t="n"/>
      <c r="E2435" s="7" t="n"/>
      <c r="F2435" s="6" t="n"/>
      <c r="G2435" s="8">
        <f>IF(B2435="","",IFERROR(VLOOKUP(--B2435,'CATALOGO CECO'!$A$2:$H$550,2,FALSE),"CECO NO EXISTE"))</f>
        <v/>
      </c>
      <c r="H2435" s="8">
        <f>IF(B2435="","",IFERROR(VLOOKUP(--B2435,'CATALOGO CECO'!$A$2:$H$550,3,FALSE),""))</f>
        <v/>
      </c>
      <c r="I2435" s="8">
        <f>IF(B2435="","",IFERROR(VLOOKUP(--B2435,'CATALOGO CECO'!$A$2:$H$550,5,FALSE),""))</f>
        <v/>
      </c>
      <c r="J2435" s="8">
        <f>IF(B2435="","",IFERROR(VLOOKUP(--B2435,'CATALOGO CECO'!$A$2:$H$550,8,FALSE),""))</f>
        <v/>
      </c>
      <c r="K2435" s="8">
        <f>IF(COUNTA(A2435:F2435)=0,"",IF(OR(LEN(A2435)&lt;&gt;7,MID(A2435,5,1)&lt;&gt;"-",ISERROR(--LEFT(A2435,4)),ISERROR(--RIGHT(A2435,2))),"ERROR: PERIODO debe ser AAAA-MM",IF(B2435="","ERROR: falta CODIGO CECO",IF(G2435="CECO NO EXISTE","ERROR: CECO no existe en el catálogo",IF(C2435="","ERROR: falta CUENTA",IF(ISERROR(--C2435),"ERROR: CUENTA debe tener solo dígitos",IF(ISERROR(FIND(LEFT(C2435,1),"567")),"ERROR: CUENTA fuera de las clases de costo",IF(NOT(ISNUMBER(E2435)),"ERROR: VALOR debe ser numérico",IF(E2435=0,"AVISO: valor cero (no se carga)",IF(J2435&lt;&gt;"ACTIVO","NO SE CARGA: CECO en estado "&amp;J2435,"OK"))))))))))</f>
        <v/>
      </c>
    </row>
    <row r="2436">
      <c r="A2436" s="5" t="n"/>
      <c r="B2436" s="6" t="n"/>
      <c r="C2436" s="5" t="n"/>
      <c r="D2436" s="6" t="n"/>
      <c r="E2436" s="7" t="n"/>
      <c r="F2436" s="6" t="n"/>
      <c r="G2436" s="8">
        <f>IF(B2436="","",IFERROR(VLOOKUP(--B2436,'CATALOGO CECO'!$A$2:$H$550,2,FALSE),"CECO NO EXISTE"))</f>
        <v/>
      </c>
      <c r="H2436" s="8">
        <f>IF(B2436="","",IFERROR(VLOOKUP(--B2436,'CATALOGO CECO'!$A$2:$H$550,3,FALSE),""))</f>
        <v/>
      </c>
      <c r="I2436" s="8">
        <f>IF(B2436="","",IFERROR(VLOOKUP(--B2436,'CATALOGO CECO'!$A$2:$H$550,5,FALSE),""))</f>
        <v/>
      </c>
      <c r="J2436" s="8">
        <f>IF(B2436="","",IFERROR(VLOOKUP(--B2436,'CATALOGO CECO'!$A$2:$H$550,8,FALSE),""))</f>
        <v/>
      </c>
      <c r="K2436" s="8">
        <f>IF(COUNTA(A2436:F2436)=0,"",IF(OR(LEN(A2436)&lt;&gt;7,MID(A2436,5,1)&lt;&gt;"-",ISERROR(--LEFT(A2436,4)),ISERROR(--RIGHT(A2436,2))),"ERROR: PERIODO debe ser AAAA-MM",IF(B2436="","ERROR: falta CODIGO CECO",IF(G2436="CECO NO EXISTE","ERROR: CECO no existe en el catálogo",IF(C2436="","ERROR: falta CUENTA",IF(ISERROR(--C2436),"ERROR: CUENTA debe tener solo dígitos",IF(ISERROR(FIND(LEFT(C2436,1),"567")),"ERROR: CUENTA fuera de las clases de costo",IF(NOT(ISNUMBER(E2436)),"ERROR: VALOR debe ser numérico",IF(E2436=0,"AVISO: valor cero (no se carga)",IF(J2436&lt;&gt;"ACTIVO","NO SE CARGA: CECO en estado "&amp;J2436,"OK"))))))))))</f>
        <v/>
      </c>
    </row>
    <row r="2437">
      <c r="A2437" s="5" t="n"/>
      <c r="B2437" s="6" t="n"/>
      <c r="C2437" s="5" t="n"/>
      <c r="D2437" s="6" t="n"/>
      <c r="E2437" s="7" t="n"/>
      <c r="F2437" s="6" t="n"/>
      <c r="G2437" s="8">
        <f>IF(B2437="","",IFERROR(VLOOKUP(--B2437,'CATALOGO CECO'!$A$2:$H$550,2,FALSE),"CECO NO EXISTE"))</f>
        <v/>
      </c>
      <c r="H2437" s="8">
        <f>IF(B2437="","",IFERROR(VLOOKUP(--B2437,'CATALOGO CECO'!$A$2:$H$550,3,FALSE),""))</f>
        <v/>
      </c>
      <c r="I2437" s="8">
        <f>IF(B2437="","",IFERROR(VLOOKUP(--B2437,'CATALOGO CECO'!$A$2:$H$550,5,FALSE),""))</f>
        <v/>
      </c>
      <c r="J2437" s="8">
        <f>IF(B2437="","",IFERROR(VLOOKUP(--B2437,'CATALOGO CECO'!$A$2:$H$550,8,FALSE),""))</f>
        <v/>
      </c>
      <c r="K2437" s="8">
        <f>IF(COUNTA(A2437:F2437)=0,"",IF(OR(LEN(A2437)&lt;&gt;7,MID(A2437,5,1)&lt;&gt;"-",ISERROR(--LEFT(A2437,4)),ISERROR(--RIGHT(A2437,2))),"ERROR: PERIODO debe ser AAAA-MM",IF(B2437="","ERROR: falta CODIGO CECO",IF(G2437="CECO NO EXISTE","ERROR: CECO no existe en el catálogo",IF(C2437="","ERROR: falta CUENTA",IF(ISERROR(--C2437),"ERROR: CUENTA debe tener solo dígitos",IF(ISERROR(FIND(LEFT(C2437,1),"567")),"ERROR: CUENTA fuera de las clases de costo",IF(NOT(ISNUMBER(E2437)),"ERROR: VALOR debe ser numérico",IF(E2437=0,"AVISO: valor cero (no se carga)",IF(J2437&lt;&gt;"ACTIVO","NO SE CARGA: CECO en estado "&amp;J2437,"OK"))))))))))</f>
        <v/>
      </c>
    </row>
    <row r="2438">
      <c r="A2438" s="5" t="n"/>
      <c r="B2438" s="6" t="n"/>
      <c r="C2438" s="5" t="n"/>
      <c r="D2438" s="6" t="n"/>
      <c r="E2438" s="7" t="n"/>
      <c r="F2438" s="6" t="n"/>
      <c r="G2438" s="8">
        <f>IF(B2438="","",IFERROR(VLOOKUP(--B2438,'CATALOGO CECO'!$A$2:$H$550,2,FALSE),"CECO NO EXISTE"))</f>
        <v/>
      </c>
      <c r="H2438" s="8">
        <f>IF(B2438="","",IFERROR(VLOOKUP(--B2438,'CATALOGO CECO'!$A$2:$H$550,3,FALSE),""))</f>
        <v/>
      </c>
      <c r="I2438" s="8">
        <f>IF(B2438="","",IFERROR(VLOOKUP(--B2438,'CATALOGO CECO'!$A$2:$H$550,5,FALSE),""))</f>
        <v/>
      </c>
      <c r="J2438" s="8">
        <f>IF(B2438="","",IFERROR(VLOOKUP(--B2438,'CATALOGO CECO'!$A$2:$H$550,8,FALSE),""))</f>
        <v/>
      </c>
      <c r="K2438" s="8">
        <f>IF(COUNTA(A2438:F2438)=0,"",IF(OR(LEN(A2438)&lt;&gt;7,MID(A2438,5,1)&lt;&gt;"-",ISERROR(--LEFT(A2438,4)),ISERROR(--RIGHT(A2438,2))),"ERROR: PERIODO debe ser AAAA-MM",IF(B2438="","ERROR: falta CODIGO CECO",IF(G2438="CECO NO EXISTE","ERROR: CECO no existe en el catálogo",IF(C2438="","ERROR: falta CUENTA",IF(ISERROR(--C2438),"ERROR: CUENTA debe tener solo dígitos",IF(ISERROR(FIND(LEFT(C2438,1),"567")),"ERROR: CUENTA fuera de las clases de costo",IF(NOT(ISNUMBER(E2438)),"ERROR: VALOR debe ser numérico",IF(E2438=0,"AVISO: valor cero (no se carga)",IF(J2438&lt;&gt;"ACTIVO","NO SE CARGA: CECO en estado "&amp;J2438,"OK"))))))))))</f>
        <v/>
      </c>
    </row>
    <row r="2439">
      <c r="A2439" s="5" t="n"/>
      <c r="B2439" s="6" t="n"/>
      <c r="C2439" s="5" t="n"/>
      <c r="D2439" s="6" t="n"/>
      <c r="E2439" s="7" t="n"/>
      <c r="F2439" s="6" t="n"/>
      <c r="G2439" s="8">
        <f>IF(B2439="","",IFERROR(VLOOKUP(--B2439,'CATALOGO CECO'!$A$2:$H$550,2,FALSE),"CECO NO EXISTE"))</f>
        <v/>
      </c>
      <c r="H2439" s="8">
        <f>IF(B2439="","",IFERROR(VLOOKUP(--B2439,'CATALOGO CECO'!$A$2:$H$550,3,FALSE),""))</f>
        <v/>
      </c>
      <c r="I2439" s="8">
        <f>IF(B2439="","",IFERROR(VLOOKUP(--B2439,'CATALOGO CECO'!$A$2:$H$550,5,FALSE),""))</f>
        <v/>
      </c>
      <c r="J2439" s="8">
        <f>IF(B2439="","",IFERROR(VLOOKUP(--B2439,'CATALOGO CECO'!$A$2:$H$550,8,FALSE),""))</f>
        <v/>
      </c>
      <c r="K2439" s="8">
        <f>IF(COUNTA(A2439:F2439)=0,"",IF(OR(LEN(A2439)&lt;&gt;7,MID(A2439,5,1)&lt;&gt;"-",ISERROR(--LEFT(A2439,4)),ISERROR(--RIGHT(A2439,2))),"ERROR: PERIODO debe ser AAAA-MM",IF(B2439="","ERROR: falta CODIGO CECO",IF(G2439="CECO NO EXISTE","ERROR: CECO no existe en el catálogo",IF(C2439="","ERROR: falta CUENTA",IF(ISERROR(--C2439),"ERROR: CUENTA debe tener solo dígitos",IF(ISERROR(FIND(LEFT(C2439,1),"567")),"ERROR: CUENTA fuera de las clases de costo",IF(NOT(ISNUMBER(E2439)),"ERROR: VALOR debe ser numérico",IF(E2439=0,"AVISO: valor cero (no se carga)",IF(J2439&lt;&gt;"ACTIVO","NO SE CARGA: CECO en estado "&amp;J2439,"OK"))))))))))</f>
        <v/>
      </c>
    </row>
    <row r="2440">
      <c r="A2440" s="5" t="n"/>
      <c r="B2440" s="6" t="n"/>
      <c r="C2440" s="5" t="n"/>
      <c r="D2440" s="6" t="n"/>
      <c r="E2440" s="7" t="n"/>
      <c r="F2440" s="6" t="n"/>
      <c r="G2440" s="8">
        <f>IF(B2440="","",IFERROR(VLOOKUP(--B2440,'CATALOGO CECO'!$A$2:$H$550,2,FALSE),"CECO NO EXISTE"))</f>
        <v/>
      </c>
      <c r="H2440" s="8">
        <f>IF(B2440="","",IFERROR(VLOOKUP(--B2440,'CATALOGO CECO'!$A$2:$H$550,3,FALSE),""))</f>
        <v/>
      </c>
      <c r="I2440" s="8">
        <f>IF(B2440="","",IFERROR(VLOOKUP(--B2440,'CATALOGO CECO'!$A$2:$H$550,5,FALSE),""))</f>
        <v/>
      </c>
      <c r="J2440" s="8">
        <f>IF(B2440="","",IFERROR(VLOOKUP(--B2440,'CATALOGO CECO'!$A$2:$H$550,8,FALSE),""))</f>
        <v/>
      </c>
      <c r="K2440" s="8">
        <f>IF(COUNTA(A2440:F2440)=0,"",IF(OR(LEN(A2440)&lt;&gt;7,MID(A2440,5,1)&lt;&gt;"-",ISERROR(--LEFT(A2440,4)),ISERROR(--RIGHT(A2440,2))),"ERROR: PERIODO debe ser AAAA-MM",IF(B2440="","ERROR: falta CODIGO CECO",IF(G2440="CECO NO EXISTE","ERROR: CECO no existe en el catálogo",IF(C2440="","ERROR: falta CUENTA",IF(ISERROR(--C2440),"ERROR: CUENTA debe tener solo dígitos",IF(ISERROR(FIND(LEFT(C2440,1),"567")),"ERROR: CUENTA fuera de las clases de costo",IF(NOT(ISNUMBER(E2440)),"ERROR: VALOR debe ser numérico",IF(E2440=0,"AVISO: valor cero (no se carga)",IF(J2440&lt;&gt;"ACTIVO","NO SE CARGA: CECO en estado "&amp;J2440,"OK"))))))))))</f>
        <v/>
      </c>
    </row>
    <row r="2441">
      <c r="A2441" s="5" t="n"/>
      <c r="B2441" s="6" t="n"/>
      <c r="C2441" s="5" t="n"/>
      <c r="D2441" s="6" t="n"/>
      <c r="E2441" s="7" t="n"/>
      <c r="F2441" s="6" t="n"/>
      <c r="G2441" s="8">
        <f>IF(B2441="","",IFERROR(VLOOKUP(--B2441,'CATALOGO CECO'!$A$2:$H$550,2,FALSE),"CECO NO EXISTE"))</f>
        <v/>
      </c>
      <c r="H2441" s="8">
        <f>IF(B2441="","",IFERROR(VLOOKUP(--B2441,'CATALOGO CECO'!$A$2:$H$550,3,FALSE),""))</f>
        <v/>
      </c>
      <c r="I2441" s="8">
        <f>IF(B2441="","",IFERROR(VLOOKUP(--B2441,'CATALOGO CECO'!$A$2:$H$550,5,FALSE),""))</f>
        <v/>
      </c>
      <c r="J2441" s="8">
        <f>IF(B2441="","",IFERROR(VLOOKUP(--B2441,'CATALOGO CECO'!$A$2:$H$550,8,FALSE),""))</f>
        <v/>
      </c>
      <c r="K2441" s="8">
        <f>IF(COUNTA(A2441:F2441)=0,"",IF(OR(LEN(A2441)&lt;&gt;7,MID(A2441,5,1)&lt;&gt;"-",ISERROR(--LEFT(A2441,4)),ISERROR(--RIGHT(A2441,2))),"ERROR: PERIODO debe ser AAAA-MM",IF(B2441="","ERROR: falta CODIGO CECO",IF(G2441="CECO NO EXISTE","ERROR: CECO no existe en el catálogo",IF(C2441="","ERROR: falta CUENTA",IF(ISERROR(--C2441),"ERROR: CUENTA debe tener solo dígitos",IF(ISERROR(FIND(LEFT(C2441,1),"567")),"ERROR: CUENTA fuera de las clases de costo",IF(NOT(ISNUMBER(E2441)),"ERROR: VALOR debe ser numérico",IF(E2441=0,"AVISO: valor cero (no se carga)",IF(J2441&lt;&gt;"ACTIVO","NO SE CARGA: CECO en estado "&amp;J2441,"OK"))))))))))</f>
        <v/>
      </c>
    </row>
    <row r="2442">
      <c r="A2442" s="5" t="n"/>
      <c r="B2442" s="6" t="n"/>
      <c r="C2442" s="5" t="n"/>
      <c r="D2442" s="6" t="n"/>
      <c r="E2442" s="7" t="n"/>
      <c r="F2442" s="6" t="n"/>
      <c r="G2442" s="8">
        <f>IF(B2442="","",IFERROR(VLOOKUP(--B2442,'CATALOGO CECO'!$A$2:$H$550,2,FALSE),"CECO NO EXISTE"))</f>
        <v/>
      </c>
      <c r="H2442" s="8">
        <f>IF(B2442="","",IFERROR(VLOOKUP(--B2442,'CATALOGO CECO'!$A$2:$H$550,3,FALSE),""))</f>
        <v/>
      </c>
      <c r="I2442" s="8">
        <f>IF(B2442="","",IFERROR(VLOOKUP(--B2442,'CATALOGO CECO'!$A$2:$H$550,5,FALSE),""))</f>
        <v/>
      </c>
      <c r="J2442" s="8">
        <f>IF(B2442="","",IFERROR(VLOOKUP(--B2442,'CATALOGO CECO'!$A$2:$H$550,8,FALSE),""))</f>
        <v/>
      </c>
      <c r="K2442" s="8">
        <f>IF(COUNTA(A2442:F2442)=0,"",IF(OR(LEN(A2442)&lt;&gt;7,MID(A2442,5,1)&lt;&gt;"-",ISERROR(--LEFT(A2442,4)),ISERROR(--RIGHT(A2442,2))),"ERROR: PERIODO debe ser AAAA-MM",IF(B2442="","ERROR: falta CODIGO CECO",IF(G2442="CECO NO EXISTE","ERROR: CECO no existe en el catálogo",IF(C2442="","ERROR: falta CUENTA",IF(ISERROR(--C2442),"ERROR: CUENTA debe tener solo dígitos",IF(ISERROR(FIND(LEFT(C2442,1),"567")),"ERROR: CUENTA fuera de las clases de costo",IF(NOT(ISNUMBER(E2442)),"ERROR: VALOR debe ser numérico",IF(E2442=0,"AVISO: valor cero (no se carga)",IF(J2442&lt;&gt;"ACTIVO","NO SE CARGA: CECO en estado "&amp;J2442,"OK"))))))))))</f>
        <v/>
      </c>
    </row>
    <row r="2443">
      <c r="A2443" s="5" t="n"/>
      <c r="B2443" s="6" t="n"/>
      <c r="C2443" s="5" t="n"/>
      <c r="D2443" s="6" t="n"/>
      <c r="E2443" s="7" t="n"/>
      <c r="F2443" s="6" t="n"/>
      <c r="G2443" s="8">
        <f>IF(B2443="","",IFERROR(VLOOKUP(--B2443,'CATALOGO CECO'!$A$2:$H$550,2,FALSE),"CECO NO EXISTE"))</f>
        <v/>
      </c>
      <c r="H2443" s="8">
        <f>IF(B2443="","",IFERROR(VLOOKUP(--B2443,'CATALOGO CECO'!$A$2:$H$550,3,FALSE),""))</f>
        <v/>
      </c>
      <c r="I2443" s="8">
        <f>IF(B2443="","",IFERROR(VLOOKUP(--B2443,'CATALOGO CECO'!$A$2:$H$550,5,FALSE),""))</f>
        <v/>
      </c>
      <c r="J2443" s="8">
        <f>IF(B2443="","",IFERROR(VLOOKUP(--B2443,'CATALOGO CECO'!$A$2:$H$550,8,FALSE),""))</f>
        <v/>
      </c>
      <c r="K2443" s="8">
        <f>IF(COUNTA(A2443:F2443)=0,"",IF(OR(LEN(A2443)&lt;&gt;7,MID(A2443,5,1)&lt;&gt;"-",ISERROR(--LEFT(A2443,4)),ISERROR(--RIGHT(A2443,2))),"ERROR: PERIODO debe ser AAAA-MM",IF(B2443="","ERROR: falta CODIGO CECO",IF(G2443="CECO NO EXISTE","ERROR: CECO no existe en el catálogo",IF(C2443="","ERROR: falta CUENTA",IF(ISERROR(--C2443),"ERROR: CUENTA debe tener solo dígitos",IF(ISERROR(FIND(LEFT(C2443,1),"567")),"ERROR: CUENTA fuera de las clases de costo",IF(NOT(ISNUMBER(E2443)),"ERROR: VALOR debe ser numérico",IF(E2443=0,"AVISO: valor cero (no se carga)",IF(J2443&lt;&gt;"ACTIVO","NO SE CARGA: CECO en estado "&amp;J2443,"OK"))))))))))</f>
        <v/>
      </c>
    </row>
    <row r="2444">
      <c r="A2444" s="5" t="n"/>
      <c r="B2444" s="6" t="n"/>
      <c r="C2444" s="5" t="n"/>
      <c r="D2444" s="6" t="n"/>
      <c r="E2444" s="7" t="n"/>
      <c r="F2444" s="6" t="n"/>
      <c r="G2444" s="8">
        <f>IF(B2444="","",IFERROR(VLOOKUP(--B2444,'CATALOGO CECO'!$A$2:$H$550,2,FALSE),"CECO NO EXISTE"))</f>
        <v/>
      </c>
      <c r="H2444" s="8">
        <f>IF(B2444="","",IFERROR(VLOOKUP(--B2444,'CATALOGO CECO'!$A$2:$H$550,3,FALSE),""))</f>
        <v/>
      </c>
      <c r="I2444" s="8">
        <f>IF(B2444="","",IFERROR(VLOOKUP(--B2444,'CATALOGO CECO'!$A$2:$H$550,5,FALSE),""))</f>
        <v/>
      </c>
      <c r="J2444" s="8">
        <f>IF(B2444="","",IFERROR(VLOOKUP(--B2444,'CATALOGO CECO'!$A$2:$H$550,8,FALSE),""))</f>
        <v/>
      </c>
      <c r="K2444" s="8">
        <f>IF(COUNTA(A2444:F2444)=0,"",IF(OR(LEN(A2444)&lt;&gt;7,MID(A2444,5,1)&lt;&gt;"-",ISERROR(--LEFT(A2444,4)),ISERROR(--RIGHT(A2444,2))),"ERROR: PERIODO debe ser AAAA-MM",IF(B2444="","ERROR: falta CODIGO CECO",IF(G2444="CECO NO EXISTE","ERROR: CECO no existe en el catálogo",IF(C2444="","ERROR: falta CUENTA",IF(ISERROR(--C2444),"ERROR: CUENTA debe tener solo dígitos",IF(ISERROR(FIND(LEFT(C2444,1),"567")),"ERROR: CUENTA fuera de las clases de costo",IF(NOT(ISNUMBER(E2444)),"ERROR: VALOR debe ser numérico",IF(E2444=0,"AVISO: valor cero (no se carga)",IF(J2444&lt;&gt;"ACTIVO","NO SE CARGA: CECO en estado "&amp;J2444,"OK"))))))))))</f>
        <v/>
      </c>
    </row>
    <row r="2445">
      <c r="A2445" s="5" t="n"/>
      <c r="B2445" s="6" t="n"/>
      <c r="C2445" s="5" t="n"/>
      <c r="D2445" s="6" t="n"/>
      <c r="E2445" s="7" t="n"/>
      <c r="F2445" s="6" t="n"/>
      <c r="G2445" s="8">
        <f>IF(B2445="","",IFERROR(VLOOKUP(--B2445,'CATALOGO CECO'!$A$2:$H$550,2,FALSE),"CECO NO EXISTE"))</f>
        <v/>
      </c>
      <c r="H2445" s="8">
        <f>IF(B2445="","",IFERROR(VLOOKUP(--B2445,'CATALOGO CECO'!$A$2:$H$550,3,FALSE),""))</f>
        <v/>
      </c>
      <c r="I2445" s="8">
        <f>IF(B2445="","",IFERROR(VLOOKUP(--B2445,'CATALOGO CECO'!$A$2:$H$550,5,FALSE),""))</f>
        <v/>
      </c>
      <c r="J2445" s="8">
        <f>IF(B2445="","",IFERROR(VLOOKUP(--B2445,'CATALOGO CECO'!$A$2:$H$550,8,FALSE),""))</f>
        <v/>
      </c>
      <c r="K2445" s="8">
        <f>IF(COUNTA(A2445:F2445)=0,"",IF(OR(LEN(A2445)&lt;&gt;7,MID(A2445,5,1)&lt;&gt;"-",ISERROR(--LEFT(A2445,4)),ISERROR(--RIGHT(A2445,2))),"ERROR: PERIODO debe ser AAAA-MM",IF(B2445="","ERROR: falta CODIGO CECO",IF(G2445="CECO NO EXISTE","ERROR: CECO no existe en el catálogo",IF(C2445="","ERROR: falta CUENTA",IF(ISERROR(--C2445),"ERROR: CUENTA debe tener solo dígitos",IF(ISERROR(FIND(LEFT(C2445,1),"567")),"ERROR: CUENTA fuera de las clases de costo",IF(NOT(ISNUMBER(E2445)),"ERROR: VALOR debe ser numérico",IF(E2445=0,"AVISO: valor cero (no se carga)",IF(J2445&lt;&gt;"ACTIVO","NO SE CARGA: CECO en estado "&amp;J2445,"OK"))))))))))</f>
        <v/>
      </c>
    </row>
    <row r="2446">
      <c r="A2446" s="5" t="n"/>
      <c r="B2446" s="6" t="n"/>
      <c r="C2446" s="5" t="n"/>
      <c r="D2446" s="6" t="n"/>
      <c r="E2446" s="7" t="n"/>
      <c r="F2446" s="6" t="n"/>
      <c r="G2446" s="8">
        <f>IF(B2446="","",IFERROR(VLOOKUP(--B2446,'CATALOGO CECO'!$A$2:$H$550,2,FALSE),"CECO NO EXISTE"))</f>
        <v/>
      </c>
      <c r="H2446" s="8">
        <f>IF(B2446="","",IFERROR(VLOOKUP(--B2446,'CATALOGO CECO'!$A$2:$H$550,3,FALSE),""))</f>
        <v/>
      </c>
      <c r="I2446" s="8">
        <f>IF(B2446="","",IFERROR(VLOOKUP(--B2446,'CATALOGO CECO'!$A$2:$H$550,5,FALSE),""))</f>
        <v/>
      </c>
      <c r="J2446" s="8">
        <f>IF(B2446="","",IFERROR(VLOOKUP(--B2446,'CATALOGO CECO'!$A$2:$H$550,8,FALSE),""))</f>
        <v/>
      </c>
      <c r="K2446" s="8">
        <f>IF(COUNTA(A2446:F2446)=0,"",IF(OR(LEN(A2446)&lt;&gt;7,MID(A2446,5,1)&lt;&gt;"-",ISERROR(--LEFT(A2446,4)),ISERROR(--RIGHT(A2446,2))),"ERROR: PERIODO debe ser AAAA-MM",IF(B2446="","ERROR: falta CODIGO CECO",IF(G2446="CECO NO EXISTE","ERROR: CECO no existe en el catálogo",IF(C2446="","ERROR: falta CUENTA",IF(ISERROR(--C2446),"ERROR: CUENTA debe tener solo dígitos",IF(ISERROR(FIND(LEFT(C2446,1),"567")),"ERROR: CUENTA fuera de las clases de costo",IF(NOT(ISNUMBER(E2446)),"ERROR: VALOR debe ser numérico",IF(E2446=0,"AVISO: valor cero (no se carga)",IF(J2446&lt;&gt;"ACTIVO","NO SE CARGA: CECO en estado "&amp;J2446,"OK"))))))))))</f>
        <v/>
      </c>
    </row>
    <row r="2447">
      <c r="A2447" s="5" t="n"/>
      <c r="B2447" s="6" t="n"/>
      <c r="C2447" s="5" t="n"/>
      <c r="D2447" s="6" t="n"/>
      <c r="E2447" s="7" t="n"/>
      <c r="F2447" s="6" t="n"/>
      <c r="G2447" s="8">
        <f>IF(B2447="","",IFERROR(VLOOKUP(--B2447,'CATALOGO CECO'!$A$2:$H$550,2,FALSE),"CECO NO EXISTE"))</f>
        <v/>
      </c>
      <c r="H2447" s="8">
        <f>IF(B2447="","",IFERROR(VLOOKUP(--B2447,'CATALOGO CECO'!$A$2:$H$550,3,FALSE),""))</f>
        <v/>
      </c>
      <c r="I2447" s="8">
        <f>IF(B2447="","",IFERROR(VLOOKUP(--B2447,'CATALOGO CECO'!$A$2:$H$550,5,FALSE),""))</f>
        <v/>
      </c>
      <c r="J2447" s="8">
        <f>IF(B2447="","",IFERROR(VLOOKUP(--B2447,'CATALOGO CECO'!$A$2:$H$550,8,FALSE),""))</f>
        <v/>
      </c>
      <c r="K2447" s="8">
        <f>IF(COUNTA(A2447:F2447)=0,"",IF(OR(LEN(A2447)&lt;&gt;7,MID(A2447,5,1)&lt;&gt;"-",ISERROR(--LEFT(A2447,4)),ISERROR(--RIGHT(A2447,2))),"ERROR: PERIODO debe ser AAAA-MM",IF(B2447="","ERROR: falta CODIGO CECO",IF(G2447="CECO NO EXISTE","ERROR: CECO no existe en el catálogo",IF(C2447="","ERROR: falta CUENTA",IF(ISERROR(--C2447),"ERROR: CUENTA debe tener solo dígitos",IF(ISERROR(FIND(LEFT(C2447,1),"567")),"ERROR: CUENTA fuera de las clases de costo",IF(NOT(ISNUMBER(E2447)),"ERROR: VALOR debe ser numérico",IF(E2447=0,"AVISO: valor cero (no se carga)",IF(J2447&lt;&gt;"ACTIVO","NO SE CARGA: CECO en estado "&amp;J2447,"OK"))))))))))</f>
        <v/>
      </c>
    </row>
    <row r="2448">
      <c r="A2448" s="5" t="n"/>
      <c r="B2448" s="6" t="n"/>
      <c r="C2448" s="5" t="n"/>
      <c r="D2448" s="6" t="n"/>
      <c r="E2448" s="7" t="n"/>
      <c r="F2448" s="6" t="n"/>
      <c r="G2448" s="8">
        <f>IF(B2448="","",IFERROR(VLOOKUP(--B2448,'CATALOGO CECO'!$A$2:$H$550,2,FALSE),"CECO NO EXISTE"))</f>
        <v/>
      </c>
      <c r="H2448" s="8">
        <f>IF(B2448="","",IFERROR(VLOOKUP(--B2448,'CATALOGO CECO'!$A$2:$H$550,3,FALSE),""))</f>
        <v/>
      </c>
      <c r="I2448" s="8">
        <f>IF(B2448="","",IFERROR(VLOOKUP(--B2448,'CATALOGO CECO'!$A$2:$H$550,5,FALSE),""))</f>
        <v/>
      </c>
      <c r="J2448" s="8">
        <f>IF(B2448="","",IFERROR(VLOOKUP(--B2448,'CATALOGO CECO'!$A$2:$H$550,8,FALSE),""))</f>
        <v/>
      </c>
      <c r="K2448" s="8">
        <f>IF(COUNTA(A2448:F2448)=0,"",IF(OR(LEN(A2448)&lt;&gt;7,MID(A2448,5,1)&lt;&gt;"-",ISERROR(--LEFT(A2448,4)),ISERROR(--RIGHT(A2448,2))),"ERROR: PERIODO debe ser AAAA-MM",IF(B2448="","ERROR: falta CODIGO CECO",IF(G2448="CECO NO EXISTE","ERROR: CECO no existe en el catálogo",IF(C2448="","ERROR: falta CUENTA",IF(ISERROR(--C2448),"ERROR: CUENTA debe tener solo dígitos",IF(ISERROR(FIND(LEFT(C2448,1),"567")),"ERROR: CUENTA fuera de las clases de costo",IF(NOT(ISNUMBER(E2448)),"ERROR: VALOR debe ser numérico",IF(E2448=0,"AVISO: valor cero (no se carga)",IF(J2448&lt;&gt;"ACTIVO","NO SE CARGA: CECO en estado "&amp;J2448,"OK"))))))))))</f>
        <v/>
      </c>
    </row>
    <row r="2449">
      <c r="A2449" s="5" t="n"/>
      <c r="B2449" s="6" t="n"/>
      <c r="C2449" s="5" t="n"/>
      <c r="D2449" s="6" t="n"/>
      <c r="E2449" s="7" t="n"/>
      <c r="F2449" s="6" t="n"/>
      <c r="G2449" s="8">
        <f>IF(B2449="","",IFERROR(VLOOKUP(--B2449,'CATALOGO CECO'!$A$2:$H$550,2,FALSE),"CECO NO EXISTE"))</f>
        <v/>
      </c>
      <c r="H2449" s="8">
        <f>IF(B2449="","",IFERROR(VLOOKUP(--B2449,'CATALOGO CECO'!$A$2:$H$550,3,FALSE),""))</f>
        <v/>
      </c>
      <c r="I2449" s="8">
        <f>IF(B2449="","",IFERROR(VLOOKUP(--B2449,'CATALOGO CECO'!$A$2:$H$550,5,FALSE),""))</f>
        <v/>
      </c>
      <c r="J2449" s="8">
        <f>IF(B2449="","",IFERROR(VLOOKUP(--B2449,'CATALOGO CECO'!$A$2:$H$550,8,FALSE),""))</f>
        <v/>
      </c>
      <c r="K2449" s="8">
        <f>IF(COUNTA(A2449:F2449)=0,"",IF(OR(LEN(A2449)&lt;&gt;7,MID(A2449,5,1)&lt;&gt;"-",ISERROR(--LEFT(A2449,4)),ISERROR(--RIGHT(A2449,2))),"ERROR: PERIODO debe ser AAAA-MM",IF(B2449="","ERROR: falta CODIGO CECO",IF(G2449="CECO NO EXISTE","ERROR: CECO no existe en el catálogo",IF(C2449="","ERROR: falta CUENTA",IF(ISERROR(--C2449),"ERROR: CUENTA debe tener solo dígitos",IF(ISERROR(FIND(LEFT(C2449,1),"567")),"ERROR: CUENTA fuera de las clases de costo",IF(NOT(ISNUMBER(E2449)),"ERROR: VALOR debe ser numérico",IF(E2449=0,"AVISO: valor cero (no se carga)",IF(J2449&lt;&gt;"ACTIVO","NO SE CARGA: CECO en estado "&amp;J2449,"OK"))))))))))</f>
        <v/>
      </c>
    </row>
    <row r="2450">
      <c r="A2450" s="5" t="n"/>
      <c r="B2450" s="6" t="n"/>
      <c r="C2450" s="5" t="n"/>
      <c r="D2450" s="6" t="n"/>
      <c r="E2450" s="7" t="n"/>
      <c r="F2450" s="6" t="n"/>
      <c r="G2450" s="8">
        <f>IF(B2450="","",IFERROR(VLOOKUP(--B2450,'CATALOGO CECO'!$A$2:$H$550,2,FALSE),"CECO NO EXISTE"))</f>
        <v/>
      </c>
      <c r="H2450" s="8">
        <f>IF(B2450="","",IFERROR(VLOOKUP(--B2450,'CATALOGO CECO'!$A$2:$H$550,3,FALSE),""))</f>
        <v/>
      </c>
      <c r="I2450" s="8">
        <f>IF(B2450="","",IFERROR(VLOOKUP(--B2450,'CATALOGO CECO'!$A$2:$H$550,5,FALSE),""))</f>
        <v/>
      </c>
      <c r="J2450" s="8">
        <f>IF(B2450="","",IFERROR(VLOOKUP(--B2450,'CATALOGO CECO'!$A$2:$H$550,8,FALSE),""))</f>
        <v/>
      </c>
      <c r="K2450" s="8">
        <f>IF(COUNTA(A2450:F2450)=0,"",IF(OR(LEN(A2450)&lt;&gt;7,MID(A2450,5,1)&lt;&gt;"-",ISERROR(--LEFT(A2450,4)),ISERROR(--RIGHT(A2450,2))),"ERROR: PERIODO debe ser AAAA-MM",IF(B2450="","ERROR: falta CODIGO CECO",IF(G2450="CECO NO EXISTE","ERROR: CECO no existe en el catálogo",IF(C2450="","ERROR: falta CUENTA",IF(ISERROR(--C2450),"ERROR: CUENTA debe tener solo dígitos",IF(ISERROR(FIND(LEFT(C2450,1),"567")),"ERROR: CUENTA fuera de las clases de costo",IF(NOT(ISNUMBER(E2450)),"ERROR: VALOR debe ser numérico",IF(E2450=0,"AVISO: valor cero (no se carga)",IF(J2450&lt;&gt;"ACTIVO","NO SE CARGA: CECO en estado "&amp;J2450,"OK"))))))))))</f>
        <v/>
      </c>
    </row>
    <row r="2451">
      <c r="A2451" s="5" t="n"/>
      <c r="B2451" s="6" t="n"/>
      <c r="C2451" s="5" t="n"/>
      <c r="D2451" s="6" t="n"/>
      <c r="E2451" s="7" t="n"/>
      <c r="F2451" s="6" t="n"/>
      <c r="G2451" s="8">
        <f>IF(B2451="","",IFERROR(VLOOKUP(--B2451,'CATALOGO CECO'!$A$2:$H$550,2,FALSE),"CECO NO EXISTE"))</f>
        <v/>
      </c>
      <c r="H2451" s="8">
        <f>IF(B2451="","",IFERROR(VLOOKUP(--B2451,'CATALOGO CECO'!$A$2:$H$550,3,FALSE),""))</f>
        <v/>
      </c>
      <c r="I2451" s="8">
        <f>IF(B2451="","",IFERROR(VLOOKUP(--B2451,'CATALOGO CECO'!$A$2:$H$550,5,FALSE),""))</f>
        <v/>
      </c>
      <c r="J2451" s="8">
        <f>IF(B2451="","",IFERROR(VLOOKUP(--B2451,'CATALOGO CECO'!$A$2:$H$550,8,FALSE),""))</f>
        <v/>
      </c>
      <c r="K2451" s="8">
        <f>IF(COUNTA(A2451:F2451)=0,"",IF(OR(LEN(A2451)&lt;&gt;7,MID(A2451,5,1)&lt;&gt;"-",ISERROR(--LEFT(A2451,4)),ISERROR(--RIGHT(A2451,2))),"ERROR: PERIODO debe ser AAAA-MM",IF(B2451="","ERROR: falta CODIGO CECO",IF(G2451="CECO NO EXISTE","ERROR: CECO no existe en el catálogo",IF(C2451="","ERROR: falta CUENTA",IF(ISERROR(--C2451),"ERROR: CUENTA debe tener solo dígitos",IF(ISERROR(FIND(LEFT(C2451,1),"567")),"ERROR: CUENTA fuera de las clases de costo",IF(NOT(ISNUMBER(E2451)),"ERROR: VALOR debe ser numérico",IF(E2451=0,"AVISO: valor cero (no se carga)",IF(J2451&lt;&gt;"ACTIVO","NO SE CARGA: CECO en estado "&amp;J2451,"OK"))))))))))</f>
        <v/>
      </c>
    </row>
    <row r="2452">
      <c r="A2452" s="5" t="n"/>
      <c r="B2452" s="6" t="n"/>
      <c r="C2452" s="5" t="n"/>
      <c r="D2452" s="6" t="n"/>
      <c r="E2452" s="7" t="n"/>
      <c r="F2452" s="6" t="n"/>
      <c r="G2452" s="8">
        <f>IF(B2452="","",IFERROR(VLOOKUP(--B2452,'CATALOGO CECO'!$A$2:$H$550,2,FALSE),"CECO NO EXISTE"))</f>
        <v/>
      </c>
      <c r="H2452" s="8">
        <f>IF(B2452="","",IFERROR(VLOOKUP(--B2452,'CATALOGO CECO'!$A$2:$H$550,3,FALSE),""))</f>
        <v/>
      </c>
      <c r="I2452" s="8">
        <f>IF(B2452="","",IFERROR(VLOOKUP(--B2452,'CATALOGO CECO'!$A$2:$H$550,5,FALSE),""))</f>
        <v/>
      </c>
      <c r="J2452" s="8">
        <f>IF(B2452="","",IFERROR(VLOOKUP(--B2452,'CATALOGO CECO'!$A$2:$H$550,8,FALSE),""))</f>
        <v/>
      </c>
      <c r="K2452" s="8">
        <f>IF(COUNTA(A2452:F2452)=0,"",IF(OR(LEN(A2452)&lt;&gt;7,MID(A2452,5,1)&lt;&gt;"-",ISERROR(--LEFT(A2452,4)),ISERROR(--RIGHT(A2452,2))),"ERROR: PERIODO debe ser AAAA-MM",IF(B2452="","ERROR: falta CODIGO CECO",IF(G2452="CECO NO EXISTE","ERROR: CECO no existe en el catálogo",IF(C2452="","ERROR: falta CUENTA",IF(ISERROR(--C2452),"ERROR: CUENTA debe tener solo dígitos",IF(ISERROR(FIND(LEFT(C2452,1),"567")),"ERROR: CUENTA fuera de las clases de costo",IF(NOT(ISNUMBER(E2452)),"ERROR: VALOR debe ser numérico",IF(E2452=0,"AVISO: valor cero (no se carga)",IF(J2452&lt;&gt;"ACTIVO","NO SE CARGA: CECO en estado "&amp;J2452,"OK"))))))))))</f>
        <v/>
      </c>
    </row>
    <row r="2453">
      <c r="A2453" s="5" t="n"/>
      <c r="B2453" s="6" t="n"/>
      <c r="C2453" s="5" t="n"/>
      <c r="D2453" s="6" t="n"/>
      <c r="E2453" s="7" t="n"/>
      <c r="F2453" s="6" t="n"/>
      <c r="G2453" s="8">
        <f>IF(B2453="","",IFERROR(VLOOKUP(--B2453,'CATALOGO CECO'!$A$2:$H$550,2,FALSE),"CECO NO EXISTE"))</f>
        <v/>
      </c>
      <c r="H2453" s="8">
        <f>IF(B2453="","",IFERROR(VLOOKUP(--B2453,'CATALOGO CECO'!$A$2:$H$550,3,FALSE),""))</f>
        <v/>
      </c>
      <c r="I2453" s="8">
        <f>IF(B2453="","",IFERROR(VLOOKUP(--B2453,'CATALOGO CECO'!$A$2:$H$550,5,FALSE),""))</f>
        <v/>
      </c>
      <c r="J2453" s="8">
        <f>IF(B2453="","",IFERROR(VLOOKUP(--B2453,'CATALOGO CECO'!$A$2:$H$550,8,FALSE),""))</f>
        <v/>
      </c>
      <c r="K2453" s="8">
        <f>IF(COUNTA(A2453:F2453)=0,"",IF(OR(LEN(A2453)&lt;&gt;7,MID(A2453,5,1)&lt;&gt;"-",ISERROR(--LEFT(A2453,4)),ISERROR(--RIGHT(A2453,2))),"ERROR: PERIODO debe ser AAAA-MM",IF(B2453="","ERROR: falta CODIGO CECO",IF(G2453="CECO NO EXISTE","ERROR: CECO no existe en el catálogo",IF(C2453="","ERROR: falta CUENTA",IF(ISERROR(--C2453),"ERROR: CUENTA debe tener solo dígitos",IF(ISERROR(FIND(LEFT(C2453,1),"567")),"ERROR: CUENTA fuera de las clases de costo",IF(NOT(ISNUMBER(E2453)),"ERROR: VALOR debe ser numérico",IF(E2453=0,"AVISO: valor cero (no se carga)",IF(J2453&lt;&gt;"ACTIVO","NO SE CARGA: CECO en estado "&amp;J2453,"OK"))))))))))</f>
        <v/>
      </c>
    </row>
    <row r="2454">
      <c r="A2454" s="5" t="n"/>
      <c r="B2454" s="6" t="n"/>
      <c r="C2454" s="5" t="n"/>
      <c r="D2454" s="6" t="n"/>
      <c r="E2454" s="7" t="n"/>
      <c r="F2454" s="6" t="n"/>
      <c r="G2454" s="8">
        <f>IF(B2454="","",IFERROR(VLOOKUP(--B2454,'CATALOGO CECO'!$A$2:$H$550,2,FALSE),"CECO NO EXISTE"))</f>
        <v/>
      </c>
      <c r="H2454" s="8">
        <f>IF(B2454="","",IFERROR(VLOOKUP(--B2454,'CATALOGO CECO'!$A$2:$H$550,3,FALSE),""))</f>
        <v/>
      </c>
      <c r="I2454" s="8">
        <f>IF(B2454="","",IFERROR(VLOOKUP(--B2454,'CATALOGO CECO'!$A$2:$H$550,5,FALSE),""))</f>
        <v/>
      </c>
      <c r="J2454" s="8">
        <f>IF(B2454="","",IFERROR(VLOOKUP(--B2454,'CATALOGO CECO'!$A$2:$H$550,8,FALSE),""))</f>
        <v/>
      </c>
      <c r="K2454" s="8">
        <f>IF(COUNTA(A2454:F2454)=0,"",IF(OR(LEN(A2454)&lt;&gt;7,MID(A2454,5,1)&lt;&gt;"-",ISERROR(--LEFT(A2454,4)),ISERROR(--RIGHT(A2454,2))),"ERROR: PERIODO debe ser AAAA-MM",IF(B2454="","ERROR: falta CODIGO CECO",IF(G2454="CECO NO EXISTE","ERROR: CECO no existe en el catálogo",IF(C2454="","ERROR: falta CUENTA",IF(ISERROR(--C2454),"ERROR: CUENTA debe tener solo dígitos",IF(ISERROR(FIND(LEFT(C2454,1),"567")),"ERROR: CUENTA fuera de las clases de costo",IF(NOT(ISNUMBER(E2454)),"ERROR: VALOR debe ser numérico",IF(E2454=0,"AVISO: valor cero (no se carga)",IF(J2454&lt;&gt;"ACTIVO","NO SE CARGA: CECO en estado "&amp;J2454,"OK"))))))))))</f>
        <v/>
      </c>
    </row>
    <row r="2455">
      <c r="A2455" s="5" t="n"/>
      <c r="B2455" s="6" t="n"/>
      <c r="C2455" s="5" t="n"/>
      <c r="D2455" s="6" t="n"/>
      <c r="E2455" s="7" t="n"/>
      <c r="F2455" s="6" t="n"/>
      <c r="G2455" s="8">
        <f>IF(B2455="","",IFERROR(VLOOKUP(--B2455,'CATALOGO CECO'!$A$2:$H$550,2,FALSE),"CECO NO EXISTE"))</f>
        <v/>
      </c>
      <c r="H2455" s="8">
        <f>IF(B2455="","",IFERROR(VLOOKUP(--B2455,'CATALOGO CECO'!$A$2:$H$550,3,FALSE),""))</f>
        <v/>
      </c>
      <c r="I2455" s="8">
        <f>IF(B2455="","",IFERROR(VLOOKUP(--B2455,'CATALOGO CECO'!$A$2:$H$550,5,FALSE),""))</f>
        <v/>
      </c>
      <c r="J2455" s="8">
        <f>IF(B2455="","",IFERROR(VLOOKUP(--B2455,'CATALOGO CECO'!$A$2:$H$550,8,FALSE),""))</f>
        <v/>
      </c>
      <c r="K2455" s="8">
        <f>IF(COUNTA(A2455:F2455)=0,"",IF(OR(LEN(A2455)&lt;&gt;7,MID(A2455,5,1)&lt;&gt;"-",ISERROR(--LEFT(A2455,4)),ISERROR(--RIGHT(A2455,2))),"ERROR: PERIODO debe ser AAAA-MM",IF(B2455="","ERROR: falta CODIGO CECO",IF(G2455="CECO NO EXISTE","ERROR: CECO no existe en el catálogo",IF(C2455="","ERROR: falta CUENTA",IF(ISERROR(--C2455),"ERROR: CUENTA debe tener solo dígitos",IF(ISERROR(FIND(LEFT(C2455,1),"567")),"ERROR: CUENTA fuera de las clases de costo",IF(NOT(ISNUMBER(E2455)),"ERROR: VALOR debe ser numérico",IF(E2455=0,"AVISO: valor cero (no se carga)",IF(J2455&lt;&gt;"ACTIVO","NO SE CARGA: CECO en estado "&amp;J2455,"OK"))))))))))</f>
        <v/>
      </c>
    </row>
    <row r="2456">
      <c r="A2456" s="5" t="n"/>
      <c r="B2456" s="6" t="n"/>
      <c r="C2456" s="5" t="n"/>
      <c r="D2456" s="6" t="n"/>
      <c r="E2456" s="7" t="n"/>
      <c r="F2456" s="6" t="n"/>
      <c r="G2456" s="8">
        <f>IF(B2456="","",IFERROR(VLOOKUP(--B2456,'CATALOGO CECO'!$A$2:$H$550,2,FALSE),"CECO NO EXISTE"))</f>
        <v/>
      </c>
      <c r="H2456" s="8">
        <f>IF(B2456="","",IFERROR(VLOOKUP(--B2456,'CATALOGO CECO'!$A$2:$H$550,3,FALSE),""))</f>
        <v/>
      </c>
      <c r="I2456" s="8">
        <f>IF(B2456="","",IFERROR(VLOOKUP(--B2456,'CATALOGO CECO'!$A$2:$H$550,5,FALSE),""))</f>
        <v/>
      </c>
      <c r="J2456" s="8">
        <f>IF(B2456="","",IFERROR(VLOOKUP(--B2456,'CATALOGO CECO'!$A$2:$H$550,8,FALSE),""))</f>
        <v/>
      </c>
      <c r="K2456" s="8">
        <f>IF(COUNTA(A2456:F2456)=0,"",IF(OR(LEN(A2456)&lt;&gt;7,MID(A2456,5,1)&lt;&gt;"-",ISERROR(--LEFT(A2456,4)),ISERROR(--RIGHT(A2456,2))),"ERROR: PERIODO debe ser AAAA-MM",IF(B2456="","ERROR: falta CODIGO CECO",IF(G2456="CECO NO EXISTE","ERROR: CECO no existe en el catálogo",IF(C2456="","ERROR: falta CUENTA",IF(ISERROR(--C2456),"ERROR: CUENTA debe tener solo dígitos",IF(ISERROR(FIND(LEFT(C2456,1),"567")),"ERROR: CUENTA fuera de las clases de costo",IF(NOT(ISNUMBER(E2456)),"ERROR: VALOR debe ser numérico",IF(E2456=0,"AVISO: valor cero (no se carga)",IF(J2456&lt;&gt;"ACTIVO","NO SE CARGA: CECO en estado "&amp;J2456,"OK"))))))))))</f>
        <v/>
      </c>
    </row>
    <row r="2457">
      <c r="A2457" s="5" t="n"/>
      <c r="B2457" s="6" t="n"/>
      <c r="C2457" s="5" t="n"/>
      <c r="D2457" s="6" t="n"/>
      <c r="E2457" s="7" t="n"/>
      <c r="F2457" s="6" t="n"/>
      <c r="G2457" s="8">
        <f>IF(B2457="","",IFERROR(VLOOKUP(--B2457,'CATALOGO CECO'!$A$2:$H$550,2,FALSE),"CECO NO EXISTE"))</f>
        <v/>
      </c>
      <c r="H2457" s="8">
        <f>IF(B2457="","",IFERROR(VLOOKUP(--B2457,'CATALOGO CECO'!$A$2:$H$550,3,FALSE),""))</f>
        <v/>
      </c>
      <c r="I2457" s="8">
        <f>IF(B2457="","",IFERROR(VLOOKUP(--B2457,'CATALOGO CECO'!$A$2:$H$550,5,FALSE),""))</f>
        <v/>
      </c>
      <c r="J2457" s="8">
        <f>IF(B2457="","",IFERROR(VLOOKUP(--B2457,'CATALOGO CECO'!$A$2:$H$550,8,FALSE),""))</f>
        <v/>
      </c>
      <c r="K2457" s="8">
        <f>IF(COUNTA(A2457:F2457)=0,"",IF(OR(LEN(A2457)&lt;&gt;7,MID(A2457,5,1)&lt;&gt;"-",ISERROR(--LEFT(A2457,4)),ISERROR(--RIGHT(A2457,2))),"ERROR: PERIODO debe ser AAAA-MM",IF(B2457="","ERROR: falta CODIGO CECO",IF(G2457="CECO NO EXISTE","ERROR: CECO no existe en el catálogo",IF(C2457="","ERROR: falta CUENTA",IF(ISERROR(--C2457),"ERROR: CUENTA debe tener solo dígitos",IF(ISERROR(FIND(LEFT(C2457,1),"567")),"ERROR: CUENTA fuera de las clases de costo",IF(NOT(ISNUMBER(E2457)),"ERROR: VALOR debe ser numérico",IF(E2457=0,"AVISO: valor cero (no se carga)",IF(J2457&lt;&gt;"ACTIVO","NO SE CARGA: CECO en estado "&amp;J2457,"OK"))))))))))</f>
        <v/>
      </c>
    </row>
    <row r="2458">
      <c r="A2458" s="5" t="n"/>
      <c r="B2458" s="6" t="n"/>
      <c r="C2458" s="5" t="n"/>
      <c r="D2458" s="6" t="n"/>
      <c r="E2458" s="7" t="n"/>
      <c r="F2458" s="6" t="n"/>
      <c r="G2458" s="8">
        <f>IF(B2458="","",IFERROR(VLOOKUP(--B2458,'CATALOGO CECO'!$A$2:$H$550,2,FALSE),"CECO NO EXISTE"))</f>
        <v/>
      </c>
      <c r="H2458" s="8">
        <f>IF(B2458="","",IFERROR(VLOOKUP(--B2458,'CATALOGO CECO'!$A$2:$H$550,3,FALSE),""))</f>
        <v/>
      </c>
      <c r="I2458" s="8">
        <f>IF(B2458="","",IFERROR(VLOOKUP(--B2458,'CATALOGO CECO'!$A$2:$H$550,5,FALSE),""))</f>
        <v/>
      </c>
      <c r="J2458" s="8">
        <f>IF(B2458="","",IFERROR(VLOOKUP(--B2458,'CATALOGO CECO'!$A$2:$H$550,8,FALSE),""))</f>
        <v/>
      </c>
      <c r="K2458" s="8">
        <f>IF(COUNTA(A2458:F2458)=0,"",IF(OR(LEN(A2458)&lt;&gt;7,MID(A2458,5,1)&lt;&gt;"-",ISERROR(--LEFT(A2458,4)),ISERROR(--RIGHT(A2458,2))),"ERROR: PERIODO debe ser AAAA-MM",IF(B2458="","ERROR: falta CODIGO CECO",IF(G2458="CECO NO EXISTE","ERROR: CECO no existe en el catálogo",IF(C2458="","ERROR: falta CUENTA",IF(ISERROR(--C2458),"ERROR: CUENTA debe tener solo dígitos",IF(ISERROR(FIND(LEFT(C2458,1),"567")),"ERROR: CUENTA fuera de las clases de costo",IF(NOT(ISNUMBER(E2458)),"ERROR: VALOR debe ser numérico",IF(E2458=0,"AVISO: valor cero (no se carga)",IF(J2458&lt;&gt;"ACTIVO","NO SE CARGA: CECO en estado "&amp;J2458,"OK"))))))))))</f>
        <v/>
      </c>
    </row>
    <row r="2459">
      <c r="A2459" s="5" t="n"/>
      <c r="B2459" s="6" t="n"/>
      <c r="C2459" s="5" t="n"/>
      <c r="D2459" s="6" t="n"/>
      <c r="E2459" s="7" t="n"/>
      <c r="F2459" s="6" t="n"/>
      <c r="G2459" s="8">
        <f>IF(B2459="","",IFERROR(VLOOKUP(--B2459,'CATALOGO CECO'!$A$2:$H$550,2,FALSE),"CECO NO EXISTE"))</f>
        <v/>
      </c>
      <c r="H2459" s="8">
        <f>IF(B2459="","",IFERROR(VLOOKUP(--B2459,'CATALOGO CECO'!$A$2:$H$550,3,FALSE),""))</f>
        <v/>
      </c>
      <c r="I2459" s="8">
        <f>IF(B2459="","",IFERROR(VLOOKUP(--B2459,'CATALOGO CECO'!$A$2:$H$550,5,FALSE),""))</f>
        <v/>
      </c>
      <c r="J2459" s="8">
        <f>IF(B2459="","",IFERROR(VLOOKUP(--B2459,'CATALOGO CECO'!$A$2:$H$550,8,FALSE),""))</f>
        <v/>
      </c>
      <c r="K2459" s="8">
        <f>IF(COUNTA(A2459:F2459)=0,"",IF(OR(LEN(A2459)&lt;&gt;7,MID(A2459,5,1)&lt;&gt;"-",ISERROR(--LEFT(A2459,4)),ISERROR(--RIGHT(A2459,2))),"ERROR: PERIODO debe ser AAAA-MM",IF(B2459="","ERROR: falta CODIGO CECO",IF(G2459="CECO NO EXISTE","ERROR: CECO no existe en el catálogo",IF(C2459="","ERROR: falta CUENTA",IF(ISERROR(--C2459),"ERROR: CUENTA debe tener solo dígitos",IF(ISERROR(FIND(LEFT(C2459,1),"567")),"ERROR: CUENTA fuera de las clases de costo",IF(NOT(ISNUMBER(E2459)),"ERROR: VALOR debe ser numérico",IF(E2459=0,"AVISO: valor cero (no se carga)",IF(J2459&lt;&gt;"ACTIVO","NO SE CARGA: CECO en estado "&amp;J2459,"OK"))))))))))</f>
        <v/>
      </c>
    </row>
    <row r="2460">
      <c r="A2460" s="5" t="n"/>
      <c r="B2460" s="6" t="n"/>
      <c r="C2460" s="5" t="n"/>
      <c r="D2460" s="6" t="n"/>
      <c r="E2460" s="7" t="n"/>
      <c r="F2460" s="6" t="n"/>
      <c r="G2460" s="8">
        <f>IF(B2460="","",IFERROR(VLOOKUP(--B2460,'CATALOGO CECO'!$A$2:$H$550,2,FALSE),"CECO NO EXISTE"))</f>
        <v/>
      </c>
      <c r="H2460" s="8">
        <f>IF(B2460="","",IFERROR(VLOOKUP(--B2460,'CATALOGO CECO'!$A$2:$H$550,3,FALSE),""))</f>
        <v/>
      </c>
      <c r="I2460" s="8">
        <f>IF(B2460="","",IFERROR(VLOOKUP(--B2460,'CATALOGO CECO'!$A$2:$H$550,5,FALSE),""))</f>
        <v/>
      </c>
      <c r="J2460" s="8">
        <f>IF(B2460="","",IFERROR(VLOOKUP(--B2460,'CATALOGO CECO'!$A$2:$H$550,8,FALSE),""))</f>
        <v/>
      </c>
      <c r="K2460" s="8">
        <f>IF(COUNTA(A2460:F2460)=0,"",IF(OR(LEN(A2460)&lt;&gt;7,MID(A2460,5,1)&lt;&gt;"-",ISERROR(--LEFT(A2460,4)),ISERROR(--RIGHT(A2460,2))),"ERROR: PERIODO debe ser AAAA-MM",IF(B2460="","ERROR: falta CODIGO CECO",IF(G2460="CECO NO EXISTE","ERROR: CECO no existe en el catálogo",IF(C2460="","ERROR: falta CUENTA",IF(ISERROR(--C2460),"ERROR: CUENTA debe tener solo dígitos",IF(ISERROR(FIND(LEFT(C2460,1),"567")),"ERROR: CUENTA fuera de las clases de costo",IF(NOT(ISNUMBER(E2460)),"ERROR: VALOR debe ser numérico",IF(E2460=0,"AVISO: valor cero (no se carga)",IF(J2460&lt;&gt;"ACTIVO","NO SE CARGA: CECO en estado "&amp;J2460,"OK"))))))))))</f>
        <v/>
      </c>
    </row>
    <row r="2461">
      <c r="A2461" s="5" t="n"/>
      <c r="B2461" s="6" t="n"/>
      <c r="C2461" s="5" t="n"/>
      <c r="D2461" s="6" t="n"/>
      <c r="E2461" s="7" t="n"/>
      <c r="F2461" s="6" t="n"/>
      <c r="G2461" s="8">
        <f>IF(B2461="","",IFERROR(VLOOKUP(--B2461,'CATALOGO CECO'!$A$2:$H$550,2,FALSE),"CECO NO EXISTE"))</f>
        <v/>
      </c>
      <c r="H2461" s="8">
        <f>IF(B2461="","",IFERROR(VLOOKUP(--B2461,'CATALOGO CECO'!$A$2:$H$550,3,FALSE),""))</f>
        <v/>
      </c>
      <c r="I2461" s="8">
        <f>IF(B2461="","",IFERROR(VLOOKUP(--B2461,'CATALOGO CECO'!$A$2:$H$550,5,FALSE),""))</f>
        <v/>
      </c>
      <c r="J2461" s="8">
        <f>IF(B2461="","",IFERROR(VLOOKUP(--B2461,'CATALOGO CECO'!$A$2:$H$550,8,FALSE),""))</f>
        <v/>
      </c>
      <c r="K2461" s="8">
        <f>IF(COUNTA(A2461:F2461)=0,"",IF(OR(LEN(A2461)&lt;&gt;7,MID(A2461,5,1)&lt;&gt;"-",ISERROR(--LEFT(A2461,4)),ISERROR(--RIGHT(A2461,2))),"ERROR: PERIODO debe ser AAAA-MM",IF(B2461="","ERROR: falta CODIGO CECO",IF(G2461="CECO NO EXISTE","ERROR: CECO no existe en el catálogo",IF(C2461="","ERROR: falta CUENTA",IF(ISERROR(--C2461),"ERROR: CUENTA debe tener solo dígitos",IF(ISERROR(FIND(LEFT(C2461,1),"567")),"ERROR: CUENTA fuera de las clases de costo",IF(NOT(ISNUMBER(E2461)),"ERROR: VALOR debe ser numérico",IF(E2461=0,"AVISO: valor cero (no se carga)",IF(J2461&lt;&gt;"ACTIVO","NO SE CARGA: CECO en estado "&amp;J2461,"OK"))))))))))</f>
        <v/>
      </c>
    </row>
    <row r="2462">
      <c r="A2462" s="5" t="n"/>
      <c r="B2462" s="6" t="n"/>
      <c r="C2462" s="5" t="n"/>
      <c r="D2462" s="6" t="n"/>
      <c r="E2462" s="7" t="n"/>
      <c r="F2462" s="6" t="n"/>
      <c r="G2462" s="8">
        <f>IF(B2462="","",IFERROR(VLOOKUP(--B2462,'CATALOGO CECO'!$A$2:$H$550,2,FALSE),"CECO NO EXISTE"))</f>
        <v/>
      </c>
      <c r="H2462" s="8">
        <f>IF(B2462="","",IFERROR(VLOOKUP(--B2462,'CATALOGO CECO'!$A$2:$H$550,3,FALSE),""))</f>
        <v/>
      </c>
      <c r="I2462" s="8">
        <f>IF(B2462="","",IFERROR(VLOOKUP(--B2462,'CATALOGO CECO'!$A$2:$H$550,5,FALSE),""))</f>
        <v/>
      </c>
      <c r="J2462" s="8">
        <f>IF(B2462="","",IFERROR(VLOOKUP(--B2462,'CATALOGO CECO'!$A$2:$H$550,8,FALSE),""))</f>
        <v/>
      </c>
      <c r="K2462" s="8">
        <f>IF(COUNTA(A2462:F2462)=0,"",IF(OR(LEN(A2462)&lt;&gt;7,MID(A2462,5,1)&lt;&gt;"-",ISERROR(--LEFT(A2462,4)),ISERROR(--RIGHT(A2462,2))),"ERROR: PERIODO debe ser AAAA-MM",IF(B2462="","ERROR: falta CODIGO CECO",IF(G2462="CECO NO EXISTE","ERROR: CECO no existe en el catálogo",IF(C2462="","ERROR: falta CUENTA",IF(ISERROR(--C2462),"ERROR: CUENTA debe tener solo dígitos",IF(ISERROR(FIND(LEFT(C2462,1),"567")),"ERROR: CUENTA fuera de las clases de costo",IF(NOT(ISNUMBER(E2462)),"ERROR: VALOR debe ser numérico",IF(E2462=0,"AVISO: valor cero (no se carga)",IF(J2462&lt;&gt;"ACTIVO","NO SE CARGA: CECO en estado "&amp;J2462,"OK"))))))))))</f>
        <v/>
      </c>
    </row>
    <row r="2463">
      <c r="A2463" s="5" t="n"/>
      <c r="B2463" s="6" t="n"/>
      <c r="C2463" s="5" t="n"/>
      <c r="D2463" s="6" t="n"/>
      <c r="E2463" s="7" t="n"/>
      <c r="F2463" s="6" t="n"/>
      <c r="G2463" s="8">
        <f>IF(B2463="","",IFERROR(VLOOKUP(--B2463,'CATALOGO CECO'!$A$2:$H$550,2,FALSE),"CECO NO EXISTE"))</f>
        <v/>
      </c>
      <c r="H2463" s="8">
        <f>IF(B2463="","",IFERROR(VLOOKUP(--B2463,'CATALOGO CECO'!$A$2:$H$550,3,FALSE),""))</f>
        <v/>
      </c>
      <c r="I2463" s="8">
        <f>IF(B2463="","",IFERROR(VLOOKUP(--B2463,'CATALOGO CECO'!$A$2:$H$550,5,FALSE),""))</f>
        <v/>
      </c>
      <c r="J2463" s="8">
        <f>IF(B2463="","",IFERROR(VLOOKUP(--B2463,'CATALOGO CECO'!$A$2:$H$550,8,FALSE),""))</f>
        <v/>
      </c>
      <c r="K2463" s="8">
        <f>IF(COUNTA(A2463:F2463)=0,"",IF(OR(LEN(A2463)&lt;&gt;7,MID(A2463,5,1)&lt;&gt;"-",ISERROR(--LEFT(A2463,4)),ISERROR(--RIGHT(A2463,2))),"ERROR: PERIODO debe ser AAAA-MM",IF(B2463="","ERROR: falta CODIGO CECO",IF(G2463="CECO NO EXISTE","ERROR: CECO no existe en el catálogo",IF(C2463="","ERROR: falta CUENTA",IF(ISERROR(--C2463),"ERROR: CUENTA debe tener solo dígitos",IF(ISERROR(FIND(LEFT(C2463,1),"567")),"ERROR: CUENTA fuera de las clases de costo",IF(NOT(ISNUMBER(E2463)),"ERROR: VALOR debe ser numérico",IF(E2463=0,"AVISO: valor cero (no se carga)",IF(J2463&lt;&gt;"ACTIVO","NO SE CARGA: CECO en estado "&amp;J2463,"OK"))))))))))</f>
        <v/>
      </c>
    </row>
    <row r="2464">
      <c r="A2464" s="5" t="n"/>
      <c r="B2464" s="6" t="n"/>
      <c r="C2464" s="5" t="n"/>
      <c r="D2464" s="6" t="n"/>
      <c r="E2464" s="7" t="n"/>
      <c r="F2464" s="6" t="n"/>
      <c r="G2464" s="8">
        <f>IF(B2464="","",IFERROR(VLOOKUP(--B2464,'CATALOGO CECO'!$A$2:$H$550,2,FALSE),"CECO NO EXISTE"))</f>
        <v/>
      </c>
      <c r="H2464" s="8">
        <f>IF(B2464="","",IFERROR(VLOOKUP(--B2464,'CATALOGO CECO'!$A$2:$H$550,3,FALSE),""))</f>
        <v/>
      </c>
      <c r="I2464" s="8">
        <f>IF(B2464="","",IFERROR(VLOOKUP(--B2464,'CATALOGO CECO'!$A$2:$H$550,5,FALSE),""))</f>
        <v/>
      </c>
      <c r="J2464" s="8">
        <f>IF(B2464="","",IFERROR(VLOOKUP(--B2464,'CATALOGO CECO'!$A$2:$H$550,8,FALSE),""))</f>
        <v/>
      </c>
      <c r="K2464" s="8">
        <f>IF(COUNTA(A2464:F2464)=0,"",IF(OR(LEN(A2464)&lt;&gt;7,MID(A2464,5,1)&lt;&gt;"-",ISERROR(--LEFT(A2464,4)),ISERROR(--RIGHT(A2464,2))),"ERROR: PERIODO debe ser AAAA-MM",IF(B2464="","ERROR: falta CODIGO CECO",IF(G2464="CECO NO EXISTE","ERROR: CECO no existe en el catálogo",IF(C2464="","ERROR: falta CUENTA",IF(ISERROR(--C2464),"ERROR: CUENTA debe tener solo dígitos",IF(ISERROR(FIND(LEFT(C2464,1),"567")),"ERROR: CUENTA fuera de las clases de costo",IF(NOT(ISNUMBER(E2464)),"ERROR: VALOR debe ser numérico",IF(E2464=0,"AVISO: valor cero (no se carga)",IF(J2464&lt;&gt;"ACTIVO","NO SE CARGA: CECO en estado "&amp;J2464,"OK"))))))))))</f>
        <v/>
      </c>
    </row>
    <row r="2465">
      <c r="A2465" s="5" t="n"/>
      <c r="B2465" s="6" t="n"/>
      <c r="C2465" s="5" t="n"/>
      <c r="D2465" s="6" t="n"/>
      <c r="E2465" s="7" t="n"/>
      <c r="F2465" s="6" t="n"/>
      <c r="G2465" s="8">
        <f>IF(B2465="","",IFERROR(VLOOKUP(--B2465,'CATALOGO CECO'!$A$2:$H$550,2,FALSE),"CECO NO EXISTE"))</f>
        <v/>
      </c>
      <c r="H2465" s="8">
        <f>IF(B2465="","",IFERROR(VLOOKUP(--B2465,'CATALOGO CECO'!$A$2:$H$550,3,FALSE),""))</f>
        <v/>
      </c>
      <c r="I2465" s="8">
        <f>IF(B2465="","",IFERROR(VLOOKUP(--B2465,'CATALOGO CECO'!$A$2:$H$550,5,FALSE),""))</f>
        <v/>
      </c>
      <c r="J2465" s="8">
        <f>IF(B2465="","",IFERROR(VLOOKUP(--B2465,'CATALOGO CECO'!$A$2:$H$550,8,FALSE),""))</f>
        <v/>
      </c>
      <c r="K2465" s="8">
        <f>IF(COUNTA(A2465:F2465)=0,"",IF(OR(LEN(A2465)&lt;&gt;7,MID(A2465,5,1)&lt;&gt;"-",ISERROR(--LEFT(A2465,4)),ISERROR(--RIGHT(A2465,2))),"ERROR: PERIODO debe ser AAAA-MM",IF(B2465="","ERROR: falta CODIGO CECO",IF(G2465="CECO NO EXISTE","ERROR: CECO no existe en el catálogo",IF(C2465="","ERROR: falta CUENTA",IF(ISERROR(--C2465),"ERROR: CUENTA debe tener solo dígitos",IF(ISERROR(FIND(LEFT(C2465,1),"567")),"ERROR: CUENTA fuera de las clases de costo",IF(NOT(ISNUMBER(E2465)),"ERROR: VALOR debe ser numérico",IF(E2465=0,"AVISO: valor cero (no se carga)",IF(J2465&lt;&gt;"ACTIVO","NO SE CARGA: CECO en estado "&amp;J2465,"OK"))))))))))</f>
        <v/>
      </c>
    </row>
    <row r="2466">
      <c r="A2466" s="5" t="n"/>
      <c r="B2466" s="6" t="n"/>
      <c r="C2466" s="5" t="n"/>
      <c r="D2466" s="6" t="n"/>
      <c r="E2466" s="7" t="n"/>
      <c r="F2466" s="6" t="n"/>
      <c r="G2466" s="8">
        <f>IF(B2466="","",IFERROR(VLOOKUP(--B2466,'CATALOGO CECO'!$A$2:$H$550,2,FALSE),"CECO NO EXISTE"))</f>
        <v/>
      </c>
      <c r="H2466" s="8">
        <f>IF(B2466="","",IFERROR(VLOOKUP(--B2466,'CATALOGO CECO'!$A$2:$H$550,3,FALSE),""))</f>
        <v/>
      </c>
      <c r="I2466" s="8">
        <f>IF(B2466="","",IFERROR(VLOOKUP(--B2466,'CATALOGO CECO'!$A$2:$H$550,5,FALSE),""))</f>
        <v/>
      </c>
      <c r="J2466" s="8">
        <f>IF(B2466="","",IFERROR(VLOOKUP(--B2466,'CATALOGO CECO'!$A$2:$H$550,8,FALSE),""))</f>
        <v/>
      </c>
      <c r="K2466" s="8">
        <f>IF(COUNTA(A2466:F2466)=0,"",IF(OR(LEN(A2466)&lt;&gt;7,MID(A2466,5,1)&lt;&gt;"-",ISERROR(--LEFT(A2466,4)),ISERROR(--RIGHT(A2466,2))),"ERROR: PERIODO debe ser AAAA-MM",IF(B2466="","ERROR: falta CODIGO CECO",IF(G2466="CECO NO EXISTE","ERROR: CECO no existe en el catálogo",IF(C2466="","ERROR: falta CUENTA",IF(ISERROR(--C2466),"ERROR: CUENTA debe tener solo dígitos",IF(ISERROR(FIND(LEFT(C2466,1),"567")),"ERROR: CUENTA fuera de las clases de costo",IF(NOT(ISNUMBER(E2466)),"ERROR: VALOR debe ser numérico",IF(E2466=0,"AVISO: valor cero (no se carga)",IF(J2466&lt;&gt;"ACTIVO","NO SE CARGA: CECO en estado "&amp;J2466,"OK"))))))))))</f>
        <v/>
      </c>
    </row>
    <row r="2467">
      <c r="A2467" s="5" t="n"/>
      <c r="B2467" s="6" t="n"/>
      <c r="C2467" s="5" t="n"/>
      <c r="D2467" s="6" t="n"/>
      <c r="E2467" s="7" t="n"/>
      <c r="F2467" s="6" t="n"/>
      <c r="G2467" s="8">
        <f>IF(B2467="","",IFERROR(VLOOKUP(--B2467,'CATALOGO CECO'!$A$2:$H$550,2,FALSE),"CECO NO EXISTE"))</f>
        <v/>
      </c>
      <c r="H2467" s="8">
        <f>IF(B2467="","",IFERROR(VLOOKUP(--B2467,'CATALOGO CECO'!$A$2:$H$550,3,FALSE),""))</f>
        <v/>
      </c>
      <c r="I2467" s="8">
        <f>IF(B2467="","",IFERROR(VLOOKUP(--B2467,'CATALOGO CECO'!$A$2:$H$550,5,FALSE),""))</f>
        <v/>
      </c>
      <c r="J2467" s="8">
        <f>IF(B2467="","",IFERROR(VLOOKUP(--B2467,'CATALOGO CECO'!$A$2:$H$550,8,FALSE),""))</f>
        <v/>
      </c>
      <c r="K2467" s="8">
        <f>IF(COUNTA(A2467:F2467)=0,"",IF(OR(LEN(A2467)&lt;&gt;7,MID(A2467,5,1)&lt;&gt;"-",ISERROR(--LEFT(A2467,4)),ISERROR(--RIGHT(A2467,2))),"ERROR: PERIODO debe ser AAAA-MM",IF(B2467="","ERROR: falta CODIGO CECO",IF(G2467="CECO NO EXISTE","ERROR: CECO no existe en el catálogo",IF(C2467="","ERROR: falta CUENTA",IF(ISERROR(--C2467),"ERROR: CUENTA debe tener solo dígitos",IF(ISERROR(FIND(LEFT(C2467,1),"567")),"ERROR: CUENTA fuera de las clases de costo",IF(NOT(ISNUMBER(E2467)),"ERROR: VALOR debe ser numérico",IF(E2467=0,"AVISO: valor cero (no se carga)",IF(J2467&lt;&gt;"ACTIVO","NO SE CARGA: CECO en estado "&amp;J2467,"OK"))))))))))</f>
        <v/>
      </c>
    </row>
    <row r="2468">
      <c r="A2468" s="5" t="n"/>
      <c r="B2468" s="6" t="n"/>
      <c r="C2468" s="5" t="n"/>
      <c r="D2468" s="6" t="n"/>
      <c r="E2468" s="7" t="n"/>
      <c r="F2468" s="6" t="n"/>
      <c r="G2468" s="8">
        <f>IF(B2468="","",IFERROR(VLOOKUP(--B2468,'CATALOGO CECO'!$A$2:$H$550,2,FALSE),"CECO NO EXISTE"))</f>
        <v/>
      </c>
      <c r="H2468" s="8">
        <f>IF(B2468="","",IFERROR(VLOOKUP(--B2468,'CATALOGO CECO'!$A$2:$H$550,3,FALSE),""))</f>
        <v/>
      </c>
      <c r="I2468" s="8">
        <f>IF(B2468="","",IFERROR(VLOOKUP(--B2468,'CATALOGO CECO'!$A$2:$H$550,5,FALSE),""))</f>
        <v/>
      </c>
      <c r="J2468" s="8">
        <f>IF(B2468="","",IFERROR(VLOOKUP(--B2468,'CATALOGO CECO'!$A$2:$H$550,8,FALSE),""))</f>
        <v/>
      </c>
      <c r="K2468" s="8">
        <f>IF(COUNTA(A2468:F2468)=0,"",IF(OR(LEN(A2468)&lt;&gt;7,MID(A2468,5,1)&lt;&gt;"-",ISERROR(--LEFT(A2468,4)),ISERROR(--RIGHT(A2468,2))),"ERROR: PERIODO debe ser AAAA-MM",IF(B2468="","ERROR: falta CODIGO CECO",IF(G2468="CECO NO EXISTE","ERROR: CECO no existe en el catálogo",IF(C2468="","ERROR: falta CUENTA",IF(ISERROR(--C2468),"ERROR: CUENTA debe tener solo dígitos",IF(ISERROR(FIND(LEFT(C2468,1),"567")),"ERROR: CUENTA fuera de las clases de costo",IF(NOT(ISNUMBER(E2468)),"ERROR: VALOR debe ser numérico",IF(E2468=0,"AVISO: valor cero (no se carga)",IF(J2468&lt;&gt;"ACTIVO","NO SE CARGA: CECO en estado "&amp;J2468,"OK"))))))))))</f>
        <v/>
      </c>
    </row>
    <row r="2469">
      <c r="A2469" s="5" t="n"/>
      <c r="B2469" s="6" t="n"/>
      <c r="C2469" s="5" t="n"/>
      <c r="D2469" s="6" t="n"/>
      <c r="E2469" s="7" t="n"/>
      <c r="F2469" s="6" t="n"/>
      <c r="G2469" s="8">
        <f>IF(B2469="","",IFERROR(VLOOKUP(--B2469,'CATALOGO CECO'!$A$2:$H$550,2,FALSE),"CECO NO EXISTE"))</f>
        <v/>
      </c>
      <c r="H2469" s="8">
        <f>IF(B2469="","",IFERROR(VLOOKUP(--B2469,'CATALOGO CECO'!$A$2:$H$550,3,FALSE),""))</f>
        <v/>
      </c>
      <c r="I2469" s="8">
        <f>IF(B2469="","",IFERROR(VLOOKUP(--B2469,'CATALOGO CECO'!$A$2:$H$550,5,FALSE),""))</f>
        <v/>
      </c>
      <c r="J2469" s="8">
        <f>IF(B2469="","",IFERROR(VLOOKUP(--B2469,'CATALOGO CECO'!$A$2:$H$550,8,FALSE),""))</f>
        <v/>
      </c>
      <c r="K2469" s="8">
        <f>IF(COUNTA(A2469:F2469)=0,"",IF(OR(LEN(A2469)&lt;&gt;7,MID(A2469,5,1)&lt;&gt;"-",ISERROR(--LEFT(A2469,4)),ISERROR(--RIGHT(A2469,2))),"ERROR: PERIODO debe ser AAAA-MM",IF(B2469="","ERROR: falta CODIGO CECO",IF(G2469="CECO NO EXISTE","ERROR: CECO no existe en el catálogo",IF(C2469="","ERROR: falta CUENTA",IF(ISERROR(--C2469),"ERROR: CUENTA debe tener solo dígitos",IF(ISERROR(FIND(LEFT(C2469,1),"567")),"ERROR: CUENTA fuera de las clases de costo",IF(NOT(ISNUMBER(E2469)),"ERROR: VALOR debe ser numérico",IF(E2469=0,"AVISO: valor cero (no se carga)",IF(J2469&lt;&gt;"ACTIVO","NO SE CARGA: CECO en estado "&amp;J2469,"OK"))))))))))</f>
        <v/>
      </c>
    </row>
    <row r="2470">
      <c r="A2470" s="5" t="n"/>
      <c r="B2470" s="6" t="n"/>
      <c r="C2470" s="5" t="n"/>
      <c r="D2470" s="6" t="n"/>
      <c r="E2470" s="7" t="n"/>
      <c r="F2470" s="6" t="n"/>
      <c r="G2470" s="8">
        <f>IF(B2470="","",IFERROR(VLOOKUP(--B2470,'CATALOGO CECO'!$A$2:$H$550,2,FALSE),"CECO NO EXISTE"))</f>
        <v/>
      </c>
      <c r="H2470" s="8">
        <f>IF(B2470="","",IFERROR(VLOOKUP(--B2470,'CATALOGO CECO'!$A$2:$H$550,3,FALSE),""))</f>
        <v/>
      </c>
      <c r="I2470" s="8">
        <f>IF(B2470="","",IFERROR(VLOOKUP(--B2470,'CATALOGO CECO'!$A$2:$H$550,5,FALSE),""))</f>
        <v/>
      </c>
      <c r="J2470" s="8">
        <f>IF(B2470="","",IFERROR(VLOOKUP(--B2470,'CATALOGO CECO'!$A$2:$H$550,8,FALSE),""))</f>
        <v/>
      </c>
      <c r="K2470" s="8">
        <f>IF(COUNTA(A2470:F2470)=0,"",IF(OR(LEN(A2470)&lt;&gt;7,MID(A2470,5,1)&lt;&gt;"-",ISERROR(--LEFT(A2470,4)),ISERROR(--RIGHT(A2470,2))),"ERROR: PERIODO debe ser AAAA-MM",IF(B2470="","ERROR: falta CODIGO CECO",IF(G2470="CECO NO EXISTE","ERROR: CECO no existe en el catálogo",IF(C2470="","ERROR: falta CUENTA",IF(ISERROR(--C2470),"ERROR: CUENTA debe tener solo dígitos",IF(ISERROR(FIND(LEFT(C2470,1),"567")),"ERROR: CUENTA fuera de las clases de costo",IF(NOT(ISNUMBER(E2470)),"ERROR: VALOR debe ser numérico",IF(E2470=0,"AVISO: valor cero (no se carga)",IF(J2470&lt;&gt;"ACTIVO","NO SE CARGA: CECO en estado "&amp;J2470,"OK"))))))))))</f>
        <v/>
      </c>
    </row>
    <row r="2471">
      <c r="A2471" s="5" t="n"/>
      <c r="B2471" s="6" t="n"/>
      <c r="C2471" s="5" t="n"/>
      <c r="D2471" s="6" t="n"/>
      <c r="E2471" s="7" t="n"/>
      <c r="F2471" s="6" t="n"/>
      <c r="G2471" s="8">
        <f>IF(B2471="","",IFERROR(VLOOKUP(--B2471,'CATALOGO CECO'!$A$2:$H$550,2,FALSE),"CECO NO EXISTE"))</f>
        <v/>
      </c>
      <c r="H2471" s="8">
        <f>IF(B2471="","",IFERROR(VLOOKUP(--B2471,'CATALOGO CECO'!$A$2:$H$550,3,FALSE),""))</f>
        <v/>
      </c>
      <c r="I2471" s="8">
        <f>IF(B2471="","",IFERROR(VLOOKUP(--B2471,'CATALOGO CECO'!$A$2:$H$550,5,FALSE),""))</f>
        <v/>
      </c>
      <c r="J2471" s="8">
        <f>IF(B2471="","",IFERROR(VLOOKUP(--B2471,'CATALOGO CECO'!$A$2:$H$550,8,FALSE),""))</f>
        <v/>
      </c>
      <c r="K2471" s="8">
        <f>IF(COUNTA(A2471:F2471)=0,"",IF(OR(LEN(A2471)&lt;&gt;7,MID(A2471,5,1)&lt;&gt;"-",ISERROR(--LEFT(A2471,4)),ISERROR(--RIGHT(A2471,2))),"ERROR: PERIODO debe ser AAAA-MM",IF(B2471="","ERROR: falta CODIGO CECO",IF(G2471="CECO NO EXISTE","ERROR: CECO no existe en el catálogo",IF(C2471="","ERROR: falta CUENTA",IF(ISERROR(--C2471),"ERROR: CUENTA debe tener solo dígitos",IF(ISERROR(FIND(LEFT(C2471,1),"567")),"ERROR: CUENTA fuera de las clases de costo",IF(NOT(ISNUMBER(E2471)),"ERROR: VALOR debe ser numérico",IF(E2471=0,"AVISO: valor cero (no se carga)",IF(J2471&lt;&gt;"ACTIVO","NO SE CARGA: CECO en estado "&amp;J2471,"OK"))))))))))</f>
        <v/>
      </c>
    </row>
    <row r="2472">
      <c r="A2472" s="5" t="n"/>
      <c r="B2472" s="6" t="n"/>
      <c r="C2472" s="5" t="n"/>
      <c r="D2472" s="6" t="n"/>
      <c r="E2472" s="7" t="n"/>
      <c r="F2472" s="6" t="n"/>
      <c r="G2472" s="8">
        <f>IF(B2472="","",IFERROR(VLOOKUP(--B2472,'CATALOGO CECO'!$A$2:$H$550,2,FALSE),"CECO NO EXISTE"))</f>
        <v/>
      </c>
      <c r="H2472" s="8">
        <f>IF(B2472="","",IFERROR(VLOOKUP(--B2472,'CATALOGO CECO'!$A$2:$H$550,3,FALSE),""))</f>
        <v/>
      </c>
      <c r="I2472" s="8">
        <f>IF(B2472="","",IFERROR(VLOOKUP(--B2472,'CATALOGO CECO'!$A$2:$H$550,5,FALSE),""))</f>
        <v/>
      </c>
      <c r="J2472" s="8">
        <f>IF(B2472="","",IFERROR(VLOOKUP(--B2472,'CATALOGO CECO'!$A$2:$H$550,8,FALSE),""))</f>
        <v/>
      </c>
      <c r="K2472" s="8">
        <f>IF(COUNTA(A2472:F2472)=0,"",IF(OR(LEN(A2472)&lt;&gt;7,MID(A2472,5,1)&lt;&gt;"-",ISERROR(--LEFT(A2472,4)),ISERROR(--RIGHT(A2472,2))),"ERROR: PERIODO debe ser AAAA-MM",IF(B2472="","ERROR: falta CODIGO CECO",IF(G2472="CECO NO EXISTE","ERROR: CECO no existe en el catálogo",IF(C2472="","ERROR: falta CUENTA",IF(ISERROR(--C2472),"ERROR: CUENTA debe tener solo dígitos",IF(ISERROR(FIND(LEFT(C2472,1),"567")),"ERROR: CUENTA fuera de las clases de costo",IF(NOT(ISNUMBER(E2472)),"ERROR: VALOR debe ser numérico",IF(E2472=0,"AVISO: valor cero (no se carga)",IF(J2472&lt;&gt;"ACTIVO","NO SE CARGA: CECO en estado "&amp;J2472,"OK"))))))))))</f>
        <v/>
      </c>
    </row>
    <row r="2473">
      <c r="A2473" s="5" t="n"/>
      <c r="B2473" s="6" t="n"/>
      <c r="C2473" s="5" t="n"/>
      <c r="D2473" s="6" t="n"/>
      <c r="E2473" s="7" t="n"/>
      <c r="F2473" s="6" t="n"/>
      <c r="G2473" s="8">
        <f>IF(B2473="","",IFERROR(VLOOKUP(--B2473,'CATALOGO CECO'!$A$2:$H$550,2,FALSE),"CECO NO EXISTE"))</f>
        <v/>
      </c>
      <c r="H2473" s="8">
        <f>IF(B2473="","",IFERROR(VLOOKUP(--B2473,'CATALOGO CECO'!$A$2:$H$550,3,FALSE),""))</f>
        <v/>
      </c>
      <c r="I2473" s="8">
        <f>IF(B2473="","",IFERROR(VLOOKUP(--B2473,'CATALOGO CECO'!$A$2:$H$550,5,FALSE),""))</f>
        <v/>
      </c>
      <c r="J2473" s="8">
        <f>IF(B2473="","",IFERROR(VLOOKUP(--B2473,'CATALOGO CECO'!$A$2:$H$550,8,FALSE),""))</f>
        <v/>
      </c>
      <c r="K2473" s="8">
        <f>IF(COUNTA(A2473:F2473)=0,"",IF(OR(LEN(A2473)&lt;&gt;7,MID(A2473,5,1)&lt;&gt;"-",ISERROR(--LEFT(A2473,4)),ISERROR(--RIGHT(A2473,2))),"ERROR: PERIODO debe ser AAAA-MM",IF(B2473="","ERROR: falta CODIGO CECO",IF(G2473="CECO NO EXISTE","ERROR: CECO no existe en el catálogo",IF(C2473="","ERROR: falta CUENTA",IF(ISERROR(--C2473),"ERROR: CUENTA debe tener solo dígitos",IF(ISERROR(FIND(LEFT(C2473,1),"567")),"ERROR: CUENTA fuera de las clases de costo",IF(NOT(ISNUMBER(E2473)),"ERROR: VALOR debe ser numérico",IF(E2473=0,"AVISO: valor cero (no se carga)",IF(J2473&lt;&gt;"ACTIVO","NO SE CARGA: CECO en estado "&amp;J2473,"OK"))))))))))</f>
        <v/>
      </c>
    </row>
    <row r="2474">
      <c r="A2474" s="5" t="n"/>
      <c r="B2474" s="6" t="n"/>
      <c r="C2474" s="5" t="n"/>
      <c r="D2474" s="6" t="n"/>
      <c r="E2474" s="7" t="n"/>
      <c r="F2474" s="6" t="n"/>
      <c r="G2474" s="8">
        <f>IF(B2474="","",IFERROR(VLOOKUP(--B2474,'CATALOGO CECO'!$A$2:$H$550,2,FALSE),"CECO NO EXISTE"))</f>
        <v/>
      </c>
      <c r="H2474" s="8">
        <f>IF(B2474="","",IFERROR(VLOOKUP(--B2474,'CATALOGO CECO'!$A$2:$H$550,3,FALSE),""))</f>
        <v/>
      </c>
      <c r="I2474" s="8">
        <f>IF(B2474="","",IFERROR(VLOOKUP(--B2474,'CATALOGO CECO'!$A$2:$H$550,5,FALSE),""))</f>
        <v/>
      </c>
      <c r="J2474" s="8">
        <f>IF(B2474="","",IFERROR(VLOOKUP(--B2474,'CATALOGO CECO'!$A$2:$H$550,8,FALSE),""))</f>
        <v/>
      </c>
      <c r="K2474" s="8">
        <f>IF(COUNTA(A2474:F2474)=0,"",IF(OR(LEN(A2474)&lt;&gt;7,MID(A2474,5,1)&lt;&gt;"-",ISERROR(--LEFT(A2474,4)),ISERROR(--RIGHT(A2474,2))),"ERROR: PERIODO debe ser AAAA-MM",IF(B2474="","ERROR: falta CODIGO CECO",IF(G2474="CECO NO EXISTE","ERROR: CECO no existe en el catálogo",IF(C2474="","ERROR: falta CUENTA",IF(ISERROR(--C2474),"ERROR: CUENTA debe tener solo dígitos",IF(ISERROR(FIND(LEFT(C2474,1),"567")),"ERROR: CUENTA fuera de las clases de costo",IF(NOT(ISNUMBER(E2474)),"ERROR: VALOR debe ser numérico",IF(E2474=0,"AVISO: valor cero (no se carga)",IF(J2474&lt;&gt;"ACTIVO","NO SE CARGA: CECO en estado "&amp;J2474,"OK"))))))))))</f>
        <v/>
      </c>
    </row>
    <row r="2475">
      <c r="A2475" s="5" t="n"/>
      <c r="B2475" s="6" t="n"/>
      <c r="C2475" s="5" t="n"/>
      <c r="D2475" s="6" t="n"/>
      <c r="E2475" s="7" t="n"/>
      <c r="F2475" s="6" t="n"/>
      <c r="G2475" s="8">
        <f>IF(B2475="","",IFERROR(VLOOKUP(--B2475,'CATALOGO CECO'!$A$2:$H$550,2,FALSE),"CECO NO EXISTE"))</f>
        <v/>
      </c>
      <c r="H2475" s="8">
        <f>IF(B2475="","",IFERROR(VLOOKUP(--B2475,'CATALOGO CECO'!$A$2:$H$550,3,FALSE),""))</f>
        <v/>
      </c>
      <c r="I2475" s="8">
        <f>IF(B2475="","",IFERROR(VLOOKUP(--B2475,'CATALOGO CECO'!$A$2:$H$550,5,FALSE),""))</f>
        <v/>
      </c>
      <c r="J2475" s="8">
        <f>IF(B2475="","",IFERROR(VLOOKUP(--B2475,'CATALOGO CECO'!$A$2:$H$550,8,FALSE),""))</f>
        <v/>
      </c>
      <c r="K2475" s="8">
        <f>IF(COUNTA(A2475:F2475)=0,"",IF(OR(LEN(A2475)&lt;&gt;7,MID(A2475,5,1)&lt;&gt;"-",ISERROR(--LEFT(A2475,4)),ISERROR(--RIGHT(A2475,2))),"ERROR: PERIODO debe ser AAAA-MM",IF(B2475="","ERROR: falta CODIGO CECO",IF(G2475="CECO NO EXISTE","ERROR: CECO no existe en el catálogo",IF(C2475="","ERROR: falta CUENTA",IF(ISERROR(--C2475),"ERROR: CUENTA debe tener solo dígitos",IF(ISERROR(FIND(LEFT(C2475,1),"567")),"ERROR: CUENTA fuera de las clases de costo",IF(NOT(ISNUMBER(E2475)),"ERROR: VALOR debe ser numérico",IF(E2475=0,"AVISO: valor cero (no se carga)",IF(J2475&lt;&gt;"ACTIVO","NO SE CARGA: CECO en estado "&amp;J2475,"OK"))))))))))</f>
        <v/>
      </c>
    </row>
    <row r="2476">
      <c r="A2476" s="5" t="n"/>
      <c r="B2476" s="6" t="n"/>
      <c r="C2476" s="5" t="n"/>
      <c r="D2476" s="6" t="n"/>
      <c r="E2476" s="7" t="n"/>
      <c r="F2476" s="6" t="n"/>
      <c r="G2476" s="8">
        <f>IF(B2476="","",IFERROR(VLOOKUP(--B2476,'CATALOGO CECO'!$A$2:$H$550,2,FALSE),"CECO NO EXISTE"))</f>
        <v/>
      </c>
      <c r="H2476" s="8">
        <f>IF(B2476="","",IFERROR(VLOOKUP(--B2476,'CATALOGO CECO'!$A$2:$H$550,3,FALSE),""))</f>
        <v/>
      </c>
      <c r="I2476" s="8">
        <f>IF(B2476="","",IFERROR(VLOOKUP(--B2476,'CATALOGO CECO'!$A$2:$H$550,5,FALSE),""))</f>
        <v/>
      </c>
      <c r="J2476" s="8">
        <f>IF(B2476="","",IFERROR(VLOOKUP(--B2476,'CATALOGO CECO'!$A$2:$H$550,8,FALSE),""))</f>
        <v/>
      </c>
      <c r="K2476" s="8">
        <f>IF(COUNTA(A2476:F2476)=0,"",IF(OR(LEN(A2476)&lt;&gt;7,MID(A2476,5,1)&lt;&gt;"-",ISERROR(--LEFT(A2476,4)),ISERROR(--RIGHT(A2476,2))),"ERROR: PERIODO debe ser AAAA-MM",IF(B2476="","ERROR: falta CODIGO CECO",IF(G2476="CECO NO EXISTE","ERROR: CECO no existe en el catálogo",IF(C2476="","ERROR: falta CUENTA",IF(ISERROR(--C2476),"ERROR: CUENTA debe tener solo dígitos",IF(ISERROR(FIND(LEFT(C2476,1),"567")),"ERROR: CUENTA fuera de las clases de costo",IF(NOT(ISNUMBER(E2476)),"ERROR: VALOR debe ser numérico",IF(E2476=0,"AVISO: valor cero (no se carga)",IF(J2476&lt;&gt;"ACTIVO","NO SE CARGA: CECO en estado "&amp;J2476,"OK"))))))))))</f>
        <v/>
      </c>
    </row>
    <row r="2477">
      <c r="A2477" s="5" t="n"/>
      <c r="B2477" s="6" t="n"/>
      <c r="C2477" s="5" t="n"/>
      <c r="D2477" s="6" t="n"/>
      <c r="E2477" s="7" t="n"/>
      <c r="F2477" s="6" t="n"/>
      <c r="G2477" s="8">
        <f>IF(B2477="","",IFERROR(VLOOKUP(--B2477,'CATALOGO CECO'!$A$2:$H$550,2,FALSE),"CECO NO EXISTE"))</f>
        <v/>
      </c>
      <c r="H2477" s="8">
        <f>IF(B2477="","",IFERROR(VLOOKUP(--B2477,'CATALOGO CECO'!$A$2:$H$550,3,FALSE),""))</f>
        <v/>
      </c>
      <c r="I2477" s="8">
        <f>IF(B2477="","",IFERROR(VLOOKUP(--B2477,'CATALOGO CECO'!$A$2:$H$550,5,FALSE),""))</f>
        <v/>
      </c>
      <c r="J2477" s="8">
        <f>IF(B2477="","",IFERROR(VLOOKUP(--B2477,'CATALOGO CECO'!$A$2:$H$550,8,FALSE),""))</f>
        <v/>
      </c>
      <c r="K2477" s="8">
        <f>IF(COUNTA(A2477:F2477)=0,"",IF(OR(LEN(A2477)&lt;&gt;7,MID(A2477,5,1)&lt;&gt;"-",ISERROR(--LEFT(A2477,4)),ISERROR(--RIGHT(A2477,2))),"ERROR: PERIODO debe ser AAAA-MM",IF(B2477="","ERROR: falta CODIGO CECO",IF(G2477="CECO NO EXISTE","ERROR: CECO no existe en el catálogo",IF(C2477="","ERROR: falta CUENTA",IF(ISERROR(--C2477),"ERROR: CUENTA debe tener solo dígitos",IF(ISERROR(FIND(LEFT(C2477,1),"567")),"ERROR: CUENTA fuera de las clases de costo",IF(NOT(ISNUMBER(E2477)),"ERROR: VALOR debe ser numérico",IF(E2477=0,"AVISO: valor cero (no se carga)",IF(J2477&lt;&gt;"ACTIVO","NO SE CARGA: CECO en estado "&amp;J2477,"OK"))))))))))</f>
        <v/>
      </c>
    </row>
    <row r="2478">
      <c r="A2478" s="5" t="n"/>
      <c r="B2478" s="6" t="n"/>
      <c r="C2478" s="5" t="n"/>
      <c r="D2478" s="6" t="n"/>
      <c r="E2478" s="7" t="n"/>
      <c r="F2478" s="6" t="n"/>
      <c r="G2478" s="8">
        <f>IF(B2478="","",IFERROR(VLOOKUP(--B2478,'CATALOGO CECO'!$A$2:$H$550,2,FALSE),"CECO NO EXISTE"))</f>
        <v/>
      </c>
      <c r="H2478" s="8">
        <f>IF(B2478="","",IFERROR(VLOOKUP(--B2478,'CATALOGO CECO'!$A$2:$H$550,3,FALSE),""))</f>
        <v/>
      </c>
      <c r="I2478" s="8">
        <f>IF(B2478="","",IFERROR(VLOOKUP(--B2478,'CATALOGO CECO'!$A$2:$H$550,5,FALSE),""))</f>
        <v/>
      </c>
      <c r="J2478" s="8">
        <f>IF(B2478="","",IFERROR(VLOOKUP(--B2478,'CATALOGO CECO'!$A$2:$H$550,8,FALSE),""))</f>
        <v/>
      </c>
      <c r="K2478" s="8">
        <f>IF(COUNTA(A2478:F2478)=0,"",IF(OR(LEN(A2478)&lt;&gt;7,MID(A2478,5,1)&lt;&gt;"-",ISERROR(--LEFT(A2478,4)),ISERROR(--RIGHT(A2478,2))),"ERROR: PERIODO debe ser AAAA-MM",IF(B2478="","ERROR: falta CODIGO CECO",IF(G2478="CECO NO EXISTE","ERROR: CECO no existe en el catálogo",IF(C2478="","ERROR: falta CUENTA",IF(ISERROR(--C2478),"ERROR: CUENTA debe tener solo dígitos",IF(ISERROR(FIND(LEFT(C2478,1),"567")),"ERROR: CUENTA fuera de las clases de costo",IF(NOT(ISNUMBER(E2478)),"ERROR: VALOR debe ser numérico",IF(E2478=0,"AVISO: valor cero (no se carga)",IF(J2478&lt;&gt;"ACTIVO","NO SE CARGA: CECO en estado "&amp;J2478,"OK"))))))))))</f>
        <v/>
      </c>
    </row>
    <row r="2479">
      <c r="A2479" s="5" t="n"/>
      <c r="B2479" s="6" t="n"/>
      <c r="C2479" s="5" t="n"/>
      <c r="D2479" s="6" t="n"/>
      <c r="E2479" s="7" t="n"/>
      <c r="F2479" s="6" t="n"/>
      <c r="G2479" s="8">
        <f>IF(B2479="","",IFERROR(VLOOKUP(--B2479,'CATALOGO CECO'!$A$2:$H$550,2,FALSE),"CECO NO EXISTE"))</f>
        <v/>
      </c>
      <c r="H2479" s="8">
        <f>IF(B2479="","",IFERROR(VLOOKUP(--B2479,'CATALOGO CECO'!$A$2:$H$550,3,FALSE),""))</f>
        <v/>
      </c>
      <c r="I2479" s="8">
        <f>IF(B2479="","",IFERROR(VLOOKUP(--B2479,'CATALOGO CECO'!$A$2:$H$550,5,FALSE),""))</f>
        <v/>
      </c>
      <c r="J2479" s="8">
        <f>IF(B2479="","",IFERROR(VLOOKUP(--B2479,'CATALOGO CECO'!$A$2:$H$550,8,FALSE),""))</f>
        <v/>
      </c>
      <c r="K2479" s="8">
        <f>IF(COUNTA(A2479:F2479)=0,"",IF(OR(LEN(A2479)&lt;&gt;7,MID(A2479,5,1)&lt;&gt;"-",ISERROR(--LEFT(A2479,4)),ISERROR(--RIGHT(A2479,2))),"ERROR: PERIODO debe ser AAAA-MM",IF(B2479="","ERROR: falta CODIGO CECO",IF(G2479="CECO NO EXISTE","ERROR: CECO no existe en el catálogo",IF(C2479="","ERROR: falta CUENTA",IF(ISERROR(--C2479),"ERROR: CUENTA debe tener solo dígitos",IF(ISERROR(FIND(LEFT(C2479,1),"567")),"ERROR: CUENTA fuera de las clases de costo",IF(NOT(ISNUMBER(E2479)),"ERROR: VALOR debe ser numérico",IF(E2479=0,"AVISO: valor cero (no se carga)",IF(J2479&lt;&gt;"ACTIVO","NO SE CARGA: CECO en estado "&amp;J2479,"OK"))))))))))</f>
        <v/>
      </c>
    </row>
    <row r="2480">
      <c r="A2480" s="5" t="n"/>
      <c r="B2480" s="6" t="n"/>
      <c r="C2480" s="5" t="n"/>
      <c r="D2480" s="6" t="n"/>
      <c r="E2480" s="7" t="n"/>
      <c r="F2480" s="6" t="n"/>
      <c r="G2480" s="8">
        <f>IF(B2480="","",IFERROR(VLOOKUP(--B2480,'CATALOGO CECO'!$A$2:$H$550,2,FALSE),"CECO NO EXISTE"))</f>
        <v/>
      </c>
      <c r="H2480" s="8">
        <f>IF(B2480="","",IFERROR(VLOOKUP(--B2480,'CATALOGO CECO'!$A$2:$H$550,3,FALSE),""))</f>
        <v/>
      </c>
      <c r="I2480" s="8">
        <f>IF(B2480="","",IFERROR(VLOOKUP(--B2480,'CATALOGO CECO'!$A$2:$H$550,5,FALSE),""))</f>
        <v/>
      </c>
      <c r="J2480" s="8">
        <f>IF(B2480="","",IFERROR(VLOOKUP(--B2480,'CATALOGO CECO'!$A$2:$H$550,8,FALSE),""))</f>
        <v/>
      </c>
      <c r="K2480" s="8">
        <f>IF(COUNTA(A2480:F2480)=0,"",IF(OR(LEN(A2480)&lt;&gt;7,MID(A2480,5,1)&lt;&gt;"-",ISERROR(--LEFT(A2480,4)),ISERROR(--RIGHT(A2480,2))),"ERROR: PERIODO debe ser AAAA-MM",IF(B2480="","ERROR: falta CODIGO CECO",IF(G2480="CECO NO EXISTE","ERROR: CECO no existe en el catálogo",IF(C2480="","ERROR: falta CUENTA",IF(ISERROR(--C2480),"ERROR: CUENTA debe tener solo dígitos",IF(ISERROR(FIND(LEFT(C2480,1),"567")),"ERROR: CUENTA fuera de las clases de costo",IF(NOT(ISNUMBER(E2480)),"ERROR: VALOR debe ser numérico",IF(E2480=0,"AVISO: valor cero (no se carga)",IF(J2480&lt;&gt;"ACTIVO","NO SE CARGA: CECO en estado "&amp;J2480,"OK"))))))))))</f>
        <v/>
      </c>
    </row>
    <row r="2481">
      <c r="A2481" s="5" t="n"/>
      <c r="B2481" s="6" t="n"/>
      <c r="C2481" s="5" t="n"/>
      <c r="D2481" s="6" t="n"/>
      <c r="E2481" s="7" t="n"/>
      <c r="F2481" s="6" t="n"/>
      <c r="G2481" s="8">
        <f>IF(B2481="","",IFERROR(VLOOKUP(--B2481,'CATALOGO CECO'!$A$2:$H$550,2,FALSE),"CECO NO EXISTE"))</f>
        <v/>
      </c>
      <c r="H2481" s="8">
        <f>IF(B2481="","",IFERROR(VLOOKUP(--B2481,'CATALOGO CECO'!$A$2:$H$550,3,FALSE),""))</f>
        <v/>
      </c>
      <c r="I2481" s="8">
        <f>IF(B2481="","",IFERROR(VLOOKUP(--B2481,'CATALOGO CECO'!$A$2:$H$550,5,FALSE),""))</f>
        <v/>
      </c>
      <c r="J2481" s="8">
        <f>IF(B2481="","",IFERROR(VLOOKUP(--B2481,'CATALOGO CECO'!$A$2:$H$550,8,FALSE),""))</f>
        <v/>
      </c>
      <c r="K2481" s="8">
        <f>IF(COUNTA(A2481:F2481)=0,"",IF(OR(LEN(A2481)&lt;&gt;7,MID(A2481,5,1)&lt;&gt;"-",ISERROR(--LEFT(A2481,4)),ISERROR(--RIGHT(A2481,2))),"ERROR: PERIODO debe ser AAAA-MM",IF(B2481="","ERROR: falta CODIGO CECO",IF(G2481="CECO NO EXISTE","ERROR: CECO no existe en el catálogo",IF(C2481="","ERROR: falta CUENTA",IF(ISERROR(--C2481),"ERROR: CUENTA debe tener solo dígitos",IF(ISERROR(FIND(LEFT(C2481,1),"567")),"ERROR: CUENTA fuera de las clases de costo",IF(NOT(ISNUMBER(E2481)),"ERROR: VALOR debe ser numérico",IF(E2481=0,"AVISO: valor cero (no se carga)",IF(J2481&lt;&gt;"ACTIVO","NO SE CARGA: CECO en estado "&amp;J2481,"OK"))))))))))</f>
        <v/>
      </c>
    </row>
    <row r="2482">
      <c r="A2482" s="5" t="n"/>
      <c r="B2482" s="6" t="n"/>
      <c r="C2482" s="5" t="n"/>
      <c r="D2482" s="6" t="n"/>
      <c r="E2482" s="7" t="n"/>
      <c r="F2482" s="6" t="n"/>
      <c r="G2482" s="8">
        <f>IF(B2482="","",IFERROR(VLOOKUP(--B2482,'CATALOGO CECO'!$A$2:$H$550,2,FALSE),"CECO NO EXISTE"))</f>
        <v/>
      </c>
      <c r="H2482" s="8">
        <f>IF(B2482="","",IFERROR(VLOOKUP(--B2482,'CATALOGO CECO'!$A$2:$H$550,3,FALSE),""))</f>
        <v/>
      </c>
      <c r="I2482" s="8">
        <f>IF(B2482="","",IFERROR(VLOOKUP(--B2482,'CATALOGO CECO'!$A$2:$H$550,5,FALSE),""))</f>
        <v/>
      </c>
      <c r="J2482" s="8">
        <f>IF(B2482="","",IFERROR(VLOOKUP(--B2482,'CATALOGO CECO'!$A$2:$H$550,8,FALSE),""))</f>
        <v/>
      </c>
      <c r="K2482" s="8">
        <f>IF(COUNTA(A2482:F2482)=0,"",IF(OR(LEN(A2482)&lt;&gt;7,MID(A2482,5,1)&lt;&gt;"-",ISERROR(--LEFT(A2482,4)),ISERROR(--RIGHT(A2482,2))),"ERROR: PERIODO debe ser AAAA-MM",IF(B2482="","ERROR: falta CODIGO CECO",IF(G2482="CECO NO EXISTE","ERROR: CECO no existe en el catálogo",IF(C2482="","ERROR: falta CUENTA",IF(ISERROR(--C2482),"ERROR: CUENTA debe tener solo dígitos",IF(ISERROR(FIND(LEFT(C2482,1),"567")),"ERROR: CUENTA fuera de las clases de costo",IF(NOT(ISNUMBER(E2482)),"ERROR: VALOR debe ser numérico",IF(E2482=0,"AVISO: valor cero (no se carga)",IF(J2482&lt;&gt;"ACTIVO","NO SE CARGA: CECO en estado "&amp;J2482,"OK"))))))))))</f>
        <v/>
      </c>
    </row>
    <row r="2483">
      <c r="A2483" s="5" t="n"/>
      <c r="B2483" s="6" t="n"/>
      <c r="C2483" s="5" t="n"/>
      <c r="D2483" s="6" t="n"/>
      <c r="E2483" s="7" t="n"/>
      <c r="F2483" s="6" t="n"/>
      <c r="G2483" s="8">
        <f>IF(B2483="","",IFERROR(VLOOKUP(--B2483,'CATALOGO CECO'!$A$2:$H$550,2,FALSE),"CECO NO EXISTE"))</f>
        <v/>
      </c>
      <c r="H2483" s="8">
        <f>IF(B2483="","",IFERROR(VLOOKUP(--B2483,'CATALOGO CECO'!$A$2:$H$550,3,FALSE),""))</f>
        <v/>
      </c>
      <c r="I2483" s="8">
        <f>IF(B2483="","",IFERROR(VLOOKUP(--B2483,'CATALOGO CECO'!$A$2:$H$550,5,FALSE),""))</f>
        <v/>
      </c>
      <c r="J2483" s="8">
        <f>IF(B2483="","",IFERROR(VLOOKUP(--B2483,'CATALOGO CECO'!$A$2:$H$550,8,FALSE),""))</f>
        <v/>
      </c>
      <c r="K2483" s="8">
        <f>IF(COUNTA(A2483:F2483)=0,"",IF(OR(LEN(A2483)&lt;&gt;7,MID(A2483,5,1)&lt;&gt;"-",ISERROR(--LEFT(A2483,4)),ISERROR(--RIGHT(A2483,2))),"ERROR: PERIODO debe ser AAAA-MM",IF(B2483="","ERROR: falta CODIGO CECO",IF(G2483="CECO NO EXISTE","ERROR: CECO no existe en el catálogo",IF(C2483="","ERROR: falta CUENTA",IF(ISERROR(--C2483),"ERROR: CUENTA debe tener solo dígitos",IF(ISERROR(FIND(LEFT(C2483,1),"567")),"ERROR: CUENTA fuera de las clases de costo",IF(NOT(ISNUMBER(E2483)),"ERROR: VALOR debe ser numérico",IF(E2483=0,"AVISO: valor cero (no se carga)",IF(J2483&lt;&gt;"ACTIVO","NO SE CARGA: CECO en estado "&amp;J2483,"OK"))))))))))</f>
        <v/>
      </c>
    </row>
    <row r="2484">
      <c r="A2484" s="5" t="n"/>
      <c r="B2484" s="6" t="n"/>
      <c r="C2484" s="5" t="n"/>
      <c r="D2484" s="6" t="n"/>
      <c r="E2484" s="7" t="n"/>
      <c r="F2484" s="6" t="n"/>
      <c r="G2484" s="8">
        <f>IF(B2484="","",IFERROR(VLOOKUP(--B2484,'CATALOGO CECO'!$A$2:$H$550,2,FALSE),"CECO NO EXISTE"))</f>
        <v/>
      </c>
      <c r="H2484" s="8">
        <f>IF(B2484="","",IFERROR(VLOOKUP(--B2484,'CATALOGO CECO'!$A$2:$H$550,3,FALSE),""))</f>
        <v/>
      </c>
      <c r="I2484" s="8">
        <f>IF(B2484="","",IFERROR(VLOOKUP(--B2484,'CATALOGO CECO'!$A$2:$H$550,5,FALSE),""))</f>
        <v/>
      </c>
      <c r="J2484" s="8">
        <f>IF(B2484="","",IFERROR(VLOOKUP(--B2484,'CATALOGO CECO'!$A$2:$H$550,8,FALSE),""))</f>
        <v/>
      </c>
      <c r="K2484" s="8">
        <f>IF(COUNTA(A2484:F2484)=0,"",IF(OR(LEN(A2484)&lt;&gt;7,MID(A2484,5,1)&lt;&gt;"-",ISERROR(--LEFT(A2484,4)),ISERROR(--RIGHT(A2484,2))),"ERROR: PERIODO debe ser AAAA-MM",IF(B2484="","ERROR: falta CODIGO CECO",IF(G2484="CECO NO EXISTE","ERROR: CECO no existe en el catálogo",IF(C2484="","ERROR: falta CUENTA",IF(ISERROR(--C2484),"ERROR: CUENTA debe tener solo dígitos",IF(ISERROR(FIND(LEFT(C2484,1),"567")),"ERROR: CUENTA fuera de las clases de costo",IF(NOT(ISNUMBER(E2484)),"ERROR: VALOR debe ser numérico",IF(E2484=0,"AVISO: valor cero (no se carga)",IF(J2484&lt;&gt;"ACTIVO","NO SE CARGA: CECO en estado "&amp;J2484,"OK"))))))))))</f>
        <v/>
      </c>
    </row>
    <row r="2485">
      <c r="A2485" s="5" t="n"/>
      <c r="B2485" s="6" t="n"/>
      <c r="C2485" s="5" t="n"/>
      <c r="D2485" s="6" t="n"/>
      <c r="E2485" s="7" t="n"/>
      <c r="F2485" s="6" t="n"/>
      <c r="G2485" s="8">
        <f>IF(B2485="","",IFERROR(VLOOKUP(--B2485,'CATALOGO CECO'!$A$2:$H$550,2,FALSE),"CECO NO EXISTE"))</f>
        <v/>
      </c>
      <c r="H2485" s="8">
        <f>IF(B2485="","",IFERROR(VLOOKUP(--B2485,'CATALOGO CECO'!$A$2:$H$550,3,FALSE),""))</f>
        <v/>
      </c>
      <c r="I2485" s="8">
        <f>IF(B2485="","",IFERROR(VLOOKUP(--B2485,'CATALOGO CECO'!$A$2:$H$550,5,FALSE),""))</f>
        <v/>
      </c>
      <c r="J2485" s="8">
        <f>IF(B2485="","",IFERROR(VLOOKUP(--B2485,'CATALOGO CECO'!$A$2:$H$550,8,FALSE),""))</f>
        <v/>
      </c>
      <c r="K2485" s="8">
        <f>IF(COUNTA(A2485:F2485)=0,"",IF(OR(LEN(A2485)&lt;&gt;7,MID(A2485,5,1)&lt;&gt;"-",ISERROR(--LEFT(A2485,4)),ISERROR(--RIGHT(A2485,2))),"ERROR: PERIODO debe ser AAAA-MM",IF(B2485="","ERROR: falta CODIGO CECO",IF(G2485="CECO NO EXISTE","ERROR: CECO no existe en el catálogo",IF(C2485="","ERROR: falta CUENTA",IF(ISERROR(--C2485),"ERROR: CUENTA debe tener solo dígitos",IF(ISERROR(FIND(LEFT(C2485,1),"567")),"ERROR: CUENTA fuera de las clases de costo",IF(NOT(ISNUMBER(E2485)),"ERROR: VALOR debe ser numérico",IF(E2485=0,"AVISO: valor cero (no se carga)",IF(J2485&lt;&gt;"ACTIVO","NO SE CARGA: CECO en estado "&amp;J2485,"OK"))))))))))</f>
        <v/>
      </c>
    </row>
    <row r="2486">
      <c r="A2486" s="5" t="n"/>
      <c r="B2486" s="6" t="n"/>
      <c r="C2486" s="5" t="n"/>
      <c r="D2486" s="6" t="n"/>
      <c r="E2486" s="7" t="n"/>
      <c r="F2486" s="6" t="n"/>
      <c r="G2486" s="8">
        <f>IF(B2486="","",IFERROR(VLOOKUP(--B2486,'CATALOGO CECO'!$A$2:$H$550,2,FALSE),"CECO NO EXISTE"))</f>
        <v/>
      </c>
      <c r="H2486" s="8">
        <f>IF(B2486="","",IFERROR(VLOOKUP(--B2486,'CATALOGO CECO'!$A$2:$H$550,3,FALSE),""))</f>
        <v/>
      </c>
      <c r="I2486" s="8">
        <f>IF(B2486="","",IFERROR(VLOOKUP(--B2486,'CATALOGO CECO'!$A$2:$H$550,5,FALSE),""))</f>
        <v/>
      </c>
      <c r="J2486" s="8">
        <f>IF(B2486="","",IFERROR(VLOOKUP(--B2486,'CATALOGO CECO'!$A$2:$H$550,8,FALSE),""))</f>
        <v/>
      </c>
      <c r="K2486" s="8">
        <f>IF(COUNTA(A2486:F2486)=0,"",IF(OR(LEN(A2486)&lt;&gt;7,MID(A2486,5,1)&lt;&gt;"-",ISERROR(--LEFT(A2486,4)),ISERROR(--RIGHT(A2486,2))),"ERROR: PERIODO debe ser AAAA-MM",IF(B2486="","ERROR: falta CODIGO CECO",IF(G2486="CECO NO EXISTE","ERROR: CECO no existe en el catálogo",IF(C2486="","ERROR: falta CUENTA",IF(ISERROR(--C2486),"ERROR: CUENTA debe tener solo dígitos",IF(ISERROR(FIND(LEFT(C2486,1),"567")),"ERROR: CUENTA fuera de las clases de costo",IF(NOT(ISNUMBER(E2486)),"ERROR: VALOR debe ser numérico",IF(E2486=0,"AVISO: valor cero (no se carga)",IF(J2486&lt;&gt;"ACTIVO","NO SE CARGA: CECO en estado "&amp;J2486,"OK"))))))))))</f>
        <v/>
      </c>
    </row>
    <row r="2487">
      <c r="A2487" s="5" t="n"/>
      <c r="B2487" s="6" t="n"/>
      <c r="C2487" s="5" t="n"/>
      <c r="D2487" s="6" t="n"/>
      <c r="E2487" s="7" t="n"/>
      <c r="F2487" s="6" t="n"/>
      <c r="G2487" s="8">
        <f>IF(B2487="","",IFERROR(VLOOKUP(--B2487,'CATALOGO CECO'!$A$2:$H$550,2,FALSE),"CECO NO EXISTE"))</f>
        <v/>
      </c>
      <c r="H2487" s="8">
        <f>IF(B2487="","",IFERROR(VLOOKUP(--B2487,'CATALOGO CECO'!$A$2:$H$550,3,FALSE),""))</f>
        <v/>
      </c>
      <c r="I2487" s="8">
        <f>IF(B2487="","",IFERROR(VLOOKUP(--B2487,'CATALOGO CECO'!$A$2:$H$550,5,FALSE),""))</f>
        <v/>
      </c>
      <c r="J2487" s="8">
        <f>IF(B2487="","",IFERROR(VLOOKUP(--B2487,'CATALOGO CECO'!$A$2:$H$550,8,FALSE),""))</f>
        <v/>
      </c>
      <c r="K2487" s="8">
        <f>IF(COUNTA(A2487:F2487)=0,"",IF(OR(LEN(A2487)&lt;&gt;7,MID(A2487,5,1)&lt;&gt;"-",ISERROR(--LEFT(A2487,4)),ISERROR(--RIGHT(A2487,2))),"ERROR: PERIODO debe ser AAAA-MM",IF(B2487="","ERROR: falta CODIGO CECO",IF(G2487="CECO NO EXISTE","ERROR: CECO no existe en el catálogo",IF(C2487="","ERROR: falta CUENTA",IF(ISERROR(--C2487),"ERROR: CUENTA debe tener solo dígitos",IF(ISERROR(FIND(LEFT(C2487,1),"567")),"ERROR: CUENTA fuera de las clases de costo",IF(NOT(ISNUMBER(E2487)),"ERROR: VALOR debe ser numérico",IF(E2487=0,"AVISO: valor cero (no se carga)",IF(J2487&lt;&gt;"ACTIVO","NO SE CARGA: CECO en estado "&amp;J2487,"OK"))))))))))</f>
        <v/>
      </c>
    </row>
    <row r="2488">
      <c r="A2488" s="5" t="n"/>
      <c r="B2488" s="6" t="n"/>
      <c r="C2488" s="5" t="n"/>
      <c r="D2488" s="6" t="n"/>
      <c r="E2488" s="7" t="n"/>
      <c r="F2488" s="6" t="n"/>
      <c r="G2488" s="8">
        <f>IF(B2488="","",IFERROR(VLOOKUP(--B2488,'CATALOGO CECO'!$A$2:$H$550,2,FALSE),"CECO NO EXISTE"))</f>
        <v/>
      </c>
      <c r="H2488" s="8">
        <f>IF(B2488="","",IFERROR(VLOOKUP(--B2488,'CATALOGO CECO'!$A$2:$H$550,3,FALSE),""))</f>
        <v/>
      </c>
      <c r="I2488" s="8">
        <f>IF(B2488="","",IFERROR(VLOOKUP(--B2488,'CATALOGO CECO'!$A$2:$H$550,5,FALSE),""))</f>
        <v/>
      </c>
      <c r="J2488" s="8">
        <f>IF(B2488="","",IFERROR(VLOOKUP(--B2488,'CATALOGO CECO'!$A$2:$H$550,8,FALSE),""))</f>
        <v/>
      </c>
      <c r="K2488" s="8">
        <f>IF(COUNTA(A2488:F2488)=0,"",IF(OR(LEN(A2488)&lt;&gt;7,MID(A2488,5,1)&lt;&gt;"-",ISERROR(--LEFT(A2488,4)),ISERROR(--RIGHT(A2488,2))),"ERROR: PERIODO debe ser AAAA-MM",IF(B2488="","ERROR: falta CODIGO CECO",IF(G2488="CECO NO EXISTE","ERROR: CECO no existe en el catálogo",IF(C2488="","ERROR: falta CUENTA",IF(ISERROR(--C2488),"ERROR: CUENTA debe tener solo dígitos",IF(ISERROR(FIND(LEFT(C2488,1),"567")),"ERROR: CUENTA fuera de las clases de costo",IF(NOT(ISNUMBER(E2488)),"ERROR: VALOR debe ser numérico",IF(E2488=0,"AVISO: valor cero (no se carga)",IF(J2488&lt;&gt;"ACTIVO","NO SE CARGA: CECO en estado "&amp;J2488,"OK"))))))))))</f>
        <v/>
      </c>
    </row>
    <row r="2489">
      <c r="A2489" s="5" t="n"/>
      <c r="B2489" s="6" t="n"/>
      <c r="C2489" s="5" t="n"/>
      <c r="D2489" s="6" t="n"/>
      <c r="E2489" s="7" t="n"/>
      <c r="F2489" s="6" t="n"/>
      <c r="G2489" s="8">
        <f>IF(B2489="","",IFERROR(VLOOKUP(--B2489,'CATALOGO CECO'!$A$2:$H$550,2,FALSE),"CECO NO EXISTE"))</f>
        <v/>
      </c>
      <c r="H2489" s="8">
        <f>IF(B2489="","",IFERROR(VLOOKUP(--B2489,'CATALOGO CECO'!$A$2:$H$550,3,FALSE),""))</f>
        <v/>
      </c>
      <c r="I2489" s="8">
        <f>IF(B2489="","",IFERROR(VLOOKUP(--B2489,'CATALOGO CECO'!$A$2:$H$550,5,FALSE),""))</f>
        <v/>
      </c>
      <c r="J2489" s="8">
        <f>IF(B2489="","",IFERROR(VLOOKUP(--B2489,'CATALOGO CECO'!$A$2:$H$550,8,FALSE),""))</f>
        <v/>
      </c>
      <c r="K2489" s="8">
        <f>IF(COUNTA(A2489:F2489)=0,"",IF(OR(LEN(A2489)&lt;&gt;7,MID(A2489,5,1)&lt;&gt;"-",ISERROR(--LEFT(A2489,4)),ISERROR(--RIGHT(A2489,2))),"ERROR: PERIODO debe ser AAAA-MM",IF(B2489="","ERROR: falta CODIGO CECO",IF(G2489="CECO NO EXISTE","ERROR: CECO no existe en el catálogo",IF(C2489="","ERROR: falta CUENTA",IF(ISERROR(--C2489),"ERROR: CUENTA debe tener solo dígitos",IF(ISERROR(FIND(LEFT(C2489,1),"567")),"ERROR: CUENTA fuera de las clases de costo",IF(NOT(ISNUMBER(E2489)),"ERROR: VALOR debe ser numérico",IF(E2489=0,"AVISO: valor cero (no se carga)",IF(J2489&lt;&gt;"ACTIVO","NO SE CARGA: CECO en estado "&amp;J2489,"OK"))))))))))</f>
        <v/>
      </c>
    </row>
    <row r="2490">
      <c r="A2490" s="5" t="n"/>
      <c r="B2490" s="6" t="n"/>
      <c r="C2490" s="5" t="n"/>
      <c r="D2490" s="6" t="n"/>
      <c r="E2490" s="7" t="n"/>
      <c r="F2490" s="6" t="n"/>
      <c r="G2490" s="8">
        <f>IF(B2490="","",IFERROR(VLOOKUP(--B2490,'CATALOGO CECO'!$A$2:$H$550,2,FALSE),"CECO NO EXISTE"))</f>
        <v/>
      </c>
      <c r="H2490" s="8">
        <f>IF(B2490="","",IFERROR(VLOOKUP(--B2490,'CATALOGO CECO'!$A$2:$H$550,3,FALSE),""))</f>
        <v/>
      </c>
      <c r="I2490" s="8">
        <f>IF(B2490="","",IFERROR(VLOOKUP(--B2490,'CATALOGO CECO'!$A$2:$H$550,5,FALSE),""))</f>
        <v/>
      </c>
      <c r="J2490" s="8">
        <f>IF(B2490="","",IFERROR(VLOOKUP(--B2490,'CATALOGO CECO'!$A$2:$H$550,8,FALSE),""))</f>
        <v/>
      </c>
      <c r="K2490" s="8">
        <f>IF(COUNTA(A2490:F2490)=0,"",IF(OR(LEN(A2490)&lt;&gt;7,MID(A2490,5,1)&lt;&gt;"-",ISERROR(--LEFT(A2490,4)),ISERROR(--RIGHT(A2490,2))),"ERROR: PERIODO debe ser AAAA-MM",IF(B2490="","ERROR: falta CODIGO CECO",IF(G2490="CECO NO EXISTE","ERROR: CECO no existe en el catálogo",IF(C2490="","ERROR: falta CUENTA",IF(ISERROR(--C2490),"ERROR: CUENTA debe tener solo dígitos",IF(ISERROR(FIND(LEFT(C2490,1),"567")),"ERROR: CUENTA fuera de las clases de costo",IF(NOT(ISNUMBER(E2490)),"ERROR: VALOR debe ser numérico",IF(E2490=0,"AVISO: valor cero (no se carga)",IF(J2490&lt;&gt;"ACTIVO","NO SE CARGA: CECO en estado "&amp;J2490,"OK"))))))))))</f>
        <v/>
      </c>
    </row>
    <row r="2491">
      <c r="A2491" s="5" t="n"/>
      <c r="B2491" s="6" t="n"/>
      <c r="C2491" s="5" t="n"/>
      <c r="D2491" s="6" t="n"/>
      <c r="E2491" s="7" t="n"/>
      <c r="F2491" s="6" t="n"/>
      <c r="G2491" s="8">
        <f>IF(B2491="","",IFERROR(VLOOKUP(--B2491,'CATALOGO CECO'!$A$2:$H$550,2,FALSE),"CECO NO EXISTE"))</f>
        <v/>
      </c>
      <c r="H2491" s="8">
        <f>IF(B2491="","",IFERROR(VLOOKUP(--B2491,'CATALOGO CECO'!$A$2:$H$550,3,FALSE),""))</f>
        <v/>
      </c>
      <c r="I2491" s="8">
        <f>IF(B2491="","",IFERROR(VLOOKUP(--B2491,'CATALOGO CECO'!$A$2:$H$550,5,FALSE),""))</f>
        <v/>
      </c>
      <c r="J2491" s="8">
        <f>IF(B2491="","",IFERROR(VLOOKUP(--B2491,'CATALOGO CECO'!$A$2:$H$550,8,FALSE),""))</f>
        <v/>
      </c>
      <c r="K2491" s="8">
        <f>IF(COUNTA(A2491:F2491)=0,"",IF(OR(LEN(A2491)&lt;&gt;7,MID(A2491,5,1)&lt;&gt;"-",ISERROR(--LEFT(A2491,4)),ISERROR(--RIGHT(A2491,2))),"ERROR: PERIODO debe ser AAAA-MM",IF(B2491="","ERROR: falta CODIGO CECO",IF(G2491="CECO NO EXISTE","ERROR: CECO no existe en el catálogo",IF(C2491="","ERROR: falta CUENTA",IF(ISERROR(--C2491),"ERROR: CUENTA debe tener solo dígitos",IF(ISERROR(FIND(LEFT(C2491,1),"567")),"ERROR: CUENTA fuera de las clases de costo",IF(NOT(ISNUMBER(E2491)),"ERROR: VALOR debe ser numérico",IF(E2491=0,"AVISO: valor cero (no se carga)",IF(J2491&lt;&gt;"ACTIVO","NO SE CARGA: CECO en estado "&amp;J2491,"OK"))))))))))</f>
        <v/>
      </c>
    </row>
    <row r="2492">
      <c r="A2492" s="5" t="n"/>
      <c r="B2492" s="6" t="n"/>
      <c r="C2492" s="5" t="n"/>
      <c r="D2492" s="6" t="n"/>
      <c r="E2492" s="7" t="n"/>
      <c r="F2492" s="6" t="n"/>
      <c r="G2492" s="8">
        <f>IF(B2492="","",IFERROR(VLOOKUP(--B2492,'CATALOGO CECO'!$A$2:$H$550,2,FALSE),"CECO NO EXISTE"))</f>
        <v/>
      </c>
      <c r="H2492" s="8">
        <f>IF(B2492="","",IFERROR(VLOOKUP(--B2492,'CATALOGO CECO'!$A$2:$H$550,3,FALSE),""))</f>
        <v/>
      </c>
      <c r="I2492" s="8">
        <f>IF(B2492="","",IFERROR(VLOOKUP(--B2492,'CATALOGO CECO'!$A$2:$H$550,5,FALSE),""))</f>
        <v/>
      </c>
      <c r="J2492" s="8">
        <f>IF(B2492="","",IFERROR(VLOOKUP(--B2492,'CATALOGO CECO'!$A$2:$H$550,8,FALSE),""))</f>
        <v/>
      </c>
      <c r="K2492" s="8">
        <f>IF(COUNTA(A2492:F2492)=0,"",IF(OR(LEN(A2492)&lt;&gt;7,MID(A2492,5,1)&lt;&gt;"-",ISERROR(--LEFT(A2492,4)),ISERROR(--RIGHT(A2492,2))),"ERROR: PERIODO debe ser AAAA-MM",IF(B2492="","ERROR: falta CODIGO CECO",IF(G2492="CECO NO EXISTE","ERROR: CECO no existe en el catálogo",IF(C2492="","ERROR: falta CUENTA",IF(ISERROR(--C2492),"ERROR: CUENTA debe tener solo dígitos",IF(ISERROR(FIND(LEFT(C2492,1),"567")),"ERROR: CUENTA fuera de las clases de costo",IF(NOT(ISNUMBER(E2492)),"ERROR: VALOR debe ser numérico",IF(E2492=0,"AVISO: valor cero (no se carga)",IF(J2492&lt;&gt;"ACTIVO","NO SE CARGA: CECO en estado "&amp;J2492,"OK"))))))))))</f>
        <v/>
      </c>
    </row>
    <row r="2493">
      <c r="A2493" s="5" t="n"/>
      <c r="B2493" s="6" t="n"/>
      <c r="C2493" s="5" t="n"/>
      <c r="D2493" s="6" t="n"/>
      <c r="E2493" s="7" t="n"/>
      <c r="F2493" s="6" t="n"/>
      <c r="G2493" s="8">
        <f>IF(B2493="","",IFERROR(VLOOKUP(--B2493,'CATALOGO CECO'!$A$2:$H$550,2,FALSE),"CECO NO EXISTE"))</f>
        <v/>
      </c>
      <c r="H2493" s="8">
        <f>IF(B2493="","",IFERROR(VLOOKUP(--B2493,'CATALOGO CECO'!$A$2:$H$550,3,FALSE),""))</f>
        <v/>
      </c>
      <c r="I2493" s="8">
        <f>IF(B2493="","",IFERROR(VLOOKUP(--B2493,'CATALOGO CECO'!$A$2:$H$550,5,FALSE),""))</f>
        <v/>
      </c>
      <c r="J2493" s="8">
        <f>IF(B2493="","",IFERROR(VLOOKUP(--B2493,'CATALOGO CECO'!$A$2:$H$550,8,FALSE),""))</f>
        <v/>
      </c>
      <c r="K2493" s="8">
        <f>IF(COUNTA(A2493:F2493)=0,"",IF(OR(LEN(A2493)&lt;&gt;7,MID(A2493,5,1)&lt;&gt;"-",ISERROR(--LEFT(A2493,4)),ISERROR(--RIGHT(A2493,2))),"ERROR: PERIODO debe ser AAAA-MM",IF(B2493="","ERROR: falta CODIGO CECO",IF(G2493="CECO NO EXISTE","ERROR: CECO no existe en el catálogo",IF(C2493="","ERROR: falta CUENTA",IF(ISERROR(--C2493),"ERROR: CUENTA debe tener solo dígitos",IF(ISERROR(FIND(LEFT(C2493,1),"567")),"ERROR: CUENTA fuera de las clases de costo",IF(NOT(ISNUMBER(E2493)),"ERROR: VALOR debe ser numérico",IF(E2493=0,"AVISO: valor cero (no se carga)",IF(J2493&lt;&gt;"ACTIVO","NO SE CARGA: CECO en estado "&amp;J2493,"OK"))))))))))</f>
        <v/>
      </c>
    </row>
    <row r="2494">
      <c r="A2494" s="5" t="n"/>
      <c r="B2494" s="6" t="n"/>
      <c r="C2494" s="5" t="n"/>
      <c r="D2494" s="6" t="n"/>
      <c r="E2494" s="7" t="n"/>
      <c r="F2494" s="6" t="n"/>
      <c r="G2494" s="8">
        <f>IF(B2494="","",IFERROR(VLOOKUP(--B2494,'CATALOGO CECO'!$A$2:$H$550,2,FALSE),"CECO NO EXISTE"))</f>
        <v/>
      </c>
      <c r="H2494" s="8">
        <f>IF(B2494="","",IFERROR(VLOOKUP(--B2494,'CATALOGO CECO'!$A$2:$H$550,3,FALSE),""))</f>
        <v/>
      </c>
      <c r="I2494" s="8">
        <f>IF(B2494="","",IFERROR(VLOOKUP(--B2494,'CATALOGO CECO'!$A$2:$H$550,5,FALSE),""))</f>
        <v/>
      </c>
      <c r="J2494" s="8">
        <f>IF(B2494="","",IFERROR(VLOOKUP(--B2494,'CATALOGO CECO'!$A$2:$H$550,8,FALSE),""))</f>
        <v/>
      </c>
      <c r="K2494" s="8">
        <f>IF(COUNTA(A2494:F2494)=0,"",IF(OR(LEN(A2494)&lt;&gt;7,MID(A2494,5,1)&lt;&gt;"-",ISERROR(--LEFT(A2494,4)),ISERROR(--RIGHT(A2494,2))),"ERROR: PERIODO debe ser AAAA-MM",IF(B2494="","ERROR: falta CODIGO CECO",IF(G2494="CECO NO EXISTE","ERROR: CECO no existe en el catálogo",IF(C2494="","ERROR: falta CUENTA",IF(ISERROR(--C2494),"ERROR: CUENTA debe tener solo dígitos",IF(ISERROR(FIND(LEFT(C2494,1),"567")),"ERROR: CUENTA fuera de las clases de costo",IF(NOT(ISNUMBER(E2494)),"ERROR: VALOR debe ser numérico",IF(E2494=0,"AVISO: valor cero (no se carga)",IF(J2494&lt;&gt;"ACTIVO","NO SE CARGA: CECO en estado "&amp;J2494,"OK"))))))))))</f>
        <v/>
      </c>
    </row>
    <row r="2495">
      <c r="A2495" s="5" t="n"/>
      <c r="B2495" s="6" t="n"/>
      <c r="C2495" s="5" t="n"/>
      <c r="D2495" s="6" t="n"/>
      <c r="E2495" s="7" t="n"/>
      <c r="F2495" s="6" t="n"/>
      <c r="G2495" s="8">
        <f>IF(B2495="","",IFERROR(VLOOKUP(--B2495,'CATALOGO CECO'!$A$2:$H$550,2,FALSE),"CECO NO EXISTE"))</f>
        <v/>
      </c>
      <c r="H2495" s="8">
        <f>IF(B2495="","",IFERROR(VLOOKUP(--B2495,'CATALOGO CECO'!$A$2:$H$550,3,FALSE),""))</f>
        <v/>
      </c>
      <c r="I2495" s="8">
        <f>IF(B2495="","",IFERROR(VLOOKUP(--B2495,'CATALOGO CECO'!$A$2:$H$550,5,FALSE),""))</f>
        <v/>
      </c>
      <c r="J2495" s="8">
        <f>IF(B2495="","",IFERROR(VLOOKUP(--B2495,'CATALOGO CECO'!$A$2:$H$550,8,FALSE),""))</f>
        <v/>
      </c>
      <c r="K2495" s="8">
        <f>IF(COUNTA(A2495:F2495)=0,"",IF(OR(LEN(A2495)&lt;&gt;7,MID(A2495,5,1)&lt;&gt;"-",ISERROR(--LEFT(A2495,4)),ISERROR(--RIGHT(A2495,2))),"ERROR: PERIODO debe ser AAAA-MM",IF(B2495="","ERROR: falta CODIGO CECO",IF(G2495="CECO NO EXISTE","ERROR: CECO no existe en el catálogo",IF(C2495="","ERROR: falta CUENTA",IF(ISERROR(--C2495),"ERROR: CUENTA debe tener solo dígitos",IF(ISERROR(FIND(LEFT(C2495,1),"567")),"ERROR: CUENTA fuera de las clases de costo",IF(NOT(ISNUMBER(E2495)),"ERROR: VALOR debe ser numérico",IF(E2495=0,"AVISO: valor cero (no se carga)",IF(J2495&lt;&gt;"ACTIVO","NO SE CARGA: CECO en estado "&amp;J2495,"OK"))))))))))</f>
        <v/>
      </c>
    </row>
    <row r="2496">
      <c r="A2496" s="5" t="n"/>
      <c r="B2496" s="6" t="n"/>
      <c r="C2496" s="5" t="n"/>
      <c r="D2496" s="6" t="n"/>
      <c r="E2496" s="7" t="n"/>
      <c r="F2496" s="6" t="n"/>
      <c r="G2496" s="8">
        <f>IF(B2496="","",IFERROR(VLOOKUP(--B2496,'CATALOGO CECO'!$A$2:$H$550,2,FALSE),"CECO NO EXISTE"))</f>
        <v/>
      </c>
      <c r="H2496" s="8">
        <f>IF(B2496="","",IFERROR(VLOOKUP(--B2496,'CATALOGO CECO'!$A$2:$H$550,3,FALSE),""))</f>
        <v/>
      </c>
      <c r="I2496" s="8">
        <f>IF(B2496="","",IFERROR(VLOOKUP(--B2496,'CATALOGO CECO'!$A$2:$H$550,5,FALSE),""))</f>
        <v/>
      </c>
      <c r="J2496" s="8">
        <f>IF(B2496="","",IFERROR(VLOOKUP(--B2496,'CATALOGO CECO'!$A$2:$H$550,8,FALSE),""))</f>
        <v/>
      </c>
      <c r="K2496" s="8">
        <f>IF(COUNTA(A2496:F2496)=0,"",IF(OR(LEN(A2496)&lt;&gt;7,MID(A2496,5,1)&lt;&gt;"-",ISERROR(--LEFT(A2496,4)),ISERROR(--RIGHT(A2496,2))),"ERROR: PERIODO debe ser AAAA-MM",IF(B2496="","ERROR: falta CODIGO CECO",IF(G2496="CECO NO EXISTE","ERROR: CECO no existe en el catálogo",IF(C2496="","ERROR: falta CUENTA",IF(ISERROR(--C2496),"ERROR: CUENTA debe tener solo dígitos",IF(ISERROR(FIND(LEFT(C2496,1),"567")),"ERROR: CUENTA fuera de las clases de costo",IF(NOT(ISNUMBER(E2496)),"ERROR: VALOR debe ser numérico",IF(E2496=0,"AVISO: valor cero (no se carga)",IF(J2496&lt;&gt;"ACTIVO","NO SE CARGA: CECO en estado "&amp;J2496,"OK"))))))))))</f>
        <v/>
      </c>
    </row>
    <row r="2497">
      <c r="A2497" s="5" t="n"/>
      <c r="B2497" s="6" t="n"/>
      <c r="C2497" s="5" t="n"/>
      <c r="D2497" s="6" t="n"/>
      <c r="E2497" s="7" t="n"/>
      <c r="F2497" s="6" t="n"/>
      <c r="G2497" s="8">
        <f>IF(B2497="","",IFERROR(VLOOKUP(--B2497,'CATALOGO CECO'!$A$2:$H$550,2,FALSE),"CECO NO EXISTE"))</f>
        <v/>
      </c>
      <c r="H2497" s="8">
        <f>IF(B2497="","",IFERROR(VLOOKUP(--B2497,'CATALOGO CECO'!$A$2:$H$550,3,FALSE),""))</f>
        <v/>
      </c>
      <c r="I2497" s="8">
        <f>IF(B2497="","",IFERROR(VLOOKUP(--B2497,'CATALOGO CECO'!$A$2:$H$550,5,FALSE),""))</f>
        <v/>
      </c>
      <c r="J2497" s="8">
        <f>IF(B2497="","",IFERROR(VLOOKUP(--B2497,'CATALOGO CECO'!$A$2:$H$550,8,FALSE),""))</f>
        <v/>
      </c>
      <c r="K2497" s="8">
        <f>IF(COUNTA(A2497:F2497)=0,"",IF(OR(LEN(A2497)&lt;&gt;7,MID(A2497,5,1)&lt;&gt;"-",ISERROR(--LEFT(A2497,4)),ISERROR(--RIGHT(A2497,2))),"ERROR: PERIODO debe ser AAAA-MM",IF(B2497="","ERROR: falta CODIGO CECO",IF(G2497="CECO NO EXISTE","ERROR: CECO no existe en el catálogo",IF(C2497="","ERROR: falta CUENTA",IF(ISERROR(--C2497),"ERROR: CUENTA debe tener solo dígitos",IF(ISERROR(FIND(LEFT(C2497,1),"567")),"ERROR: CUENTA fuera de las clases de costo",IF(NOT(ISNUMBER(E2497)),"ERROR: VALOR debe ser numérico",IF(E2497=0,"AVISO: valor cero (no se carga)",IF(J2497&lt;&gt;"ACTIVO","NO SE CARGA: CECO en estado "&amp;J2497,"OK"))))))))))</f>
        <v/>
      </c>
    </row>
    <row r="2498">
      <c r="A2498" s="5" t="n"/>
      <c r="B2498" s="6" t="n"/>
      <c r="C2498" s="5" t="n"/>
      <c r="D2498" s="6" t="n"/>
      <c r="E2498" s="7" t="n"/>
      <c r="F2498" s="6" t="n"/>
      <c r="G2498" s="8">
        <f>IF(B2498="","",IFERROR(VLOOKUP(--B2498,'CATALOGO CECO'!$A$2:$H$550,2,FALSE),"CECO NO EXISTE"))</f>
        <v/>
      </c>
      <c r="H2498" s="8">
        <f>IF(B2498="","",IFERROR(VLOOKUP(--B2498,'CATALOGO CECO'!$A$2:$H$550,3,FALSE),""))</f>
        <v/>
      </c>
      <c r="I2498" s="8">
        <f>IF(B2498="","",IFERROR(VLOOKUP(--B2498,'CATALOGO CECO'!$A$2:$H$550,5,FALSE),""))</f>
        <v/>
      </c>
      <c r="J2498" s="8">
        <f>IF(B2498="","",IFERROR(VLOOKUP(--B2498,'CATALOGO CECO'!$A$2:$H$550,8,FALSE),""))</f>
        <v/>
      </c>
      <c r="K2498" s="8">
        <f>IF(COUNTA(A2498:F2498)=0,"",IF(OR(LEN(A2498)&lt;&gt;7,MID(A2498,5,1)&lt;&gt;"-",ISERROR(--LEFT(A2498,4)),ISERROR(--RIGHT(A2498,2))),"ERROR: PERIODO debe ser AAAA-MM",IF(B2498="","ERROR: falta CODIGO CECO",IF(G2498="CECO NO EXISTE","ERROR: CECO no existe en el catálogo",IF(C2498="","ERROR: falta CUENTA",IF(ISERROR(--C2498),"ERROR: CUENTA debe tener solo dígitos",IF(ISERROR(FIND(LEFT(C2498,1),"567")),"ERROR: CUENTA fuera de las clases de costo",IF(NOT(ISNUMBER(E2498)),"ERROR: VALOR debe ser numérico",IF(E2498=0,"AVISO: valor cero (no se carga)",IF(J2498&lt;&gt;"ACTIVO","NO SE CARGA: CECO en estado "&amp;J2498,"OK"))))))))))</f>
        <v/>
      </c>
    </row>
    <row r="2499">
      <c r="A2499" s="5" t="n"/>
      <c r="B2499" s="6" t="n"/>
      <c r="C2499" s="5" t="n"/>
      <c r="D2499" s="6" t="n"/>
      <c r="E2499" s="7" t="n"/>
      <c r="F2499" s="6" t="n"/>
      <c r="G2499" s="8">
        <f>IF(B2499="","",IFERROR(VLOOKUP(--B2499,'CATALOGO CECO'!$A$2:$H$550,2,FALSE),"CECO NO EXISTE"))</f>
        <v/>
      </c>
      <c r="H2499" s="8">
        <f>IF(B2499="","",IFERROR(VLOOKUP(--B2499,'CATALOGO CECO'!$A$2:$H$550,3,FALSE),""))</f>
        <v/>
      </c>
      <c r="I2499" s="8">
        <f>IF(B2499="","",IFERROR(VLOOKUP(--B2499,'CATALOGO CECO'!$A$2:$H$550,5,FALSE),""))</f>
        <v/>
      </c>
      <c r="J2499" s="8">
        <f>IF(B2499="","",IFERROR(VLOOKUP(--B2499,'CATALOGO CECO'!$A$2:$H$550,8,FALSE),""))</f>
        <v/>
      </c>
      <c r="K2499" s="8">
        <f>IF(COUNTA(A2499:F2499)=0,"",IF(OR(LEN(A2499)&lt;&gt;7,MID(A2499,5,1)&lt;&gt;"-",ISERROR(--LEFT(A2499,4)),ISERROR(--RIGHT(A2499,2))),"ERROR: PERIODO debe ser AAAA-MM",IF(B2499="","ERROR: falta CODIGO CECO",IF(G2499="CECO NO EXISTE","ERROR: CECO no existe en el catálogo",IF(C2499="","ERROR: falta CUENTA",IF(ISERROR(--C2499),"ERROR: CUENTA debe tener solo dígitos",IF(ISERROR(FIND(LEFT(C2499,1),"567")),"ERROR: CUENTA fuera de las clases de costo",IF(NOT(ISNUMBER(E2499)),"ERROR: VALOR debe ser numérico",IF(E2499=0,"AVISO: valor cero (no se carga)",IF(J2499&lt;&gt;"ACTIVO","NO SE CARGA: CECO en estado "&amp;J2499,"OK"))))))))))</f>
        <v/>
      </c>
    </row>
    <row r="2500">
      <c r="A2500" s="5" t="n"/>
      <c r="B2500" s="6" t="n"/>
      <c r="C2500" s="5" t="n"/>
      <c r="D2500" s="6" t="n"/>
      <c r="E2500" s="7" t="n"/>
      <c r="F2500" s="6" t="n"/>
      <c r="G2500" s="8">
        <f>IF(B2500="","",IFERROR(VLOOKUP(--B2500,'CATALOGO CECO'!$A$2:$H$550,2,FALSE),"CECO NO EXISTE"))</f>
        <v/>
      </c>
      <c r="H2500" s="8">
        <f>IF(B2500="","",IFERROR(VLOOKUP(--B2500,'CATALOGO CECO'!$A$2:$H$550,3,FALSE),""))</f>
        <v/>
      </c>
      <c r="I2500" s="8">
        <f>IF(B2500="","",IFERROR(VLOOKUP(--B2500,'CATALOGO CECO'!$A$2:$H$550,5,FALSE),""))</f>
        <v/>
      </c>
      <c r="J2500" s="8">
        <f>IF(B2500="","",IFERROR(VLOOKUP(--B2500,'CATALOGO CECO'!$A$2:$H$550,8,FALSE),""))</f>
        <v/>
      </c>
      <c r="K2500" s="8">
        <f>IF(COUNTA(A2500:F2500)=0,"",IF(OR(LEN(A2500)&lt;&gt;7,MID(A2500,5,1)&lt;&gt;"-",ISERROR(--LEFT(A2500,4)),ISERROR(--RIGHT(A2500,2))),"ERROR: PERIODO debe ser AAAA-MM",IF(B2500="","ERROR: falta CODIGO CECO",IF(G2500="CECO NO EXISTE","ERROR: CECO no existe en el catálogo",IF(C2500="","ERROR: falta CUENTA",IF(ISERROR(--C2500),"ERROR: CUENTA debe tener solo dígitos",IF(ISERROR(FIND(LEFT(C2500,1),"567")),"ERROR: CUENTA fuera de las clases de costo",IF(NOT(ISNUMBER(E2500)),"ERROR: VALOR debe ser numérico",IF(E2500=0,"AVISO: valor cero (no se carga)",IF(J2500&lt;&gt;"ACTIVO","NO SE CARGA: CECO en estado "&amp;J2500,"OK"))))))))))</f>
        <v/>
      </c>
    </row>
    <row r="2501">
      <c r="A2501" s="5" t="n"/>
      <c r="B2501" s="6" t="n"/>
      <c r="C2501" s="5" t="n"/>
      <c r="D2501" s="6" t="n"/>
      <c r="E2501" s="7" t="n"/>
      <c r="F2501" s="6" t="n"/>
      <c r="G2501" s="8">
        <f>IF(B2501="","",IFERROR(VLOOKUP(--B2501,'CATALOGO CECO'!$A$2:$H$550,2,FALSE),"CECO NO EXISTE"))</f>
        <v/>
      </c>
      <c r="H2501" s="8">
        <f>IF(B2501="","",IFERROR(VLOOKUP(--B2501,'CATALOGO CECO'!$A$2:$H$550,3,FALSE),""))</f>
        <v/>
      </c>
      <c r="I2501" s="8">
        <f>IF(B2501="","",IFERROR(VLOOKUP(--B2501,'CATALOGO CECO'!$A$2:$H$550,5,FALSE),""))</f>
        <v/>
      </c>
      <c r="J2501" s="8">
        <f>IF(B2501="","",IFERROR(VLOOKUP(--B2501,'CATALOGO CECO'!$A$2:$H$550,8,FALSE),""))</f>
        <v/>
      </c>
      <c r="K2501" s="8">
        <f>IF(COUNTA(A2501:F2501)=0,"",IF(OR(LEN(A2501)&lt;&gt;7,MID(A2501,5,1)&lt;&gt;"-",ISERROR(--LEFT(A2501,4)),ISERROR(--RIGHT(A2501,2))),"ERROR: PERIODO debe ser AAAA-MM",IF(B2501="","ERROR: falta CODIGO CECO",IF(G2501="CECO NO EXISTE","ERROR: CECO no existe en el catálogo",IF(C2501="","ERROR: falta CUENTA",IF(ISERROR(--C2501),"ERROR: CUENTA debe tener solo dígitos",IF(ISERROR(FIND(LEFT(C2501,1),"567")),"ERROR: CUENTA fuera de las clases de costo",IF(NOT(ISNUMBER(E2501)),"ERROR: VALOR debe ser numérico",IF(E2501=0,"AVISO: valor cero (no se carga)",IF(J2501&lt;&gt;"ACTIVO","NO SE CARGA: CECO en estado "&amp;J2501,"OK"))))))))))</f>
        <v/>
      </c>
    </row>
    <row r="2502">
      <c r="A2502" s="5" t="n"/>
      <c r="B2502" s="6" t="n"/>
      <c r="C2502" s="5" t="n"/>
      <c r="D2502" s="6" t="n"/>
      <c r="E2502" s="7" t="n"/>
      <c r="F2502" s="6" t="n"/>
      <c r="G2502" s="8">
        <f>IF(B2502="","",IFERROR(VLOOKUP(--B2502,'CATALOGO CECO'!$A$2:$H$550,2,FALSE),"CECO NO EXISTE"))</f>
        <v/>
      </c>
      <c r="H2502" s="8">
        <f>IF(B2502="","",IFERROR(VLOOKUP(--B2502,'CATALOGO CECO'!$A$2:$H$550,3,FALSE),""))</f>
        <v/>
      </c>
      <c r="I2502" s="8">
        <f>IF(B2502="","",IFERROR(VLOOKUP(--B2502,'CATALOGO CECO'!$A$2:$H$550,5,FALSE),""))</f>
        <v/>
      </c>
      <c r="J2502" s="8">
        <f>IF(B2502="","",IFERROR(VLOOKUP(--B2502,'CATALOGO CECO'!$A$2:$H$550,8,FALSE),""))</f>
        <v/>
      </c>
      <c r="K2502" s="8">
        <f>IF(COUNTA(A2502:F2502)=0,"",IF(OR(LEN(A2502)&lt;&gt;7,MID(A2502,5,1)&lt;&gt;"-",ISERROR(--LEFT(A2502,4)),ISERROR(--RIGHT(A2502,2))),"ERROR: PERIODO debe ser AAAA-MM",IF(B2502="","ERROR: falta CODIGO CECO",IF(G2502="CECO NO EXISTE","ERROR: CECO no existe en el catálogo",IF(C2502="","ERROR: falta CUENTA",IF(ISERROR(--C2502),"ERROR: CUENTA debe tener solo dígitos",IF(ISERROR(FIND(LEFT(C2502,1),"567")),"ERROR: CUENTA fuera de las clases de costo",IF(NOT(ISNUMBER(E2502)),"ERROR: VALOR debe ser numérico",IF(E2502=0,"AVISO: valor cero (no se carga)",IF(J2502&lt;&gt;"ACTIVO","NO SE CARGA: CECO en estado "&amp;J2502,"OK"))))))))))</f>
        <v/>
      </c>
    </row>
    <row r="2503">
      <c r="A2503" s="5" t="n"/>
      <c r="B2503" s="6" t="n"/>
      <c r="C2503" s="5" t="n"/>
      <c r="D2503" s="6" t="n"/>
      <c r="E2503" s="7" t="n"/>
      <c r="F2503" s="6" t="n"/>
      <c r="G2503" s="8">
        <f>IF(B2503="","",IFERROR(VLOOKUP(--B2503,'CATALOGO CECO'!$A$2:$H$550,2,FALSE),"CECO NO EXISTE"))</f>
        <v/>
      </c>
      <c r="H2503" s="8">
        <f>IF(B2503="","",IFERROR(VLOOKUP(--B2503,'CATALOGO CECO'!$A$2:$H$550,3,FALSE),""))</f>
        <v/>
      </c>
      <c r="I2503" s="8">
        <f>IF(B2503="","",IFERROR(VLOOKUP(--B2503,'CATALOGO CECO'!$A$2:$H$550,5,FALSE),""))</f>
        <v/>
      </c>
      <c r="J2503" s="8">
        <f>IF(B2503="","",IFERROR(VLOOKUP(--B2503,'CATALOGO CECO'!$A$2:$H$550,8,FALSE),""))</f>
        <v/>
      </c>
      <c r="K2503" s="8">
        <f>IF(COUNTA(A2503:F2503)=0,"",IF(OR(LEN(A2503)&lt;&gt;7,MID(A2503,5,1)&lt;&gt;"-",ISERROR(--LEFT(A2503,4)),ISERROR(--RIGHT(A2503,2))),"ERROR: PERIODO debe ser AAAA-MM",IF(B2503="","ERROR: falta CODIGO CECO",IF(G2503="CECO NO EXISTE","ERROR: CECO no existe en el catálogo",IF(C2503="","ERROR: falta CUENTA",IF(ISERROR(--C2503),"ERROR: CUENTA debe tener solo dígitos",IF(ISERROR(FIND(LEFT(C2503,1),"567")),"ERROR: CUENTA fuera de las clases de costo",IF(NOT(ISNUMBER(E2503)),"ERROR: VALOR debe ser numérico",IF(E2503=0,"AVISO: valor cero (no se carga)",IF(J2503&lt;&gt;"ACTIVO","NO SE CARGA: CECO en estado "&amp;J2503,"OK"))))))))))</f>
        <v/>
      </c>
    </row>
    <row r="2504">
      <c r="A2504" s="5" t="n"/>
      <c r="B2504" s="6" t="n"/>
      <c r="C2504" s="5" t="n"/>
      <c r="D2504" s="6" t="n"/>
      <c r="E2504" s="7" t="n"/>
      <c r="F2504" s="6" t="n"/>
      <c r="G2504" s="8">
        <f>IF(B2504="","",IFERROR(VLOOKUP(--B2504,'CATALOGO CECO'!$A$2:$H$550,2,FALSE),"CECO NO EXISTE"))</f>
        <v/>
      </c>
      <c r="H2504" s="8">
        <f>IF(B2504="","",IFERROR(VLOOKUP(--B2504,'CATALOGO CECO'!$A$2:$H$550,3,FALSE),""))</f>
        <v/>
      </c>
      <c r="I2504" s="8">
        <f>IF(B2504="","",IFERROR(VLOOKUP(--B2504,'CATALOGO CECO'!$A$2:$H$550,5,FALSE),""))</f>
        <v/>
      </c>
      <c r="J2504" s="8">
        <f>IF(B2504="","",IFERROR(VLOOKUP(--B2504,'CATALOGO CECO'!$A$2:$H$550,8,FALSE),""))</f>
        <v/>
      </c>
      <c r="K2504" s="8">
        <f>IF(COUNTA(A2504:F2504)=0,"",IF(OR(LEN(A2504)&lt;&gt;7,MID(A2504,5,1)&lt;&gt;"-",ISERROR(--LEFT(A2504,4)),ISERROR(--RIGHT(A2504,2))),"ERROR: PERIODO debe ser AAAA-MM",IF(B2504="","ERROR: falta CODIGO CECO",IF(G2504="CECO NO EXISTE","ERROR: CECO no existe en el catálogo",IF(C2504="","ERROR: falta CUENTA",IF(ISERROR(--C2504),"ERROR: CUENTA debe tener solo dígitos",IF(ISERROR(FIND(LEFT(C2504,1),"567")),"ERROR: CUENTA fuera de las clases de costo",IF(NOT(ISNUMBER(E2504)),"ERROR: VALOR debe ser numérico",IF(E2504=0,"AVISO: valor cero (no se carga)",IF(J2504&lt;&gt;"ACTIVO","NO SE CARGA: CECO en estado "&amp;J2504,"OK"))))))))))</f>
        <v/>
      </c>
    </row>
    <row r="2505">
      <c r="A2505" s="5" t="n"/>
      <c r="B2505" s="6" t="n"/>
      <c r="C2505" s="5" t="n"/>
      <c r="D2505" s="6" t="n"/>
      <c r="E2505" s="7" t="n"/>
      <c r="F2505" s="6" t="n"/>
      <c r="G2505" s="8">
        <f>IF(B2505="","",IFERROR(VLOOKUP(--B2505,'CATALOGO CECO'!$A$2:$H$550,2,FALSE),"CECO NO EXISTE"))</f>
        <v/>
      </c>
      <c r="H2505" s="8">
        <f>IF(B2505="","",IFERROR(VLOOKUP(--B2505,'CATALOGO CECO'!$A$2:$H$550,3,FALSE),""))</f>
        <v/>
      </c>
      <c r="I2505" s="8">
        <f>IF(B2505="","",IFERROR(VLOOKUP(--B2505,'CATALOGO CECO'!$A$2:$H$550,5,FALSE),""))</f>
        <v/>
      </c>
      <c r="J2505" s="8">
        <f>IF(B2505="","",IFERROR(VLOOKUP(--B2505,'CATALOGO CECO'!$A$2:$H$550,8,FALSE),""))</f>
        <v/>
      </c>
      <c r="K2505" s="8">
        <f>IF(COUNTA(A2505:F2505)=0,"",IF(OR(LEN(A2505)&lt;&gt;7,MID(A2505,5,1)&lt;&gt;"-",ISERROR(--LEFT(A2505,4)),ISERROR(--RIGHT(A2505,2))),"ERROR: PERIODO debe ser AAAA-MM",IF(B2505="","ERROR: falta CODIGO CECO",IF(G2505="CECO NO EXISTE","ERROR: CECO no existe en el catálogo",IF(C2505="","ERROR: falta CUENTA",IF(ISERROR(--C2505),"ERROR: CUENTA debe tener solo dígitos",IF(ISERROR(FIND(LEFT(C2505,1),"567")),"ERROR: CUENTA fuera de las clases de costo",IF(NOT(ISNUMBER(E2505)),"ERROR: VALOR debe ser numérico",IF(E2505=0,"AVISO: valor cero (no se carga)",IF(J2505&lt;&gt;"ACTIVO","NO SE CARGA: CECO en estado "&amp;J2505,"OK"))))))))))</f>
        <v/>
      </c>
    </row>
    <row r="2506">
      <c r="A2506" s="5" t="n"/>
      <c r="B2506" s="6" t="n"/>
      <c r="C2506" s="5" t="n"/>
      <c r="D2506" s="6" t="n"/>
      <c r="E2506" s="7" t="n"/>
      <c r="F2506" s="6" t="n"/>
      <c r="G2506" s="8">
        <f>IF(B2506="","",IFERROR(VLOOKUP(--B2506,'CATALOGO CECO'!$A$2:$H$550,2,FALSE),"CECO NO EXISTE"))</f>
        <v/>
      </c>
      <c r="H2506" s="8">
        <f>IF(B2506="","",IFERROR(VLOOKUP(--B2506,'CATALOGO CECO'!$A$2:$H$550,3,FALSE),""))</f>
        <v/>
      </c>
      <c r="I2506" s="8">
        <f>IF(B2506="","",IFERROR(VLOOKUP(--B2506,'CATALOGO CECO'!$A$2:$H$550,5,FALSE),""))</f>
        <v/>
      </c>
      <c r="J2506" s="8">
        <f>IF(B2506="","",IFERROR(VLOOKUP(--B2506,'CATALOGO CECO'!$A$2:$H$550,8,FALSE),""))</f>
        <v/>
      </c>
      <c r="K2506" s="8">
        <f>IF(COUNTA(A2506:F2506)=0,"",IF(OR(LEN(A2506)&lt;&gt;7,MID(A2506,5,1)&lt;&gt;"-",ISERROR(--LEFT(A2506,4)),ISERROR(--RIGHT(A2506,2))),"ERROR: PERIODO debe ser AAAA-MM",IF(B2506="","ERROR: falta CODIGO CECO",IF(G2506="CECO NO EXISTE","ERROR: CECO no existe en el catálogo",IF(C2506="","ERROR: falta CUENTA",IF(ISERROR(--C2506),"ERROR: CUENTA debe tener solo dígitos",IF(ISERROR(FIND(LEFT(C2506,1),"567")),"ERROR: CUENTA fuera de las clases de costo",IF(NOT(ISNUMBER(E2506)),"ERROR: VALOR debe ser numérico",IF(E2506=0,"AVISO: valor cero (no se carga)",IF(J2506&lt;&gt;"ACTIVO","NO SE CARGA: CECO en estado "&amp;J2506,"OK"))))))))))</f>
        <v/>
      </c>
    </row>
    <row r="2507">
      <c r="A2507" s="5" t="n"/>
      <c r="B2507" s="6" t="n"/>
      <c r="C2507" s="5" t="n"/>
      <c r="D2507" s="6" t="n"/>
      <c r="E2507" s="7" t="n"/>
      <c r="F2507" s="6" t="n"/>
      <c r="G2507" s="8">
        <f>IF(B2507="","",IFERROR(VLOOKUP(--B2507,'CATALOGO CECO'!$A$2:$H$550,2,FALSE),"CECO NO EXISTE"))</f>
        <v/>
      </c>
      <c r="H2507" s="8">
        <f>IF(B2507="","",IFERROR(VLOOKUP(--B2507,'CATALOGO CECO'!$A$2:$H$550,3,FALSE),""))</f>
        <v/>
      </c>
      <c r="I2507" s="8">
        <f>IF(B2507="","",IFERROR(VLOOKUP(--B2507,'CATALOGO CECO'!$A$2:$H$550,5,FALSE),""))</f>
        <v/>
      </c>
      <c r="J2507" s="8">
        <f>IF(B2507="","",IFERROR(VLOOKUP(--B2507,'CATALOGO CECO'!$A$2:$H$550,8,FALSE),""))</f>
        <v/>
      </c>
      <c r="K2507" s="8">
        <f>IF(COUNTA(A2507:F2507)=0,"",IF(OR(LEN(A2507)&lt;&gt;7,MID(A2507,5,1)&lt;&gt;"-",ISERROR(--LEFT(A2507,4)),ISERROR(--RIGHT(A2507,2))),"ERROR: PERIODO debe ser AAAA-MM",IF(B2507="","ERROR: falta CODIGO CECO",IF(G2507="CECO NO EXISTE","ERROR: CECO no existe en el catálogo",IF(C2507="","ERROR: falta CUENTA",IF(ISERROR(--C2507),"ERROR: CUENTA debe tener solo dígitos",IF(ISERROR(FIND(LEFT(C2507,1),"567")),"ERROR: CUENTA fuera de las clases de costo",IF(NOT(ISNUMBER(E2507)),"ERROR: VALOR debe ser numérico",IF(E2507=0,"AVISO: valor cero (no se carga)",IF(J2507&lt;&gt;"ACTIVO","NO SE CARGA: CECO en estado "&amp;J2507,"OK"))))))))))</f>
        <v/>
      </c>
    </row>
    <row r="2508">
      <c r="A2508" s="5" t="n"/>
      <c r="B2508" s="6" t="n"/>
      <c r="C2508" s="5" t="n"/>
      <c r="D2508" s="6" t="n"/>
      <c r="E2508" s="7" t="n"/>
      <c r="F2508" s="6" t="n"/>
      <c r="G2508" s="8">
        <f>IF(B2508="","",IFERROR(VLOOKUP(--B2508,'CATALOGO CECO'!$A$2:$H$550,2,FALSE),"CECO NO EXISTE"))</f>
        <v/>
      </c>
      <c r="H2508" s="8">
        <f>IF(B2508="","",IFERROR(VLOOKUP(--B2508,'CATALOGO CECO'!$A$2:$H$550,3,FALSE),""))</f>
        <v/>
      </c>
      <c r="I2508" s="8">
        <f>IF(B2508="","",IFERROR(VLOOKUP(--B2508,'CATALOGO CECO'!$A$2:$H$550,5,FALSE),""))</f>
        <v/>
      </c>
      <c r="J2508" s="8">
        <f>IF(B2508="","",IFERROR(VLOOKUP(--B2508,'CATALOGO CECO'!$A$2:$H$550,8,FALSE),""))</f>
        <v/>
      </c>
      <c r="K2508" s="8">
        <f>IF(COUNTA(A2508:F2508)=0,"",IF(OR(LEN(A2508)&lt;&gt;7,MID(A2508,5,1)&lt;&gt;"-",ISERROR(--LEFT(A2508,4)),ISERROR(--RIGHT(A2508,2))),"ERROR: PERIODO debe ser AAAA-MM",IF(B2508="","ERROR: falta CODIGO CECO",IF(G2508="CECO NO EXISTE","ERROR: CECO no existe en el catálogo",IF(C2508="","ERROR: falta CUENTA",IF(ISERROR(--C2508),"ERROR: CUENTA debe tener solo dígitos",IF(ISERROR(FIND(LEFT(C2508,1),"567")),"ERROR: CUENTA fuera de las clases de costo",IF(NOT(ISNUMBER(E2508)),"ERROR: VALOR debe ser numérico",IF(E2508=0,"AVISO: valor cero (no se carga)",IF(J2508&lt;&gt;"ACTIVO","NO SE CARGA: CECO en estado "&amp;J2508,"OK"))))))))))</f>
        <v/>
      </c>
    </row>
    <row r="2509">
      <c r="A2509" s="5" t="n"/>
      <c r="B2509" s="6" t="n"/>
      <c r="C2509" s="5" t="n"/>
      <c r="D2509" s="6" t="n"/>
      <c r="E2509" s="7" t="n"/>
      <c r="F2509" s="6" t="n"/>
      <c r="G2509" s="8">
        <f>IF(B2509="","",IFERROR(VLOOKUP(--B2509,'CATALOGO CECO'!$A$2:$H$550,2,FALSE),"CECO NO EXISTE"))</f>
        <v/>
      </c>
      <c r="H2509" s="8">
        <f>IF(B2509="","",IFERROR(VLOOKUP(--B2509,'CATALOGO CECO'!$A$2:$H$550,3,FALSE),""))</f>
        <v/>
      </c>
      <c r="I2509" s="8">
        <f>IF(B2509="","",IFERROR(VLOOKUP(--B2509,'CATALOGO CECO'!$A$2:$H$550,5,FALSE),""))</f>
        <v/>
      </c>
      <c r="J2509" s="8">
        <f>IF(B2509="","",IFERROR(VLOOKUP(--B2509,'CATALOGO CECO'!$A$2:$H$550,8,FALSE),""))</f>
        <v/>
      </c>
      <c r="K2509" s="8">
        <f>IF(COUNTA(A2509:F2509)=0,"",IF(OR(LEN(A2509)&lt;&gt;7,MID(A2509,5,1)&lt;&gt;"-",ISERROR(--LEFT(A2509,4)),ISERROR(--RIGHT(A2509,2))),"ERROR: PERIODO debe ser AAAA-MM",IF(B2509="","ERROR: falta CODIGO CECO",IF(G2509="CECO NO EXISTE","ERROR: CECO no existe en el catálogo",IF(C2509="","ERROR: falta CUENTA",IF(ISERROR(--C2509),"ERROR: CUENTA debe tener solo dígitos",IF(ISERROR(FIND(LEFT(C2509,1),"567")),"ERROR: CUENTA fuera de las clases de costo",IF(NOT(ISNUMBER(E2509)),"ERROR: VALOR debe ser numérico",IF(E2509=0,"AVISO: valor cero (no se carga)",IF(J2509&lt;&gt;"ACTIVO","NO SE CARGA: CECO en estado "&amp;J2509,"OK"))))))))))</f>
        <v/>
      </c>
    </row>
    <row r="2510">
      <c r="A2510" s="5" t="n"/>
      <c r="B2510" s="6" t="n"/>
      <c r="C2510" s="5" t="n"/>
      <c r="D2510" s="6" t="n"/>
      <c r="E2510" s="7" t="n"/>
      <c r="F2510" s="6" t="n"/>
      <c r="G2510" s="8">
        <f>IF(B2510="","",IFERROR(VLOOKUP(--B2510,'CATALOGO CECO'!$A$2:$H$550,2,FALSE),"CECO NO EXISTE"))</f>
        <v/>
      </c>
      <c r="H2510" s="8">
        <f>IF(B2510="","",IFERROR(VLOOKUP(--B2510,'CATALOGO CECO'!$A$2:$H$550,3,FALSE),""))</f>
        <v/>
      </c>
      <c r="I2510" s="8">
        <f>IF(B2510="","",IFERROR(VLOOKUP(--B2510,'CATALOGO CECO'!$A$2:$H$550,5,FALSE),""))</f>
        <v/>
      </c>
      <c r="J2510" s="8">
        <f>IF(B2510="","",IFERROR(VLOOKUP(--B2510,'CATALOGO CECO'!$A$2:$H$550,8,FALSE),""))</f>
        <v/>
      </c>
      <c r="K2510" s="8">
        <f>IF(COUNTA(A2510:F2510)=0,"",IF(OR(LEN(A2510)&lt;&gt;7,MID(A2510,5,1)&lt;&gt;"-",ISERROR(--LEFT(A2510,4)),ISERROR(--RIGHT(A2510,2))),"ERROR: PERIODO debe ser AAAA-MM",IF(B2510="","ERROR: falta CODIGO CECO",IF(G2510="CECO NO EXISTE","ERROR: CECO no existe en el catálogo",IF(C2510="","ERROR: falta CUENTA",IF(ISERROR(--C2510),"ERROR: CUENTA debe tener solo dígitos",IF(ISERROR(FIND(LEFT(C2510,1),"567")),"ERROR: CUENTA fuera de las clases de costo",IF(NOT(ISNUMBER(E2510)),"ERROR: VALOR debe ser numérico",IF(E2510=0,"AVISO: valor cero (no se carga)",IF(J2510&lt;&gt;"ACTIVO","NO SE CARGA: CECO en estado "&amp;J2510,"OK"))))))))))</f>
        <v/>
      </c>
    </row>
    <row r="2511">
      <c r="A2511" s="5" t="n"/>
      <c r="B2511" s="6" t="n"/>
      <c r="C2511" s="5" t="n"/>
      <c r="D2511" s="6" t="n"/>
      <c r="E2511" s="7" t="n"/>
      <c r="F2511" s="6" t="n"/>
      <c r="G2511" s="8">
        <f>IF(B2511="","",IFERROR(VLOOKUP(--B2511,'CATALOGO CECO'!$A$2:$H$550,2,FALSE),"CECO NO EXISTE"))</f>
        <v/>
      </c>
      <c r="H2511" s="8">
        <f>IF(B2511="","",IFERROR(VLOOKUP(--B2511,'CATALOGO CECO'!$A$2:$H$550,3,FALSE),""))</f>
        <v/>
      </c>
      <c r="I2511" s="8">
        <f>IF(B2511="","",IFERROR(VLOOKUP(--B2511,'CATALOGO CECO'!$A$2:$H$550,5,FALSE),""))</f>
        <v/>
      </c>
      <c r="J2511" s="8">
        <f>IF(B2511="","",IFERROR(VLOOKUP(--B2511,'CATALOGO CECO'!$A$2:$H$550,8,FALSE),""))</f>
        <v/>
      </c>
      <c r="K2511" s="8">
        <f>IF(COUNTA(A2511:F2511)=0,"",IF(OR(LEN(A2511)&lt;&gt;7,MID(A2511,5,1)&lt;&gt;"-",ISERROR(--LEFT(A2511,4)),ISERROR(--RIGHT(A2511,2))),"ERROR: PERIODO debe ser AAAA-MM",IF(B2511="","ERROR: falta CODIGO CECO",IF(G2511="CECO NO EXISTE","ERROR: CECO no existe en el catálogo",IF(C2511="","ERROR: falta CUENTA",IF(ISERROR(--C2511),"ERROR: CUENTA debe tener solo dígitos",IF(ISERROR(FIND(LEFT(C2511,1),"567")),"ERROR: CUENTA fuera de las clases de costo",IF(NOT(ISNUMBER(E2511)),"ERROR: VALOR debe ser numérico",IF(E2511=0,"AVISO: valor cero (no se carga)",IF(J2511&lt;&gt;"ACTIVO","NO SE CARGA: CECO en estado "&amp;J2511,"OK"))))))))))</f>
        <v/>
      </c>
    </row>
    <row r="2512">
      <c r="A2512" s="5" t="n"/>
      <c r="B2512" s="6" t="n"/>
      <c r="C2512" s="5" t="n"/>
      <c r="D2512" s="6" t="n"/>
      <c r="E2512" s="7" t="n"/>
      <c r="F2512" s="6" t="n"/>
      <c r="G2512" s="8">
        <f>IF(B2512="","",IFERROR(VLOOKUP(--B2512,'CATALOGO CECO'!$A$2:$H$550,2,FALSE),"CECO NO EXISTE"))</f>
        <v/>
      </c>
      <c r="H2512" s="8">
        <f>IF(B2512="","",IFERROR(VLOOKUP(--B2512,'CATALOGO CECO'!$A$2:$H$550,3,FALSE),""))</f>
        <v/>
      </c>
      <c r="I2512" s="8">
        <f>IF(B2512="","",IFERROR(VLOOKUP(--B2512,'CATALOGO CECO'!$A$2:$H$550,5,FALSE),""))</f>
        <v/>
      </c>
      <c r="J2512" s="8">
        <f>IF(B2512="","",IFERROR(VLOOKUP(--B2512,'CATALOGO CECO'!$A$2:$H$550,8,FALSE),""))</f>
        <v/>
      </c>
      <c r="K2512" s="8">
        <f>IF(COUNTA(A2512:F2512)=0,"",IF(OR(LEN(A2512)&lt;&gt;7,MID(A2512,5,1)&lt;&gt;"-",ISERROR(--LEFT(A2512,4)),ISERROR(--RIGHT(A2512,2))),"ERROR: PERIODO debe ser AAAA-MM",IF(B2512="","ERROR: falta CODIGO CECO",IF(G2512="CECO NO EXISTE","ERROR: CECO no existe en el catálogo",IF(C2512="","ERROR: falta CUENTA",IF(ISERROR(--C2512),"ERROR: CUENTA debe tener solo dígitos",IF(ISERROR(FIND(LEFT(C2512,1),"567")),"ERROR: CUENTA fuera de las clases de costo",IF(NOT(ISNUMBER(E2512)),"ERROR: VALOR debe ser numérico",IF(E2512=0,"AVISO: valor cero (no se carga)",IF(J2512&lt;&gt;"ACTIVO","NO SE CARGA: CECO en estado "&amp;J2512,"OK"))))))))))</f>
        <v/>
      </c>
    </row>
    <row r="2513">
      <c r="A2513" s="5" t="n"/>
      <c r="B2513" s="6" t="n"/>
      <c r="C2513" s="5" t="n"/>
      <c r="D2513" s="6" t="n"/>
      <c r="E2513" s="7" t="n"/>
      <c r="F2513" s="6" t="n"/>
      <c r="G2513" s="8">
        <f>IF(B2513="","",IFERROR(VLOOKUP(--B2513,'CATALOGO CECO'!$A$2:$H$550,2,FALSE),"CECO NO EXISTE"))</f>
        <v/>
      </c>
      <c r="H2513" s="8">
        <f>IF(B2513="","",IFERROR(VLOOKUP(--B2513,'CATALOGO CECO'!$A$2:$H$550,3,FALSE),""))</f>
        <v/>
      </c>
      <c r="I2513" s="8">
        <f>IF(B2513="","",IFERROR(VLOOKUP(--B2513,'CATALOGO CECO'!$A$2:$H$550,5,FALSE),""))</f>
        <v/>
      </c>
      <c r="J2513" s="8">
        <f>IF(B2513="","",IFERROR(VLOOKUP(--B2513,'CATALOGO CECO'!$A$2:$H$550,8,FALSE),""))</f>
        <v/>
      </c>
      <c r="K2513" s="8">
        <f>IF(COUNTA(A2513:F2513)=0,"",IF(OR(LEN(A2513)&lt;&gt;7,MID(A2513,5,1)&lt;&gt;"-",ISERROR(--LEFT(A2513,4)),ISERROR(--RIGHT(A2513,2))),"ERROR: PERIODO debe ser AAAA-MM",IF(B2513="","ERROR: falta CODIGO CECO",IF(G2513="CECO NO EXISTE","ERROR: CECO no existe en el catálogo",IF(C2513="","ERROR: falta CUENTA",IF(ISERROR(--C2513),"ERROR: CUENTA debe tener solo dígitos",IF(ISERROR(FIND(LEFT(C2513,1),"567")),"ERROR: CUENTA fuera de las clases de costo",IF(NOT(ISNUMBER(E2513)),"ERROR: VALOR debe ser numérico",IF(E2513=0,"AVISO: valor cero (no se carga)",IF(J2513&lt;&gt;"ACTIVO","NO SE CARGA: CECO en estado "&amp;J2513,"OK"))))))))))</f>
        <v/>
      </c>
    </row>
    <row r="2514">
      <c r="A2514" s="5" t="n"/>
      <c r="B2514" s="6" t="n"/>
      <c r="C2514" s="5" t="n"/>
      <c r="D2514" s="6" t="n"/>
      <c r="E2514" s="7" t="n"/>
      <c r="F2514" s="6" t="n"/>
      <c r="G2514" s="8">
        <f>IF(B2514="","",IFERROR(VLOOKUP(--B2514,'CATALOGO CECO'!$A$2:$H$550,2,FALSE),"CECO NO EXISTE"))</f>
        <v/>
      </c>
      <c r="H2514" s="8">
        <f>IF(B2514="","",IFERROR(VLOOKUP(--B2514,'CATALOGO CECO'!$A$2:$H$550,3,FALSE),""))</f>
        <v/>
      </c>
      <c r="I2514" s="8">
        <f>IF(B2514="","",IFERROR(VLOOKUP(--B2514,'CATALOGO CECO'!$A$2:$H$550,5,FALSE),""))</f>
        <v/>
      </c>
      <c r="J2514" s="8">
        <f>IF(B2514="","",IFERROR(VLOOKUP(--B2514,'CATALOGO CECO'!$A$2:$H$550,8,FALSE),""))</f>
        <v/>
      </c>
      <c r="K2514" s="8">
        <f>IF(COUNTA(A2514:F2514)=0,"",IF(OR(LEN(A2514)&lt;&gt;7,MID(A2514,5,1)&lt;&gt;"-",ISERROR(--LEFT(A2514,4)),ISERROR(--RIGHT(A2514,2))),"ERROR: PERIODO debe ser AAAA-MM",IF(B2514="","ERROR: falta CODIGO CECO",IF(G2514="CECO NO EXISTE","ERROR: CECO no existe en el catálogo",IF(C2514="","ERROR: falta CUENTA",IF(ISERROR(--C2514),"ERROR: CUENTA debe tener solo dígitos",IF(ISERROR(FIND(LEFT(C2514,1),"567")),"ERROR: CUENTA fuera de las clases de costo",IF(NOT(ISNUMBER(E2514)),"ERROR: VALOR debe ser numérico",IF(E2514=0,"AVISO: valor cero (no se carga)",IF(J2514&lt;&gt;"ACTIVO","NO SE CARGA: CECO en estado "&amp;J2514,"OK"))))))))))</f>
        <v/>
      </c>
    </row>
    <row r="2515">
      <c r="A2515" s="5" t="n"/>
      <c r="B2515" s="6" t="n"/>
      <c r="C2515" s="5" t="n"/>
      <c r="D2515" s="6" t="n"/>
      <c r="E2515" s="7" t="n"/>
      <c r="F2515" s="6" t="n"/>
      <c r="G2515" s="8">
        <f>IF(B2515="","",IFERROR(VLOOKUP(--B2515,'CATALOGO CECO'!$A$2:$H$550,2,FALSE),"CECO NO EXISTE"))</f>
        <v/>
      </c>
      <c r="H2515" s="8">
        <f>IF(B2515="","",IFERROR(VLOOKUP(--B2515,'CATALOGO CECO'!$A$2:$H$550,3,FALSE),""))</f>
        <v/>
      </c>
      <c r="I2515" s="8">
        <f>IF(B2515="","",IFERROR(VLOOKUP(--B2515,'CATALOGO CECO'!$A$2:$H$550,5,FALSE),""))</f>
        <v/>
      </c>
      <c r="J2515" s="8">
        <f>IF(B2515="","",IFERROR(VLOOKUP(--B2515,'CATALOGO CECO'!$A$2:$H$550,8,FALSE),""))</f>
        <v/>
      </c>
      <c r="K2515" s="8">
        <f>IF(COUNTA(A2515:F2515)=0,"",IF(OR(LEN(A2515)&lt;&gt;7,MID(A2515,5,1)&lt;&gt;"-",ISERROR(--LEFT(A2515,4)),ISERROR(--RIGHT(A2515,2))),"ERROR: PERIODO debe ser AAAA-MM",IF(B2515="","ERROR: falta CODIGO CECO",IF(G2515="CECO NO EXISTE","ERROR: CECO no existe en el catálogo",IF(C2515="","ERROR: falta CUENTA",IF(ISERROR(--C2515),"ERROR: CUENTA debe tener solo dígitos",IF(ISERROR(FIND(LEFT(C2515,1),"567")),"ERROR: CUENTA fuera de las clases de costo",IF(NOT(ISNUMBER(E2515)),"ERROR: VALOR debe ser numérico",IF(E2515=0,"AVISO: valor cero (no se carga)",IF(J2515&lt;&gt;"ACTIVO","NO SE CARGA: CECO en estado "&amp;J2515,"OK"))))))))))</f>
        <v/>
      </c>
    </row>
    <row r="2516">
      <c r="A2516" s="5" t="n"/>
      <c r="B2516" s="6" t="n"/>
      <c r="C2516" s="5" t="n"/>
      <c r="D2516" s="6" t="n"/>
      <c r="E2516" s="7" t="n"/>
      <c r="F2516" s="6" t="n"/>
      <c r="G2516" s="8">
        <f>IF(B2516="","",IFERROR(VLOOKUP(--B2516,'CATALOGO CECO'!$A$2:$H$550,2,FALSE),"CECO NO EXISTE"))</f>
        <v/>
      </c>
      <c r="H2516" s="8">
        <f>IF(B2516="","",IFERROR(VLOOKUP(--B2516,'CATALOGO CECO'!$A$2:$H$550,3,FALSE),""))</f>
        <v/>
      </c>
      <c r="I2516" s="8">
        <f>IF(B2516="","",IFERROR(VLOOKUP(--B2516,'CATALOGO CECO'!$A$2:$H$550,5,FALSE),""))</f>
        <v/>
      </c>
      <c r="J2516" s="8">
        <f>IF(B2516="","",IFERROR(VLOOKUP(--B2516,'CATALOGO CECO'!$A$2:$H$550,8,FALSE),""))</f>
        <v/>
      </c>
      <c r="K2516" s="8">
        <f>IF(COUNTA(A2516:F2516)=0,"",IF(OR(LEN(A2516)&lt;&gt;7,MID(A2516,5,1)&lt;&gt;"-",ISERROR(--LEFT(A2516,4)),ISERROR(--RIGHT(A2516,2))),"ERROR: PERIODO debe ser AAAA-MM",IF(B2516="","ERROR: falta CODIGO CECO",IF(G2516="CECO NO EXISTE","ERROR: CECO no existe en el catálogo",IF(C2516="","ERROR: falta CUENTA",IF(ISERROR(--C2516),"ERROR: CUENTA debe tener solo dígitos",IF(ISERROR(FIND(LEFT(C2516,1),"567")),"ERROR: CUENTA fuera de las clases de costo",IF(NOT(ISNUMBER(E2516)),"ERROR: VALOR debe ser numérico",IF(E2516=0,"AVISO: valor cero (no se carga)",IF(J2516&lt;&gt;"ACTIVO","NO SE CARGA: CECO en estado "&amp;J2516,"OK"))))))))))</f>
        <v/>
      </c>
    </row>
    <row r="2517">
      <c r="A2517" s="5" t="n"/>
      <c r="B2517" s="6" t="n"/>
      <c r="C2517" s="5" t="n"/>
      <c r="D2517" s="6" t="n"/>
      <c r="E2517" s="7" t="n"/>
      <c r="F2517" s="6" t="n"/>
      <c r="G2517" s="8">
        <f>IF(B2517="","",IFERROR(VLOOKUP(--B2517,'CATALOGO CECO'!$A$2:$H$550,2,FALSE),"CECO NO EXISTE"))</f>
        <v/>
      </c>
      <c r="H2517" s="8">
        <f>IF(B2517="","",IFERROR(VLOOKUP(--B2517,'CATALOGO CECO'!$A$2:$H$550,3,FALSE),""))</f>
        <v/>
      </c>
      <c r="I2517" s="8">
        <f>IF(B2517="","",IFERROR(VLOOKUP(--B2517,'CATALOGO CECO'!$A$2:$H$550,5,FALSE),""))</f>
        <v/>
      </c>
      <c r="J2517" s="8">
        <f>IF(B2517="","",IFERROR(VLOOKUP(--B2517,'CATALOGO CECO'!$A$2:$H$550,8,FALSE),""))</f>
        <v/>
      </c>
      <c r="K2517" s="8">
        <f>IF(COUNTA(A2517:F2517)=0,"",IF(OR(LEN(A2517)&lt;&gt;7,MID(A2517,5,1)&lt;&gt;"-",ISERROR(--LEFT(A2517,4)),ISERROR(--RIGHT(A2517,2))),"ERROR: PERIODO debe ser AAAA-MM",IF(B2517="","ERROR: falta CODIGO CECO",IF(G2517="CECO NO EXISTE","ERROR: CECO no existe en el catálogo",IF(C2517="","ERROR: falta CUENTA",IF(ISERROR(--C2517),"ERROR: CUENTA debe tener solo dígitos",IF(ISERROR(FIND(LEFT(C2517,1),"567")),"ERROR: CUENTA fuera de las clases de costo",IF(NOT(ISNUMBER(E2517)),"ERROR: VALOR debe ser numérico",IF(E2517=0,"AVISO: valor cero (no se carga)",IF(J2517&lt;&gt;"ACTIVO","NO SE CARGA: CECO en estado "&amp;J2517,"OK"))))))))))</f>
        <v/>
      </c>
    </row>
    <row r="2518">
      <c r="A2518" s="5" t="n"/>
      <c r="B2518" s="6" t="n"/>
      <c r="C2518" s="5" t="n"/>
      <c r="D2518" s="6" t="n"/>
      <c r="E2518" s="7" t="n"/>
      <c r="F2518" s="6" t="n"/>
      <c r="G2518" s="8">
        <f>IF(B2518="","",IFERROR(VLOOKUP(--B2518,'CATALOGO CECO'!$A$2:$H$550,2,FALSE),"CECO NO EXISTE"))</f>
        <v/>
      </c>
      <c r="H2518" s="8">
        <f>IF(B2518="","",IFERROR(VLOOKUP(--B2518,'CATALOGO CECO'!$A$2:$H$550,3,FALSE),""))</f>
        <v/>
      </c>
      <c r="I2518" s="8">
        <f>IF(B2518="","",IFERROR(VLOOKUP(--B2518,'CATALOGO CECO'!$A$2:$H$550,5,FALSE),""))</f>
        <v/>
      </c>
      <c r="J2518" s="8">
        <f>IF(B2518="","",IFERROR(VLOOKUP(--B2518,'CATALOGO CECO'!$A$2:$H$550,8,FALSE),""))</f>
        <v/>
      </c>
      <c r="K2518" s="8">
        <f>IF(COUNTA(A2518:F2518)=0,"",IF(OR(LEN(A2518)&lt;&gt;7,MID(A2518,5,1)&lt;&gt;"-",ISERROR(--LEFT(A2518,4)),ISERROR(--RIGHT(A2518,2))),"ERROR: PERIODO debe ser AAAA-MM",IF(B2518="","ERROR: falta CODIGO CECO",IF(G2518="CECO NO EXISTE","ERROR: CECO no existe en el catálogo",IF(C2518="","ERROR: falta CUENTA",IF(ISERROR(--C2518),"ERROR: CUENTA debe tener solo dígitos",IF(ISERROR(FIND(LEFT(C2518,1),"567")),"ERROR: CUENTA fuera de las clases de costo",IF(NOT(ISNUMBER(E2518)),"ERROR: VALOR debe ser numérico",IF(E2518=0,"AVISO: valor cero (no se carga)",IF(J2518&lt;&gt;"ACTIVO","NO SE CARGA: CECO en estado "&amp;J2518,"OK"))))))))))</f>
        <v/>
      </c>
    </row>
    <row r="2519">
      <c r="A2519" s="5" t="n"/>
      <c r="B2519" s="6" t="n"/>
      <c r="C2519" s="5" t="n"/>
      <c r="D2519" s="6" t="n"/>
      <c r="E2519" s="7" t="n"/>
      <c r="F2519" s="6" t="n"/>
      <c r="G2519" s="8">
        <f>IF(B2519="","",IFERROR(VLOOKUP(--B2519,'CATALOGO CECO'!$A$2:$H$550,2,FALSE),"CECO NO EXISTE"))</f>
        <v/>
      </c>
      <c r="H2519" s="8">
        <f>IF(B2519="","",IFERROR(VLOOKUP(--B2519,'CATALOGO CECO'!$A$2:$H$550,3,FALSE),""))</f>
        <v/>
      </c>
      <c r="I2519" s="8">
        <f>IF(B2519="","",IFERROR(VLOOKUP(--B2519,'CATALOGO CECO'!$A$2:$H$550,5,FALSE),""))</f>
        <v/>
      </c>
      <c r="J2519" s="8">
        <f>IF(B2519="","",IFERROR(VLOOKUP(--B2519,'CATALOGO CECO'!$A$2:$H$550,8,FALSE),""))</f>
        <v/>
      </c>
      <c r="K2519" s="8">
        <f>IF(COUNTA(A2519:F2519)=0,"",IF(OR(LEN(A2519)&lt;&gt;7,MID(A2519,5,1)&lt;&gt;"-",ISERROR(--LEFT(A2519,4)),ISERROR(--RIGHT(A2519,2))),"ERROR: PERIODO debe ser AAAA-MM",IF(B2519="","ERROR: falta CODIGO CECO",IF(G2519="CECO NO EXISTE","ERROR: CECO no existe en el catálogo",IF(C2519="","ERROR: falta CUENTA",IF(ISERROR(--C2519),"ERROR: CUENTA debe tener solo dígitos",IF(ISERROR(FIND(LEFT(C2519,1),"567")),"ERROR: CUENTA fuera de las clases de costo",IF(NOT(ISNUMBER(E2519)),"ERROR: VALOR debe ser numérico",IF(E2519=0,"AVISO: valor cero (no se carga)",IF(J2519&lt;&gt;"ACTIVO","NO SE CARGA: CECO en estado "&amp;J2519,"OK"))))))))))</f>
        <v/>
      </c>
    </row>
    <row r="2520">
      <c r="A2520" s="5" t="n"/>
      <c r="B2520" s="6" t="n"/>
      <c r="C2520" s="5" t="n"/>
      <c r="D2520" s="6" t="n"/>
      <c r="E2520" s="7" t="n"/>
      <c r="F2520" s="6" t="n"/>
      <c r="G2520" s="8">
        <f>IF(B2520="","",IFERROR(VLOOKUP(--B2520,'CATALOGO CECO'!$A$2:$H$550,2,FALSE),"CECO NO EXISTE"))</f>
        <v/>
      </c>
      <c r="H2520" s="8">
        <f>IF(B2520="","",IFERROR(VLOOKUP(--B2520,'CATALOGO CECO'!$A$2:$H$550,3,FALSE),""))</f>
        <v/>
      </c>
      <c r="I2520" s="8">
        <f>IF(B2520="","",IFERROR(VLOOKUP(--B2520,'CATALOGO CECO'!$A$2:$H$550,5,FALSE),""))</f>
        <v/>
      </c>
      <c r="J2520" s="8">
        <f>IF(B2520="","",IFERROR(VLOOKUP(--B2520,'CATALOGO CECO'!$A$2:$H$550,8,FALSE),""))</f>
        <v/>
      </c>
      <c r="K2520" s="8">
        <f>IF(COUNTA(A2520:F2520)=0,"",IF(OR(LEN(A2520)&lt;&gt;7,MID(A2520,5,1)&lt;&gt;"-",ISERROR(--LEFT(A2520,4)),ISERROR(--RIGHT(A2520,2))),"ERROR: PERIODO debe ser AAAA-MM",IF(B2520="","ERROR: falta CODIGO CECO",IF(G2520="CECO NO EXISTE","ERROR: CECO no existe en el catálogo",IF(C2520="","ERROR: falta CUENTA",IF(ISERROR(--C2520),"ERROR: CUENTA debe tener solo dígitos",IF(ISERROR(FIND(LEFT(C2520,1),"567")),"ERROR: CUENTA fuera de las clases de costo",IF(NOT(ISNUMBER(E2520)),"ERROR: VALOR debe ser numérico",IF(E2520=0,"AVISO: valor cero (no se carga)",IF(J2520&lt;&gt;"ACTIVO","NO SE CARGA: CECO en estado "&amp;J2520,"OK"))))))))))</f>
        <v/>
      </c>
    </row>
    <row r="2521">
      <c r="A2521" s="5" t="n"/>
      <c r="B2521" s="6" t="n"/>
      <c r="C2521" s="5" t="n"/>
      <c r="D2521" s="6" t="n"/>
      <c r="E2521" s="7" t="n"/>
      <c r="F2521" s="6" t="n"/>
      <c r="G2521" s="8">
        <f>IF(B2521="","",IFERROR(VLOOKUP(--B2521,'CATALOGO CECO'!$A$2:$H$550,2,FALSE),"CECO NO EXISTE"))</f>
        <v/>
      </c>
      <c r="H2521" s="8">
        <f>IF(B2521="","",IFERROR(VLOOKUP(--B2521,'CATALOGO CECO'!$A$2:$H$550,3,FALSE),""))</f>
        <v/>
      </c>
      <c r="I2521" s="8">
        <f>IF(B2521="","",IFERROR(VLOOKUP(--B2521,'CATALOGO CECO'!$A$2:$H$550,5,FALSE),""))</f>
        <v/>
      </c>
      <c r="J2521" s="8">
        <f>IF(B2521="","",IFERROR(VLOOKUP(--B2521,'CATALOGO CECO'!$A$2:$H$550,8,FALSE),""))</f>
        <v/>
      </c>
      <c r="K2521" s="8">
        <f>IF(COUNTA(A2521:F2521)=0,"",IF(OR(LEN(A2521)&lt;&gt;7,MID(A2521,5,1)&lt;&gt;"-",ISERROR(--LEFT(A2521,4)),ISERROR(--RIGHT(A2521,2))),"ERROR: PERIODO debe ser AAAA-MM",IF(B2521="","ERROR: falta CODIGO CECO",IF(G2521="CECO NO EXISTE","ERROR: CECO no existe en el catálogo",IF(C2521="","ERROR: falta CUENTA",IF(ISERROR(--C2521),"ERROR: CUENTA debe tener solo dígitos",IF(ISERROR(FIND(LEFT(C2521,1),"567")),"ERROR: CUENTA fuera de las clases de costo",IF(NOT(ISNUMBER(E2521)),"ERROR: VALOR debe ser numérico",IF(E2521=0,"AVISO: valor cero (no se carga)",IF(J2521&lt;&gt;"ACTIVO","NO SE CARGA: CECO en estado "&amp;J2521,"OK"))))))))))</f>
        <v/>
      </c>
    </row>
    <row r="2522">
      <c r="A2522" s="5" t="n"/>
      <c r="B2522" s="6" t="n"/>
      <c r="C2522" s="5" t="n"/>
      <c r="D2522" s="6" t="n"/>
      <c r="E2522" s="7" t="n"/>
      <c r="F2522" s="6" t="n"/>
      <c r="G2522" s="8">
        <f>IF(B2522="","",IFERROR(VLOOKUP(--B2522,'CATALOGO CECO'!$A$2:$H$550,2,FALSE),"CECO NO EXISTE"))</f>
        <v/>
      </c>
      <c r="H2522" s="8">
        <f>IF(B2522="","",IFERROR(VLOOKUP(--B2522,'CATALOGO CECO'!$A$2:$H$550,3,FALSE),""))</f>
        <v/>
      </c>
      <c r="I2522" s="8">
        <f>IF(B2522="","",IFERROR(VLOOKUP(--B2522,'CATALOGO CECO'!$A$2:$H$550,5,FALSE),""))</f>
        <v/>
      </c>
      <c r="J2522" s="8">
        <f>IF(B2522="","",IFERROR(VLOOKUP(--B2522,'CATALOGO CECO'!$A$2:$H$550,8,FALSE),""))</f>
        <v/>
      </c>
      <c r="K2522" s="8">
        <f>IF(COUNTA(A2522:F2522)=0,"",IF(OR(LEN(A2522)&lt;&gt;7,MID(A2522,5,1)&lt;&gt;"-",ISERROR(--LEFT(A2522,4)),ISERROR(--RIGHT(A2522,2))),"ERROR: PERIODO debe ser AAAA-MM",IF(B2522="","ERROR: falta CODIGO CECO",IF(G2522="CECO NO EXISTE","ERROR: CECO no existe en el catálogo",IF(C2522="","ERROR: falta CUENTA",IF(ISERROR(--C2522),"ERROR: CUENTA debe tener solo dígitos",IF(ISERROR(FIND(LEFT(C2522,1),"567")),"ERROR: CUENTA fuera de las clases de costo",IF(NOT(ISNUMBER(E2522)),"ERROR: VALOR debe ser numérico",IF(E2522=0,"AVISO: valor cero (no se carga)",IF(J2522&lt;&gt;"ACTIVO","NO SE CARGA: CECO en estado "&amp;J2522,"OK"))))))))))</f>
        <v/>
      </c>
    </row>
    <row r="2523">
      <c r="A2523" s="5" t="n"/>
      <c r="B2523" s="6" t="n"/>
      <c r="C2523" s="5" t="n"/>
      <c r="D2523" s="6" t="n"/>
      <c r="E2523" s="7" t="n"/>
      <c r="F2523" s="6" t="n"/>
      <c r="G2523" s="8">
        <f>IF(B2523="","",IFERROR(VLOOKUP(--B2523,'CATALOGO CECO'!$A$2:$H$550,2,FALSE),"CECO NO EXISTE"))</f>
        <v/>
      </c>
      <c r="H2523" s="8">
        <f>IF(B2523="","",IFERROR(VLOOKUP(--B2523,'CATALOGO CECO'!$A$2:$H$550,3,FALSE),""))</f>
        <v/>
      </c>
      <c r="I2523" s="8">
        <f>IF(B2523="","",IFERROR(VLOOKUP(--B2523,'CATALOGO CECO'!$A$2:$H$550,5,FALSE),""))</f>
        <v/>
      </c>
      <c r="J2523" s="8">
        <f>IF(B2523="","",IFERROR(VLOOKUP(--B2523,'CATALOGO CECO'!$A$2:$H$550,8,FALSE),""))</f>
        <v/>
      </c>
      <c r="K2523" s="8">
        <f>IF(COUNTA(A2523:F2523)=0,"",IF(OR(LEN(A2523)&lt;&gt;7,MID(A2523,5,1)&lt;&gt;"-",ISERROR(--LEFT(A2523,4)),ISERROR(--RIGHT(A2523,2))),"ERROR: PERIODO debe ser AAAA-MM",IF(B2523="","ERROR: falta CODIGO CECO",IF(G2523="CECO NO EXISTE","ERROR: CECO no existe en el catálogo",IF(C2523="","ERROR: falta CUENTA",IF(ISERROR(--C2523),"ERROR: CUENTA debe tener solo dígitos",IF(ISERROR(FIND(LEFT(C2523,1),"567")),"ERROR: CUENTA fuera de las clases de costo",IF(NOT(ISNUMBER(E2523)),"ERROR: VALOR debe ser numérico",IF(E2523=0,"AVISO: valor cero (no se carga)",IF(J2523&lt;&gt;"ACTIVO","NO SE CARGA: CECO en estado "&amp;J2523,"OK"))))))))))</f>
        <v/>
      </c>
    </row>
    <row r="2524">
      <c r="A2524" s="5" t="n"/>
      <c r="B2524" s="6" t="n"/>
      <c r="C2524" s="5" t="n"/>
      <c r="D2524" s="6" t="n"/>
      <c r="E2524" s="7" t="n"/>
      <c r="F2524" s="6" t="n"/>
      <c r="G2524" s="8">
        <f>IF(B2524="","",IFERROR(VLOOKUP(--B2524,'CATALOGO CECO'!$A$2:$H$550,2,FALSE),"CECO NO EXISTE"))</f>
        <v/>
      </c>
      <c r="H2524" s="8">
        <f>IF(B2524="","",IFERROR(VLOOKUP(--B2524,'CATALOGO CECO'!$A$2:$H$550,3,FALSE),""))</f>
        <v/>
      </c>
      <c r="I2524" s="8">
        <f>IF(B2524="","",IFERROR(VLOOKUP(--B2524,'CATALOGO CECO'!$A$2:$H$550,5,FALSE),""))</f>
        <v/>
      </c>
      <c r="J2524" s="8">
        <f>IF(B2524="","",IFERROR(VLOOKUP(--B2524,'CATALOGO CECO'!$A$2:$H$550,8,FALSE),""))</f>
        <v/>
      </c>
      <c r="K2524" s="8">
        <f>IF(COUNTA(A2524:F2524)=0,"",IF(OR(LEN(A2524)&lt;&gt;7,MID(A2524,5,1)&lt;&gt;"-",ISERROR(--LEFT(A2524,4)),ISERROR(--RIGHT(A2524,2))),"ERROR: PERIODO debe ser AAAA-MM",IF(B2524="","ERROR: falta CODIGO CECO",IF(G2524="CECO NO EXISTE","ERROR: CECO no existe en el catálogo",IF(C2524="","ERROR: falta CUENTA",IF(ISERROR(--C2524),"ERROR: CUENTA debe tener solo dígitos",IF(ISERROR(FIND(LEFT(C2524,1),"567")),"ERROR: CUENTA fuera de las clases de costo",IF(NOT(ISNUMBER(E2524)),"ERROR: VALOR debe ser numérico",IF(E2524=0,"AVISO: valor cero (no se carga)",IF(J2524&lt;&gt;"ACTIVO","NO SE CARGA: CECO en estado "&amp;J2524,"OK"))))))))))</f>
        <v/>
      </c>
    </row>
    <row r="2525">
      <c r="A2525" s="5" t="n"/>
      <c r="B2525" s="6" t="n"/>
      <c r="C2525" s="5" t="n"/>
      <c r="D2525" s="6" t="n"/>
      <c r="E2525" s="7" t="n"/>
      <c r="F2525" s="6" t="n"/>
      <c r="G2525" s="8">
        <f>IF(B2525="","",IFERROR(VLOOKUP(--B2525,'CATALOGO CECO'!$A$2:$H$550,2,FALSE),"CECO NO EXISTE"))</f>
        <v/>
      </c>
      <c r="H2525" s="8">
        <f>IF(B2525="","",IFERROR(VLOOKUP(--B2525,'CATALOGO CECO'!$A$2:$H$550,3,FALSE),""))</f>
        <v/>
      </c>
      <c r="I2525" s="8">
        <f>IF(B2525="","",IFERROR(VLOOKUP(--B2525,'CATALOGO CECO'!$A$2:$H$550,5,FALSE),""))</f>
        <v/>
      </c>
      <c r="J2525" s="8">
        <f>IF(B2525="","",IFERROR(VLOOKUP(--B2525,'CATALOGO CECO'!$A$2:$H$550,8,FALSE),""))</f>
        <v/>
      </c>
      <c r="K2525" s="8">
        <f>IF(COUNTA(A2525:F2525)=0,"",IF(OR(LEN(A2525)&lt;&gt;7,MID(A2525,5,1)&lt;&gt;"-",ISERROR(--LEFT(A2525,4)),ISERROR(--RIGHT(A2525,2))),"ERROR: PERIODO debe ser AAAA-MM",IF(B2525="","ERROR: falta CODIGO CECO",IF(G2525="CECO NO EXISTE","ERROR: CECO no existe en el catálogo",IF(C2525="","ERROR: falta CUENTA",IF(ISERROR(--C2525),"ERROR: CUENTA debe tener solo dígitos",IF(ISERROR(FIND(LEFT(C2525,1),"567")),"ERROR: CUENTA fuera de las clases de costo",IF(NOT(ISNUMBER(E2525)),"ERROR: VALOR debe ser numérico",IF(E2525=0,"AVISO: valor cero (no se carga)",IF(J2525&lt;&gt;"ACTIVO","NO SE CARGA: CECO en estado "&amp;J2525,"OK"))))))))))</f>
        <v/>
      </c>
    </row>
    <row r="2526">
      <c r="A2526" s="5" t="n"/>
      <c r="B2526" s="6" t="n"/>
      <c r="C2526" s="5" t="n"/>
      <c r="D2526" s="6" t="n"/>
      <c r="E2526" s="7" t="n"/>
      <c r="F2526" s="6" t="n"/>
      <c r="G2526" s="8">
        <f>IF(B2526="","",IFERROR(VLOOKUP(--B2526,'CATALOGO CECO'!$A$2:$H$550,2,FALSE),"CECO NO EXISTE"))</f>
        <v/>
      </c>
      <c r="H2526" s="8">
        <f>IF(B2526="","",IFERROR(VLOOKUP(--B2526,'CATALOGO CECO'!$A$2:$H$550,3,FALSE),""))</f>
        <v/>
      </c>
      <c r="I2526" s="8">
        <f>IF(B2526="","",IFERROR(VLOOKUP(--B2526,'CATALOGO CECO'!$A$2:$H$550,5,FALSE),""))</f>
        <v/>
      </c>
      <c r="J2526" s="8">
        <f>IF(B2526="","",IFERROR(VLOOKUP(--B2526,'CATALOGO CECO'!$A$2:$H$550,8,FALSE),""))</f>
        <v/>
      </c>
      <c r="K2526" s="8">
        <f>IF(COUNTA(A2526:F2526)=0,"",IF(OR(LEN(A2526)&lt;&gt;7,MID(A2526,5,1)&lt;&gt;"-",ISERROR(--LEFT(A2526,4)),ISERROR(--RIGHT(A2526,2))),"ERROR: PERIODO debe ser AAAA-MM",IF(B2526="","ERROR: falta CODIGO CECO",IF(G2526="CECO NO EXISTE","ERROR: CECO no existe en el catálogo",IF(C2526="","ERROR: falta CUENTA",IF(ISERROR(--C2526),"ERROR: CUENTA debe tener solo dígitos",IF(ISERROR(FIND(LEFT(C2526,1),"567")),"ERROR: CUENTA fuera de las clases de costo",IF(NOT(ISNUMBER(E2526)),"ERROR: VALOR debe ser numérico",IF(E2526=0,"AVISO: valor cero (no se carga)",IF(J2526&lt;&gt;"ACTIVO","NO SE CARGA: CECO en estado "&amp;J2526,"OK"))))))))))</f>
        <v/>
      </c>
    </row>
    <row r="2527">
      <c r="A2527" s="5" t="n"/>
      <c r="B2527" s="6" t="n"/>
      <c r="C2527" s="5" t="n"/>
      <c r="D2527" s="6" t="n"/>
      <c r="E2527" s="7" t="n"/>
      <c r="F2527" s="6" t="n"/>
      <c r="G2527" s="8">
        <f>IF(B2527="","",IFERROR(VLOOKUP(--B2527,'CATALOGO CECO'!$A$2:$H$550,2,FALSE),"CECO NO EXISTE"))</f>
        <v/>
      </c>
      <c r="H2527" s="8">
        <f>IF(B2527="","",IFERROR(VLOOKUP(--B2527,'CATALOGO CECO'!$A$2:$H$550,3,FALSE),""))</f>
        <v/>
      </c>
      <c r="I2527" s="8">
        <f>IF(B2527="","",IFERROR(VLOOKUP(--B2527,'CATALOGO CECO'!$A$2:$H$550,5,FALSE),""))</f>
        <v/>
      </c>
      <c r="J2527" s="8">
        <f>IF(B2527="","",IFERROR(VLOOKUP(--B2527,'CATALOGO CECO'!$A$2:$H$550,8,FALSE),""))</f>
        <v/>
      </c>
      <c r="K2527" s="8">
        <f>IF(COUNTA(A2527:F2527)=0,"",IF(OR(LEN(A2527)&lt;&gt;7,MID(A2527,5,1)&lt;&gt;"-",ISERROR(--LEFT(A2527,4)),ISERROR(--RIGHT(A2527,2))),"ERROR: PERIODO debe ser AAAA-MM",IF(B2527="","ERROR: falta CODIGO CECO",IF(G2527="CECO NO EXISTE","ERROR: CECO no existe en el catálogo",IF(C2527="","ERROR: falta CUENTA",IF(ISERROR(--C2527),"ERROR: CUENTA debe tener solo dígitos",IF(ISERROR(FIND(LEFT(C2527,1),"567")),"ERROR: CUENTA fuera de las clases de costo",IF(NOT(ISNUMBER(E2527)),"ERROR: VALOR debe ser numérico",IF(E2527=0,"AVISO: valor cero (no se carga)",IF(J2527&lt;&gt;"ACTIVO","NO SE CARGA: CECO en estado "&amp;J2527,"OK"))))))))))</f>
        <v/>
      </c>
    </row>
    <row r="2528">
      <c r="A2528" s="5" t="n"/>
      <c r="B2528" s="6" t="n"/>
      <c r="C2528" s="5" t="n"/>
      <c r="D2528" s="6" t="n"/>
      <c r="E2528" s="7" t="n"/>
      <c r="F2528" s="6" t="n"/>
      <c r="G2528" s="8">
        <f>IF(B2528="","",IFERROR(VLOOKUP(--B2528,'CATALOGO CECO'!$A$2:$H$550,2,FALSE),"CECO NO EXISTE"))</f>
        <v/>
      </c>
      <c r="H2528" s="8">
        <f>IF(B2528="","",IFERROR(VLOOKUP(--B2528,'CATALOGO CECO'!$A$2:$H$550,3,FALSE),""))</f>
        <v/>
      </c>
      <c r="I2528" s="8">
        <f>IF(B2528="","",IFERROR(VLOOKUP(--B2528,'CATALOGO CECO'!$A$2:$H$550,5,FALSE),""))</f>
        <v/>
      </c>
      <c r="J2528" s="8">
        <f>IF(B2528="","",IFERROR(VLOOKUP(--B2528,'CATALOGO CECO'!$A$2:$H$550,8,FALSE),""))</f>
        <v/>
      </c>
      <c r="K2528" s="8">
        <f>IF(COUNTA(A2528:F2528)=0,"",IF(OR(LEN(A2528)&lt;&gt;7,MID(A2528,5,1)&lt;&gt;"-",ISERROR(--LEFT(A2528,4)),ISERROR(--RIGHT(A2528,2))),"ERROR: PERIODO debe ser AAAA-MM",IF(B2528="","ERROR: falta CODIGO CECO",IF(G2528="CECO NO EXISTE","ERROR: CECO no existe en el catálogo",IF(C2528="","ERROR: falta CUENTA",IF(ISERROR(--C2528),"ERROR: CUENTA debe tener solo dígitos",IF(ISERROR(FIND(LEFT(C2528,1),"567")),"ERROR: CUENTA fuera de las clases de costo",IF(NOT(ISNUMBER(E2528)),"ERROR: VALOR debe ser numérico",IF(E2528=0,"AVISO: valor cero (no se carga)",IF(J2528&lt;&gt;"ACTIVO","NO SE CARGA: CECO en estado "&amp;J2528,"OK"))))))))))</f>
        <v/>
      </c>
    </row>
    <row r="2529">
      <c r="A2529" s="5" t="n"/>
      <c r="B2529" s="6" t="n"/>
      <c r="C2529" s="5" t="n"/>
      <c r="D2529" s="6" t="n"/>
      <c r="E2529" s="7" t="n"/>
      <c r="F2529" s="6" t="n"/>
      <c r="G2529" s="8">
        <f>IF(B2529="","",IFERROR(VLOOKUP(--B2529,'CATALOGO CECO'!$A$2:$H$550,2,FALSE),"CECO NO EXISTE"))</f>
        <v/>
      </c>
      <c r="H2529" s="8">
        <f>IF(B2529="","",IFERROR(VLOOKUP(--B2529,'CATALOGO CECO'!$A$2:$H$550,3,FALSE),""))</f>
        <v/>
      </c>
      <c r="I2529" s="8">
        <f>IF(B2529="","",IFERROR(VLOOKUP(--B2529,'CATALOGO CECO'!$A$2:$H$550,5,FALSE),""))</f>
        <v/>
      </c>
      <c r="J2529" s="8">
        <f>IF(B2529="","",IFERROR(VLOOKUP(--B2529,'CATALOGO CECO'!$A$2:$H$550,8,FALSE),""))</f>
        <v/>
      </c>
      <c r="K2529" s="8">
        <f>IF(COUNTA(A2529:F2529)=0,"",IF(OR(LEN(A2529)&lt;&gt;7,MID(A2529,5,1)&lt;&gt;"-",ISERROR(--LEFT(A2529,4)),ISERROR(--RIGHT(A2529,2))),"ERROR: PERIODO debe ser AAAA-MM",IF(B2529="","ERROR: falta CODIGO CECO",IF(G2529="CECO NO EXISTE","ERROR: CECO no existe en el catálogo",IF(C2529="","ERROR: falta CUENTA",IF(ISERROR(--C2529),"ERROR: CUENTA debe tener solo dígitos",IF(ISERROR(FIND(LEFT(C2529,1),"567")),"ERROR: CUENTA fuera de las clases de costo",IF(NOT(ISNUMBER(E2529)),"ERROR: VALOR debe ser numérico",IF(E2529=0,"AVISO: valor cero (no se carga)",IF(J2529&lt;&gt;"ACTIVO","NO SE CARGA: CECO en estado "&amp;J2529,"OK"))))))))))</f>
        <v/>
      </c>
    </row>
    <row r="2530">
      <c r="A2530" s="5" t="n"/>
      <c r="B2530" s="6" t="n"/>
      <c r="C2530" s="5" t="n"/>
      <c r="D2530" s="6" t="n"/>
      <c r="E2530" s="7" t="n"/>
      <c r="F2530" s="6" t="n"/>
      <c r="G2530" s="8">
        <f>IF(B2530="","",IFERROR(VLOOKUP(--B2530,'CATALOGO CECO'!$A$2:$H$550,2,FALSE),"CECO NO EXISTE"))</f>
        <v/>
      </c>
      <c r="H2530" s="8">
        <f>IF(B2530="","",IFERROR(VLOOKUP(--B2530,'CATALOGO CECO'!$A$2:$H$550,3,FALSE),""))</f>
        <v/>
      </c>
      <c r="I2530" s="8">
        <f>IF(B2530="","",IFERROR(VLOOKUP(--B2530,'CATALOGO CECO'!$A$2:$H$550,5,FALSE),""))</f>
        <v/>
      </c>
      <c r="J2530" s="8">
        <f>IF(B2530="","",IFERROR(VLOOKUP(--B2530,'CATALOGO CECO'!$A$2:$H$550,8,FALSE),""))</f>
        <v/>
      </c>
      <c r="K2530" s="8">
        <f>IF(COUNTA(A2530:F2530)=0,"",IF(OR(LEN(A2530)&lt;&gt;7,MID(A2530,5,1)&lt;&gt;"-",ISERROR(--LEFT(A2530,4)),ISERROR(--RIGHT(A2530,2))),"ERROR: PERIODO debe ser AAAA-MM",IF(B2530="","ERROR: falta CODIGO CECO",IF(G2530="CECO NO EXISTE","ERROR: CECO no existe en el catálogo",IF(C2530="","ERROR: falta CUENTA",IF(ISERROR(--C2530),"ERROR: CUENTA debe tener solo dígitos",IF(ISERROR(FIND(LEFT(C2530,1),"567")),"ERROR: CUENTA fuera de las clases de costo",IF(NOT(ISNUMBER(E2530)),"ERROR: VALOR debe ser numérico",IF(E2530=0,"AVISO: valor cero (no se carga)",IF(J2530&lt;&gt;"ACTIVO","NO SE CARGA: CECO en estado "&amp;J2530,"OK"))))))))))</f>
        <v/>
      </c>
    </row>
    <row r="2531">
      <c r="A2531" s="5" t="n"/>
      <c r="B2531" s="6" t="n"/>
      <c r="C2531" s="5" t="n"/>
      <c r="D2531" s="6" t="n"/>
      <c r="E2531" s="7" t="n"/>
      <c r="F2531" s="6" t="n"/>
      <c r="G2531" s="8">
        <f>IF(B2531="","",IFERROR(VLOOKUP(--B2531,'CATALOGO CECO'!$A$2:$H$550,2,FALSE),"CECO NO EXISTE"))</f>
        <v/>
      </c>
      <c r="H2531" s="8">
        <f>IF(B2531="","",IFERROR(VLOOKUP(--B2531,'CATALOGO CECO'!$A$2:$H$550,3,FALSE),""))</f>
        <v/>
      </c>
      <c r="I2531" s="8">
        <f>IF(B2531="","",IFERROR(VLOOKUP(--B2531,'CATALOGO CECO'!$A$2:$H$550,5,FALSE),""))</f>
        <v/>
      </c>
      <c r="J2531" s="8">
        <f>IF(B2531="","",IFERROR(VLOOKUP(--B2531,'CATALOGO CECO'!$A$2:$H$550,8,FALSE),""))</f>
        <v/>
      </c>
      <c r="K2531" s="8">
        <f>IF(COUNTA(A2531:F2531)=0,"",IF(OR(LEN(A2531)&lt;&gt;7,MID(A2531,5,1)&lt;&gt;"-",ISERROR(--LEFT(A2531,4)),ISERROR(--RIGHT(A2531,2))),"ERROR: PERIODO debe ser AAAA-MM",IF(B2531="","ERROR: falta CODIGO CECO",IF(G2531="CECO NO EXISTE","ERROR: CECO no existe en el catálogo",IF(C2531="","ERROR: falta CUENTA",IF(ISERROR(--C2531),"ERROR: CUENTA debe tener solo dígitos",IF(ISERROR(FIND(LEFT(C2531,1),"567")),"ERROR: CUENTA fuera de las clases de costo",IF(NOT(ISNUMBER(E2531)),"ERROR: VALOR debe ser numérico",IF(E2531=0,"AVISO: valor cero (no se carga)",IF(J2531&lt;&gt;"ACTIVO","NO SE CARGA: CECO en estado "&amp;J2531,"OK"))))))))))</f>
        <v/>
      </c>
    </row>
    <row r="2532">
      <c r="A2532" s="5" t="n"/>
      <c r="B2532" s="6" t="n"/>
      <c r="C2532" s="5" t="n"/>
      <c r="D2532" s="6" t="n"/>
      <c r="E2532" s="7" t="n"/>
      <c r="F2532" s="6" t="n"/>
      <c r="G2532" s="8">
        <f>IF(B2532="","",IFERROR(VLOOKUP(--B2532,'CATALOGO CECO'!$A$2:$H$550,2,FALSE),"CECO NO EXISTE"))</f>
        <v/>
      </c>
      <c r="H2532" s="8">
        <f>IF(B2532="","",IFERROR(VLOOKUP(--B2532,'CATALOGO CECO'!$A$2:$H$550,3,FALSE),""))</f>
        <v/>
      </c>
      <c r="I2532" s="8">
        <f>IF(B2532="","",IFERROR(VLOOKUP(--B2532,'CATALOGO CECO'!$A$2:$H$550,5,FALSE),""))</f>
        <v/>
      </c>
      <c r="J2532" s="8">
        <f>IF(B2532="","",IFERROR(VLOOKUP(--B2532,'CATALOGO CECO'!$A$2:$H$550,8,FALSE),""))</f>
        <v/>
      </c>
      <c r="K2532" s="8">
        <f>IF(COUNTA(A2532:F2532)=0,"",IF(OR(LEN(A2532)&lt;&gt;7,MID(A2532,5,1)&lt;&gt;"-",ISERROR(--LEFT(A2532,4)),ISERROR(--RIGHT(A2532,2))),"ERROR: PERIODO debe ser AAAA-MM",IF(B2532="","ERROR: falta CODIGO CECO",IF(G2532="CECO NO EXISTE","ERROR: CECO no existe en el catálogo",IF(C2532="","ERROR: falta CUENTA",IF(ISERROR(--C2532),"ERROR: CUENTA debe tener solo dígitos",IF(ISERROR(FIND(LEFT(C2532,1),"567")),"ERROR: CUENTA fuera de las clases de costo",IF(NOT(ISNUMBER(E2532)),"ERROR: VALOR debe ser numérico",IF(E2532=0,"AVISO: valor cero (no se carga)",IF(J2532&lt;&gt;"ACTIVO","NO SE CARGA: CECO en estado "&amp;J2532,"OK"))))))))))</f>
        <v/>
      </c>
    </row>
    <row r="2533">
      <c r="A2533" s="5" t="n"/>
      <c r="B2533" s="6" t="n"/>
      <c r="C2533" s="5" t="n"/>
      <c r="D2533" s="6" t="n"/>
      <c r="E2533" s="7" t="n"/>
      <c r="F2533" s="6" t="n"/>
      <c r="G2533" s="8">
        <f>IF(B2533="","",IFERROR(VLOOKUP(--B2533,'CATALOGO CECO'!$A$2:$H$550,2,FALSE),"CECO NO EXISTE"))</f>
        <v/>
      </c>
      <c r="H2533" s="8">
        <f>IF(B2533="","",IFERROR(VLOOKUP(--B2533,'CATALOGO CECO'!$A$2:$H$550,3,FALSE),""))</f>
        <v/>
      </c>
      <c r="I2533" s="8">
        <f>IF(B2533="","",IFERROR(VLOOKUP(--B2533,'CATALOGO CECO'!$A$2:$H$550,5,FALSE),""))</f>
        <v/>
      </c>
      <c r="J2533" s="8">
        <f>IF(B2533="","",IFERROR(VLOOKUP(--B2533,'CATALOGO CECO'!$A$2:$H$550,8,FALSE),""))</f>
        <v/>
      </c>
      <c r="K2533" s="8">
        <f>IF(COUNTA(A2533:F2533)=0,"",IF(OR(LEN(A2533)&lt;&gt;7,MID(A2533,5,1)&lt;&gt;"-",ISERROR(--LEFT(A2533,4)),ISERROR(--RIGHT(A2533,2))),"ERROR: PERIODO debe ser AAAA-MM",IF(B2533="","ERROR: falta CODIGO CECO",IF(G2533="CECO NO EXISTE","ERROR: CECO no existe en el catálogo",IF(C2533="","ERROR: falta CUENTA",IF(ISERROR(--C2533),"ERROR: CUENTA debe tener solo dígitos",IF(ISERROR(FIND(LEFT(C2533,1),"567")),"ERROR: CUENTA fuera de las clases de costo",IF(NOT(ISNUMBER(E2533)),"ERROR: VALOR debe ser numérico",IF(E2533=0,"AVISO: valor cero (no se carga)",IF(J2533&lt;&gt;"ACTIVO","NO SE CARGA: CECO en estado "&amp;J2533,"OK"))))))))))</f>
        <v/>
      </c>
    </row>
    <row r="2534">
      <c r="A2534" s="5" t="n"/>
      <c r="B2534" s="6" t="n"/>
      <c r="C2534" s="5" t="n"/>
      <c r="D2534" s="6" t="n"/>
      <c r="E2534" s="7" t="n"/>
      <c r="F2534" s="6" t="n"/>
      <c r="G2534" s="8">
        <f>IF(B2534="","",IFERROR(VLOOKUP(--B2534,'CATALOGO CECO'!$A$2:$H$550,2,FALSE),"CECO NO EXISTE"))</f>
        <v/>
      </c>
      <c r="H2534" s="8">
        <f>IF(B2534="","",IFERROR(VLOOKUP(--B2534,'CATALOGO CECO'!$A$2:$H$550,3,FALSE),""))</f>
        <v/>
      </c>
      <c r="I2534" s="8">
        <f>IF(B2534="","",IFERROR(VLOOKUP(--B2534,'CATALOGO CECO'!$A$2:$H$550,5,FALSE),""))</f>
        <v/>
      </c>
      <c r="J2534" s="8">
        <f>IF(B2534="","",IFERROR(VLOOKUP(--B2534,'CATALOGO CECO'!$A$2:$H$550,8,FALSE),""))</f>
        <v/>
      </c>
      <c r="K2534" s="8">
        <f>IF(COUNTA(A2534:F2534)=0,"",IF(OR(LEN(A2534)&lt;&gt;7,MID(A2534,5,1)&lt;&gt;"-",ISERROR(--LEFT(A2534,4)),ISERROR(--RIGHT(A2534,2))),"ERROR: PERIODO debe ser AAAA-MM",IF(B2534="","ERROR: falta CODIGO CECO",IF(G2534="CECO NO EXISTE","ERROR: CECO no existe en el catálogo",IF(C2534="","ERROR: falta CUENTA",IF(ISERROR(--C2534),"ERROR: CUENTA debe tener solo dígitos",IF(ISERROR(FIND(LEFT(C2534,1),"567")),"ERROR: CUENTA fuera de las clases de costo",IF(NOT(ISNUMBER(E2534)),"ERROR: VALOR debe ser numérico",IF(E2534=0,"AVISO: valor cero (no se carga)",IF(J2534&lt;&gt;"ACTIVO","NO SE CARGA: CECO en estado "&amp;J2534,"OK"))))))))))</f>
        <v/>
      </c>
    </row>
    <row r="2535">
      <c r="A2535" s="5" t="n"/>
      <c r="B2535" s="6" t="n"/>
      <c r="C2535" s="5" t="n"/>
      <c r="D2535" s="6" t="n"/>
      <c r="E2535" s="7" t="n"/>
      <c r="F2535" s="6" t="n"/>
      <c r="G2535" s="8">
        <f>IF(B2535="","",IFERROR(VLOOKUP(--B2535,'CATALOGO CECO'!$A$2:$H$550,2,FALSE),"CECO NO EXISTE"))</f>
        <v/>
      </c>
      <c r="H2535" s="8">
        <f>IF(B2535="","",IFERROR(VLOOKUP(--B2535,'CATALOGO CECO'!$A$2:$H$550,3,FALSE),""))</f>
        <v/>
      </c>
      <c r="I2535" s="8">
        <f>IF(B2535="","",IFERROR(VLOOKUP(--B2535,'CATALOGO CECO'!$A$2:$H$550,5,FALSE),""))</f>
        <v/>
      </c>
      <c r="J2535" s="8">
        <f>IF(B2535="","",IFERROR(VLOOKUP(--B2535,'CATALOGO CECO'!$A$2:$H$550,8,FALSE),""))</f>
        <v/>
      </c>
      <c r="K2535" s="8">
        <f>IF(COUNTA(A2535:F2535)=0,"",IF(OR(LEN(A2535)&lt;&gt;7,MID(A2535,5,1)&lt;&gt;"-",ISERROR(--LEFT(A2535,4)),ISERROR(--RIGHT(A2535,2))),"ERROR: PERIODO debe ser AAAA-MM",IF(B2535="","ERROR: falta CODIGO CECO",IF(G2535="CECO NO EXISTE","ERROR: CECO no existe en el catálogo",IF(C2535="","ERROR: falta CUENTA",IF(ISERROR(--C2535),"ERROR: CUENTA debe tener solo dígitos",IF(ISERROR(FIND(LEFT(C2535,1),"567")),"ERROR: CUENTA fuera de las clases de costo",IF(NOT(ISNUMBER(E2535)),"ERROR: VALOR debe ser numérico",IF(E2535=0,"AVISO: valor cero (no se carga)",IF(J2535&lt;&gt;"ACTIVO","NO SE CARGA: CECO en estado "&amp;J2535,"OK"))))))))))</f>
        <v/>
      </c>
    </row>
    <row r="2536">
      <c r="A2536" s="5" t="n"/>
      <c r="B2536" s="6" t="n"/>
      <c r="C2536" s="5" t="n"/>
      <c r="D2536" s="6" t="n"/>
      <c r="E2536" s="7" t="n"/>
      <c r="F2536" s="6" t="n"/>
      <c r="G2536" s="8">
        <f>IF(B2536="","",IFERROR(VLOOKUP(--B2536,'CATALOGO CECO'!$A$2:$H$550,2,FALSE),"CECO NO EXISTE"))</f>
        <v/>
      </c>
      <c r="H2536" s="8">
        <f>IF(B2536="","",IFERROR(VLOOKUP(--B2536,'CATALOGO CECO'!$A$2:$H$550,3,FALSE),""))</f>
        <v/>
      </c>
      <c r="I2536" s="8">
        <f>IF(B2536="","",IFERROR(VLOOKUP(--B2536,'CATALOGO CECO'!$A$2:$H$550,5,FALSE),""))</f>
        <v/>
      </c>
      <c r="J2536" s="8">
        <f>IF(B2536="","",IFERROR(VLOOKUP(--B2536,'CATALOGO CECO'!$A$2:$H$550,8,FALSE),""))</f>
        <v/>
      </c>
      <c r="K2536" s="8">
        <f>IF(COUNTA(A2536:F2536)=0,"",IF(OR(LEN(A2536)&lt;&gt;7,MID(A2536,5,1)&lt;&gt;"-",ISERROR(--LEFT(A2536,4)),ISERROR(--RIGHT(A2536,2))),"ERROR: PERIODO debe ser AAAA-MM",IF(B2536="","ERROR: falta CODIGO CECO",IF(G2536="CECO NO EXISTE","ERROR: CECO no existe en el catálogo",IF(C2536="","ERROR: falta CUENTA",IF(ISERROR(--C2536),"ERROR: CUENTA debe tener solo dígitos",IF(ISERROR(FIND(LEFT(C2536,1),"567")),"ERROR: CUENTA fuera de las clases de costo",IF(NOT(ISNUMBER(E2536)),"ERROR: VALOR debe ser numérico",IF(E2536=0,"AVISO: valor cero (no se carga)",IF(J2536&lt;&gt;"ACTIVO","NO SE CARGA: CECO en estado "&amp;J2536,"OK"))))))))))</f>
        <v/>
      </c>
    </row>
    <row r="2537">
      <c r="A2537" s="5" t="n"/>
      <c r="B2537" s="6" t="n"/>
      <c r="C2537" s="5" t="n"/>
      <c r="D2537" s="6" t="n"/>
      <c r="E2537" s="7" t="n"/>
      <c r="F2537" s="6" t="n"/>
      <c r="G2537" s="8">
        <f>IF(B2537="","",IFERROR(VLOOKUP(--B2537,'CATALOGO CECO'!$A$2:$H$550,2,FALSE),"CECO NO EXISTE"))</f>
        <v/>
      </c>
      <c r="H2537" s="8">
        <f>IF(B2537="","",IFERROR(VLOOKUP(--B2537,'CATALOGO CECO'!$A$2:$H$550,3,FALSE),""))</f>
        <v/>
      </c>
      <c r="I2537" s="8">
        <f>IF(B2537="","",IFERROR(VLOOKUP(--B2537,'CATALOGO CECO'!$A$2:$H$550,5,FALSE),""))</f>
        <v/>
      </c>
      <c r="J2537" s="8">
        <f>IF(B2537="","",IFERROR(VLOOKUP(--B2537,'CATALOGO CECO'!$A$2:$H$550,8,FALSE),""))</f>
        <v/>
      </c>
      <c r="K2537" s="8">
        <f>IF(COUNTA(A2537:F2537)=0,"",IF(OR(LEN(A2537)&lt;&gt;7,MID(A2537,5,1)&lt;&gt;"-",ISERROR(--LEFT(A2537,4)),ISERROR(--RIGHT(A2537,2))),"ERROR: PERIODO debe ser AAAA-MM",IF(B2537="","ERROR: falta CODIGO CECO",IF(G2537="CECO NO EXISTE","ERROR: CECO no existe en el catálogo",IF(C2537="","ERROR: falta CUENTA",IF(ISERROR(--C2537),"ERROR: CUENTA debe tener solo dígitos",IF(ISERROR(FIND(LEFT(C2537,1),"567")),"ERROR: CUENTA fuera de las clases de costo",IF(NOT(ISNUMBER(E2537)),"ERROR: VALOR debe ser numérico",IF(E2537=0,"AVISO: valor cero (no se carga)",IF(J2537&lt;&gt;"ACTIVO","NO SE CARGA: CECO en estado "&amp;J2537,"OK"))))))))))</f>
        <v/>
      </c>
    </row>
    <row r="2538">
      <c r="A2538" s="5" t="n"/>
      <c r="B2538" s="6" t="n"/>
      <c r="C2538" s="5" t="n"/>
      <c r="D2538" s="6" t="n"/>
      <c r="E2538" s="7" t="n"/>
      <c r="F2538" s="6" t="n"/>
      <c r="G2538" s="8">
        <f>IF(B2538="","",IFERROR(VLOOKUP(--B2538,'CATALOGO CECO'!$A$2:$H$550,2,FALSE),"CECO NO EXISTE"))</f>
        <v/>
      </c>
      <c r="H2538" s="8">
        <f>IF(B2538="","",IFERROR(VLOOKUP(--B2538,'CATALOGO CECO'!$A$2:$H$550,3,FALSE),""))</f>
        <v/>
      </c>
      <c r="I2538" s="8">
        <f>IF(B2538="","",IFERROR(VLOOKUP(--B2538,'CATALOGO CECO'!$A$2:$H$550,5,FALSE),""))</f>
        <v/>
      </c>
      <c r="J2538" s="8">
        <f>IF(B2538="","",IFERROR(VLOOKUP(--B2538,'CATALOGO CECO'!$A$2:$H$550,8,FALSE),""))</f>
        <v/>
      </c>
      <c r="K2538" s="8">
        <f>IF(COUNTA(A2538:F2538)=0,"",IF(OR(LEN(A2538)&lt;&gt;7,MID(A2538,5,1)&lt;&gt;"-",ISERROR(--LEFT(A2538,4)),ISERROR(--RIGHT(A2538,2))),"ERROR: PERIODO debe ser AAAA-MM",IF(B2538="","ERROR: falta CODIGO CECO",IF(G2538="CECO NO EXISTE","ERROR: CECO no existe en el catálogo",IF(C2538="","ERROR: falta CUENTA",IF(ISERROR(--C2538),"ERROR: CUENTA debe tener solo dígitos",IF(ISERROR(FIND(LEFT(C2538,1),"567")),"ERROR: CUENTA fuera de las clases de costo",IF(NOT(ISNUMBER(E2538)),"ERROR: VALOR debe ser numérico",IF(E2538=0,"AVISO: valor cero (no se carga)",IF(J2538&lt;&gt;"ACTIVO","NO SE CARGA: CECO en estado "&amp;J2538,"OK"))))))))))</f>
        <v/>
      </c>
    </row>
    <row r="2539">
      <c r="A2539" s="5" t="n"/>
      <c r="B2539" s="6" t="n"/>
      <c r="C2539" s="5" t="n"/>
      <c r="D2539" s="6" t="n"/>
      <c r="E2539" s="7" t="n"/>
      <c r="F2539" s="6" t="n"/>
      <c r="G2539" s="8">
        <f>IF(B2539="","",IFERROR(VLOOKUP(--B2539,'CATALOGO CECO'!$A$2:$H$550,2,FALSE),"CECO NO EXISTE"))</f>
        <v/>
      </c>
      <c r="H2539" s="8">
        <f>IF(B2539="","",IFERROR(VLOOKUP(--B2539,'CATALOGO CECO'!$A$2:$H$550,3,FALSE),""))</f>
        <v/>
      </c>
      <c r="I2539" s="8">
        <f>IF(B2539="","",IFERROR(VLOOKUP(--B2539,'CATALOGO CECO'!$A$2:$H$550,5,FALSE),""))</f>
        <v/>
      </c>
      <c r="J2539" s="8">
        <f>IF(B2539="","",IFERROR(VLOOKUP(--B2539,'CATALOGO CECO'!$A$2:$H$550,8,FALSE),""))</f>
        <v/>
      </c>
      <c r="K2539" s="8">
        <f>IF(COUNTA(A2539:F2539)=0,"",IF(OR(LEN(A2539)&lt;&gt;7,MID(A2539,5,1)&lt;&gt;"-",ISERROR(--LEFT(A2539,4)),ISERROR(--RIGHT(A2539,2))),"ERROR: PERIODO debe ser AAAA-MM",IF(B2539="","ERROR: falta CODIGO CECO",IF(G2539="CECO NO EXISTE","ERROR: CECO no existe en el catálogo",IF(C2539="","ERROR: falta CUENTA",IF(ISERROR(--C2539),"ERROR: CUENTA debe tener solo dígitos",IF(ISERROR(FIND(LEFT(C2539,1),"567")),"ERROR: CUENTA fuera de las clases de costo",IF(NOT(ISNUMBER(E2539)),"ERROR: VALOR debe ser numérico",IF(E2539=0,"AVISO: valor cero (no se carga)",IF(J2539&lt;&gt;"ACTIVO","NO SE CARGA: CECO en estado "&amp;J2539,"OK"))))))))))</f>
        <v/>
      </c>
    </row>
    <row r="2540">
      <c r="A2540" s="5" t="n"/>
      <c r="B2540" s="6" t="n"/>
      <c r="C2540" s="5" t="n"/>
      <c r="D2540" s="6" t="n"/>
      <c r="E2540" s="7" t="n"/>
      <c r="F2540" s="6" t="n"/>
      <c r="G2540" s="8">
        <f>IF(B2540="","",IFERROR(VLOOKUP(--B2540,'CATALOGO CECO'!$A$2:$H$550,2,FALSE),"CECO NO EXISTE"))</f>
        <v/>
      </c>
      <c r="H2540" s="8">
        <f>IF(B2540="","",IFERROR(VLOOKUP(--B2540,'CATALOGO CECO'!$A$2:$H$550,3,FALSE),""))</f>
        <v/>
      </c>
      <c r="I2540" s="8">
        <f>IF(B2540="","",IFERROR(VLOOKUP(--B2540,'CATALOGO CECO'!$A$2:$H$550,5,FALSE),""))</f>
        <v/>
      </c>
      <c r="J2540" s="8">
        <f>IF(B2540="","",IFERROR(VLOOKUP(--B2540,'CATALOGO CECO'!$A$2:$H$550,8,FALSE),""))</f>
        <v/>
      </c>
      <c r="K2540" s="8">
        <f>IF(COUNTA(A2540:F2540)=0,"",IF(OR(LEN(A2540)&lt;&gt;7,MID(A2540,5,1)&lt;&gt;"-",ISERROR(--LEFT(A2540,4)),ISERROR(--RIGHT(A2540,2))),"ERROR: PERIODO debe ser AAAA-MM",IF(B2540="","ERROR: falta CODIGO CECO",IF(G2540="CECO NO EXISTE","ERROR: CECO no existe en el catálogo",IF(C2540="","ERROR: falta CUENTA",IF(ISERROR(--C2540),"ERROR: CUENTA debe tener solo dígitos",IF(ISERROR(FIND(LEFT(C2540,1),"567")),"ERROR: CUENTA fuera de las clases de costo",IF(NOT(ISNUMBER(E2540)),"ERROR: VALOR debe ser numérico",IF(E2540=0,"AVISO: valor cero (no se carga)",IF(J2540&lt;&gt;"ACTIVO","NO SE CARGA: CECO en estado "&amp;J2540,"OK"))))))))))</f>
        <v/>
      </c>
    </row>
    <row r="2541">
      <c r="A2541" s="5" t="n"/>
      <c r="B2541" s="6" t="n"/>
      <c r="C2541" s="5" t="n"/>
      <c r="D2541" s="6" t="n"/>
      <c r="E2541" s="7" t="n"/>
      <c r="F2541" s="6" t="n"/>
      <c r="G2541" s="8">
        <f>IF(B2541="","",IFERROR(VLOOKUP(--B2541,'CATALOGO CECO'!$A$2:$H$550,2,FALSE),"CECO NO EXISTE"))</f>
        <v/>
      </c>
      <c r="H2541" s="8">
        <f>IF(B2541="","",IFERROR(VLOOKUP(--B2541,'CATALOGO CECO'!$A$2:$H$550,3,FALSE),""))</f>
        <v/>
      </c>
      <c r="I2541" s="8">
        <f>IF(B2541="","",IFERROR(VLOOKUP(--B2541,'CATALOGO CECO'!$A$2:$H$550,5,FALSE),""))</f>
        <v/>
      </c>
      <c r="J2541" s="8">
        <f>IF(B2541="","",IFERROR(VLOOKUP(--B2541,'CATALOGO CECO'!$A$2:$H$550,8,FALSE),""))</f>
        <v/>
      </c>
      <c r="K2541" s="8">
        <f>IF(COUNTA(A2541:F2541)=0,"",IF(OR(LEN(A2541)&lt;&gt;7,MID(A2541,5,1)&lt;&gt;"-",ISERROR(--LEFT(A2541,4)),ISERROR(--RIGHT(A2541,2))),"ERROR: PERIODO debe ser AAAA-MM",IF(B2541="","ERROR: falta CODIGO CECO",IF(G2541="CECO NO EXISTE","ERROR: CECO no existe en el catálogo",IF(C2541="","ERROR: falta CUENTA",IF(ISERROR(--C2541),"ERROR: CUENTA debe tener solo dígitos",IF(ISERROR(FIND(LEFT(C2541,1),"567")),"ERROR: CUENTA fuera de las clases de costo",IF(NOT(ISNUMBER(E2541)),"ERROR: VALOR debe ser numérico",IF(E2541=0,"AVISO: valor cero (no se carga)",IF(J2541&lt;&gt;"ACTIVO","NO SE CARGA: CECO en estado "&amp;J2541,"OK"))))))))))</f>
        <v/>
      </c>
    </row>
    <row r="2542">
      <c r="A2542" s="5" t="n"/>
      <c r="B2542" s="6" t="n"/>
      <c r="C2542" s="5" t="n"/>
      <c r="D2542" s="6" t="n"/>
      <c r="E2542" s="7" t="n"/>
      <c r="F2542" s="6" t="n"/>
      <c r="G2542" s="8">
        <f>IF(B2542="","",IFERROR(VLOOKUP(--B2542,'CATALOGO CECO'!$A$2:$H$550,2,FALSE),"CECO NO EXISTE"))</f>
        <v/>
      </c>
      <c r="H2542" s="8">
        <f>IF(B2542="","",IFERROR(VLOOKUP(--B2542,'CATALOGO CECO'!$A$2:$H$550,3,FALSE),""))</f>
        <v/>
      </c>
      <c r="I2542" s="8">
        <f>IF(B2542="","",IFERROR(VLOOKUP(--B2542,'CATALOGO CECO'!$A$2:$H$550,5,FALSE),""))</f>
        <v/>
      </c>
      <c r="J2542" s="8">
        <f>IF(B2542="","",IFERROR(VLOOKUP(--B2542,'CATALOGO CECO'!$A$2:$H$550,8,FALSE),""))</f>
        <v/>
      </c>
      <c r="K2542" s="8">
        <f>IF(COUNTA(A2542:F2542)=0,"",IF(OR(LEN(A2542)&lt;&gt;7,MID(A2542,5,1)&lt;&gt;"-",ISERROR(--LEFT(A2542,4)),ISERROR(--RIGHT(A2542,2))),"ERROR: PERIODO debe ser AAAA-MM",IF(B2542="","ERROR: falta CODIGO CECO",IF(G2542="CECO NO EXISTE","ERROR: CECO no existe en el catálogo",IF(C2542="","ERROR: falta CUENTA",IF(ISERROR(--C2542),"ERROR: CUENTA debe tener solo dígitos",IF(ISERROR(FIND(LEFT(C2542,1),"567")),"ERROR: CUENTA fuera de las clases de costo",IF(NOT(ISNUMBER(E2542)),"ERROR: VALOR debe ser numérico",IF(E2542=0,"AVISO: valor cero (no se carga)",IF(J2542&lt;&gt;"ACTIVO","NO SE CARGA: CECO en estado "&amp;J2542,"OK"))))))))))</f>
        <v/>
      </c>
    </row>
    <row r="2543">
      <c r="A2543" s="5" t="n"/>
      <c r="B2543" s="6" t="n"/>
      <c r="C2543" s="5" t="n"/>
      <c r="D2543" s="6" t="n"/>
      <c r="E2543" s="7" t="n"/>
      <c r="F2543" s="6" t="n"/>
      <c r="G2543" s="8">
        <f>IF(B2543="","",IFERROR(VLOOKUP(--B2543,'CATALOGO CECO'!$A$2:$H$550,2,FALSE),"CECO NO EXISTE"))</f>
        <v/>
      </c>
      <c r="H2543" s="8">
        <f>IF(B2543="","",IFERROR(VLOOKUP(--B2543,'CATALOGO CECO'!$A$2:$H$550,3,FALSE),""))</f>
        <v/>
      </c>
      <c r="I2543" s="8">
        <f>IF(B2543="","",IFERROR(VLOOKUP(--B2543,'CATALOGO CECO'!$A$2:$H$550,5,FALSE),""))</f>
        <v/>
      </c>
      <c r="J2543" s="8">
        <f>IF(B2543="","",IFERROR(VLOOKUP(--B2543,'CATALOGO CECO'!$A$2:$H$550,8,FALSE),""))</f>
        <v/>
      </c>
      <c r="K2543" s="8">
        <f>IF(COUNTA(A2543:F2543)=0,"",IF(OR(LEN(A2543)&lt;&gt;7,MID(A2543,5,1)&lt;&gt;"-",ISERROR(--LEFT(A2543,4)),ISERROR(--RIGHT(A2543,2))),"ERROR: PERIODO debe ser AAAA-MM",IF(B2543="","ERROR: falta CODIGO CECO",IF(G2543="CECO NO EXISTE","ERROR: CECO no existe en el catálogo",IF(C2543="","ERROR: falta CUENTA",IF(ISERROR(--C2543),"ERROR: CUENTA debe tener solo dígitos",IF(ISERROR(FIND(LEFT(C2543,1),"567")),"ERROR: CUENTA fuera de las clases de costo",IF(NOT(ISNUMBER(E2543)),"ERROR: VALOR debe ser numérico",IF(E2543=0,"AVISO: valor cero (no se carga)",IF(J2543&lt;&gt;"ACTIVO","NO SE CARGA: CECO en estado "&amp;J2543,"OK"))))))))))</f>
        <v/>
      </c>
    </row>
    <row r="2544">
      <c r="A2544" s="5" t="n"/>
      <c r="B2544" s="6" t="n"/>
      <c r="C2544" s="5" t="n"/>
      <c r="D2544" s="6" t="n"/>
      <c r="E2544" s="7" t="n"/>
      <c r="F2544" s="6" t="n"/>
      <c r="G2544" s="8">
        <f>IF(B2544="","",IFERROR(VLOOKUP(--B2544,'CATALOGO CECO'!$A$2:$H$550,2,FALSE),"CECO NO EXISTE"))</f>
        <v/>
      </c>
      <c r="H2544" s="8">
        <f>IF(B2544="","",IFERROR(VLOOKUP(--B2544,'CATALOGO CECO'!$A$2:$H$550,3,FALSE),""))</f>
        <v/>
      </c>
      <c r="I2544" s="8">
        <f>IF(B2544="","",IFERROR(VLOOKUP(--B2544,'CATALOGO CECO'!$A$2:$H$550,5,FALSE),""))</f>
        <v/>
      </c>
      <c r="J2544" s="8">
        <f>IF(B2544="","",IFERROR(VLOOKUP(--B2544,'CATALOGO CECO'!$A$2:$H$550,8,FALSE),""))</f>
        <v/>
      </c>
      <c r="K2544" s="8">
        <f>IF(COUNTA(A2544:F2544)=0,"",IF(OR(LEN(A2544)&lt;&gt;7,MID(A2544,5,1)&lt;&gt;"-",ISERROR(--LEFT(A2544,4)),ISERROR(--RIGHT(A2544,2))),"ERROR: PERIODO debe ser AAAA-MM",IF(B2544="","ERROR: falta CODIGO CECO",IF(G2544="CECO NO EXISTE","ERROR: CECO no existe en el catálogo",IF(C2544="","ERROR: falta CUENTA",IF(ISERROR(--C2544),"ERROR: CUENTA debe tener solo dígitos",IF(ISERROR(FIND(LEFT(C2544,1),"567")),"ERROR: CUENTA fuera de las clases de costo",IF(NOT(ISNUMBER(E2544)),"ERROR: VALOR debe ser numérico",IF(E2544=0,"AVISO: valor cero (no se carga)",IF(J2544&lt;&gt;"ACTIVO","NO SE CARGA: CECO en estado "&amp;J2544,"OK"))))))))))</f>
        <v/>
      </c>
    </row>
    <row r="2545">
      <c r="A2545" s="5" t="n"/>
      <c r="B2545" s="6" t="n"/>
      <c r="C2545" s="5" t="n"/>
      <c r="D2545" s="6" t="n"/>
      <c r="E2545" s="7" t="n"/>
      <c r="F2545" s="6" t="n"/>
      <c r="G2545" s="8">
        <f>IF(B2545="","",IFERROR(VLOOKUP(--B2545,'CATALOGO CECO'!$A$2:$H$550,2,FALSE),"CECO NO EXISTE"))</f>
        <v/>
      </c>
      <c r="H2545" s="8">
        <f>IF(B2545="","",IFERROR(VLOOKUP(--B2545,'CATALOGO CECO'!$A$2:$H$550,3,FALSE),""))</f>
        <v/>
      </c>
      <c r="I2545" s="8">
        <f>IF(B2545="","",IFERROR(VLOOKUP(--B2545,'CATALOGO CECO'!$A$2:$H$550,5,FALSE),""))</f>
        <v/>
      </c>
      <c r="J2545" s="8">
        <f>IF(B2545="","",IFERROR(VLOOKUP(--B2545,'CATALOGO CECO'!$A$2:$H$550,8,FALSE),""))</f>
        <v/>
      </c>
      <c r="K2545" s="8">
        <f>IF(COUNTA(A2545:F2545)=0,"",IF(OR(LEN(A2545)&lt;&gt;7,MID(A2545,5,1)&lt;&gt;"-",ISERROR(--LEFT(A2545,4)),ISERROR(--RIGHT(A2545,2))),"ERROR: PERIODO debe ser AAAA-MM",IF(B2545="","ERROR: falta CODIGO CECO",IF(G2545="CECO NO EXISTE","ERROR: CECO no existe en el catálogo",IF(C2545="","ERROR: falta CUENTA",IF(ISERROR(--C2545),"ERROR: CUENTA debe tener solo dígitos",IF(ISERROR(FIND(LEFT(C2545,1),"567")),"ERROR: CUENTA fuera de las clases de costo",IF(NOT(ISNUMBER(E2545)),"ERROR: VALOR debe ser numérico",IF(E2545=0,"AVISO: valor cero (no se carga)",IF(J2545&lt;&gt;"ACTIVO","NO SE CARGA: CECO en estado "&amp;J2545,"OK"))))))))))</f>
        <v/>
      </c>
    </row>
    <row r="2546">
      <c r="A2546" s="5" t="n"/>
      <c r="B2546" s="6" t="n"/>
      <c r="C2546" s="5" t="n"/>
      <c r="D2546" s="6" t="n"/>
      <c r="E2546" s="7" t="n"/>
      <c r="F2546" s="6" t="n"/>
      <c r="G2546" s="8">
        <f>IF(B2546="","",IFERROR(VLOOKUP(--B2546,'CATALOGO CECO'!$A$2:$H$550,2,FALSE),"CECO NO EXISTE"))</f>
        <v/>
      </c>
      <c r="H2546" s="8">
        <f>IF(B2546="","",IFERROR(VLOOKUP(--B2546,'CATALOGO CECO'!$A$2:$H$550,3,FALSE),""))</f>
        <v/>
      </c>
      <c r="I2546" s="8">
        <f>IF(B2546="","",IFERROR(VLOOKUP(--B2546,'CATALOGO CECO'!$A$2:$H$550,5,FALSE),""))</f>
        <v/>
      </c>
      <c r="J2546" s="8">
        <f>IF(B2546="","",IFERROR(VLOOKUP(--B2546,'CATALOGO CECO'!$A$2:$H$550,8,FALSE),""))</f>
        <v/>
      </c>
      <c r="K2546" s="8">
        <f>IF(COUNTA(A2546:F2546)=0,"",IF(OR(LEN(A2546)&lt;&gt;7,MID(A2546,5,1)&lt;&gt;"-",ISERROR(--LEFT(A2546,4)),ISERROR(--RIGHT(A2546,2))),"ERROR: PERIODO debe ser AAAA-MM",IF(B2546="","ERROR: falta CODIGO CECO",IF(G2546="CECO NO EXISTE","ERROR: CECO no existe en el catálogo",IF(C2546="","ERROR: falta CUENTA",IF(ISERROR(--C2546),"ERROR: CUENTA debe tener solo dígitos",IF(ISERROR(FIND(LEFT(C2546,1),"567")),"ERROR: CUENTA fuera de las clases de costo",IF(NOT(ISNUMBER(E2546)),"ERROR: VALOR debe ser numérico",IF(E2546=0,"AVISO: valor cero (no se carga)",IF(J2546&lt;&gt;"ACTIVO","NO SE CARGA: CECO en estado "&amp;J2546,"OK"))))))))))</f>
        <v/>
      </c>
    </row>
    <row r="2547">
      <c r="A2547" s="5" t="n"/>
      <c r="B2547" s="6" t="n"/>
      <c r="C2547" s="5" t="n"/>
      <c r="D2547" s="6" t="n"/>
      <c r="E2547" s="7" t="n"/>
      <c r="F2547" s="6" t="n"/>
      <c r="G2547" s="8">
        <f>IF(B2547="","",IFERROR(VLOOKUP(--B2547,'CATALOGO CECO'!$A$2:$H$550,2,FALSE),"CECO NO EXISTE"))</f>
        <v/>
      </c>
      <c r="H2547" s="8">
        <f>IF(B2547="","",IFERROR(VLOOKUP(--B2547,'CATALOGO CECO'!$A$2:$H$550,3,FALSE),""))</f>
        <v/>
      </c>
      <c r="I2547" s="8">
        <f>IF(B2547="","",IFERROR(VLOOKUP(--B2547,'CATALOGO CECO'!$A$2:$H$550,5,FALSE),""))</f>
        <v/>
      </c>
      <c r="J2547" s="8">
        <f>IF(B2547="","",IFERROR(VLOOKUP(--B2547,'CATALOGO CECO'!$A$2:$H$550,8,FALSE),""))</f>
        <v/>
      </c>
      <c r="K2547" s="8">
        <f>IF(COUNTA(A2547:F2547)=0,"",IF(OR(LEN(A2547)&lt;&gt;7,MID(A2547,5,1)&lt;&gt;"-",ISERROR(--LEFT(A2547,4)),ISERROR(--RIGHT(A2547,2))),"ERROR: PERIODO debe ser AAAA-MM",IF(B2547="","ERROR: falta CODIGO CECO",IF(G2547="CECO NO EXISTE","ERROR: CECO no existe en el catálogo",IF(C2547="","ERROR: falta CUENTA",IF(ISERROR(--C2547),"ERROR: CUENTA debe tener solo dígitos",IF(ISERROR(FIND(LEFT(C2547,1),"567")),"ERROR: CUENTA fuera de las clases de costo",IF(NOT(ISNUMBER(E2547)),"ERROR: VALOR debe ser numérico",IF(E2547=0,"AVISO: valor cero (no se carga)",IF(J2547&lt;&gt;"ACTIVO","NO SE CARGA: CECO en estado "&amp;J2547,"OK"))))))))))</f>
        <v/>
      </c>
    </row>
    <row r="2548">
      <c r="A2548" s="5" t="n"/>
      <c r="B2548" s="6" t="n"/>
      <c r="C2548" s="5" t="n"/>
      <c r="D2548" s="6" t="n"/>
      <c r="E2548" s="7" t="n"/>
      <c r="F2548" s="6" t="n"/>
      <c r="G2548" s="8">
        <f>IF(B2548="","",IFERROR(VLOOKUP(--B2548,'CATALOGO CECO'!$A$2:$H$550,2,FALSE),"CECO NO EXISTE"))</f>
        <v/>
      </c>
      <c r="H2548" s="8">
        <f>IF(B2548="","",IFERROR(VLOOKUP(--B2548,'CATALOGO CECO'!$A$2:$H$550,3,FALSE),""))</f>
        <v/>
      </c>
      <c r="I2548" s="8">
        <f>IF(B2548="","",IFERROR(VLOOKUP(--B2548,'CATALOGO CECO'!$A$2:$H$550,5,FALSE),""))</f>
        <v/>
      </c>
      <c r="J2548" s="8">
        <f>IF(B2548="","",IFERROR(VLOOKUP(--B2548,'CATALOGO CECO'!$A$2:$H$550,8,FALSE),""))</f>
        <v/>
      </c>
      <c r="K2548" s="8">
        <f>IF(COUNTA(A2548:F2548)=0,"",IF(OR(LEN(A2548)&lt;&gt;7,MID(A2548,5,1)&lt;&gt;"-",ISERROR(--LEFT(A2548,4)),ISERROR(--RIGHT(A2548,2))),"ERROR: PERIODO debe ser AAAA-MM",IF(B2548="","ERROR: falta CODIGO CECO",IF(G2548="CECO NO EXISTE","ERROR: CECO no existe en el catálogo",IF(C2548="","ERROR: falta CUENTA",IF(ISERROR(--C2548),"ERROR: CUENTA debe tener solo dígitos",IF(ISERROR(FIND(LEFT(C2548,1),"567")),"ERROR: CUENTA fuera de las clases de costo",IF(NOT(ISNUMBER(E2548)),"ERROR: VALOR debe ser numérico",IF(E2548=0,"AVISO: valor cero (no se carga)",IF(J2548&lt;&gt;"ACTIVO","NO SE CARGA: CECO en estado "&amp;J2548,"OK"))))))))))</f>
        <v/>
      </c>
    </row>
    <row r="2549">
      <c r="A2549" s="5" t="n"/>
      <c r="B2549" s="6" t="n"/>
      <c r="C2549" s="5" t="n"/>
      <c r="D2549" s="6" t="n"/>
      <c r="E2549" s="7" t="n"/>
      <c r="F2549" s="6" t="n"/>
      <c r="G2549" s="8">
        <f>IF(B2549="","",IFERROR(VLOOKUP(--B2549,'CATALOGO CECO'!$A$2:$H$550,2,FALSE),"CECO NO EXISTE"))</f>
        <v/>
      </c>
      <c r="H2549" s="8">
        <f>IF(B2549="","",IFERROR(VLOOKUP(--B2549,'CATALOGO CECO'!$A$2:$H$550,3,FALSE),""))</f>
        <v/>
      </c>
      <c r="I2549" s="8">
        <f>IF(B2549="","",IFERROR(VLOOKUP(--B2549,'CATALOGO CECO'!$A$2:$H$550,5,FALSE),""))</f>
        <v/>
      </c>
      <c r="J2549" s="8">
        <f>IF(B2549="","",IFERROR(VLOOKUP(--B2549,'CATALOGO CECO'!$A$2:$H$550,8,FALSE),""))</f>
        <v/>
      </c>
      <c r="K2549" s="8">
        <f>IF(COUNTA(A2549:F2549)=0,"",IF(OR(LEN(A2549)&lt;&gt;7,MID(A2549,5,1)&lt;&gt;"-",ISERROR(--LEFT(A2549,4)),ISERROR(--RIGHT(A2549,2))),"ERROR: PERIODO debe ser AAAA-MM",IF(B2549="","ERROR: falta CODIGO CECO",IF(G2549="CECO NO EXISTE","ERROR: CECO no existe en el catálogo",IF(C2549="","ERROR: falta CUENTA",IF(ISERROR(--C2549),"ERROR: CUENTA debe tener solo dígitos",IF(ISERROR(FIND(LEFT(C2549,1),"567")),"ERROR: CUENTA fuera de las clases de costo",IF(NOT(ISNUMBER(E2549)),"ERROR: VALOR debe ser numérico",IF(E2549=0,"AVISO: valor cero (no se carga)",IF(J2549&lt;&gt;"ACTIVO","NO SE CARGA: CECO en estado "&amp;J2549,"OK"))))))))))</f>
        <v/>
      </c>
    </row>
    <row r="2550">
      <c r="A2550" s="5" t="n"/>
      <c r="B2550" s="6" t="n"/>
      <c r="C2550" s="5" t="n"/>
      <c r="D2550" s="6" t="n"/>
      <c r="E2550" s="7" t="n"/>
      <c r="F2550" s="6" t="n"/>
      <c r="G2550" s="8">
        <f>IF(B2550="","",IFERROR(VLOOKUP(--B2550,'CATALOGO CECO'!$A$2:$H$550,2,FALSE),"CECO NO EXISTE"))</f>
        <v/>
      </c>
      <c r="H2550" s="8">
        <f>IF(B2550="","",IFERROR(VLOOKUP(--B2550,'CATALOGO CECO'!$A$2:$H$550,3,FALSE),""))</f>
        <v/>
      </c>
      <c r="I2550" s="8">
        <f>IF(B2550="","",IFERROR(VLOOKUP(--B2550,'CATALOGO CECO'!$A$2:$H$550,5,FALSE),""))</f>
        <v/>
      </c>
      <c r="J2550" s="8">
        <f>IF(B2550="","",IFERROR(VLOOKUP(--B2550,'CATALOGO CECO'!$A$2:$H$550,8,FALSE),""))</f>
        <v/>
      </c>
      <c r="K2550" s="8">
        <f>IF(COUNTA(A2550:F2550)=0,"",IF(OR(LEN(A2550)&lt;&gt;7,MID(A2550,5,1)&lt;&gt;"-",ISERROR(--LEFT(A2550,4)),ISERROR(--RIGHT(A2550,2))),"ERROR: PERIODO debe ser AAAA-MM",IF(B2550="","ERROR: falta CODIGO CECO",IF(G2550="CECO NO EXISTE","ERROR: CECO no existe en el catálogo",IF(C2550="","ERROR: falta CUENTA",IF(ISERROR(--C2550),"ERROR: CUENTA debe tener solo dígitos",IF(ISERROR(FIND(LEFT(C2550,1),"567")),"ERROR: CUENTA fuera de las clases de costo",IF(NOT(ISNUMBER(E2550)),"ERROR: VALOR debe ser numérico",IF(E2550=0,"AVISO: valor cero (no se carga)",IF(J2550&lt;&gt;"ACTIVO","NO SE CARGA: CECO en estado "&amp;J2550,"OK"))))))))))</f>
        <v/>
      </c>
    </row>
    <row r="2551">
      <c r="A2551" s="5" t="n"/>
      <c r="B2551" s="6" t="n"/>
      <c r="C2551" s="5" t="n"/>
      <c r="D2551" s="6" t="n"/>
      <c r="E2551" s="7" t="n"/>
      <c r="F2551" s="6" t="n"/>
      <c r="G2551" s="8">
        <f>IF(B2551="","",IFERROR(VLOOKUP(--B2551,'CATALOGO CECO'!$A$2:$H$550,2,FALSE),"CECO NO EXISTE"))</f>
        <v/>
      </c>
      <c r="H2551" s="8">
        <f>IF(B2551="","",IFERROR(VLOOKUP(--B2551,'CATALOGO CECO'!$A$2:$H$550,3,FALSE),""))</f>
        <v/>
      </c>
      <c r="I2551" s="8">
        <f>IF(B2551="","",IFERROR(VLOOKUP(--B2551,'CATALOGO CECO'!$A$2:$H$550,5,FALSE),""))</f>
        <v/>
      </c>
      <c r="J2551" s="8">
        <f>IF(B2551="","",IFERROR(VLOOKUP(--B2551,'CATALOGO CECO'!$A$2:$H$550,8,FALSE),""))</f>
        <v/>
      </c>
      <c r="K2551" s="8">
        <f>IF(COUNTA(A2551:F2551)=0,"",IF(OR(LEN(A2551)&lt;&gt;7,MID(A2551,5,1)&lt;&gt;"-",ISERROR(--LEFT(A2551,4)),ISERROR(--RIGHT(A2551,2))),"ERROR: PERIODO debe ser AAAA-MM",IF(B2551="","ERROR: falta CODIGO CECO",IF(G2551="CECO NO EXISTE","ERROR: CECO no existe en el catálogo",IF(C2551="","ERROR: falta CUENTA",IF(ISERROR(--C2551),"ERROR: CUENTA debe tener solo dígitos",IF(ISERROR(FIND(LEFT(C2551,1),"567")),"ERROR: CUENTA fuera de las clases de costo",IF(NOT(ISNUMBER(E2551)),"ERROR: VALOR debe ser numérico",IF(E2551=0,"AVISO: valor cero (no se carga)",IF(J2551&lt;&gt;"ACTIVO","NO SE CARGA: CECO en estado "&amp;J2551,"OK"))))))))))</f>
        <v/>
      </c>
    </row>
    <row r="2552">
      <c r="A2552" s="5" t="n"/>
      <c r="B2552" s="6" t="n"/>
      <c r="C2552" s="5" t="n"/>
      <c r="D2552" s="6" t="n"/>
      <c r="E2552" s="7" t="n"/>
      <c r="F2552" s="6" t="n"/>
      <c r="G2552" s="8">
        <f>IF(B2552="","",IFERROR(VLOOKUP(--B2552,'CATALOGO CECO'!$A$2:$H$550,2,FALSE),"CECO NO EXISTE"))</f>
        <v/>
      </c>
      <c r="H2552" s="8">
        <f>IF(B2552="","",IFERROR(VLOOKUP(--B2552,'CATALOGO CECO'!$A$2:$H$550,3,FALSE),""))</f>
        <v/>
      </c>
      <c r="I2552" s="8">
        <f>IF(B2552="","",IFERROR(VLOOKUP(--B2552,'CATALOGO CECO'!$A$2:$H$550,5,FALSE),""))</f>
        <v/>
      </c>
      <c r="J2552" s="8">
        <f>IF(B2552="","",IFERROR(VLOOKUP(--B2552,'CATALOGO CECO'!$A$2:$H$550,8,FALSE),""))</f>
        <v/>
      </c>
      <c r="K2552" s="8">
        <f>IF(COUNTA(A2552:F2552)=0,"",IF(OR(LEN(A2552)&lt;&gt;7,MID(A2552,5,1)&lt;&gt;"-",ISERROR(--LEFT(A2552,4)),ISERROR(--RIGHT(A2552,2))),"ERROR: PERIODO debe ser AAAA-MM",IF(B2552="","ERROR: falta CODIGO CECO",IF(G2552="CECO NO EXISTE","ERROR: CECO no existe en el catálogo",IF(C2552="","ERROR: falta CUENTA",IF(ISERROR(--C2552),"ERROR: CUENTA debe tener solo dígitos",IF(ISERROR(FIND(LEFT(C2552,1),"567")),"ERROR: CUENTA fuera de las clases de costo",IF(NOT(ISNUMBER(E2552)),"ERROR: VALOR debe ser numérico",IF(E2552=0,"AVISO: valor cero (no se carga)",IF(J2552&lt;&gt;"ACTIVO","NO SE CARGA: CECO en estado "&amp;J2552,"OK"))))))))))</f>
        <v/>
      </c>
    </row>
    <row r="2553">
      <c r="A2553" s="5" t="n"/>
      <c r="B2553" s="6" t="n"/>
      <c r="C2553" s="5" t="n"/>
      <c r="D2553" s="6" t="n"/>
      <c r="E2553" s="7" t="n"/>
      <c r="F2553" s="6" t="n"/>
      <c r="G2553" s="8">
        <f>IF(B2553="","",IFERROR(VLOOKUP(--B2553,'CATALOGO CECO'!$A$2:$H$550,2,FALSE),"CECO NO EXISTE"))</f>
        <v/>
      </c>
      <c r="H2553" s="8">
        <f>IF(B2553="","",IFERROR(VLOOKUP(--B2553,'CATALOGO CECO'!$A$2:$H$550,3,FALSE),""))</f>
        <v/>
      </c>
      <c r="I2553" s="8">
        <f>IF(B2553="","",IFERROR(VLOOKUP(--B2553,'CATALOGO CECO'!$A$2:$H$550,5,FALSE),""))</f>
        <v/>
      </c>
      <c r="J2553" s="8">
        <f>IF(B2553="","",IFERROR(VLOOKUP(--B2553,'CATALOGO CECO'!$A$2:$H$550,8,FALSE),""))</f>
        <v/>
      </c>
      <c r="K2553" s="8">
        <f>IF(COUNTA(A2553:F2553)=0,"",IF(OR(LEN(A2553)&lt;&gt;7,MID(A2553,5,1)&lt;&gt;"-",ISERROR(--LEFT(A2553,4)),ISERROR(--RIGHT(A2553,2))),"ERROR: PERIODO debe ser AAAA-MM",IF(B2553="","ERROR: falta CODIGO CECO",IF(G2553="CECO NO EXISTE","ERROR: CECO no existe en el catálogo",IF(C2553="","ERROR: falta CUENTA",IF(ISERROR(--C2553),"ERROR: CUENTA debe tener solo dígitos",IF(ISERROR(FIND(LEFT(C2553,1),"567")),"ERROR: CUENTA fuera de las clases de costo",IF(NOT(ISNUMBER(E2553)),"ERROR: VALOR debe ser numérico",IF(E2553=0,"AVISO: valor cero (no se carga)",IF(J2553&lt;&gt;"ACTIVO","NO SE CARGA: CECO en estado "&amp;J2553,"OK"))))))))))</f>
        <v/>
      </c>
    </row>
    <row r="2554">
      <c r="A2554" s="5" t="n"/>
      <c r="B2554" s="6" t="n"/>
      <c r="C2554" s="5" t="n"/>
      <c r="D2554" s="6" t="n"/>
      <c r="E2554" s="7" t="n"/>
      <c r="F2554" s="6" t="n"/>
      <c r="G2554" s="8">
        <f>IF(B2554="","",IFERROR(VLOOKUP(--B2554,'CATALOGO CECO'!$A$2:$H$550,2,FALSE),"CECO NO EXISTE"))</f>
        <v/>
      </c>
      <c r="H2554" s="8">
        <f>IF(B2554="","",IFERROR(VLOOKUP(--B2554,'CATALOGO CECO'!$A$2:$H$550,3,FALSE),""))</f>
        <v/>
      </c>
      <c r="I2554" s="8">
        <f>IF(B2554="","",IFERROR(VLOOKUP(--B2554,'CATALOGO CECO'!$A$2:$H$550,5,FALSE),""))</f>
        <v/>
      </c>
      <c r="J2554" s="8">
        <f>IF(B2554="","",IFERROR(VLOOKUP(--B2554,'CATALOGO CECO'!$A$2:$H$550,8,FALSE),""))</f>
        <v/>
      </c>
      <c r="K2554" s="8">
        <f>IF(COUNTA(A2554:F2554)=0,"",IF(OR(LEN(A2554)&lt;&gt;7,MID(A2554,5,1)&lt;&gt;"-",ISERROR(--LEFT(A2554,4)),ISERROR(--RIGHT(A2554,2))),"ERROR: PERIODO debe ser AAAA-MM",IF(B2554="","ERROR: falta CODIGO CECO",IF(G2554="CECO NO EXISTE","ERROR: CECO no existe en el catálogo",IF(C2554="","ERROR: falta CUENTA",IF(ISERROR(--C2554),"ERROR: CUENTA debe tener solo dígitos",IF(ISERROR(FIND(LEFT(C2554,1),"567")),"ERROR: CUENTA fuera de las clases de costo",IF(NOT(ISNUMBER(E2554)),"ERROR: VALOR debe ser numérico",IF(E2554=0,"AVISO: valor cero (no se carga)",IF(J2554&lt;&gt;"ACTIVO","NO SE CARGA: CECO en estado "&amp;J2554,"OK"))))))))))</f>
        <v/>
      </c>
    </row>
    <row r="2555">
      <c r="A2555" s="5" t="n"/>
      <c r="B2555" s="6" t="n"/>
      <c r="C2555" s="5" t="n"/>
      <c r="D2555" s="6" t="n"/>
      <c r="E2555" s="7" t="n"/>
      <c r="F2555" s="6" t="n"/>
      <c r="G2555" s="8">
        <f>IF(B2555="","",IFERROR(VLOOKUP(--B2555,'CATALOGO CECO'!$A$2:$H$550,2,FALSE),"CECO NO EXISTE"))</f>
        <v/>
      </c>
      <c r="H2555" s="8">
        <f>IF(B2555="","",IFERROR(VLOOKUP(--B2555,'CATALOGO CECO'!$A$2:$H$550,3,FALSE),""))</f>
        <v/>
      </c>
      <c r="I2555" s="8">
        <f>IF(B2555="","",IFERROR(VLOOKUP(--B2555,'CATALOGO CECO'!$A$2:$H$550,5,FALSE),""))</f>
        <v/>
      </c>
      <c r="J2555" s="8">
        <f>IF(B2555="","",IFERROR(VLOOKUP(--B2555,'CATALOGO CECO'!$A$2:$H$550,8,FALSE),""))</f>
        <v/>
      </c>
      <c r="K2555" s="8">
        <f>IF(COUNTA(A2555:F2555)=0,"",IF(OR(LEN(A2555)&lt;&gt;7,MID(A2555,5,1)&lt;&gt;"-",ISERROR(--LEFT(A2555,4)),ISERROR(--RIGHT(A2555,2))),"ERROR: PERIODO debe ser AAAA-MM",IF(B2555="","ERROR: falta CODIGO CECO",IF(G2555="CECO NO EXISTE","ERROR: CECO no existe en el catálogo",IF(C2555="","ERROR: falta CUENTA",IF(ISERROR(--C2555),"ERROR: CUENTA debe tener solo dígitos",IF(ISERROR(FIND(LEFT(C2555,1),"567")),"ERROR: CUENTA fuera de las clases de costo",IF(NOT(ISNUMBER(E2555)),"ERROR: VALOR debe ser numérico",IF(E2555=0,"AVISO: valor cero (no se carga)",IF(J2555&lt;&gt;"ACTIVO","NO SE CARGA: CECO en estado "&amp;J2555,"OK"))))))))))</f>
        <v/>
      </c>
    </row>
    <row r="2556">
      <c r="A2556" s="5" t="n"/>
      <c r="B2556" s="6" t="n"/>
      <c r="C2556" s="5" t="n"/>
      <c r="D2556" s="6" t="n"/>
      <c r="E2556" s="7" t="n"/>
      <c r="F2556" s="6" t="n"/>
      <c r="G2556" s="8">
        <f>IF(B2556="","",IFERROR(VLOOKUP(--B2556,'CATALOGO CECO'!$A$2:$H$550,2,FALSE),"CECO NO EXISTE"))</f>
        <v/>
      </c>
      <c r="H2556" s="8">
        <f>IF(B2556="","",IFERROR(VLOOKUP(--B2556,'CATALOGO CECO'!$A$2:$H$550,3,FALSE),""))</f>
        <v/>
      </c>
      <c r="I2556" s="8">
        <f>IF(B2556="","",IFERROR(VLOOKUP(--B2556,'CATALOGO CECO'!$A$2:$H$550,5,FALSE),""))</f>
        <v/>
      </c>
      <c r="J2556" s="8">
        <f>IF(B2556="","",IFERROR(VLOOKUP(--B2556,'CATALOGO CECO'!$A$2:$H$550,8,FALSE),""))</f>
        <v/>
      </c>
      <c r="K2556" s="8">
        <f>IF(COUNTA(A2556:F2556)=0,"",IF(OR(LEN(A2556)&lt;&gt;7,MID(A2556,5,1)&lt;&gt;"-",ISERROR(--LEFT(A2556,4)),ISERROR(--RIGHT(A2556,2))),"ERROR: PERIODO debe ser AAAA-MM",IF(B2556="","ERROR: falta CODIGO CECO",IF(G2556="CECO NO EXISTE","ERROR: CECO no existe en el catálogo",IF(C2556="","ERROR: falta CUENTA",IF(ISERROR(--C2556),"ERROR: CUENTA debe tener solo dígitos",IF(ISERROR(FIND(LEFT(C2556,1),"567")),"ERROR: CUENTA fuera de las clases de costo",IF(NOT(ISNUMBER(E2556)),"ERROR: VALOR debe ser numérico",IF(E2556=0,"AVISO: valor cero (no se carga)",IF(J2556&lt;&gt;"ACTIVO","NO SE CARGA: CECO en estado "&amp;J2556,"OK"))))))))))</f>
        <v/>
      </c>
    </row>
    <row r="2557">
      <c r="A2557" s="5" t="n"/>
      <c r="B2557" s="6" t="n"/>
      <c r="C2557" s="5" t="n"/>
      <c r="D2557" s="6" t="n"/>
      <c r="E2557" s="7" t="n"/>
      <c r="F2557" s="6" t="n"/>
      <c r="G2557" s="8">
        <f>IF(B2557="","",IFERROR(VLOOKUP(--B2557,'CATALOGO CECO'!$A$2:$H$550,2,FALSE),"CECO NO EXISTE"))</f>
        <v/>
      </c>
      <c r="H2557" s="8">
        <f>IF(B2557="","",IFERROR(VLOOKUP(--B2557,'CATALOGO CECO'!$A$2:$H$550,3,FALSE),""))</f>
        <v/>
      </c>
      <c r="I2557" s="8">
        <f>IF(B2557="","",IFERROR(VLOOKUP(--B2557,'CATALOGO CECO'!$A$2:$H$550,5,FALSE),""))</f>
        <v/>
      </c>
      <c r="J2557" s="8">
        <f>IF(B2557="","",IFERROR(VLOOKUP(--B2557,'CATALOGO CECO'!$A$2:$H$550,8,FALSE),""))</f>
        <v/>
      </c>
      <c r="K2557" s="8">
        <f>IF(COUNTA(A2557:F2557)=0,"",IF(OR(LEN(A2557)&lt;&gt;7,MID(A2557,5,1)&lt;&gt;"-",ISERROR(--LEFT(A2557,4)),ISERROR(--RIGHT(A2557,2))),"ERROR: PERIODO debe ser AAAA-MM",IF(B2557="","ERROR: falta CODIGO CECO",IF(G2557="CECO NO EXISTE","ERROR: CECO no existe en el catálogo",IF(C2557="","ERROR: falta CUENTA",IF(ISERROR(--C2557),"ERROR: CUENTA debe tener solo dígitos",IF(ISERROR(FIND(LEFT(C2557,1),"567")),"ERROR: CUENTA fuera de las clases de costo",IF(NOT(ISNUMBER(E2557)),"ERROR: VALOR debe ser numérico",IF(E2557=0,"AVISO: valor cero (no se carga)",IF(J2557&lt;&gt;"ACTIVO","NO SE CARGA: CECO en estado "&amp;J2557,"OK"))))))))))</f>
        <v/>
      </c>
    </row>
    <row r="2558">
      <c r="A2558" s="5" t="n"/>
      <c r="B2558" s="6" t="n"/>
      <c r="C2558" s="5" t="n"/>
      <c r="D2558" s="6" t="n"/>
      <c r="E2558" s="7" t="n"/>
      <c r="F2558" s="6" t="n"/>
      <c r="G2558" s="8">
        <f>IF(B2558="","",IFERROR(VLOOKUP(--B2558,'CATALOGO CECO'!$A$2:$H$550,2,FALSE),"CECO NO EXISTE"))</f>
        <v/>
      </c>
      <c r="H2558" s="8">
        <f>IF(B2558="","",IFERROR(VLOOKUP(--B2558,'CATALOGO CECO'!$A$2:$H$550,3,FALSE),""))</f>
        <v/>
      </c>
      <c r="I2558" s="8">
        <f>IF(B2558="","",IFERROR(VLOOKUP(--B2558,'CATALOGO CECO'!$A$2:$H$550,5,FALSE),""))</f>
        <v/>
      </c>
      <c r="J2558" s="8">
        <f>IF(B2558="","",IFERROR(VLOOKUP(--B2558,'CATALOGO CECO'!$A$2:$H$550,8,FALSE),""))</f>
        <v/>
      </c>
      <c r="K2558" s="8">
        <f>IF(COUNTA(A2558:F2558)=0,"",IF(OR(LEN(A2558)&lt;&gt;7,MID(A2558,5,1)&lt;&gt;"-",ISERROR(--LEFT(A2558,4)),ISERROR(--RIGHT(A2558,2))),"ERROR: PERIODO debe ser AAAA-MM",IF(B2558="","ERROR: falta CODIGO CECO",IF(G2558="CECO NO EXISTE","ERROR: CECO no existe en el catálogo",IF(C2558="","ERROR: falta CUENTA",IF(ISERROR(--C2558),"ERROR: CUENTA debe tener solo dígitos",IF(ISERROR(FIND(LEFT(C2558,1),"567")),"ERROR: CUENTA fuera de las clases de costo",IF(NOT(ISNUMBER(E2558)),"ERROR: VALOR debe ser numérico",IF(E2558=0,"AVISO: valor cero (no se carga)",IF(J2558&lt;&gt;"ACTIVO","NO SE CARGA: CECO en estado "&amp;J2558,"OK"))))))))))</f>
        <v/>
      </c>
    </row>
    <row r="2559">
      <c r="A2559" s="5" t="n"/>
      <c r="B2559" s="6" t="n"/>
      <c r="C2559" s="5" t="n"/>
      <c r="D2559" s="6" t="n"/>
      <c r="E2559" s="7" t="n"/>
      <c r="F2559" s="6" t="n"/>
      <c r="G2559" s="8">
        <f>IF(B2559="","",IFERROR(VLOOKUP(--B2559,'CATALOGO CECO'!$A$2:$H$550,2,FALSE),"CECO NO EXISTE"))</f>
        <v/>
      </c>
      <c r="H2559" s="8">
        <f>IF(B2559="","",IFERROR(VLOOKUP(--B2559,'CATALOGO CECO'!$A$2:$H$550,3,FALSE),""))</f>
        <v/>
      </c>
      <c r="I2559" s="8">
        <f>IF(B2559="","",IFERROR(VLOOKUP(--B2559,'CATALOGO CECO'!$A$2:$H$550,5,FALSE),""))</f>
        <v/>
      </c>
      <c r="J2559" s="8">
        <f>IF(B2559="","",IFERROR(VLOOKUP(--B2559,'CATALOGO CECO'!$A$2:$H$550,8,FALSE),""))</f>
        <v/>
      </c>
      <c r="K2559" s="8">
        <f>IF(COUNTA(A2559:F2559)=0,"",IF(OR(LEN(A2559)&lt;&gt;7,MID(A2559,5,1)&lt;&gt;"-",ISERROR(--LEFT(A2559,4)),ISERROR(--RIGHT(A2559,2))),"ERROR: PERIODO debe ser AAAA-MM",IF(B2559="","ERROR: falta CODIGO CECO",IF(G2559="CECO NO EXISTE","ERROR: CECO no existe en el catálogo",IF(C2559="","ERROR: falta CUENTA",IF(ISERROR(--C2559),"ERROR: CUENTA debe tener solo dígitos",IF(ISERROR(FIND(LEFT(C2559,1),"567")),"ERROR: CUENTA fuera de las clases de costo",IF(NOT(ISNUMBER(E2559)),"ERROR: VALOR debe ser numérico",IF(E2559=0,"AVISO: valor cero (no se carga)",IF(J2559&lt;&gt;"ACTIVO","NO SE CARGA: CECO en estado "&amp;J2559,"OK"))))))))))</f>
        <v/>
      </c>
    </row>
    <row r="2560">
      <c r="A2560" s="5" t="n"/>
      <c r="B2560" s="6" t="n"/>
      <c r="C2560" s="5" t="n"/>
      <c r="D2560" s="6" t="n"/>
      <c r="E2560" s="7" t="n"/>
      <c r="F2560" s="6" t="n"/>
      <c r="G2560" s="8">
        <f>IF(B2560="","",IFERROR(VLOOKUP(--B2560,'CATALOGO CECO'!$A$2:$H$550,2,FALSE),"CECO NO EXISTE"))</f>
        <v/>
      </c>
      <c r="H2560" s="8">
        <f>IF(B2560="","",IFERROR(VLOOKUP(--B2560,'CATALOGO CECO'!$A$2:$H$550,3,FALSE),""))</f>
        <v/>
      </c>
      <c r="I2560" s="8">
        <f>IF(B2560="","",IFERROR(VLOOKUP(--B2560,'CATALOGO CECO'!$A$2:$H$550,5,FALSE),""))</f>
        <v/>
      </c>
      <c r="J2560" s="8">
        <f>IF(B2560="","",IFERROR(VLOOKUP(--B2560,'CATALOGO CECO'!$A$2:$H$550,8,FALSE),""))</f>
        <v/>
      </c>
      <c r="K2560" s="8">
        <f>IF(COUNTA(A2560:F2560)=0,"",IF(OR(LEN(A2560)&lt;&gt;7,MID(A2560,5,1)&lt;&gt;"-",ISERROR(--LEFT(A2560,4)),ISERROR(--RIGHT(A2560,2))),"ERROR: PERIODO debe ser AAAA-MM",IF(B2560="","ERROR: falta CODIGO CECO",IF(G2560="CECO NO EXISTE","ERROR: CECO no existe en el catálogo",IF(C2560="","ERROR: falta CUENTA",IF(ISERROR(--C2560),"ERROR: CUENTA debe tener solo dígitos",IF(ISERROR(FIND(LEFT(C2560,1),"567")),"ERROR: CUENTA fuera de las clases de costo",IF(NOT(ISNUMBER(E2560)),"ERROR: VALOR debe ser numérico",IF(E2560=0,"AVISO: valor cero (no se carga)",IF(J2560&lt;&gt;"ACTIVO","NO SE CARGA: CECO en estado "&amp;J2560,"OK"))))))))))</f>
        <v/>
      </c>
    </row>
    <row r="2561">
      <c r="A2561" s="5" t="n"/>
      <c r="B2561" s="6" t="n"/>
      <c r="C2561" s="5" t="n"/>
      <c r="D2561" s="6" t="n"/>
      <c r="E2561" s="7" t="n"/>
      <c r="F2561" s="6" t="n"/>
      <c r="G2561" s="8">
        <f>IF(B2561="","",IFERROR(VLOOKUP(--B2561,'CATALOGO CECO'!$A$2:$H$550,2,FALSE),"CECO NO EXISTE"))</f>
        <v/>
      </c>
      <c r="H2561" s="8">
        <f>IF(B2561="","",IFERROR(VLOOKUP(--B2561,'CATALOGO CECO'!$A$2:$H$550,3,FALSE),""))</f>
        <v/>
      </c>
      <c r="I2561" s="8">
        <f>IF(B2561="","",IFERROR(VLOOKUP(--B2561,'CATALOGO CECO'!$A$2:$H$550,5,FALSE),""))</f>
        <v/>
      </c>
      <c r="J2561" s="8">
        <f>IF(B2561="","",IFERROR(VLOOKUP(--B2561,'CATALOGO CECO'!$A$2:$H$550,8,FALSE),""))</f>
        <v/>
      </c>
      <c r="K2561" s="8">
        <f>IF(COUNTA(A2561:F2561)=0,"",IF(OR(LEN(A2561)&lt;&gt;7,MID(A2561,5,1)&lt;&gt;"-",ISERROR(--LEFT(A2561,4)),ISERROR(--RIGHT(A2561,2))),"ERROR: PERIODO debe ser AAAA-MM",IF(B2561="","ERROR: falta CODIGO CECO",IF(G2561="CECO NO EXISTE","ERROR: CECO no existe en el catálogo",IF(C2561="","ERROR: falta CUENTA",IF(ISERROR(--C2561),"ERROR: CUENTA debe tener solo dígitos",IF(ISERROR(FIND(LEFT(C2561,1),"567")),"ERROR: CUENTA fuera de las clases de costo",IF(NOT(ISNUMBER(E2561)),"ERROR: VALOR debe ser numérico",IF(E2561=0,"AVISO: valor cero (no se carga)",IF(J2561&lt;&gt;"ACTIVO","NO SE CARGA: CECO en estado "&amp;J2561,"OK"))))))))))</f>
        <v/>
      </c>
    </row>
    <row r="2562">
      <c r="A2562" s="5" t="n"/>
      <c r="B2562" s="6" t="n"/>
      <c r="C2562" s="5" t="n"/>
      <c r="D2562" s="6" t="n"/>
      <c r="E2562" s="7" t="n"/>
      <c r="F2562" s="6" t="n"/>
      <c r="G2562" s="8">
        <f>IF(B2562="","",IFERROR(VLOOKUP(--B2562,'CATALOGO CECO'!$A$2:$H$550,2,FALSE),"CECO NO EXISTE"))</f>
        <v/>
      </c>
      <c r="H2562" s="8">
        <f>IF(B2562="","",IFERROR(VLOOKUP(--B2562,'CATALOGO CECO'!$A$2:$H$550,3,FALSE),""))</f>
        <v/>
      </c>
      <c r="I2562" s="8">
        <f>IF(B2562="","",IFERROR(VLOOKUP(--B2562,'CATALOGO CECO'!$A$2:$H$550,5,FALSE),""))</f>
        <v/>
      </c>
      <c r="J2562" s="8">
        <f>IF(B2562="","",IFERROR(VLOOKUP(--B2562,'CATALOGO CECO'!$A$2:$H$550,8,FALSE),""))</f>
        <v/>
      </c>
      <c r="K2562" s="8">
        <f>IF(COUNTA(A2562:F2562)=0,"",IF(OR(LEN(A2562)&lt;&gt;7,MID(A2562,5,1)&lt;&gt;"-",ISERROR(--LEFT(A2562,4)),ISERROR(--RIGHT(A2562,2))),"ERROR: PERIODO debe ser AAAA-MM",IF(B2562="","ERROR: falta CODIGO CECO",IF(G2562="CECO NO EXISTE","ERROR: CECO no existe en el catálogo",IF(C2562="","ERROR: falta CUENTA",IF(ISERROR(--C2562),"ERROR: CUENTA debe tener solo dígitos",IF(ISERROR(FIND(LEFT(C2562,1),"567")),"ERROR: CUENTA fuera de las clases de costo",IF(NOT(ISNUMBER(E2562)),"ERROR: VALOR debe ser numérico",IF(E2562=0,"AVISO: valor cero (no se carga)",IF(J2562&lt;&gt;"ACTIVO","NO SE CARGA: CECO en estado "&amp;J2562,"OK"))))))))))</f>
        <v/>
      </c>
    </row>
    <row r="2563">
      <c r="A2563" s="5" t="n"/>
      <c r="B2563" s="6" t="n"/>
      <c r="C2563" s="5" t="n"/>
      <c r="D2563" s="6" t="n"/>
      <c r="E2563" s="7" t="n"/>
      <c r="F2563" s="6" t="n"/>
      <c r="G2563" s="8">
        <f>IF(B2563="","",IFERROR(VLOOKUP(--B2563,'CATALOGO CECO'!$A$2:$H$550,2,FALSE),"CECO NO EXISTE"))</f>
        <v/>
      </c>
      <c r="H2563" s="8">
        <f>IF(B2563="","",IFERROR(VLOOKUP(--B2563,'CATALOGO CECO'!$A$2:$H$550,3,FALSE),""))</f>
        <v/>
      </c>
      <c r="I2563" s="8">
        <f>IF(B2563="","",IFERROR(VLOOKUP(--B2563,'CATALOGO CECO'!$A$2:$H$550,5,FALSE),""))</f>
        <v/>
      </c>
      <c r="J2563" s="8">
        <f>IF(B2563="","",IFERROR(VLOOKUP(--B2563,'CATALOGO CECO'!$A$2:$H$550,8,FALSE),""))</f>
        <v/>
      </c>
      <c r="K2563" s="8">
        <f>IF(COUNTA(A2563:F2563)=0,"",IF(OR(LEN(A2563)&lt;&gt;7,MID(A2563,5,1)&lt;&gt;"-",ISERROR(--LEFT(A2563,4)),ISERROR(--RIGHT(A2563,2))),"ERROR: PERIODO debe ser AAAA-MM",IF(B2563="","ERROR: falta CODIGO CECO",IF(G2563="CECO NO EXISTE","ERROR: CECO no existe en el catálogo",IF(C2563="","ERROR: falta CUENTA",IF(ISERROR(--C2563),"ERROR: CUENTA debe tener solo dígitos",IF(ISERROR(FIND(LEFT(C2563,1),"567")),"ERROR: CUENTA fuera de las clases de costo",IF(NOT(ISNUMBER(E2563)),"ERROR: VALOR debe ser numérico",IF(E2563=0,"AVISO: valor cero (no se carga)",IF(J2563&lt;&gt;"ACTIVO","NO SE CARGA: CECO en estado "&amp;J2563,"OK"))))))))))</f>
        <v/>
      </c>
    </row>
    <row r="2564">
      <c r="A2564" s="5" t="n"/>
      <c r="B2564" s="6" t="n"/>
      <c r="C2564" s="5" t="n"/>
      <c r="D2564" s="6" t="n"/>
      <c r="E2564" s="7" t="n"/>
      <c r="F2564" s="6" t="n"/>
      <c r="G2564" s="8">
        <f>IF(B2564="","",IFERROR(VLOOKUP(--B2564,'CATALOGO CECO'!$A$2:$H$550,2,FALSE),"CECO NO EXISTE"))</f>
        <v/>
      </c>
      <c r="H2564" s="8">
        <f>IF(B2564="","",IFERROR(VLOOKUP(--B2564,'CATALOGO CECO'!$A$2:$H$550,3,FALSE),""))</f>
        <v/>
      </c>
      <c r="I2564" s="8">
        <f>IF(B2564="","",IFERROR(VLOOKUP(--B2564,'CATALOGO CECO'!$A$2:$H$550,5,FALSE),""))</f>
        <v/>
      </c>
      <c r="J2564" s="8">
        <f>IF(B2564="","",IFERROR(VLOOKUP(--B2564,'CATALOGO CECO'!$A$2:$H$550,8,FALSE),""))</f>
        <v/>
      </c>
      <c r="K2564" s="8">
        <f>IF(COUNTA(A2564:F2564)=0,"",IF(OR(LEN(A2564)&lt;&gt;7,MID(A2564,5,1)&lt;&gt;"-",ISERROR(--LEFT(A2564,4)),ISERROR(--RIGHT(A2564,2))),"ERROR: PERIODO debe ser AAAA-MM",IF(B2564="","ERROR: falta CODIGO CECO",IF(G2564="CECO NO EXISTE","ERROR: CECO no existe en el catálogo",IF(C2564="","ERROR: falta CUENTA",IF(ISERROR(--C2564),"ERROR: CUENTA debe tener solo dígitos",IF(ISERROR(FIND(LEFT(C2564,1),"567")),"ERROR: CUENTA fuera de las clases de costo",IF(NOT(ISNUMBER(E2564)),"ERROR: VALOR debe ser numérico",IF(E2564=0,"AVISO: valor cero (no se carga)",IF(J2564&lt;&gt;"ACTIVO","NO SE CARGA: CECO en estado "&amp;J2564,"OK"))))))))))</f>
        <v/>
      </c>
    </row>
    <row r="2565">
      <c r="A2565" s="5" t="n"/>
      <c r="B2565" s="6" t="n"/>
      <c r="C2565" s="5" t="n"/>
      <c r="D2565" s="6" t="n"/>
      <c r="E2565" s="7" t="n"/>
      <c r="F2565" s="6" t="n"/>
      <c r="G2565" s="8">
        <f>IF(B2565="","",IFERROR(VLOOKUP(--B2565,'CATALOGO CECO'!$A$2:$H$550,2,FALSE),"CECO NO EXISTE"))</f>
        <v/>
      </c>
      <c r="H2565" s="8">
        <f>IF(B2565="","",IFERROR(VLOOKUP(--B2565,'CATALOGO CECO'!$A$2:$H$550,3,FALSE),""))</f>
        <v/>
      </c>
      <c r="I2565" s="8">
        <f>IF(B2565="","",IFERROR(VLOOKUP(--B2565,'CATALOGO CECO'!$A$2:$H$550,5,FALSE),""))</f>
        <v/>
      </c>
      <c r="J2565" s="8">
        <f>IF(B2565="","",IFERROR(VLOOKUP(--B2565,'CATALOGO CECO'!$A$2:$H$550,8,FALSE),""))</f>
        <v/>
      </c>
      <c r="K2565" s="8">
        <f>IF(COUNTA(A2565:F2565)=0,"",IF(OR(LEN(A2565)&lt;&gt;7,MID(A2565,5,1)&lt;&gt;"-",ISERROR(--LEFT(A2565,4)),ISERROR(--RIGHT(A2565,2))),"ERROR: PERIODO debe ser AAAA-MM",IF(B2565="","ERROR: falta CODIGO CECO",IF(G2565="CECO NO EXISTE","ERROR: CECO no existe en el catálogo",IF(C2565="","ERROR: falta CUENTA",IF(ISERROR(--C2565),"ERROR: CUENTA debe tener solo dígitos",IF(ISERROR(FIND(LEFT(C2565,1),"567")),"ERROR: CUENTA fuera de las clases de costo",IF(NOT(ISNUMBER(E2565)),"ERROR: VALOR debe ser numérico",IF(E2565=0,"AVISO: valor cero (no se carga)",IF(J2565&lt;&gt;"ACTIVO","NO SE CARGA: CECO en estado "&amp;J2565,"OK"))))))))))</f>
        <v/>
      </c>
    </row>
    <row r="2566">
      <c r="A2566" s="5" t="n"/>
      <c r="B2566" s="6" t="n"/>
      <c r="C2566" s="5" t="n"/>
      <c r="D2566" s="6" t="n"/>
      <c r="E2566" s="7" t="n"/>
      <c r="F2566" s="6" t="n"/>
      <c r="G2566" s="8">
        <f>IF(B2566="","",IFERROR(VLOOKUP(--B2566,'CATALOGO CECO'!$A$2:$H$550,2,FALSE),"CECO NO EXISTE"))</f>
        <v/>
      </c>
      <c r="H2566" s="8">
        <f>IF(B2566="","",IFERROR(VLOOKUP(--B2566,'CATALOGO CECO'!$A$2:$H$550,3,FALSE),""))</f>
        <v/>
      </c>
      <c r="I2566" s="8">
        <f>IF(B2566="","",IFERROR(VLOOKUP(--B2566,'CATALOGO CECO'!$A$2:$H$550,5,FALSE),""))</f>
        <v/>
      </c>
      <c r="J2566" s="8">
        <f>IF(B2566="","",IFERROR(VLOOKUP(--B2566,'CATALOGO CECO'!$A$2:$H$550,8,FALSE),""))</f>
        <v/>
      </c>
      <c r="K2566" s="8">
        <f>IF(COUNTA(A2566:F2566)=0,"",IF(OR(LEN(A2566)&lt;&gt;7,MID(A2566,5,1)&lt;&gt;"-",ISERROR(--LEFT(A2566,4)),ISERROR(--RIGHT(A2566,2))),"ERROR: PERIODO debe ser AAAA-MM",IF(B2566="","ERROR: falta CODIGO CECO",IF(G2566="CECO NO EXISTE","ERROR: CECO no existe en el catálogo",IF(C2566="","ERROR: falta CUENTA",IF(ISERROR(--C2566),"ERROR: CUENTA debe tener solo dígitos",IF(ISERROR(FIND(LEFT(C2566,1),"567")),"ERROR: CUENTA fuera de las clases de costo",IF(NOT(ISNUMBER(E2566)),"ERROR: VALOR debe ser numérico",IF(E2566=0,"AVISO: valor cero (no se carga)",IF(J2566&lt;&gt;"ACTIVO","NO SE CARGA: CECO en estado "&amp;J2566,"OK"))))))))))</f>
        <v/>
      </c>
    </row>
    <row r="2567">
      <c r="A2567" s="5" t="n"/>
      <c r="B2567" s="6" t="n"/>
      <c r="C2567" s="5" t="n"/>
      <c r="D2567" s="6" t="n"/>
      <c r="E2567" s="7" t="n"/>
      <c r="F2567" s="6" t="n"/>
      <c r="G2567" s="8">
        <f>IF(B2567="","",IFERROR(VLOOKUP(--B2567,'CATALOGO CECO'!$A$2:$H$550,2,FALSE),"CECO NO EXISTE"))</f>
        <v/>
      </c>
      <c r="H2567" s="8">
        <f>IF(B2567="","",IFERROR(VLOOKUP(--B2567,'CATALOGO CECO'!$A$2:$H$550,3,FALSE),""))</f>
        <v/>
      </c>
      <c r="I2567" s="8">
        <f>IF(B2567="","",IFERROR(VLOOKUP(--B2567,'CATALOGO CECO'!$A$2:$H$550,5,FALSE),""))</f>
        <v/>
      </c>
      <c r="J2567" s="8">
        <f>IF(B2567="","",IFERROR(VLOOKUP(--B2567,'CATALOGO CECO'!$A$2:$H$550,8,FALSE),""))</f>
        <v/>
      </c>
      <c r="K2567" s="8">
        <f>IF(COUNTA(A2567:F2567)=0,"",IF(OR(LEN(A2567)&lt;&gt;7,MID(A2567,5,1)&lt;&gt;"-",ISERROR(--LEFT(A2567,4)),ISERROR(--RIGHT(A2567,2))),"ERROR: PERIODO debe ser AAAA-MM",IF(B2567="","ERROR: falta CODIGO CECO",IF(G2567="CECO NO EXISTE","ERROR: CECO no existe en el catálogo",IF(C2567="","ERROR: falta CUENTA",IF(ISERROR(--C2567),"ERROR: CUENTA debe tener solo dígitos",IF(ISERROR(FIND(LEFT(C2567,1),"567")),"ERROR: CUENTA fuera de las clases de costo",IF(NOT(ISNUMBER(E2567)),"ERROR: VALOR debe ser numérico",IF(E2567=0,"AVISO: valor cero (no se carga)",IF(J2567&lt;&gt;"ACTIVO","NO SE CARGA: CECO en estado "&amp;J2567,"OK"))))))))))</f>
        <v/>
      </c>
    </row>
    <row r="2568">
      <c r="A2568" s="5" t="n"/>
      <c r="B2568" s="6" t="n"/>
      <c r="C2568" s="5" t="n"/>
      <c r="D2568" s="6" t="n"/>
      <c r="E2568" s="7" t="n"/>
      <c r="F2568" s="6" t="n"/>
      <c r="G2568" s="8">
        <f>IF(B2568="","",IFERROR(VLOOKUP(--B2568,'CATALOGO CECO'!$A$2:$H$550,2,FALSE),"CECO NO EXISTE"))</f>
        <v/>
      </c>
      <c r="H2568" s="8">
        <f>IF(B2568="","",IFERROR(VLOOKUP(--B2568,'CATALOGO CECO'!$A$2:$H$550,3,FALSE),""))</f>
        <v/>
      </c>
      <c r="I2568" s="8">
        <f>IF(B2568="","",IFERROR(VLOOKUP(--B2568,'CATALOGO CECO'!$A$2:$H$550,5,FALSE),""))</f>
        <v/>
      </c>
      <c r="J2568" s="8">
        <f>IF(B2568="","",IFERROR(VLOOKUP(--B2568,'CATALOGO CECO'!$A$2:$H$550,8,FALSE),""))</f>
        <v/>
      </c>
      <c r="K2568" s="8">
        <f>IF(COUNTA(A2568:F2568)=0,"",IF(OR(LEN(A2568)&lt;&gt;7,MID(A2568,5,1)&lt;&gt;"-",ISERROR(--LEFT(A2568,4)),ISERROR(--RIGHT(A2568,2))),"ERROR: PERIODO debe ser AAAA-MM",IF(B2568="","ERROR: falta CODIGO CECO",IF(G2568="CECO NO EXISTE","ERROR: CECO no existe en el catálogo",IF(C2568="","ERROR: falta CUENTA",IF(ISERROR(--C2568),"ERROR: CUENTA debe tener solo dígitos",IF(ISERROR(FIND(LEFT(C2568,1),"567")),"ERROR: CUENTA fuera de las clases de costo",IF(NOT(ISNUMBER(E2568)),"ERROR: VALOR debe ser numérico",IF(E2568=0,"AVISO: valor cero (no se carga)",IF(J2568&lt;&gt;"ACTIVO","NO SE CARGA: CECO en estado "&amp;J2568,"OK"))))))))))</f>
        <v/>
      </c>
    </row>
    <row r="2569">
      <c r="A2569" s="5" t="n"/>
      <c r="B2569" s="6" t="n"/>
      <c r="C2569" s="5" t="n"/>
      <c r="D2569" s="6" t="n"/>
      <c r="E2569" s="7" t="n"/>
      <c r="F2569" s="6" t="n"/>
      <c r="G2569" s="8">
        <f>IF(B2569="","",IFERROR(VLOOKUP(--B2569,'CATALOGO CECO'!$A$2:$H$550,2,FALSE),"CECO NO EXISTE"))</f>
        <v/>
      </c>
      <c r="H2569" s="8">
        <f>IF(B2569="","",IFERROR(VLOOKUP(--B2569,'CATALOGO CECO'!$A$2:$H$550,3,FALSE),""))</f>
        <v/>
      </c>
      <c r="I2569" s="8">
        <f>IF(B2569="","",IFERROR(VLOOKUP(--B2569,'CATALOGO CECO'!$A$2:$H$550,5,FALSE),""))</f>
        <v/>
      </c>
      <c r="J2569" s="8">
        <f>IF(B2569="","",IFERROR(VLOOKUP(--B2569,'CATALOGO CECO'!$A$2:$H$550,8,FALSE),""))</f>
        <v/>
      </c>
      <c r="K2569" s="8">
        <f>IF(COUNTA(A2569:F2569)=0,"",IF(OR(LEN(A2569)&lt;&gt;7,MID(A2569,5,1)&lt;&gt;"-",ISERROR(--LEFT(A2569,4)),ISERROR(--RIGHT(A2569,2))),"ERROR: PERIODO debe ser AAAA-MM",IF(B2569="","ERROR: falta CODIGO CECO",IF(G2569="CECO NO EXISTE","ERROR: CECO no existe en el catálogo",IF(C2569="","ERROR: falta CUENTA",IF(ISERROR(--C2569),"ERROR: CUENTA debe tener solo dígitos",IF(ISERROR(FIND(LEFT(C2569,1),"567")),"ERROR: CUENTA fuera de las clases de costo",IF(NOT(ISNUMBER(E2569)),"ERROR: VALOR debe ser numérico",IF(E2569=0,"AVISO: valor cero (no se carga)",IF(J2569&lt;&gt;"ACTIVO","NO SE CARGA: CECO en estado "&amp;J2569,"OK"))))))))))</f>
        <v/>
      </c>
    </row>
    <row r="2570">
      <c r="A2570" s="5" t="n"/>
      <c r="B2570" s="6" t="n"/>
      <c r="C2570" s="5" t="n"/>
      <c r="D2570" s="6" t="n"/>
      <c r="E2570" s="7" t="n"/>
      <c r="F2570" s="6" t="n"/>
      <c r="G2570" s="8">
        <f>IF(B2570="","",IFERROR(VLOOKUP(--B2570,'CATALOGO CECO'!$A$2:$H$550,2,FALSE),"CECO NO EXISTE"))</f>
        <v/>
      </c>
      <c r="H2570" s="8">
        <f>IF(B2570="","",IFERROR(VLOOKUP(--B2570,'CATALOGO CECO'!$A$2:$H$550,3,FALSE),""))</f>
        <v/>
      </c>
      <c r="I2570" s="8">
        <f>IF(B2570="","",IFERROR(VLOOKUP(--B2570,'CATALOGO CECO'!$A$2:$H$550,5,FALSE),""))</f>
        <v/>
      </c>
      <c r="J2570" s="8">
        <f>IF(B2570="","",IFERROR(VLOOKUP(--B2570,'CATALOGO CECO'!$A$2:$H$550,8,FALSE),""))</f>
        <v/>
      </c>
      <c r="K2570" s="8">
        <f>IF(COUNTA(A2570:F2570)=0,"",IF(OR(LEN(A2570)&lt;&gt;7,MID(A2570,5,1)&lt;&gt;"-",ISERROR(--LEFT(A2570,4)),ISERROR(--RIGHT(A2570,2))),"ERROR: PERIODO debe ser AAAA-MM",IF(B2570="","ERROR: falta CODIGO CECO",IF(G2570="CECO NO EXISTE","ERROR: CECO no existe en el catálogo",IF(C2570="","ERROR: falta CUENTA",IF(ISERROR(--C2570),"ERROR: CUENTA debe tener solo dígitos",IF(ISERROR(FIND(LEFT(C2570,1),"567")),"ERROR: CUENTA fuera de las clases de costo",IF(NOT(ISNUMBER(E2570)),"ERROR: VALOR debe ser numérico",IF(E2570=0,"AVISO: valor cero (no se carga)",IF(J2570&lt;&gt;"ACTIVO","NO SE CARGA: CECO en estado "&amp;J2570,"OK"))))))))))</f>
        <v/>
      </c>
    </row>
    <row r="2571">
      <c r="A2571" s="5" t="n"/>
      <c r="B2571" s="6" t="n"/>
      <c r="C2571" s="5" t="n"/>
      <c r="D2571" s="6" t="n"/>
      <c r="E2571" s="7" t="n"/>
      <c r="F2571" s="6" t="n"/>
      <c r="G2571" s="8">
        <f>IF(B2571="","",IFERROR(VLOOKUP(--B2571,'CATALOGO CECO'!$A$2:$H$550,2,FALSE),"CECO NO EXISTE"))</f>
        <v/>
      </c>
      <c r="H2571" s="8">
        <f>IF(B2571="","",IFERROR(VLOOKUP(--B2571,'CATALOGO CECO'!$A$2:$H$550,3,FALSE),""))</f>
        <v/>
      </c>
      <c r="I2571" s="8">
        <f>IF(B2571="","",IFERROR(VLOOKUP(--B2571,'CATALOGO CECO'!$A$2:$H$550,5,FALSE),""))</f>
        <v/>
      </c>
      <c r="J2571" s="8">
        <f>IF(B2571="","",IFERROR(VLOOKUP(--B2571,'CATALOGO CECO'!$A$2:$H$550,8,FALSE),""))</f>
        <v/>
      </c>
      <c r="K2571" s="8">
        <f>IF(COUNTA(A2571:F2571)=0,"",IF(OR(LEN(A2571)&lt;&gt;7,MID(A2571,5,1)&lt;&gt;"-",ISERROR(--LEFT(A2571,4)),ISERROR(--RIGHT(A2571,2))),"ERROR: PERIODO debe ser AAAA-MM",IF(B2571="","ERROR: falta CODIGO CECO",IF(G2571="CECO NO EXISTE","ERROR: CECO no existe en el catálogo",IF(C2571="","ERROR: falta CUENTA",IF(ISERROR(--C2571),"ERROR: CUENTA debe tener solo dígitos",IF(ISERROR(FIND(LEFT(C2571,1),"567")),"ERROR: CUENTA fuera de las clases de costo",IF(NOT(ISNUMBER(E2571)),"ERROR: VALOR debe ser numérico",IF(E2571=0,"AVISO: valor cero (no se carga)",IF(J2571&lt;&gt;"ACTIVO","NO SE CARGA: CECO en estado "&amp;J2571,"OK"))))))))))</f>
        <v/>
      </c>
    </row>
    <row r="2572">
      <c r="A2572" s="5" t="n"/>
      <c r="B2572" s="6" t="n"/>
      <c r="C2572" s="5" t="n"/>
      <c r="D2572" s="6" t="n"/>
      <c r="E2572" s="7" t="n"/>
      <c r="F2572" s="6" t="n"/>
      <c r="G2572" s="8">
        <f>IF(B2572="","",IFERROR(VLOOKUP(--B2572,'CATALOGO CECO'!$A$2:$H$550,2,FALSE),"CECO NO EXISTE"))</f>
        <v/>
      </c>
      <c r="H2572" s="8">
        <f>IF(B2572="","",IFERROR(VLOOKUP(--B2572,'CATALOGO CECO'!$A$2:$H$550,3,FALSE),""))</f>
        <v/>
      </c>
      <c r="I2572" s="8">
        <f>IF(B2572="","",IFERROR(VLOOKUP(--B2572,'CATALOGO CECO'!$A$2:$H$550,5,FALSE),""))</f>
        <v/>
      </c>
      <c r="J2572" s="8">
        <f>IF(B2572="","",IFERROR(VLOOKUP(--B2572,'CATALOGO CECO'!$A$2:$H$550,8,FALSE),""))</f>
        <v/>
      </c>
      <c r="K2572" s="8">
        <f>IF(COUNTA(A2572:F2572)=0,"",IF(OR(LEN(A2572)&lt;&gt;7,MID(A2572,5,1)&lt;&gt;"-",ISERROR(--LEFT(A2572,4)),ISERROR(--RIGHT(A2572,2))),"ERROR: PERIODO debe ser AAAA-MM",IF(B2572="","ERROR: falta CODIGO CECO",IF(G2572="CECO NO EXISTE","ERROR: CECO no existe en el catálogo",IF(C2572="","ERROR: falta CUENTA",IF(ISERROR(--C2572),"ERROR: CUENTA debe tener solo dígitos",IF(ISERROR(FIND(LEFT(C2572,1),"567")),"ERROR: CUENTA fuera de las clases de costo",IF(NOT(ISNUMBER(E2572)),"ERROR: VALOR debe ser numérico",IF(E2572=0,"AVISO: valor cero (no se carga)",IF(J2572&lt;&gt;"ACTIVO","NO SE CARGA: CECO en estado "&amp;J2572,"OK"))))))))))</f>
        <v/>
      </c>
    </row>
    <row r="2573">
      <c r="A2573" s="5" t="n"/>
      <c r="B2573" s="6" t="n"/>
      <c r="C2573" s="5" t="n"/>
      <c r="D2573" s="6" t="n"/>
      <c r="E2573" s="7" t="n"/>
      <c r="F2573" s="6" t="n"/>
      <c r="G2573" s="8">
        <f>IF(B2573="","",IFERROR(VLOOKUP(--B2573,'CATALOGO CECO'!$A$2:$H$550,2,FALSE),"CECO NO EXISTE"))</f>
        <v/>
      </c>
      <c r="H2573" s="8">
        <f>IF(B2573="","",IFERROR(VLOOKUP(--B2573,'CATALOGO CECO'!$A$2:$H$550,3,FALSE),""))</f>
        <v/>
      </c>
      <c r="I2573" s="8">
        <f>IF(B2573="","",IFERROR(VLOOKUP(--B2573,'CATALOGO CECO'!$A$2:$H$550,5,FALSE),""))</f>
        <v/>
      </c>
      <c r="J2573" s="8">
        <f>IF(B2573="","",IFERROR(VLOOKUP(--B2573,'CATALOGO CECO'!$A$2:$H$550,8,FALSE),""))</f>
        <v/>
      </c>
      <c r="K2573" s="8">
        <f>IF(COUNTA(A2573:F2573)=0,"",IF(OR(LEN(A2573)&lt;&gt;7,MID(A2573,5,1)&lt;&gt;"-",ISERROR(--LEFT(A2573,4)),ISERROR(--RIGHT(A2573,2))),"ERROR: PERIODO debe ser AAAA-MM",IF(B2573="","ERROR: falta CODIGO CECO",IF(G2573="CECO NO EXISTE","ERROR: CECO no existe en el catálogo",IF(C2573="","ERROR: falta CUENTA",IF(ISERROR(--C2573),"ERROR: CUENTA debe tener solo dígitos",IF(ISERROR(FIND(LEFT(C2573,1),"567")),"ERROR: CUENTA fuera de las clases de costo",IF(NOT(ISNUMBER(E2573)),"ERROR: VALOR debe ser numérico",IF(E2573=0,"AVISO: valor cero (no se carga)",IF(J2573&lt;&gt;"ACTIVO","NO SE CARGA: CECO en estado "&amp;J2573,"OK"))))))))))</f>
        <v/>
      </c>
    </row>
    <row r="2574">
      <c r="A2574" s="5" t="n"/>
      <c r="B2574" s="6" t="n"/>
      <c r="C2574" s="5" t="n"/>
      <c r="D2574" s="6" t="n"/>
      <c r="E2574" s="7" t="n"/>
      <c r="F2574" s="6" t="n"/>
      <c r="G2574" s="8">
        <f>IF(B2574="","",IFERROR(VLOOKUP(--B2574,'CATALOGO CECO'!$A$2:$H$550,2,FALSE),"CECO NO EXISTE"))</f>
        <v/>
      </c>
      <c r="H2574" s="8">
        <f>IF(B2574="","",IFERROR(VLOOKUP(--B2574,'CATALOGO CECO'!$A$2:$H$550,3,FALSE),""))</f>
        <v/>
      </c>
      <c r="I2574" s="8">
        <f>IF(B2574="","",IFERROR(VLOOKUP(--B2574,'CATALOGO CECO'!$A$2:$H$550,5,FALSE),""))</f>
        <v/>
      </c>
      <c r="J2574" s="8">
        <f>IF(B2574="","",IFERROR(VLOOKUP(--B2574,'CATALOGO CECO'!$A$2:$H$550,8,FALSE),""))</f>
        <v/>
      </c>
      <c r="K2574" s="8">
        <f>IF(COUNTA(A2574:F2574)=0,"",IF(OR(LEN(A2574)&lt;&gt;7,MID(A2574,5,1)&lt;&gt;"-",ISERROR(--LEFT(A2574,4)),ISERROR(--RIGHT(A2574,2))),"ERROR: PERIODO debe ser AAAA-MM",IF(B2574="","ERROR: falta CODIGO CECO",IF(G2574="CECO NO EXISTE","ERROR: CECO no existe en el catálogo",IF(C2574="","ERROR: falta CUENTA",IF(ISERROR(--C2574),"ERROR: CUENTA debe tener solo dígitos",IF(ISERROR(FIND(LEFT(C2574,1),"567")),"ERROR: CUENTA fuera de las clases de costo",IF(NOT(ISNUMBER(E2574)),"ERROR: VALOR debe ser numérico",IF(E2574=0,"AVISO: valor cero (no se carga)",IF(J2574&lt;&gt;"ACTIVO","NO SE CARGA: CECO en estado "&amp;J2574,"OK"))))))))))</f>
        <v/>
      </c>
    </row>
    <row r="2575">
      <c r="A2575" s="5" t="n"/>
      <c r="B2575" s="6" t="n"/>
      <c r="C2575" s="5" t="n"/>
      <c r="D2575" s="6" t="n"/>
      <c r="E2575" s="7" t="n"/>
      <c r="F2575" s="6" t="n"/>
      <c r="G2575" s="8">
        <f>IF(B2575="","",IFERROR(VLOOKUP(--B2575,'CATALOGO CECO'!$A$2:$H$550,2,FALSE),"CECO NO EXISTE"))</f>
        <v/>
      </c>
      <c r="H2575" s="8">
        <f>IF(B2575="","",IFERROR(VLOOKUP(--B2575,'CATALOGO CECO'!$A$2:$H$550,3,FALSE),""))</f>
        <v/>
      </c>
      <c r="I2575" s="8">
        <f>IF(B2575="","",IFERROR(VLOOKUP(--B2575,'CATALOGO CECO'!$A$2:$H$550,5,FALSE),""))</f>
        <v/>
      </c>
      <c r="J2575" s="8">
        <f>IF(B2575="","",IFERROR(VLOOKUP(--B2575,'CATALOGO CECO'!$A$2:$H$550,8,FALSE),""))</f>
        <v/>
      </c>
      <c r="K2575" s="8">
        <f>IF(COUNTA(A2575:F2575)=0,"",IF(OR(LEN(A2575)&lt;&gt;7,MID(A2575,5,1)&lt;&gt;"-",ISERROR(--LEFT(A2575,4)),ISERROR(--RIGHT(A2575,2))),"ERROR: PERIODO debe ser AAAA-MM",IF(B2575="","ERROR: falta CODIGO CECO",IF(G2575="CECO NO EXISTE","ERROR: CECO no existe en el catálogo",IF(C2575="","ERROR: falta CUENTA",IF(ISERROR(--C2575),"ERROR: CUENTA debe tener solo dígitos",IF(ISERROR(FIND(LEFT(C2575,1),"567")),"ERROR: CUENTA fuera de las clases de costo",IF(NOT(ISNUMBER(E2575)),"ERROR: VALOR debe ser numérico",IF(E2575=0,"AVISO: valor cero (no se carga)",IF(J2575&lt;&gt;"ACTIVO","NO SE CARGA: CECO en estado "&amp;J2575,"OK"))))))))))</f>
        <v/>
      </c>
    </row>
    <row r="2576">
      <c r="A2576" s="5" t="n"/>
      <c r="B2576" s="6" t="n"/>
      <c r="C2576" s="5" t="n"/>
      <c r="D2576" s="6" t="n"/>
      <c r="E2576" s="7" t="n"/>
      <c r="F2576" s="6" t="n"/>
      <c r="G2576" s="8">
        <f>IF(B2576="","",IFERROR(VLOOKUP(--B2576,'CATALOGO CECO'!$A$2:$H$550,2,FALSE),"CECO NO EXISTE"))</f>
        <v/>
      </c>
      <c r="H2576" s="8">
        <f>IF(B2576="","",IFERROR(VLOOKUP(--B2576,'CATALOGO CECO'!$A$2:$H$550,3,FALSE),""))</f>
        <v/>
      </c>
      <c r="I2576" s="8">
        <f>IF(B2576="","",IFERROR(VLOOKUP(--B2576,'CATALOGO CECO'!$A$2:$H$550,5,FALSE),""))</f>
        <v/>
      </c>
      <c r="J2576" s="8">
        <f>IF(B2576="","",IFERROR(VLOOKUP(--B2576,'CATALOGO CECO'!$A$2:$H$550,8,FALSE),""))</f>
        <v/>
      </c>
      <c r="K2576" s="8">
        <f>IF(COUNTA(A2576:F2576)=0,"",IF(OR(LEN(A2576)&lt;&gt;7,MID(A2576,5,1)&lt;&gt;"-",ISERROR(--LEFT(A2576,4)),ISERROR(--RIGHT(A2576,2))),"ERROR: PERIODO debe ser AAAA-MM",IF(B2576="","ERROR: falta CODIGO CECO",IF(G2576="CECO NO EXISTE","ERROR: CECO no existe en el catálogo",IF(C2576="","ERROR: falta CUENTA",IF(ISERROR(--C2576),"ERROR: CUENTA debe tener solo dígitos",IF(ISERROR(FIND(LEFT(C2576,1),"567")),"ERROR: CUENTA fuera de las clases de costo",IF(NOT(ISNUMBER(E2576)),"ERROR: VALOR debe ser numérico",IF(E2576=0,"AVISO: valor cero (no se carga)",IF(J2576&lt;&gt;"ACTIVO","NO SE CARGA: CECO en estado "&amp;J2576,"OK"))))))))))</f>
        <v/>
      </c>
    </row>
    <row r="2577">
      <c r="A2577" s="5" t="n"/>
      <c r="B2577" s="6" t="n"/>
      <c r="C2577" s="5" t="n"/>
      <c r="D2577" s="6" t="n"/>
      <c r="E2577" s="7" t="n"/>
      <c r="F2577" s="6" t="n"/>
      <c r="G2577" s="8">
        <f>IF(B2577="","",IFERROR(VLOOKUP(--B2577,'CATALOGO CECO'!$A$2:$H$550,2,FALSE),"CECO NO EXISTE"))</f>
        <v/>
      </c>
      <c r="H2577" s="8">
        <f>IF(B2577="","",IFERROR(VLOOKUP(--B2577,'CATALOGO CECO'!$A$2:$H$550,3,FALSE),""))</f>
        <v/>
      </c>
      <c r="I2577" s="8">
        <f>IF(B2577="","",IFERROR(VLOOKUP(--B2577,'CATALOGO CECO'!$A$2:$H$550,5,FALSE),""))</f>
        <v/>
      </c>
      <c r="J2577" s="8">
        <f>IF(B2577="","",IFERROR(VLOOKUP(--B2577,'CATALOGO CECO'!$A$2:$H$550,8,FALSE),""))</f>
        <v/>
      </c>
      <c r="K2577" s="8">
        <f>IF(COUNTA(A2577:F2577)=0,"",IF(OR(LEN(A2577)&lt;&gt;7,MID(A2577,5,1)&lt;&gt;"-",ISERROR(--LEFT(A2577,4)),ISERROR(--RIGHT(A2577,2))),"ERROR: PERIODO debe ser AAAA-MM",IF(B2577="","ERROR: falta CODIGO CECO",IF(G2577="CECO NO EXISTE","ERROR: CECO no existe en el catálogo",IF(C2577="","ERROR: falta CUENTA",IF(ISERROR(--C2577),"ERROR: CUENTA debe tener solo dígitos",IF(ISERROR(FIND(LEFT(C2577,1),"567")),"ERROR: CUENTA fuera de las clases de costo",IF(NOT(ISNUMBER(E2577)),"ERROR: VALOR debe ser numérico",IF(E2577=0,"AVISO: valor cero (no se carga)",IF(J2577&lt;&gt;"ACTIVO","NO SE CARGA: CECO en estado "&amp;J2577,"OK"))))))))))</f>
        <v/>
      </c>
    </row>
    <row r="2578">
      <c r="A2578" s="5" t="n"/>
      <c r="B2578" s="6" t="n"/>
      <c r="C2578" s="5" t="n"/>
      <c r="D2578" s="6" t="n"/>
      <c r="E2578" s="7" t="n"/>
      <c r="F2578" s="6" t="n"/>
      <c r="G2578" s="8">
        <f>IF(B2578="","",IFERROR(VLOOKUP(--B2578,'CATALOGO CECO'!$A$2:$H$550,2,FALSE),"CECO NO EXISTE"))</f>
        <v/>
      </c>
      <c r="H2578" s="8">
        <f>IF(B2578="","",IFERROR(VLOOKUP(--B2578,'CATALOGO CECO'!$A$2:$H$550,3,FALSE),""))</f>
        <v/>
      </c>
      <c r="I2578" s="8">
        <f>IF(B2578="","",IFERROR(VLOOKUP(--B2578,'CATALOGO CECO'!$A$2:$H$550,5,FALSE),""))</f>
        <v/>
      </c>
      <c r="J2578" s="8">
        <f>IF(B2578="","",IFERROR(VLOOKUP(--B2578,'CATALOGO CECO'!$A$2:$H$550,8,FALSE),""))</f>
        <v/>
      </c>
      <c r="K2578" s="8">
        <f>IF(COUNTA(A2578:F2578)=0,"",IF(OR(LEN(A2578)&lt;&gt;7,MID(A2578,5,1)&lt;&gt;"-",ISERROR(--LEFT(A2578,4)),ISERROR(--RIGHT(A2578,2))),"ERROR: PERIODO debe ser AAAA-MM",IF(B2578="","ERROR: falta CODIGO CECO",IF(G2578="CECO NO EXISTE","ERROR: CECO no existe en el catálogo",IF(C2578="","ERROR: falta CUENTA",IF(ISERROR(--C2578),"ERROR: CUENTA debe tener solo dígitos",IF(ISERROR(FIND(LEFT(C2578,1),"567")),"ERROR: CUENTA fuera de las clases de costo",IF(NOT(ISNUMBER(E2578)),"ERROR: VALOR debe ser numérico",IF(E2578=0,"AVISO: valor cero (no se carga)",IF(J2578&lt;&gt;"ACTIVO","NO SE CARGA: CECO en estado "&amp;J2578,"OK"))))))))))</f>
        <v/>
      </c>
    </row>
    <row r="2579">
      <c r="A2579" s="5" t="n"/>
      <c r="B2579" s="6" t="n"/>
      <c r="C2579" s="5" t="n"/>
      <c r="D2579" s="6" t="n"/>
      <c r="E2579" s="7" t="n"/>
      <c r="F2579" s="6" t="n"/>
      <c r="G2579" s="8">
        <f>IF(B2579="","",IFERROR(VLOOKUP(--B2579,'CATALOGO CECO'!$A$2:$H$550,2,FALSE),"CECO NO EXISTE"))</f>
        <v/>
      </c>
      <c r="H2579" s="8">
        <f>IF(B2579="","",IFERROR(VLOOKUP(--B2579,'CATALOGO CECO'!$A$2:$H$550,3,FALSE),""))</f>
        <v/>
      </c>
      <c r="I2579" s="8">
        <f>IF(B2579="","",IFERROR(VLOOKUP(--B2579,'CATALOGO CECO'!$A$2:$H$550,5,FALSE),""))</f>
        <v/>
      </c>
      <c r="J2579" s="8">
        <f>IF(B2579="","",IFERROR(VLOOKUP(--B2579,'CATALOGO CECO'!$A$2:$H$550,8,FALSE),""))</f>
        <v/>
      </c>
      <c r="K2579" s="8">
        <f>IF(COUNTA(A2579:F2579)=0,"",IF(OR(LEN(A2579)&lt;&gt;7,MID(A2579,5,1)&lt;&gt;"-",ISERROR(--LEFT(A2579,4)),ISERROR(--RIGHT(A2579,2))),"ERROR: PERIODO debe ser AAAA-MM",IF(B2579="","ERROR: falta CODIGO CECO",IF(G2579="CECO NO EXISTE","ERROR: CECO no existe en el catálogo",IF(C2579="","ERROR: falta CUENTA",IF(ISERROR(--C2579),"ERROR: CUENTA debe tener solo dígitos",IF(ISERROR(FIND(LEFT(C2579,1),"567")),"ERROR: CUENTA fuera de las clases de costo",IF(NOT(ISNUMBER(E2579)),"ERROR: VALOR debe ser numérico",IF(E2579=0,"AVISO: valor cero (no se carga)",IF(J2579&lt;&gt;"ACTIVO","NO SE CARGA: CECO en estado "&amp;J2579,"OK"))))))))))</f>
        <v/>
      </c>
    </row>
    <row r="2580">
      <c r="A2580" s="5" t="n"/>
      <c r="B2580" s="6" t="n"/>
      <c r="C2580" s="5" t="n"/>
      <c r="D2580" s="6" t="n"/>
      <c r="E2580" s="7" t="n"/>
      <c r="F2580" s="6" t="n"/>
      <c r="G2580" s="8">
        <f>IF(B2580="","",IFERROR(VLOOKUP(--B2580,'CATALOGO CECO'!$A$2:$H$550,2,FALSE),"CECO NO EXISTE"))</f>
        <v/>
      </c>
      <c r="H2580" s="8">
        <f>IF(B2580="","",IFERROR(VLOOKUP(--B2580,'CATALOGO CECO'!$A$2:$H$550,3,FALSE),""))</f>
        <v/>
      </c>
      <c r="I2580" s="8">
        <f>IF(B2580="","",IFERROR(VLOOKUP(--B2580,'CATALOGO CECO'!$A$2:$H$550,5,FALSE),""))</f>
        <v/>
      </c>
      <c r="J2580" s="8">
        <f>IF(B2580="","",IFERROR(VLOOKUP(--B2580,'CATALOGO CECO'!$A$2:$H$550,8,FALSE),""))</f>
        <v/>
      </c>
      <c r="K2580" s="8">
        <f>IF(COUNTA(A2580:F2580)=0,"",IF(OR(LEN(A2580)&lt;&gt;7,MID(A2580,5,1)&lt;&gt;"-",ISERROR(--LEFT(A2580,4)),ISERROR(--RIGHT(A2580,2))),"ERROR: PERIODO debe ser AAAA-MM",IF(B2580="","ERROR: falta CODIGO CECO",IF(G2580="CECO NO EXISTE","ERROR: CECO no existe en el catálogo",IF(C2580="","ERROR: falta CUENTA",IF(ISERROR(--C2580),"ERROR: CUENTA debe tener solo dígitos",IF(ISERROR(FIND(LEFT(C2580,1),"567")),"ERROR: CUENTA fuera de las clases de costo",IF(NOT(ISNUMBER(E2580)),"ERROR: VALOR debe ser numérico",IF(E2580=0,"AVISO: valor cero (no se carga)",IF(J2580&lt;&gt;"ACTIVO","NO SE CARGA: CECO en estado "&amp;J2580,"OK"))))))))))</f>
        <v/>
      </c>
    </row>
    <row r="2581">
      <c r="A2581" s="5" t="n"/>
      <c r="B2581" s="6" t="n"/>
      <c r="C2581" s="5" t="n"/>
      <c r="D2581" s="6" t="n"/>
      <c r="E2581" s="7" t="n"/>
      <c r="F2581" s="6" t="n"/>
      <c r="G2581" s="8">
        <f>IF(B2581="","",IFERROR(VLOOKUP(--B2581,'CATALOGO CECO'!$A$2:$H$550,2,FALSE),"CECO NO EXISTE"))</f>
        <v/>
      </c>
      <c r="H2581" s="8">
        <f>IF(B2581="","",IFERROR(VLOOKUP(--B2581,'CATALOGO CECO'!$A$2:$H$550,3,FALSE),""))</f>
        <v/>
      </c>
      <c r="I2581" s="8">
        <f>IF(B2581="","",IFERROR(VLOOKUP(--B2581,'CATALOGO CECO'!$A$2:$H$550,5,FALSE),""))</f>
        <v/>
      </c>
      <c r="J2581" s="8">
        <f>IF(B2581="","",IFERROR(VLOOKUP(--B2581,'CATALOGO CECO'!$A$2:$H$550,8,FALSE),""))</f>
        <v/>
      </c>
      <c r="K2581" s="8">
        <f>IF(COUNTA(A2581:F2581)=0,"",IF(OR(LEN(A2581)&lt;&gt;7,MID(A2581,5,1)&lt;&gt;"-",ISERROR(--LEFT(A2581,4)),ISERROR(--RIGHT(A2581,2))),"ERROR: PERIODO debe ser AAAA-MM",IF(B2581="","ERROR: falta CODIGO CECO",IF(G2581="CECO NO EXISTE","ERROR: CECO no existe en el catálogo",IF(C2581="","ERROR: falta CUENTA",IF(ISERROR(--C2581),"ERROR: CUENTA debe tener solo dígitos",IF(ISERROR(FIND(LEFT(C2581,1),"567")),"ERROR: CUENTA fuera de las clases de costo",IF(NOT(ISNUMBER(E2581)),"ERROR: VALOR debe ser numérico",IF(E2581=0,"AVISO: valor cero (no se carga)",IF(J2581&lt;&gt;"ACTIVO","NO SE CARGA: CECO en estado "&amp;J2581,"OK"))))))))))</f>
        <v/>
      </c>
    </row>
    <row r="2582">
      <c r="A2582" s="5" t="n"/>
      <c r="B2582" s="6" t="n"/>
      <c r="C2582" s="5" t="n"/>
      <c r="D2582" s="6" t="n"/>
      <c r="E2582" s="7" t="n"/>
      <c r="F2582" s="6" t="n"/>
      <c r="G2582" s="8">
        <f>IF(B2582="","",IFERROR(VLOOKUP(--B2582,'CATALOGO CECO'!$A$2:$H$550,2,FALSE),"CECO NO EXISTE"))</f>
        <v/>
      </c>
      <c r="H2582" s="8">
        <f>IF(B2582="","",IFERROR(VLOOKUP(--B2582,'CATALOGO CECO'!$A$2:$H$550,3,FALSE),""))</f>
        <v/>
      </c>
      <c r="I2582" s="8">
        <f>IF(B2582="","",IFERROR(VLOOKUP(--B2582,'CATALOGO CECO'!$A$2:$H$550,5,FALSE),""))</f>
        <v/>
      </c>
      <c r="J2582" s="8">
        <f>IF(B2582="","",IFERROR(VLOOKUP(--B2582,'CATALOGO CECO'!$A$2:$H$550,8,FALSE),""))</f>
        <v/>
      </c>
      <c r="K2582" s="8">
        <f>IF(COUNTA(A2582:F2582)=0,"",IF(OR(LEN(A2582)&lt;&gt;7,MID(A2582,5,1)&lt;&gt;"-",ISERROR(--LEFT(A2582,4)),ISERROR(--RIGHT(A2582,2))),"ERROR: PERIODO debe ser AAAA-MM",IF(B2582="","ERROR: falta CODIGO CECO",IF(G2582="CECO NO EXISTE","ERROR: CECO no existe en el catálogo",IF(C2582="","ERROR: falta CUENTA",IF(ISERROR(--C2582),"ERROR: CUENTA debe tener solo dígitos",IF(ISERROR(FIND(LEFT(C2582,1),"567")),"ERROR: CUENTA fuera de las clases de costo",IF(NOT(ISNUMBER(E2582)),"ERROR: VALOR debe ser numérico",IF(E2582=0,"AVISO: valor cero (no se carga)",IF(J2582&lt;&gt;"ACTIVO","NO SE CARGA: CECO en estado "&amp;J2582,"OK"))))))))))</f>
        <v/>
      </c>
    </row>
    <row r="2583">
      <c r="A2583" s="5" t="n"/>
      <c r="B2583" s="6" t="n"/>
      <c r="C2583" s="5" t="n"/>
      <c r="D2583" s="6" t="n"/>
      <c r="E2583" s="7" t="n"/>
      <c r="F2583" s="6" t="n"/>
      <c r="G2583" s="8">
        <f>IF(B2583="","",IFERROR(VLOOKUP(--B2583,'CATALOGO CECO'!$A$2:$H$550,2,FALSE),"CECO NO EXISTE"))</f>
        <v/>
      </c>
      <c r="H2583" s="8">
        <f>IF(B2583="","",IFERROR(VLOOKUP(--B2583,'CATALOGO CECO'!$A$2:$H$550,3,FALSE),""))</f>
        <v/>
      </c>
      <c r="I2583" s="8">
        <f>IF(B2583="","",IFERROR(VLOOKUP(--B2583,'CATALOGO CECO'!$A$2:$H$550,5,FALSE),""))</f>
        <v/>
      </c>
      <c r="J2583" s="8">
        <f>IF(B2583="","",IFERROR(VLOOKUP(--B2583,'CATALOGO CECO'!$A$2:$H$550,8,FALSE),""))</f>
        <v/>
      </c>
      <c r="K2583" s="8">
        <f>IF(COUNTA(A2583:F2583)=0,"",IF(OR(LEN(A2583)&lt;&gt;7,MID(A2583,5,1)&lt;&gt;"-",ISERROR(--LEFT(A2583,4)),ISERROR(--RIGHT(A2583,2))),"ERROR: PERIODO debe ser AAAA-MM",IF(B2583="","ERROR: falta CODIGO CECO",IF(G2583="CECO NO EXISTE","ERROR: CECO no existe en el catálogo",IF(C2583="","ERROR: falta CUENTA",IF(ISERROR(--C2583),"ERROR: CUENTA debe tener solo dígitos",IF(ISERROR(FIND(LEFT(C2583,1),"567")),"ERROR: CUENTA fuera de las clases de costo",IF(NOT(ISNUMBER(E2583)),"ERROR: VALOR debe ser numérico",IF(E2583=0,"AVISO: valor cero (no se carga)",IF(J2583&lt;&gt;"ACTIVO","NO SE CARGA: CECO en estado "&amp;J2583,"OK"))))))))))</f>
        <v/>
      </c>
    </row>
    <row r="2584">
      <c r="A2584" s="5" t="n"/>
      <c r="B2584" s="6" t="n"/>
      <c r="C2584" s="5" t="n"/>
      <c r="D2584" s="6" t="n"/>
      <c r="E2584" s="7" t="n"/>
      <c r="F2584" s="6" t="n"/>
      <c r="G2584" s="8">
        <f>IF(B2584="","",IFERROR(VLOOKUP(--B2584,'CATALOGO CECO'!$A$2:$H$550,2,FALSE),"CECO NO EXISTE"))</f>
        <v/>
      </c>
      <c r="H2584" s="8">
        <f>IF(B2584="","",IFERROR(VLOOKUP(--B2584,'CATALOGO CECO'!$A$2:$H$550,3,FALSE),""))</f>
        <v/>
      </c>
      <c r="I2584" s="8">
        <f>IF(B2584="","",IFERROR(VLOOKUP(--B2584,'CATALOGO CECO'!$A$2:$H$550,5,FALSE),""))</f>
        <v/>
      </c>
      <c r="J2584" s="8">
        <f>IF(B2584="","",IFERROR(VLOOKUP(--B2584,'CATALOGO CECO'!$A$2:$H$550,8,FALSE),""))</f>
        <v/>
      </c>
      <c r="K2584" s="8">
        <f>IF(COUNTA(A2584:F2584)=0,"",IF(OR(LEN(A2584)&lt;&gt;7,MID(A2584,5,1)&lt;&gt;"-",ISERROR(--LEFT(A2584,4)),ISERROR(--RIGHT(A2584,2))),"ERROR: PERIODO debe ser AAAA-MM",IF(B2584="","ERROR: falta CODIGO CECO",IF(G2584="CECO NO EXISTE","ERROR: CECO no existe en el catálogo",IF(C2584="","ERROR: falta CUENTA",IF(ISERROR(--C2584),"ERROR: CUENTA debe tener solo dígitos",IF(ISERROR(FIND(LEFT(C2584,1),"567")),"ERROR: CUENTA fuera de las clases de costo",IF(NOT(ISNUMBER(E2584)),"ERROR: VALOR debe ser numérico",IF(E2584=0,"AVISO: valor cero (no se carga)",IF(J2584&lt;&gt;"ACTIVO","NO SE CARGA: CECO en estado "&amp;J2584,"OK"))))))))))</f>
        <v/>
      </c>
    </row>
    <row r="2585">
      <c r="A2585" s="5" t="n"/>
      <c r="B2585" s="6" t="n"/>
      <c r="C2585" s="5" t="n"/>
      <c r="D2585" s="6" t="n"/>
      <c r="E2585" s="7" t="n"/>
      <c r="F2585" s="6" t="n"/>
      <c r="G2585" s="8">
        <f>IF(B2585="","",IFERROR(VLOOKUP(--B2585,'CATALOGO CECO'!$A$2:$H$550,2,FALSE),"CECO NO EXISTE"))</f>
        <v/>
      </c>
      <c r="H2585" s="8">
        <f>IF(B2585="","",IFERROR(VLOOKUP(--B2585,'CATALOGO CECO'!$A$2:$H$550,3,FALSE),""))</f>
        <v/>
      </c>
      <c r="I2585" s="8">
        <f>IF(B2585="","",IFERROR(VLOOKUP(--B2585,'CATALOGO CECO'!$A$2:$H$550,5,FALSE),""))</f>
        <v/>
      </c>
      <c r="J2585" s="8">
        <f>IF(B2585="","",IFERROR(VLOOKUP(--B2585,'CATALOGO CECO'!$A$2:$H$550,8,FALSE),""))</f>
        <v/>
      </c>
      <c r="K2585" s="8">
        <f>IF(COUNTA(A2585:F2585)=0,"",IF(OR(LEN(A2585)&lt;&gt;7,MID(A2585,5,1)&lt;&gt;"-",ISERROR(--LEFT(A2585,4)),ISERROR(--RIGHT(A2585,2))),"ERROR: PERIODO debe ser AAAA-MM",IF(B2585="","ERROR: falta CODIGO CECO",IF(G2585="CECO NO EXISTE","ERROR: CECO no existe en el catálogo",IF(C2585="","ERROR: falta CUENTA",IF(ISERROR(--C2585),"ERROR: CUENTA debe tener solo dígitos",IF(ISERROR(FIND(LEFT(C2585,1),"567")),"ERROR: CUENTA fuera de las clases de costo",IF(NOT(ISNUMBER(E2585)),"ERROR: VALOR debe ser numérico",IF(E2585=0,"AVISO: valor cero (no se carga)",IF(J2585&lt;&gt;"ACTIVO","NO SE CARGA: CECO en estado "&amp;J2585,"OK"))))))))))</f>
        <v/>
      </c>
    </row>
    <row r="2586">
      <c r="A2586" s="5" t="n"/>
      <c r="B2586" s="6" t="n"/>
      <c r="C2586" s="5" t="n"/>
      <c r="D2586" s="6" t="n"/>
      <c r="E2586" s="7" t="n"/>
      <c r="F2586" s="6" t="n"/>
      <c r="G2586" s="8">
        <f>IF(B2586="","",IFERROR(VLOOKUP(--B2586,'CATALOGO CECO'!$A$2:$H$550,2,FALSE),"CECO NO EXISTE"))</f>
        <v/>
      </c>
      <c r="H2586" s="8">
        <f>IF(B2586="","",IFERROR(VLOOKUP(--B2586,'CATALOGO CECO'!$A$2:$H$550,3,FALSE),""))</f>
        <v/>
      </c>
      <c r="I2586" s="8">
        <f>IF(B2586="","",IFERROR(VLOOKUP(--B2586,'CATALOGO CECO'!$A$2:$H$550,5,FALSE),""))</f>
        <v/>
      </c>
      <c r="J2586" s="8">
        <f>IF(B2586="","",IFERROR(VLOOKUP(--B2586,'CATALOGO CECO'!$A$2:$H$550,8,FALSE),""))</f>
        <v/>
      </c>
      <c r="K2586" s="8">
        <f>IF(COUNTA(A2586:F2586)=0,"",IF(OR(LEN(A2586)&lt;&gt;7,MID(A2586,5,1)&lt;&gt;"-",ISERROR(--LEFT(A2586,4)),ISERROR(--RIGHT(A2586,2))),"ERROR: PERIODO debe ser AAAA-MM",IF(B2586="","ERROR: falta CODIGO CECO",IF(G2586="CECO NO EXISTE","ERROR: CECO no existe en el catálogo",IF(C2586="","ERROR: falta CUENTA",IF(ISERROR(--C2586),"ERROR: CUENTA debe tener solo dígitos",IF(ISERROR(FIND(LEFT(C2586,1),"567")),"ERROR: CUENTA fuera de las clases de costo",IF(NOT(ISNUMBER(E2586)),"ERROR: VALOR debe ser numérico",IF(E2586=0,"AVISO: valor cero (no se carga)",IF(J2586&lt;&gt;"ACTIVO","NO SE CARGA: CECO en estado "&amp;J2586,"OK"))))))))))</f>
        <v/>
      </c>
    </row>
    <row r="2587">
      <c r="A2587" s="5" t="n"/>
      <c r="B2587" s="6" t="n"/>
      <c r="C2587" s="5" t="n"/>
      <c r="D2587" s="6" t="n"/>
      <c r="E2587" s="7" t="n"/>
      <c r="F2587" s="6" t="n"/>
      <c r="G2587" s="8">
        <f>IF(B2587="","",IFERROR(VLOOKUP(--B2587,'CATALOGO CECO'!$A$2:$H$550,2,FALSE),"CECO NO EXISTE"))</f>
        <v/>
      </c>
      <c r="H2587" s="8">
        <f>IF(B2587="","",IFERROR(VLOOKUP(--B2587,'CATALOGO CECO'!$A$2:$H$550,3,FALSE),""))</f>
        <v/>
      </c>
      <c r="I2587" s="8">
        <f>IF(B2587="","",IFERROR(VLOOKUP(--B2587,'CATALOGO CECO'!$A$2:$H$550,5,FALSE),""))</f>
        <v/>
      </c>
      <c r="J2587" s="8">
        <f>IF(B2587="","",IFERROR(VLOOKUP(--B2587,'CATALOGO CECO'!$A$2:$H$550,8,FALSE),""))</f>
        <v/>
      </c>
      <c r="K2587" s="8">
        <f>IF(COUNTA(A2587:F2587)=0,"",IF(OR(LEN(A2587)&lt;&gt;7,MID(A2587,5,1)&lt;&gt;"-",ISERROR(--LEFT(A2587,4)),ISERROR(--RIGHT(A2587,2))),"ERROR: PERIODO debe ser AAAA-MM",IF(B2587="","ERROR: falta CODIGO CECO",IF(G2587="CECO NO EXISTE","ERROR: CECO no existe en el catálogo",IF(C2587="","ERROR: falta CUENTA",IF(ISERROR(--C2587),"ERROR: CUENTA debe tener solo dígitos",IF(ISERROR(FIND(LEFT(C2587,1),"567")),"ERROR: CUENTA fuera de las clases de costo",IF(NOT(ISNUMBER(E2587)),"ERROR: VALOR debe ser numérico",IF(E2587=0,"AVISO: valor cero (no se carga)",IF(J2587&lt;&gt;"ACTIVO","NO SE CARGA: CECO en estado "&amp;J2587,"OK"))))))))))</f>
        <v/>
      </c>
    </row>
    <row r="2588">
      <c r="A2588" s="5" t="n"/>
      <c r="B2588" s="6" t="n"/>
      <c r="C2588" s="5" t="n"/>
      <c r="D2588" s="6" t="n"/>
      <c r="E2588" s="7" t="n"/>
      <c r="F2588" s="6" t="n"/>
      <c r="G2588" s="8">
        <f>IF(B2588="","",IFERROR(VLOOKUP(--B2588,'CATALOGO CECO'!$A$2:$H$550,2,FALSE),"CECO NO EXISTE"))</f>
        <v/>
      </c>
      <c r="H2588" s="8">
        <f>IF(B2588="","",IFERROR(VLOOKUP(--B2588,'CATALOGO CECO'!$A$2:$H$550,3,FALSE),""))</f>
        <v/>
      </c>
      <c r="I2588" s="8">
        <f>IF(B2588="","",IFERROR(VLOOKUP(--B2588,'CATALOGO CECO'!$A$2:$H$550,5,FALSE),""))</f>
        <v/>
      </c>
      <c r="J2588" s="8">
        <f>IF(B2588="","",IFERROR(VLOOKUP(--B2588,'CATALOGO CECO'!$A$2:$H$550,8,FALSE),""))</f>
        <v/>
      </c>
      <c r="K2588" s="8">
        <f>IF(COUNTA(A2588:F2588)=0,"",IF(OR(LEN(A2588)&lt;&gt;7,MID(A2588,5,1)&lt;&gt;"-",ISERROR(--LEFT(A2588,4)),ISERROR(--RIGHT(A2588,2))),"ERROR: PERIODO debe ser AAAA-MM",IF(B2588="","ERROR: falta CODIGO CECO",IF(G2588="CECO NO EXISTE","ERROR: CECO no existe en el catálogo",IF(C2588="","ERROR: falta CUENTA",IF(ISERROR(--C2588),"ERROR: CUENTA debe tener solo dígitos",IF(ISERROR(FIND(LEFT(C2588,1),"567")),"ERROR: CUENTA fuera de las clases de costo",IF(NOT(ISNUMBER(E2588)),"ERROR: VALOR debe ser numérico",IF(E2588=0,"AVISO: valor cero (no se carga)",IF(J2588&lt;&gt;"ACTIVO","NO SE CARGA: CECO en estado "&amp;J2588,"OK"))))))))))</f>
        <v/>
      </c>
    </row>
    <row r="2589">
      <c r="A2589" s="5" t="n"/>
      <c r="B2589" s="6" t="n"/>
      <c r="C2589" s="5" t="n"/>
      <c r="D2589" s="6" t="n"/>
      <c r="E2589" s="7" t="n"/>
      <c r="F2589" s="6" t="n"/>
      <c r="G2589" s="8">
        <f>IF(B2589="","",IFERROR(VLOOKUP(--B2589,'CATALOGO CECO'!$A$2:$H$550,2,FALSE),"CECO NO EXISTE"))</f>
        <v/>
      </c>
      <c r="H2589" s="8">
        <f>IF(B2589="","",IFERROR(VLOOKUP(--B2589,'CATALOGO CECO'!$A$2:$H$550,3,FALSE),""))</f>
        <v/>
      </c>
      <c r="I2589" s="8">
        <f>IF(B2589="","",IFERROR(VLOOKUP(--B2589,'CATALOGO CECO'!$A$2:$H$550,5,FALSE),""))</f>
        <v/>
      </c>
      <c r="J2589" s="8">
        <f>IF(B2589="","",IFERROR(VLOOKUP(--B2589,'CATALOGO CECO'!$A$2:$H$550,8,FALSE),""))</f>
        <v/>
      </c>
      <c r="K2589" s="8">
        <f>IF(COUNTA(A2589:F2589)=0,"",IF(OR(LEN(A2589)&lt;&gt;7,MID(A2589,5,1)&lt;&gt;"-",ISERROR(--LEFT(A2589,4)),ISERROR(--RIGHT(A2589,2))),"ERROR: PERIODO debe ser AAAA-MM",IF(B2589="","ERROR: falta CODIGO CECO",IF(G2589="CECO NO EXISTE","ERROR: CECO no existe en el catálogo",IF(C2589="","ERROR: falta CUENTA",IF(ISERROR(--C2589),"ERROR: CUENTA debe tener solo dígitos",IF(ISERROR(FIND(LEFT(C2589,1),"567")),"ERROR: CUENTA fuera de las clases de costo",IF(NOT(ISNUMBER(E2589)),"ERROR: VALOR debe ser numérico",IF(E2589=0,"AVISO: valor cero (no se carga)",IF(J2589&lt;&gt;"ACTIVO","NO SE CARGA: CECO en estado "&amp;J2589,"OK"))))))))))</f>
        <v/>
      </c>
    </row>
    <row r="2590">
      <c r="A2590" s="5" t="n"/>
      <c r="B2590" s="6" t="n"/>
      <c r="C2590" s="5" t="n"/>
      <c r="D2590" s="6" t="n"/>
      <c r="E2590" s="7" t="n"/>
      <c r="F2590" s="6" t="n"/>
      <c r="G2590" s="8">
        <f>IF(B2590="","",IFERROR(VLOOKUP(--B2590,'CATALOGO CECO'!$A$2:$H$550,2,FALSE),"CECO NO EXISTE"))</f>
        <v/>
      </c>
      <c r="H2590" s="8">
        <f>IF(B2590="","",IFERROR(VLOOKUP(--B2590,'CATALOGO CECO'!$A$2:$H$550,3,FALSE),""))</f>
        <v/>
      </c>
      <c r="I2590" s="8">
        <f>IF(B2590="","",IFERROR(VLOOKUP(--B2590,'CATALOGO CECO'!$A$2:$H$550,5,FALSE),""))</f>
        <v/>
      </c>
      <c r="J2590" s="8">
        <f>IF(B2590="","",IFERROR(VLOOKUP(--B2590,'CATALOGO CECO'!$A$2:$H$550,8,FALSE),""))</f>
        <v/>
      </c>
      <c r="K2590" s="8">
        <f>IF(COUNTA(A2590:F2590)=0,"",IF(OR(LEN(A2590)&lt;&gt;7,MID(A2590,5,1)&lt;&gt;"-",ISERROR(--LEFT(A2590,4)),ISERROR(--RIGHT(A2590,2))),"ERROR: PERIODO debe ser AAAA-MM",IF(B2590="","ERROR: falta CODIGO CECO",IF(G2590="CECO NO EXISTE","ERROR: CECO no existe en el catálogo",IF(C2590="","ERROR: falta CUENTA",IF(ISERROR(--C2590),"ERROR: CUENTA debe tener solo dígitos",IF(ISERROR(FIND(LEFT(C2590,1),"567")),"ERROR: CUENTA fuera de las clases de costo",IF(NOT(ISNUMBER(E2590)),"ERROR: VALOR debe ser numérico",IF(E2590=0,"AVISO: valor cero (no se carga)",IF(J2590&lt;&gt;"ACTIVO","NO SE CARGA: CECO en estado "&amp;J2590,"OK"))))))))))</f>
        <v/>
      </c>
    </row>
    <row r="2591">
      <c r="A2591" s="5" t="n"/>
      <c r="B2591" s="6" t="n"/>
      <c r="C2591" s="5" t="n"/>
      <c r="D2591" s="6" t="n"/>
      <c r="E2591" s="7" t="n"/>
      <c r="F2591" s="6" t="n"/>
      <c r="G2591" s="8">
        <f>IF(B2591="","",IFERROR(VLOOKUP(--B2591,'CATALOGO CECO'!$A$2:$H$550,2,FALSE),"CECO NO EXISTE"))</f>
        <v/>
      </c>
      <c r="H2591" s="8">
        <f>IF(B2591="","",IFERROR(VLOOKUP(--B2591,'CATALOGO CECO'!$A$2:$H$550,3,FALSE),""))</f>
        <v/>
      </c>
      <c r="I2591" s="8">
        <f>IF(B2591="","",IFERROR(VLOOKUP(--B2591,'CATALOGO CECO'!$A$2:$H$550,5,FALSE),""))</f>
        <v/>
      </c>
      <c r="J2591" s="8">
        <f>IF(B2591="","",IFERROR(VLOOKUP(--B2591,'CATALOGO CECO'!$A$2:$H$550,8,FALSE),""))</f>
        <v/>
      </c>
      <c r="K2591" s="8">
        <f>IF(COUNTA(A2591:F2591)=0,"",IF(OR(LEN(A2591)&lt;&gt;7,MID(A2591,5,1)&lt;&gt;"-",ISERROR(--LEFT(A2591,4)),ISERROR(--RIGHT(A2591,2))),"ERROR: PERIODO debe ser AAAA-MM",IF(B2591="","ERROR: falta CODIGO CECO",IF(G2591="CECO NO EXISTE","ERROR: CECO no existe en el catálogo",IF(C2591="","ERROR: falta CUENTA",IF(ISERROR(--C2591),"ERROR: CUENTA debe tener solo dígitos",IF(ISERROR(FIND(LEFT(C2591,1),"567")),"ERROR: CUENTA fuera de las clases de costo",IF(NOT(ISNUMBER(E2591)),"ERROR: VALOR debe ser numérico",IF(E2591=0,"AVISO: valor cero (no se carga)",IF(J2591&lt;&gt;"ACTIVO","NO SE CARGA: CECO en estado "&amp;J2591,"OK"))))))))))</f>
        <v/>
      </c>
    </row>
    <row r="2592">
      <c r="A2592" s="5" t="n"/>
      <c r="B2592" s="6" t="n"/>
      <c r="C2592" s="5" t="n"/>
      <c r="D2592" s="6" t="n"/>
      <c r="E2592" s="7" t="n"/>
      <c r="F2592" s="6" t="n"/>
      <c r="G2592" s="8">
        <f>IF(B2592="","",IFERROR(VLOOKUP(--B2592,'CATALOGO CECO'!$A$2:$H$550,2,FALSE),"CECO NO EXISTE"))</f>
        <v/>
      </c>
      <c r="H2592" s="8">
        <f>IF(B2592="","",IFERROR(VLOOKUP(--B2592,'CATALOGO CECO'!$A$2:$H$550,3,FALSE),""))</f>
        <v/>
      </c>
      <c r="I2592" s="8">
        <f>IF(B2592="","",IFERROR(VLOOKUP(--B2592,'CATALOGO CECO'!$A$2:$H$550,5,FALSE),""))</f>
        <v/>
      </c>
      <c r="J2592" s="8">
        <f>IF(B2592="","",IFERROR(VLOOKUP(--B2592,'CATALOGO CECO'!$A$2:$H$550,8,FALSE),""))</f>
        <v/>
      </c>
      <c r="K2592" s="8">
        <f>IF(COUNTA(A2592:F2592)=0,"",IF(OR(LEN(A2592)&lt;&gt;7,MID(A2592,5,1)&lt;&gt;"-",ISERROR(--LEFT(A2592,4)),ISERROR(--RIGHT(A2592,2))),"ERROR: PERIODO debe ser AAAA-MM",IF(B2592="","ERROR: falta CODIGO CECO",IF(G2592="CECO NO EXISTE","ERROR: CECO no existe en el catálogo",IF(C2592="","ERROR: falta CUENTA",IF(ISERROR(--C2592),"ERROR: CUENTA debe tener solo dígitos",IF(ISERROR(FIND(LEFT(C2592,1),"567")),"ERROR: CUENTA fuera de las clases de costo",IF(NOT(ISNUMBER(E2592)),"ERROR: VALOR debe ser numérico",IF(E2592=0,"AVISO: valor cero (no se carga)",IF(J2592&lt;&gt;"ACTIVO","NO SE CARGA: CECO en estado "&amp;J2592,"OK"))))))))))</f>
        <v/>
      </c>
    </row>
    <row r="2593">
      <c r="A2593" s="5" t="n"/>
      <c r="B2593" s="6" t="n"/>
      <c r="C2593" s="5" t="n"/>
      <c r="D2593" s="6" t="n"/>
      <c r="E2593" s="7" t="n"/>
      <c r="F2593" s="6" t="n"/>
      <c r="G2593" s="8">
        <f>IF(B2593="","",IFERROR(VLOOKUP(--B2593,'CATALOGO CECO'!$A$2:$H$550,2,FALSE),"CECO NO EXISTE"))</f>
        <v/>
      </c>
      <c r="H2593" s="8">
        <f>IF(B2593="","",IFERROR(VLOOKUP(--B2593,'CATALOGO CECO'!$A$2:$H$550,3,FALSE),""))</f>
        <v/>
      </c>
      <c r="I2593" s="8">
        <f>IF(B2593="","",IFERROR(VLOOKUP(--B2593,'CATALOGO CECO'!$A$2:$H$550,5,FALSE),""))</f>
        <v/>
      </c>
      <c r="J2593" s="8">
        <f>IF(B2593="","",IFERROR(VLOOKUP(--B2593,'CATALOGO CECO'!$A$2:$H$550,8,FALSE),""))</f>
        <v/>
      </c>
      <c r="K2593" s="8">
        <f>IF(COUNTA(A2593:F2593)=0,"",IF(OR(LEN(A2593)&lt;&gt;7,MID(A2593,5,1)&lt;&gt;"-",ISERROR(--LEFT(A2593,4)),ISERROR(--RIGHT(A2593,2))),"ERROR: PERIODO debe ser AAAA-MM",IF(B2593="","ERROR: falta CODIGO CECO",IF(G2593="CECO NO EXISTE","ERROR: CECO no existe en el catálogo",IF(C2593="","ERROR: falta CUENTA",IF(ISERROR(--C2593),"ERROR: CUENTA debe tener solo dígitos",IF(ISERROR(FIND(LEFT(C2593,1),"567")),"ERROR: CUENTA fuera de las clases de costo",IF(NOT(ISNUMBER(E2593)),"ERROR: VALOR debe ser numérico",IF(E2593=0,"AVISO: valor cero (no se carga)",IF(J2593&lt;&gt;"ACTIVO","NO SE CARGA: CECO en estado "&amp;J2593,"OK"))))))))))</f>
        <v/>
      </c>
    </row>
    <row r="2594">
      <c r="A2594" s="5" t="n"/>
      <c r="B2594" s="6" t="n"/>
      <c r="C2594" s="5" t="n"/>
      <c r="D2594" s="6" t="n"/>
      <c r="E2594" s="7" t="n"/>
      <c r="F2594" s="6" t="n"/>
      <c r="G2594" s="8">
        <f>IF(B2594="","",IFERROR(VLOOKUP(--B2594,'CATALOGO CECO'!$A$2:$H$550,2,FALSE),"CECO NO EXISTE"))</f>
        <v/>
      </c>
      <c r="H2594" s="8">
        <f>IF(B2594="","",IFERROR(VLOOKUP(--B2594,'CATALOGO CECO'!$A$2:$H$550,3,FALSE),""))</f>
        <v/>
      </c>
      <c r="I2594" s="8">
        <f>IF(B2594="","",IFERROR(VLOOKUP(--B2594,'CATALOGO CECO'!$A$2:$H$550,5,FALSE),""))</f>
        <v/>
      </c>
      <c r="J2594" s="8">
        <f>IF(B2594="","",IFERROR(VLOOKUP(--B2594,'CATALOGO CECO'!$A$2:$H$550,8,FALSE),""))</f>
        <v/>
      </c>
      <c r="K2594" s="8">
        <f>IF(COUNTA(A2594:F2594)=0,"",IF(OR(LEN(A2594)&lt;&gt;7,MID(A2594,5,1)&lt;&gt;"-",ISERROR(--LEFT(A2594,4)),ISERROR(--RIGHT(A2594,2))),"ERROR: PERIODO debe ser AAAA-MM",IF(B2594="","ERROR: falta CODIGO CECO",IF(G2594="CECO NO EXISTE","ERROR: CECO no existe en el catálogo",IF(C2594="","ERROR: falta CUENTA",IF(ISERROR(--C2594),"ERROR: CUENTA debe tener solo dígitos",IF(ISERROR(FIND(LEFT(C2594,1),"567")),"ERROR: CUENTA fuera de las clases de costo",IF(NOT(ISNUMBER(E2594)),"ERROR: VALOR debe ser numérico",IF(E2594=0,"AVISO: valor cero (no se carga)",IF(J2594&lt;&gt;"ACTIVO","NO SE CARGA: CECO en estado "&amp;J2594,"OK"))))))))))</f>
        <v/>
      </c>
    </row>
    <row r="2595">
      <c r="A2595" s="5" t="n"/>
      <c r="B2595" s="6" t="n"/>
      <c r="C2595" s="5" t="n"/>
      <c r="D2595" s="6" t="n"/>
      <c r="E2595" s="7" t="n"/>
      <c r="F2595" s="6" t="n"/>
      <c r="G2595" s="8">
        <f>IF(B2595="","",IFERROR(VLOOKUP(--B2595,'CATALOGO CECO'!$A$2:$H$550,2,FALSE),"CECO NO EXISTE"))</f>
        <v/>
      </c>
      <c r="H2595" s="8">
        <f>IF(B2595="","",IFERROR(VLOOKUP(--B2595,'CATALOGO CECO'!$A$2:$H$550,3,FALSE),""))</f>
        <v/>
      </c>
      <c r="I2595" s="8">
        <f>IF(B2595="","",IFERROR(VLOOKUP(--B2595,'CATALOGO CECO'!$A$2:$H$550,5,FALSE),""))</f>
        <v/>
      </c>
      <c r="J2595" s="8">
        <f>IF(B2595="","",IFERROR(VLOOKUP(--B2595,'CATALOGO CECO'!$A$2:$H$550,8,FALSE),""))</f>
        <v/>
      </c>
      <c r="K2595" s="8">
        <f>IF(COUNTA(A2595:F2595)=0,"",IF(OR(LEN(A2595)&lt;&gt;7,MID(A2595,5,1)&lt;&gt;"-",ISERROR(--LEFT(A2595,4)),ISERROR(--RIGHT(A2595,2))),"ERROR: PERIODO debe ser AAAA-MM",IF(B2595="","ERROR: falta CODIGO CECO",IF(G2595="CECO NO EXISTE","ERROR: CECO no existe en el catálogo",IF(C2595="","ERROR: falta CUENTA",IF(ISERROR(--C2595),"ERROR: CUENTA debe tener solo dígitos",IF(ISERROR(FIND(LEFT(C2595,1),"567")),"ERROR: CUENTA fuera de las clases de costo",IF(NOT(ISNUMBER(E2595)),"ERROR: VALOR debe ser numérico",IF(E2595=0,"AVISO: valor cero (no se carga)",IF(J2595&lt;&gt;"ACTIVO","NO SE CARGA: CECO en estado "&amp;J2595,"OK"))))))))))</f>
        <v/>
      </c>
    </row>
    <row r="2596">
      <c r="A2596" s="5" t="n"/>
      <c r="B2596" s="6" t="n"/>
      <c r="C2596" s="5" t="n"/>
      <c r="D2596" s="6" t="n"/>
      <c r="E2596" s="7" t="n"/>
      <c r="F2596" s="6" t="n"/>
      <c r="G2596" s="8">
        <f>IF(B2596="","",IFERROR(VLOOKUP(--B2596,'CATALOGO CECO'!$A$2:$H$550,2,FALSE),"CECO NO EXISTE"))</f>
        <v/>
      </c>
      <c r="H2596" s="8">
        <f>IF(B2596="","",IFERROR(VLOOKUP(--B2596,'CATALOGO CECO'!$A$2:$H$550,3,FALSE),""))</f>
        <v/>
      </c>
      <c r="I2596" s="8">
        <f>IF(B2596="","",IFERROR(VLOOKUP(--B2596,'CATALOGO CECO'!$A$2:$H$550,5,FALSE),""))</f>
        <v/>
      </c>
      <c r="J2596" s="8">
        <f>IF(B2596="","",IFERROR(VLOOKUP(--B2596,'CATALOGO CECO'!$A$2:$H$550,8,FALSE),""))</f>
        <v/>
      </c>
      <c r="K2596" s="8">
        <f>IF(COUNTA(A2596:F2596)=0,"",IF(OR(LEN(A2596)&lt;&gt;7,MID(A2596,5,1)&lt;&gt;"-",ISERROR(--LEFT(A2596,4)),ISERROR(--RIGHT(A2596,2))),"ERROR: PERIODO debe ser AAAA-MM",IF(B2596="","ERROR: falta CODIGO CECO",IF(G2596="CECO NO EXISTE","ERROR: CECO no existe en el catálogo",IF(C2596="","ERROR: falta CUENTA",IF(ISERROR(--C2596),"ERROR: CUENTA debe tener solo dígitos",IF(ISERROR(FIND(LEFT(C2596,1),"567")),"ERROR: CUENTA fuera de las clases de costo",IF(NOT(ISNUMBER(E2596)),"ERROR: VALOR debe ser numérico",IF(E2596=0,"AVISO: valor cero (no se carga)",IF(J2596&lt;&gt;"ACTIVO","NO SE CARGA: CECO en estado "&amp;J2596,"OK"))))))))))</f>
        <v/>
      </c>
    </row>
    <row r="2597">
      <c r="A2597" s="5" t="n"/>
      <c r="B2597" s="6" t="n"/>
      <c r="C2597" s="5" t="n"/>
      <c r="D2597" s="6" t="n"/>
      <c r="E2597" s="7" t="n"/>
      <c r="F2597" s="6" t="n"/>
      <c r="G2597" s="8">
        <f>IF(B2597="","",IFERROR(VLOOKUP(--B2597,'CATALOGO CECO'!$A$2:$H$550,2,FALSE),"CECO NO EXISTE"))</f>
        <v/>
      </c>
      <c r="H2597" s="8">
        <f>IF(B2597="","",IFERROR(VLOOKUP(--B2597,'CATALOGO CECO'!$A$2:$H$550,3,FALSE),""))</f>
        <v/>
      </c>
      <c r="I2597" s="8">
        <f>IF(B2597="","",IFERROR(VLOOKUP(--B2597,'CATALOGO CECO'!$A$2:$H$550,5,FALSE),""))</f>
        <v/>
      </c>
      <c r="J2597" s="8">
        <f>IF(B2597="","",IFERROR(VLOOKUP(--B2597,'CATALOGO CECO'!$A$2:$H$550,8,FALSE),""))</f>
        <v/>
      </c>
      <c r="K2597" s="8">
        <f>IF(COUNTA(A2597:F2597)=0,"",IF(OR(LEN(A2597)&lt;&gt;7,MID(A2597,5,1)&lt;&gt;"-",ISERROR(--LEFT(A2597,4)),ISERROR(--RIGHT(A2597,2))),"ERROR: PERIODO debe ser AAAA-MM",IF(B2597="","ERROR: falta CODIGO CECO",IF(G2597="CECO NO EXISTE","ERROR: CECO no existe en el catálogo",IF(C2597="","ERROR: falta CUENTA",IF(ISERROR(--C2597),"ERROR: CUENTA debe tener solo dígitos",IF(ISERROR(FIND(LEFT(C2597,1),"567")),"ERROR: CUENTA fuera de las clases de costo",IF(NOT(ISNUMBER(E2597)),"ERROR: VALOR debe ser numérico",IF(E2597=0,"AVISO: valor cero (no se carga)",IF(J2597&lt;&gt;"ACTIVO","NO SE CARGA: CECO en estado "&amp;J2597,"OK"))))))))))</f>
        <v/>
      </c>
    </row>
    <row r="2598">
      <c r="A2598" s="5" t="n"/>
      <c r="B2598" s="6" t="n"/>
      <c r="C2598" s="5" t="n"/>
      <c r="D2598" s="6" t="n"/>
      <c r="E2598" s="7" t="n"/>
      <c r="F2598" s="6" t="n"/>
      <c r="G2598" s="8">
        <f>IF(B2598="","",IFERROR(VLOOKUP(--B2598,'CATALOGO CECO'!$A$2:$H$550,2,FALSE),"CECO NO EXISTE"))</f>
        <v/>
      </c>
      <c r="H2598" s="8">
        <f>IF(B2598="","",IFERROR(VLOOKUP(--B2598,'CATALOGO CECO'!$A$2:$H$550,3,FALSE),""))</f>
        <v/>
      </c>
      <c r="I2598" s="8">
        <f>IF(B2598="","",IFERROR(VLOOKUP(--B2598,'CATALOGO CECO'!$A$2:$H$550,5,FALSE),""))</f>
        <v/>
      </c>
      <c r="J2598" s="8">
        <f>IF(B2598="","",IFERROR(VLOOKUP(--B2598,'CATALOGO CECO'!$A$2:$H$550,8,FALSE),""))</f>
        <v/>
      </c>
      <c r="K2598" s="8">
        <f>IF(COUNTA(A2598:F2598)=0,"",IF(OR(LEN(A2598)&lt;&gt;7,MID(A2598,5,1)&lt;&gt;"-",ISERROR(--LEFT(A2598,4)),ISERROR(--RIGHT(A2598,2))),"ERROR: PERIODO debe ser AAAA-MM",IF(B2598="","ERROR: falta CODIGO CECO",IF(G2598="CECO NO EXISTE","ERROR: CECO no existe en el catálogo",IF(C2598="","ERROR: falta CUENTA",IF(ISERROR(--C2598),"ERROR: CUENTA debe tener solo dígitos",IF(ISERROR(FIND(LEFT(C2598,1),"567")),"ERROR: CUENTA fuera de las clases de costo",IF(NOT(ISNUMBER(E2598)),"ERROR: VALOR debe ser numérico",IF(E2598=0,"AVISO: valor cero (no se carga)",IF(J2598&lt;&gt;"ACTIVO","NO SE CARGA: CECO en estado "&amp;J2598,"OK"))))))))))</f>
        <v/>
      </c>
    </row>
    <row r="2599">
      <c r="A2599" s="5" t="n"/>
      <c r="B2599" s="6" t="n"/>
      <c r="C2599" s="5" t="n"/>
      <c r="D2599" s="6" t="n"/>
      <c r="E2599" s="7" t="n"/>
      <c r="F2599" s="6" t="n"/>
      <c r="G2599" s="8">
        <f>IF(B2599="","",IFERROR(VLOOKUP(--B2599,'CATALOGO CECO'!$A$2:$H$550,2,FALSE),"CECO NO EXISTE"))</f>
        <v/>
      </c>
      <c r="H2599" s="8">
        <f>IF(B2599="","",IFERROR(VLOOKUP(--B2599,'CATALOGO CECO'!$A$2:$H$550,3,FALSE),""))</f>
        <v/>
      </c>
      <c r="I2599" s="8">
        <f>IF(B2599="","",IFERROR(VLOOKUP(--B2599,'CATALOGO CECO'!$A$2:$H$550,5,FALSE),""))</f>
        <v/>
      </c>
      <c r="J2599" s="8">
        <f>IF(B2599="","",IFERROR(VLOOKUP(--B2599,'CATALOGO CECO'!$A$2:$H$550,8,FALSE),""))</f>
        <v/>
      </c>
      <c r="K2599" s="8">
        <f>IF(COUNTA(A2599:F2599)=0,"",IF(OR(LEN(A2599)&lt;&gt;7,MID(A2599,5,1)&lt;&gt;"-",ISERROR(--LEFT(A2599,4)),ISERROR(--RIGHT(A2599,2))),"ERROR: PERIODO debe ser AAAA-MM",IF(B2599="","ERROR: falta CODIGO CECO",IF(G2599="CECO NO EXISTE","ERROR: CECO no existe en el catálogo",IF(C2599="","ERROR: falta CUENTA",IF(ISERROR(--C2599),"ERROR: CUENTA debe tener solo dígitos",IF(ISERROR(FIND(LEFT(C2599,1),"567")),"ERROR: CUENTA fuera de las clases de costo",IF(NOT(ISNUMBER(E2599)),"ERROR: VALOR debe ser numérico",IF(E2599=0,"AVISO: valor cero (no se carga)",IF(J2599&lt;&gt;"ACTIVO","NO SE CARGA: CECO en estado "&amp;J2599,"OK"))))))))))</f>
        <v/>
      </c>
    </row>
    <row r="2600">
      <c r="A2600" s="5" t="n"/>
      <c r="B2600" s="6" t="n"/>
      <c r="C2600" s="5" t="n"/>
      <c r="D2600" s="6" t="n"/>
      <c r="E2600" s="7" t="n"/>
      <c r="F2600" s="6" t="n"/>
      <c r="G2600" s="8">
        <f>IF(B2600="","",IFERROR(VLOOKUP(--B2600,'CATALOGO CECO'!$A$2:$H$550,2,FALSE),"CECO NO EXISTE"))</f>
        <v/>
      </c>
      <c r="H2600" s="8">
        <f>IF(B2600="","",IFERROR(VLOOKUP(--B2600,'CATALOGO CECO'!$A$2:$H$550,3,FALSE),""))</f>
        <v/>
      </c>
      <c r="I2600" s="8">
        <f>IF(B2600="","",IFERROR(VLOOKUP(--B2600,'CATALOGO CECO'!$A$2:$H$550,5,FALSE),""))</f>
        <v/>
      </c>
      <c r="J2600" s="8">
        <f>IF(B2600="","",IFERROR(VLOOKUP(--B2600,'CATALOGO CECO'!$A$2:$H$550,8,FALSE),""))</f>
        <v/>
      </c>
      <c r="K2600" s="8">
        <f>IF(COUNTA(A2600:F2600)=0,"",IF(OR(LEN(A2600)&lt;&gt;7,MID(A2600,5,1)&lt;&gt;"-",ISERROR(--LEFT(A2600,4)),ISERROR(--RIGHT(A2600,2))),"ERROR: PERIODO debe ser AAAA-MM",IF(B2600="","ERROR: falta CODIGO CECO",IF(G2600="CECO NO EXISTE","ERROR: CECO no existe en el catálogo",IF(C2600="","ERROR: falta CUENTA",IF(ISERROR(--C2600),"ERROR: CUENTA debe tener solo dígitos",IF(ISERROR(FIND(LEFT(C2600,1),"567")),"ERROR: CUENTA fuera de las clases de costo",IF(NOT(ISNUMBER(E2600)),"ERROR: VALOR debe ser numérico",IF(E2600=0,"AVISO: valor cero (no se carga)",IF(J2600&lt;&gt;"ACTIVO","NO SE CARGA: CECO en estado "&amp;J2600,"OK"))))))))))</f>
        <v/>
      </c>
    </row>
    <row r="2601">
      <c r="A2601" s="5" t="n"/>
      <c r="B2601" s="6" t="n"/>
      <c r="C2601" s="5" t="n"/>
      <c r="D2601" s="6" t="n"/>
      <c r="E2601" s="7" t="n"/>
      <c r="F2601" s="6" t="n"/>
      <c r="G2601" s="8">
        <f>IF(B2601="","",IFERROR(VLOOKUP(--B2601,'CATALOGO CECO'!$A$2:$H$550,2,FALSE),"CECO NO EXISTE"))</f>
        <v/>
      </c>
      <c r="H2601" s="8">
        <f>IF(B2601="","",IFERROR(VLOOKUP(--B2601,'CATALOGO CECO'!$A$2:$H$550,3,FALSE),""))</f>
        <v/>
      </c>
      <c r="I2601" s="8">
        <f>IF(B2601="","",IFERROR(VLOOKUP(--B2601,'CATALOGO CECO'!$A$2:$H$550,5,FALSE),""))</f>
        <v/>
      </c>
      <c r="J2601" s="8">
        <f>IF(B2601="","",IFERROR(VLOOKUP(--B2601,'CATALOGO CECO'!$A$2:$H$550,8,FALSE),""))</f>
        <v/>
      </c>
      <c r="K2601" s="8">
        <f>IF(COUNTA(A2601:F2601)=0,"",IF(OR(LEN(A2601)&lt;&gt;7,MID(A2601,5,1)&lt;&gt;"-",ISERROR(--LEFT(A2601,4)),ISERROR(--RIGHT(A2601,2))),"ERROR: PERIODO debe ser AAAA-MM",IF(B2601="","ERROR: falta CODIGO CECO",IF(G2601="CECO NO EXISTE","ERROR: CECO no existe en el catálogo",IF(C2601="","ERROR: falta CUENTA",IF(ISERROR(--C2601),"ERROR: CUENTA debe tener solo dígitos",IF(ISERROR(FIND(LEFT(C2601,1),"567")),"ERROR: CUENTA fuera de las clases de costo",IF(NOT(ISNUMBER(E2601)),"ERROR: VALOR debe ser numérico",IF(E2601=0,"AVISO: valor cero (no se carga)",IF(J2601&lt;&gt;"ACTIVO","NO SE CARGA: CECO en estado "&amp;J2601,"OK"))))))))))</f>
        <v/>
      </c>
    </row>
    <row r="2602">
      <c r="A2602" s="5" t="n"/>
      <c r="B2602" s="6" t="n"/>
      <c r="C2602" s="5" t="n"/>
      <c r="D2602" s="6" t="n"/>
      <c r="E2602" s="7" t="n"/>
      <c r="F2602" s="6" t="n"/>
      <c r="G2602" s="8">
        <f>IF(B2602="","",IFERROR(VLOOKUP(--B2602,'CATALOGO CECO'!$A$2:$H$550,2,FALSE),"CECO NO EXISTE"))</f>
        <v/>
      </c>
      <c r="H2602" s="8">
        <f>IF(B2602="","",IFERROR(VLOOKUP(--B2602,'CATALOGO CECO'!$A$2:$H$550,3,FALSE),""))</f>
        <v/>
      </c>
      <c r="I2602" s="8">
        <f>IF(B2602="","",IFERROR(VLOOKUP(--B2602,'CATALOGO CECO'!$A$2:$H$550,5,FALSE),""))</f>
        <v/>
      </c>
      <c r="J2602" s="8">
        <f>IF(B2602="","",IFERROR(VLOOKUP(--B2602,'CATALOGO CECO'!$A$2:$H$550,8,FALSE),""))</f>
        <v/>
      </c>
      <c r="K2602" s="8">
        <f>IF(COUNTA(A2602:F2602)=0,"",IF(OR(LEN(A2602)&lt;&gt;7,MID(A2602,5,1)&lt;&gt;"-",ISERROR(--LEFT(A2602,4)),ISERROR(--RIGHT(A2602,2))),"ERROR: PERIODO debe ser AAAA-MM",IF(B2602="","ERROR: falta CODIGO CECO",IF(G2602="CECO NO EXISTE","ERROR: CECO no existe en el catálogo",IF(C2602="","ERROR: falta CUENTA",IF(ISERROR(--C2602),"ERROR: CUENTA debe tener solo dígitos",IF(ISERROR(FIND(LEFT(C2602,1),"567")),"ERROR: CUENTA fuera de las clases de costo",IF(NOT(ISNUMBER(E2602)),"ERROR: VALOR debe ser numérico",IF(E2602=0,"AVISO: valor cero (no se carga)",IF(J2602&lt;&gt;"ACTIVO","NO SE CARGA: CECO en estado "&amp;J2602,"OK"))))))))))</f>
        <v/>
      </c>
    </row>
    <row r="2603">
      <c r="A2603" s="5" t="n"/>
      <c r="B2603" s="6" t="n"/>
      <c r="C2603" s="5" t="n"/>
      <c r="D2603" s="6" t="n"/>
      <c r="E2603" s="7" t="n"/>
      <c r="F2603" s="6" t="n"/>
      <c r="G2603" s="8">
        <f>IF(B2603="","",IFERROR(VLOOKUP(--B2603,'CATALOGO CECO'!$A$2:$H$550,2,FALSE),"CECO NO EXISTE"))</f>
        <v/>
      </c>
      <c r="H2603" s="8">
        <f>IF(B2603="","",IFERROR(VLOOKUP(--B2603,'CATALOGO CECO'!$A$2:$H$550,3,FALSE),""))</f>
        <v/>
      </c>
      <c r="I2603" s="8">
        <f>IF(B2603="","",IFERROR(VLOOKUP(--B2603,'CATALOGO CECO'!$A$2:$H$550,5,FALSE),""))</f>
        <v/>
      </c>
      <c r="J2603" s="8">
        <f>IF(B2603="","",IFERROR(VLOOKUP(--B2603,'CATALOGO CECO'!$A$2:$H$550,8,FALSE),""))</f>
        <v/>
      </c>
      <c r="K2603" s="8">
        <f>IF(COUNTA(A2603:F2603)=0,"",IF(OR(LEN(A2603)&lt;&gt;7,MID(A2603,5,1)&lt;&gt;"-",ISERROR(--LEFT(A2603,4)),ISERROR(--RIGHT(A2603,2))),"ERROR: PERIODO debe ser AAAA-MM",IF(B2603="","ERROR: falta CODIGO CECO",IF(G2603="CECO NO EXISTE","ERROR: CECO no existe en el catálogo",IF(C2603="","ERROR: falta CUENTA",IF(ISERROR(--C2603),"ERROR: CUENTA debe tener solo dígitos",IF(ISERROR(FIND(LEFT(C2603,1),"567")),"ERROR: CUENTA fuera de las clases de costo",IF(NOT(ISNUMBER(E2603)),"ERROR: VALOR debe ser numérico",IF(E2603=0,"AVISO: valor cero (no se carga)",IF(J2603&lt;&gt;"ACTIVO","NO SE CARGA: CECO en estado "&amp;J2603,"OK"))))))))))</f>
        <v/>
      </c>
    </row>
    <row r="2604">
      <c r="A2604" s="5" t="n"/>
      <c r="B2604" s="6" t="n"/>
      <c r="C2604" s="5" t="n"/>
      <c r="D2604" s="6" t="n"/>
      <c r="E2604" s="7" t="n"/>
      <c r="F2604" s="6" t="n"/>
      <c r="G2604" s="8">
        <f>IF(B2604="","",IFERROR(VLOOKUP(--B2604,'CATALOGO CECO'!$A$2:$H$550,2,FALSE),"CECO NO EXISTE"))</f>
        <v/>
      </c>
      <c r="H2604" s="8">
        <f>IF(B2604="","",IFERROR(VLOOKUP(--B2604,'CATALOGO CECO'!$A$2:$H$550,3,FALSE),""))</f>
        <v/>
      </c>
      <c r="I2604" s="8">
        <f>IF(B2604="","",IFERROR(VLOOKUP(--B2604,'CATALOGO CECO'!$A$2:$H$550,5,FALSE),""))</f>
        <v/>
      </c>
      <c r="J2604" s="8">
        <f>IF(B2604="","",IFERROR(VLOOKUP(--B2604,'CATALOGO CECO'!$A$2:$H$550,8,FALSE),""))</f>
        <v/>
      </c>
      <c r="K2604" s="8">
        <f>IF(COUNTA(A2604:F2604)=0,"",IF(OR(LEN(A2604)&lt;&gt;7,MID(A2604,5,1)&lt;&gt;"-",ISERROR(--LEFT(A2604,4)),ISERROR(--RIGHT(A2604,2))),"ERROR: PERIODO debe ser AAAA-MM",IF(B2604="","ERROR: falta CODIGO CECO",IF(G2604="CECO NO EXISTE","ERROR: CECO no existe en el catálogo",IF(C2604="","ERROR: falta CUENTA",IF(ISERROR(--C2604),"ERROR: CUENTA debe tener solo dígitos",IF(ISERROR(FIND(LEFT(C2604,1),"567")),"ERROR: CUENTA fuera de las clases de costo",IF(NOT(ISNUMBER(E2604)),"ERROR: VALOR debe ser numérico",IF(E2604=0,"AVISO: valor cero (no se carga)",IF(J2604&lt;&gt;"ACTIVO","NO SE CARGA: CECO en estado "&amp;J2604,"OK"))))))))))</f>
        <v/>
      </c>
    </row>
    <row r="2605">
      <c r="A2605" s="5" t="n"/>
      <c r="B2605" s="6" t="n"/>
      <c r="C2605" s="5" t="n"/>
      <c r="D2605" s="6" t="n"/>
      <c r="E2605" s="7" t="n"/>
      <c r="F2605" s="6" t="n"/>
      <c r="G2605" s="8">
        <f>IF(B2605="","",IFERROR(VLOOKUP(--B2605,'CATALOGO CECO'!$A$2:$H$550,2,FALSE),"CECO NO EXISTE"))</f>
        <v/>
      </c>
      <c r="H2605" s="8">
        <f>IF(B2605="","",IFERROR(VLOOKUP(--B2605,'CATALOGO CECO'!$A$2:$H$550,3,FALSE),""))</f>
        <v/>
      </c>
      <c r="I2605" s="8">
        <f>IF(B2605="","",IFERROR(VLOOKUP(--B2605,'CATALOGO CECO'!$A$2:$H$550,5,FALSE),""))</f>
        <v/>
      </c>
      <c r="J2605" s="8">
        <f>IF(B2605="","",IFERROR(VLOOKUP(--B2605,'CATALOGO CECO'!$A$2:$H$550,8,FALSE),""))</f>
        <v/>
      </c>
      <c r="K2605" s="8">
        <f>IF(COUNTA(A2605:F2605)=0,"",IF(OR(LEN(A2605)&lt;&gt;7,MID(A2605,5,1)&lt;&gt;"-",ISERROR(--LEFT(A2605,4)),ISERROR(--RIGHT(A2605,2))),"ERROR: PERIODO debe ser AAAA-MM",IF(B2605="","ERROR: falta CODIGO CECO",IF(G2605="CECO NO EXISTE","ERROR: CECO no existe en el catálogo",IF(C2605="","ERROR: falta CUENTA",IF(ISERROR(--C2605),"ERROR: CUENTA debe tener solo dígitos",IF(ISERROR(FIND(LEFT(C2605,1),"567")),"ERROR: CUENTA fuera de las clases de costo",IF(NOT(ISNUMBER(E2605)),"ERROR: VALOR debe ser numérico",IF(E2605=0,"AVISO: valor cero (no se carga)",IF(J2605&lt;&gt;"ACTIVO","NO SE CARGA: CECO en estado "&amp;J2605,"OK"))))))))))</f>
        <v/>
      </c>
    </row>
    <row r="2606">
      <c r="A2606" s="5" t="n"/>
      <c r="B2606" s="6" t="n"/>
      <c r="C2606" s="5" t="n"/>
      <c r="D2606" s="6" t="n"/>
      <c r="E2606" s="7" t="n"/>
      <c r="F2606" s="6" t="n"/>
      <c r="G2606" s="8">
        <f>IF(B2606="","",IFERROR(VLOOKUP(--B2606,'CATALOGO CECO'!$A$2:$H$550,2,FALSE),"CECO NO EXISTE"))</f>
        <v/>
      </c>
      <c r="H2606" s="8">
        <f>IF(B2606="","",IFERROR(VLOOKUP(--B2606,'CATALOGO CECO'!$A$2:$H$550,3,FALSE),""))</f>
        <v/>
      </c>
      <c r="I2606" s="8">
        <f>IF(B2606="","",IFERROR(VLOOKUP(--B2606,'CATALOGO CECO'!$A$2:$H$550,5,FALSE),""))</f>
        <v/>
      </c>
      <c r="J2606" s="8">
        <f>IF(B2606="","",IFERROR(VLOOKUP(--B2606,'CATALOGO CECO'!$A$2:$H$550,8,FALSE),""))</f>
        <v/>
      </c>
      <c r="K2606" s="8">
        <f>IF(COUNTA(A2606:F2606)=0,"",IF(OR(LEN(A2606)&lt;&gt;7,MID(A2606,5,1)&lt;&gt;"-",ISERROR(--LEFT(A2606,4)),ISERROR(--RIGHT(A2606,2))),"ERROR: PERIODO debe ser AAAA-MM",IF(B2606="","ERROR: falta CODIGO CECO",IF(G2606="CECO NO EXISTE","ERROR: CECO no existe en el catálogo",IF(C2606="","ERROR: falta CUENTA",IF(ISERROR(--C2606),"ERROR: CUENTA debe tener solo dígitos",IF(ISERROR(FIND(LEFT(C2606,1),"567")),"ERROR: CUENTA fuera de las clases de costo",IF(NOT(ISNUMBER(E2606)),"ERROR: VALOR debe ser numérico",IF(E2606=0,"AVISO: valor cero (no se carga)",IF(J2606&lt;&gt;"ACTIVO","NO SE CARGA: CECO en estado "&amp;J2606,"OK"))))))))))</f>
        <v/>
      </c>
    </row>
    <row r="2607">
      <c r="A2607" s="5" t="n"/>
      <c r="B2607" s="6" t="n"/>
      <c r="C2607" s="5" t="n"/>
      <c r="D2607" s="6" t="n"/>
      <c r="E2607" s="7" t="n"/>
      <c r="F2607" s="6" t="n"/>
      <c r="G2607" s="8">
        <f>IF(B2607="","",IFERROR(VLOOKUP(--B2607,'CATALOGO CECO'!$A$2:$H$550,2,FALSE),"CECO NO EXISTE"))</f>
        <v/>
      </c>
      <c r="H2607" s="8">
        <f>IF(B2607="","",IFERROR(VLOOKUP(--B2607,'CATALOGO CECO'!$A$2:$H$550,3,FALSE),""))</f>
        <v/>
      </c>
      <c r="I2607" s="8">
        <f>IF(B2607="","",IFERROR(VLOOKUP(--B2607,'CATALOGO CECO'!$A$2:$H$550,5,FALSE),""))</f>
        <v/>
      </c>
      <c r="J2607" s="8">
        <f>IF(B2607="","",IFERROR(VLOOKUP(--B2607,'CATALOGO CECO'!$A$2:$H$550,8,FALSE),""))</f>
        <v/>
      </c>
      <c r="K2607" s="8">
        <f>IF(COUNTA(A2607:F2607)=0,"",IF(OR(LEN(A2607)&lt;&gt;7,MID(A2607,5,1)&lt;&gt;"-",ISERROR(--LEFT(A2607,4)),ISERROR(--RIGHT(A2607,2))),"ERROR: PERIODO debe ser AAAA-MM",IF(B2607="","ERROR: falta CODIGO CECO",IF(G2607="CECO NO EXISTE","ERROR: CECO no existe en el catálogo",IF(C2607="","ERROR: falta CUENTA",IF(ISERROR(--C2607),"ERROR: CUENTA debe tener solo dígitos",IF(ISERROR(FIND(LEFT(C2607,1),"567")),"ERROR: CUENTA fuera de las clases de costo",IF(NOT(ISNUMBER(E2607)),"ERROR: VALOR debe ser numérico",IF(E2607=0,"AVISO: valor cero (no se carga)",IF(J2607&lt;&gt;"ACTIVO","NO SE CARGA: CECO en estado "&amp;J2607,"OK"))))))))))</f>
        <v/>
      </c>
    </row>
    <row r="2608">
      <c r="A2608" s="5" t="n"/>
      <c r="B2608" s="6" t="n"/>
      <c r="C2608" s="5" t="n"/>
      <c r="D2608" s="6" t="n"/>
      <c r="E2608" s="7" t="n"/>
      <c r="F2608" s="6" t="n"/>
      <c r="G2608" s="8">
        <f>IF(B2608="","",IFERROR(VLOOKUP(--B2608,'CATALOGO CECO'!$A$2:$H$550,2,FALSE),"CECO NO EXISTE"))</f>
        <v/>
      </c>
      <c r="H2608" s="8">
        <f>IF(B2608="","",IFERROR(VLOOKUP(--B2608,'CATALOGO CECO'!$A$2:$H$550,3,FALSE),""))</f>
        <v/>
      </c>
      <c r="I2608" s="8">
        <f>IF(B2608="","",IFERROR(VLOOKUP(--B2608,'CATALOGO CECO'!$A$2:$H$550,5,FALSE),""))</f>
        <v/>
      </c>
      <c r="J2608" s="8">
        <f>IF(B2608="","",IFERROR(VLOOKUP(--B2608,'CATALOGO CECO'!$A$2:$H$550,8,FALSE),""))</f>
        <v/>
      </c>
      <c r="K2608" s="8">
        <f>IF(COUNTA(A2608:F2608)=0,"",IF(OR(LEN(A2608)&lt;&gt;7,MID(A2608,5,1)&lt;&gt;"-",ISERROR(--LEFT(A2608,4)),ISERROR(--RIGHT(A2608,2))),"ERROR: PERIODO debe ser AAAA-MM",IF(B2608="","ERROR: falta CODIGO CECO",IF(G2608="CECO NO EXISTE","ERROR: CECO no existe en el catálogo",IF(C2608="","ERROR: falta CUENTA",IF(ISERROR(--C2608),"ERROR: CUENTA debe tener solo dígitos",IF(ISERROR(FIND(LEFT(C2608,1),"567")),"ERROR: CUENTA fuera de las clases de costo",IF(NOT(ISNUMBER(E2608)),"ERROR: VALOR debe ser numérico",IF(E2608=0,"AVISO: valor cero (no se carga)",IF(J2608&lt;&gt;"ACTIVO","NO SE CARGA: CECO en estado "&amp;J2608,"OK"))))))))))</f>
        <v/>
      </c>
    </row>
    <row r="2609">
      <c r="A2609" s="5" t="n"/>
      <c r="B2609" s="6" t="n"/>
      <c r="C2609" s="5" t="n"/>
      <c r="D2609" s="6" t="n"/>
      <c r="E2609" s="7" t="n"/>
      <c r="F2609" s="6" t="n"/>
      <c r="G2609" s="8">
        <f>IF(B2609="","",IFERROR(VLOOKUP(--B2609,'CATALOGO CECO'!$A$2:$H$550,2,FALSE),"CECO NO EXISTE"))</f>
        <v/>
      </c>
      <c r="H2609" s="8">
        <f>IF(B2609="","",IFERROR(VLOOKUP(--B2609,'CATALOGO CECO'!$A$2:$H$550,3,FALSE),""))</f>
        <v/>
      </c>
      <c r="I2609" s="8">
        <f>IF(B2609="","",IFERROR(VLOOKUP(--B2609,'CATALOGO CECO'!$A$2:$H$550,5,FALSE),""))</f>
        <v/>
      </c>
      <c r="J2609" s="8">
        <f>IF(B2609="","",IFERROR(VLOOKUP(--B2609,'CATALOGO CECO'!$A$2:$H$550,8,FALSE),""))</f>
        <v/>
      </c>
      <c r="K2609" s="8">
        <f>IF(COUNTA(A2609:F2609)=0,"",IF(OR(LEN(A2609)&lt;&gt;7,MID(A2609,5,1)&lt;&gt;"-",ISERROR(--LEFT(A2609,4)),ISERROR(--RIGHT(A2609,2))),"ERROR: PERIODO debe ser AAAA-MM",IF(B2609="","ERROR: falta CODIGO CECO",IF(G2609="CECO NO EXISTE","ERROR: CECO no existe en el catálogo",IF(C2609="","ERROR: falta CUENTA",IF(ISERROR(--C2609),"ERROR: CUENTA debe tener solo dígitos",IF(ISERROR(FIND(LEFT(C2609,1),"567")),"ERROR: CUENTA fuera de las clases de costo",IF(NOT(ISNUMBER(E2609)),"ERROR: VALOR debe ser numérico",IF(E2609=0,"AVISO: valor cero (no se carga)",IF(J2609&lt;&gt;"ACTIVO","NO SE CARGA: CECO en estado "&amp;J2609,"OK"))))))))))</f>
        <v/>
      </c>
    </row>
    <row r="2610">
      <c r="A2610" s="5" t="n"/>
      <c r="B2610" s="6" t="n"/>
      <c r="C2610" s="5" t="n"/>
      <c r="D2610" s="6" t="n"/>
      <c r="E2610" s="7" t="n"/>
      <c r="F2610" s="6" t="n"/>
      <c r="G2610" s="8">
        <f>IF(B2610="","",IFERROR(VLOOKUP(--B2610,'CATALOGO CECO'!$A$2:$H$550,2,FALSE),"CECO NO EXISTE"))</f>
        <v/>
      </c>
      <c r="H2610" s="8">
        <f>IF(B2610="","",IFERROR(VLOOKUP(--B2610,'CATALOGO CECO'!$A$2:$H$550,3,FALSE),""))</f>
        <v/>
      </c>
      <c r="I2610" s="8">
        <f>IF(B2610="","",IFERROR(VLOOKUP(--B2610,'CATALOGO CECO'!$A$2:$H$550,5,FALSE),""))</f>
        <v/>
      </c>
      <c r="J2610" s="8">
        <f>IF(B2610="","",IFERROR(VLOOKUP(--B2610,'CATALOGO CECO'!$A$2:$H$550,8,FALSE),""))</f>
        <v/>
      </c>
      <c r="K2610" s="8">
        <f>IF(COUNTA(A2610:F2610)=0,"",IF(OR(LEN(A2610)&lt;&gt;7,MID(A2610,5,1)&lt;&gt;"-",ISERROR(--LEFT(A2610,4)),ISERROR(--RIGHT(A2610,2))),"ERROR: PERIODO debe ser AAAA-MM",IF(B2610="","ERROR: falta CODIGO CECO",IF(G2610="CECO NO EXISTE","ERROR: CECO no existe en el catálogo",IF(C2610="","ERROR: falta CUENTA",IF(ISERROR(--C2610),"ERROR: CUENTA debe tener solo dígitos",IF(ISERROR(FIND(LEFT(C2610,1),"567")),"ERROR: CUENTA fuera de las clases de costo",IF(NOT(ISNUMBER(E2610)),"ERROR: VALOR debe ser numérico",IF(E2610=0,"AVISO: valor cero (no se carga)",IF(J2610&lt;&gt;"ACTIVO","NO SE CARGA: CECO en estado "&amp;J2610,"OK"))))))))))</f>
        <v/>
      </c>
    </row>
    <row r="2611">
      <c r="A2611" s="5" t="n"/>
      <c r="B2611" s="6" t="n"/>
      <c r="C2611" s="5" t="n"/>
      <c r="D2611" s="6" t="n"/>
      <c r="E2611" s="7" t="n"/>
      <c r="F2611" s="6" t="n"/>
      <c r="G2611" s="8">
        <f>IF(B2611="","",IFERROR(VLOOKUP(--B2611,'CATALOGO CECO'!$A$2:$H$550,2,FALSE),"CECO NO EXISTE"))</f>
        <v/>
      </c>
      <c r="H2611" s="8">
        <f>IF(B2611="","",IFERROR(VLOOKUP(--B2611,'CATALOGO CECO'!$A$2:$H$550,3,FALSE),""))</f>
        <v/>
      </c>
      <c r="I2611" s="8">
        <f>IF(B2611="","",IFERROR(VLOOKUP(--B2611,'CATALOGO CECO'!$A$2:$H$550,5,FALSE),""))</f>
        <v/>
      </c>
      <c r="J2611" s="8">
        <f>IF(B2611="","",IFERROR(VLOOKUP(--B2611,'CATALOGO CECO'!$A$2:$H$550,8,FALSE),""))</f>
        <v/>
      </c>
      <c r="K2611" s="8">
        <f>IF(COUNTA(A2611:F2611)=0,"",IF(OR(LEN(A2611)&lt;&gt;7,MID(A2611,5,1)&lt;&gt;"-",ISERROR(--LEFT(A2611,4)),ISERROR(--RIGHT(A2611,2))),"ERROR: PERIODO debe ser AAAA-MM",IF(B2611="","ERROR: falta CODIGO CECO",IF(G2611="CECO NO EXISTE","ERROR: CECO no existe en el catálogo",IF(C2611="","ERROR: falta CUENTA",IF(ISERROR(--C2611),"ERROR: CUENTA debe tener solo dígitos",IF(ISERROR(FIND(LEFT(C2611,1),"567")),"ERROR: CUENTA fuera de las clases de costo",IF(NOT(ISNUMBER(E2611)),"ERROR: VALOR debe ser numérico",IF(E2611=0,"AVISO: valor cero (no se carga)",IF(J2611&lt;&gt;"ACTIVO","NO SE CARGA: CECO en estado "&amp;J2611,"OK"))))))))))</f>
        <v/>
      </c>
    </row>
    <row r="2612">
      <c r="A2612" s="5" t="n"/>
      <c r="B2612" s="6" t="n"/>
      <c r="C2612" s="5" t="n"/>
      <c r="D2612" s="6" t="n"/>
      <c r="E2612" s="7" t="n"/>
      <c r="F2612" s="6" t="n"/>
      <c r="G2612" s="8">
        <f>IF(B2612="","",IFERROR(VLOOKUP(--B2612,'CATALOGO CECO'!$A$2:$H$550,2,FALSE),"CECO NO EXISTE"))</f>
        <v/>
      </c>
      <c r="H2612" s="8">
        <f>IF(B2612="","",IFERROR(VLOOKUP(--B2612,'CATALOGO CECO'!$A$2:$H$550,3,FALSE),""))</f>
        <v/>
      </c>
      <c r="I2612" s="8">
        <f>IF(B2612="","",IFERROR(VLOOKUP(--B2612,'CATALOGO CECO'!$A$2:$H$550,5,FALSE),""))</f>
        <v/>
      </c>
      <c r="J2612" s="8">
        <f>IF(B2612="","",IFERROR(VLOOKUP(--B2612,'CATALOGO CECO'!$A$2:$H$550,8,FALSE),""))</f>
        <v/>
      </c>
      <c r="K2612" s="8">
        <f>IF(COUNTA(A2612:F2612)=0,"",IF(OR(LEN(A2612)&lt;&gt;7,MID(A2612,5,1)&lt;&gt;"-",ISERROR(--LEFT(A2612,4)),ISERROR(--RIGHT(A2612,2))),"ERROR: PERIODO debe ser AAAA-MM",IF(B2612="","ERROR: falta CODIGO CECO",IF(G2612="CECO NO EXISTE","ERROR: CECO no existe en el catálogo",IF(C2612="","ERROR: falta CUENTA",IF(ISERROR(--C2612),"ERROR: CUENTA debe tener solo dígitos",IF(ISERROR(FIND(LEFT(C2612,1),"567")),"ERROR: CUENTA fuera de las clases de costo",IF(NOT(ISNUMBER(E2612)),"ERROR: VALOR debe ser numérico",IF(E2612=0,"AVISO: valor cero (no se carga)",IF(J2612&lt;&gt;"ACTIVO","NO SE CARGA: CECO en estado "&amp;J2612,"OK"))))))))))</f>
        <v/>
      </c>
    </row>
    <row r="2613">
      <c r="A2613" s="5" t="n"/>
      <c r="B2613" s="6" t="n"/>
      <c r="C2613" s="5" t="n"/>
      <c r="D2613" s="6" t="n"/>
      <c r="E2613" s="7" t="n"/>
      <c r="F2613" s="6" t="n"/>
      <c r="G2613" s="8">
        <f>IF(B2613="","",IFERROR(VLOOKUP(--B2613,'CATALOGO CECO'!$A$2:$H$550,2,FALSE),"CECO NO EXISTE"))</f>
        <v/>
      </c>
      <c r="H2613" s="8">
        <f>IF(B2613="","",IFERROR(VLOOKUP(--B2613,'CATALOGO CECO'!$A$2:$H$550,3,FALSE),""))</f>
        <v/>
      </c>
      <c r="I2613" s="8">
        <f>IF(B2613="","",IFERROR(VLOOKUP(--B2613,'CATALOGO CECO'!$A$2:$H$550,5,FALSE),""))</f>
        <v/>
      </c>
      <c r="J2613" s="8">
        <f>IF(B2613="","",IFERROR(VLOOKUP(--B2613,'CATALOGO CECO'!$A$2:$H$550,8,FALSE),""))</f>
        <v/>
      </c>
      <c r="K2613" s="8">
        <f>IF(COUNTA(A2613:F2613)=0,"",IF(OR(LEN(A2613)&lt;&gt;7,MID(A2613,5,1)&lt;&gt;"-",ISERROR(--LEFT(A2613,4)),ISERROR(--RIGHT(A2613,2))),"ERROR: PERIODO debe ser AAAA-MM",IF(B2613="","ERROR: falta CODIGO CECO",IF(G2613="CECO NO EXISTE","ERROR: CECO no existe en el catálogo",IF(C2613="","ERROR: falta CUENTA",IF(ISERROR(--C2613),"ERROR: CUENTA debe tener solo dígitos",IF(ISERROR(FIND(LEFT(C2613,1),"567")),"ERROR: CUENTA fuera de las clases de costo",IF(NOT(ISNUMBER(E2613)),"ERROR: VALOR debe ser numérico",IF(E2613=0,"AVISO: valor cero (no se carga)",IF(J2613&lt;&gt;"ACTIVO","NO SE CARGA: CECO en estado "&amp;J2613,"OK"))))))))))</f>
        <v/>
      </c>
    </row>
    <row r="2614">
      <c r="A2614" s="5" t="n"/>
      <c r="B2614" s="6" t="n"/>
      <c r="C2614" s="5" t="n"/>
      <c r="D2614" s="6" t="n"/>
      <c r="E2614" s="7" t="n"/>
      <c r="F2614" s="6" t="n"/>
      <c r="G2614" s="8">
        <f>IF(B2614="","",IFERROR(VLOOKUP(--B2614,'CATALOGO CECO'!$A$2:$H$550,2,FALSE),"CECO NO EXISTE"))</f>
        <v/>
      </c>
      <c r="H2614" s="8">
        <f>IF(B2614="","",IFERROR(VLOOKUP(--B2614,'CATALOGO CECO'!$A$2:$H$550,3,FALSE),""))</f>
        <v/>
      </c>
      <c r="I2614" s="8">
        <f>IF(B2614="","",IFERROR(VLOOKUP(--B2614,'CATALOGO CECO'!$A$2:$H$550,5,FALSE),""))</f>
        <v/>
      </c>
      <c r="J2614" s="8">
        <f>IF(B2614="","",IFERROR(VLOOKUP(--B2614,'CATALOGO CECO'!$A$2:$H$550,8,FALSE),""))</f>
        <v/>
      </c>
      <c r="K2614" s="8">
        <f>IF(COUNTA(A2614:F2614)=0,"",IF(OR(LEN(A2614)&lt;&gt;7,MID(A2614,5,1)&lt;&gt;"-",ISERROR(--LEFT(A2614,4)),ISERROR(--RIGHT(A2614,2))),"ERROR: PERIODO debe ser AAAA-MM",IF(B2614="","ERROR: falta CODIGO CECO",IF(G2614="CECO NO EXISTE","ERROR: CECO no existe en el catálogo",IF(C2614="","ERROR: falta CUENTA",IF(ISERROR(--C2614),"ERROR: CUENTA debe tener solo dígitos",IF(ISERROR(FIND(LEFT(C2614,1),"567")),"ERROR: CUENTA fuera de las clases de costo",IF(NOT(ISNUMBER(E2614)),"ERROR: VALOR debe ser numérico",IF(E2614=0,"AVISO: valor cero (no se carga)",IF(J2614&lt;&gt;"ACTIVO","NO SE CARGA: CECO en estado "&amp;J2614,"OK"))))))))))</f>
        <v/>
      </c>
    </row>
    <row r="2615">
      <c r="A2615" s="5" t="n"/>
      <c r="B2615" s="6" t="n"/>
      <c r="C2615" s="5" t="n"/>
      <c r="D2615" s="6" t="n"/>
      <c r="E2615" s="7" t="n"/>
      <c r="F2615" s="6" t="n"/>
      <c r="G2615" s="8">
        <f>IF(B2615="","",IFERROR(VLOOKUP(--B2615,'CATALOGO CECO'!$A$2:$H$550,2,FALSE),"CECO NO EXISTE"))</f>
        <v/>
      </c>
      <c r="H2615" s="8">
        <f>IF(B2615="","",IFERROR(VLOOKUP(--B2615,'CATALOGO CECO'!$A$2:$H$550,3,FALSE),""))</f>
        <v/>
      </c>
      <c r="I2615" s="8">
        <f>IF(B2615="","",IFERROR(VLOOKUP(--B2615,'CATALOGO CECO'!$A$2:$H$550,5,FALSE),""))</f>
        <v/>
      </c>
      <c r="J2615" s="8">
        <f>IF(B2615="","",IFERROR(VLOOKUP(--B2615,'CATALOGO CECO'!$A$2:$H$550,8,FALSE),""))</f>
        <v/>
      </c>
      <c r="K2615" s="8">
        <f>IF(COUNTA(A2615:F2615)=0,"",IF(OR(LEN(A2615)&lt;&gt;7,MID(A2615,5,1)&lt;&gt;"-",ISERROR(--LEFT(A2615,4)),ISERROR(--RIGHT(A2615,2))),"ERROR: PERIODO debe ser AAAA-MM",IF(B2615="","ERROR: falta CODIGO CECO",IF(G2615="CECO NO EXISTE","ERROR: CECO no existe en el catálogo",IF(C2615="","ERROR: falta CUENTA",IF(ISERROR(--C2615),"ERROR: CUENTA debe tener solo dígitos",IF(ISERROR(FIND(LEFT(C2615,1),"567")),"ERROR: CUENTA fuera de las clases de costo",IF(NOT(ISNUMBER(E2615)),"ERROR: VALOR debe ser numérico",IF(E2615=0,"AVISO: valor cero (no se carga)",IF(J2615&lt;&gt;"ACTIVO","NO SE CARGA: CECO en estado "&amp;J2615,"OK"))))))))))</f>
        <v/>
      </c>
    </row>
    <row r="2616">
      <c r="A2616" s="5" t="n"/>
      <c r="B2616" s="6" t="n"/>
      <c r="C2616" s="5" t="n"/>
      <c r="D2616" s="6" t="n"/>
      <c r="E2616" s="7" t="n"/>
      <c r="F2616" s="6" t="n"/>
      <c r="G2616" s="8">
        <f>IF(B2616="","",IFERROR(VLOOKUP(--B2616,'CATALOGO CECO'!$A$2:$H$550,2,FALSE),"CECO NO EXISTE"))</f>
        <v/>
      </c>
      <c r="H2616" s="8">
        <f>IF(B2616="","",IFERROR(VLOOKUP(--B2616,'CATALOGO CECO'!$A$2:$H$550,3,FALSE),""))</f>
        <v/>
      </c>
      <c r="I2616" s="8">
        <f>IF(B2616="","",IFERROR(VLOOKUP(--B2616,'CATALOGO CECO'!$A$2:$H$550,5,FALSE),""))</f>
        <v/>
      </c>
      <c r="J2616" s="8">
        <f>IF(B2616="","",IFERROR(VLOOKUP(--B2616,'CATALOGO CECO'!$A$2:$H$550,8,FALSE),""))</f>
        <v/>
      </c>
      <c r="K2616" s="8">
        <f>IF(COUNTA(A2616:F2616)=0,"",IF(OR(LEN(A2616)&lt;&gt;7,MID(A2616,5,1)&lt;&gt;"-",ISERROR(--LEFT(A2616,4)),ISERROR(--RIGHT(A2616,2))),"ERROR: PERIODO debe ser AAAA-MM",IF(B2616="","ERROR: falta CODIGO CECO",IF(G2616="CECO NO EXISTE","ERROR: CECO no existe en el catálogo",IF(C2616="","ERROR: falta CUENTA",IF(ISERROR(--C2616),"ERROR: CUENTA debe tener solo dígitos",IF(ISERROR(FIND(LEFT(C2616,1),"567")),"ERROR: CUENTA fuera de las clases de costo",IF(NOT(ISNUMBER(E2616)),"ERROR: VALOR debe ser numérico",IF(E2616=0,"AVISO: valor cero (no se carga)",IF(J2616&lt;&gt;"ACTIVO","NO SE CARGA: CECO en estado "&amp;J2616,"OK"))))))))))</f>
        <v/>
      </c>
    </row>
    <row r="2617">
      <c r="A2617" s="5" t="n"/>
      <c r="B2617" s="6" t="n"/>
      <c r="C2617" s="5" t="n"/>
      <c r="D2617" s="6" t="n"/>
      <c r="E2617" s="7" t="n"/>
      <c r="F2617" s="6" t="n"/>
      <c r="G2617" s="8">
        <f>IF(B2617="","",IFERROR(VLOOKUP(--B2617,'CATALOGO CECO'!$A$2:$H$550,2,FALSE),"CECO NO EXISTE"))</f>
        <v/>
      </c>
      <c r="H2617" s="8">
        <f>IF(B2617="","",IFERROR(VLOOKUP(--B2617,'CATALOGO CECO'!$A$2:$H$550,3,FALSE),""))</f>
        <v/>
      </c>
      <c r="I2617" s="8">
        <f>IF(B2617="","",IFERROR(VLOOKUP(--B2617,'CATALOGO CECO'!$A$2:$H$550,5,FALSE),""))</f>
        <v/>
      </c>
      <c r="J2617" s="8">
        <f>IF(B2617="","",IFERROR(VLOOKUP(--B2617,'CATALOGO CECO'!$A$2:$H$550,8,FALSE),""))</f>
        <v/>
      </c>
      <c r="K2617" s="8">
        <f>IF(COUNTA(A2617:F2617)=0,"",IF(OR(LEN(A2617)&lt;&gt;7,MID(A2617,5,1)&lt;&gt;"-",ISERROR(--LEFT(A2617,4)),ISERROR(--RIGHT(A2617,2))),"ERROR: PERIODO debe ser AAAA-MM",IF(B2617="","ERROR: falta CODIGO CECO",IF(G2617="CECO NO EXISTE","ERROR: CECO no existe en el catálogo",IF(C2617="","ERROR: falta CUENTA",IF(ISERROR(--C2617),"ERROR: CUENTA debe tener solo dígitos",IF(ISERROR(FIND(LEFT(C2617,1),"567")),"ERROR: CUENTA fuera de las clases de costo",IF(NOT(ISNUMBER(E2617)),"ERROR: VALOR debe ser numérico",IF(E2617=0,"AVISO: valor cero (no se carga)",IF(J2617&lt;&gt;"ACTIVO","NO SE CARGA: CECO en estado "&amp;J2617,"OK"))))))))))</f>
        <v/>
      </c>
    </row>
    <row r="2618">
      <c r="A2618" s="5" t="n"/>
      <c r="B2618" s="6" t="n"/>
      <c r="C2618" s="5" t="n"/>
      <c r="D2618" s="6" t="n"/>
      <c r="E2618" s="7" t="n"/>
      <c r="F2618" s="6" t="n"/>
      <c r="G2618" s="8">
        <f>IF(B2618="","",IFERROR(VLOOKUP(--B2618,'CATALOGO CECO'!$A$2:$H$550,2,FALSE),"CECO NO EXISTE"))</f>
        <v/>
      </c>
      <c r="H2618" s="8">
        <f>IF(B2618="","",IFERROR(VLOOKUP(--B2618,'CATALOGO CECO'!$A$2:$H$550,3,FALSE),""))</f>
        <v/>
      </c>
      <c r="I2618" s="8">
        <f>IF(B2618="","",IFERROR(VLOOKUP(--B2618,'CATALOGO CECO'!$A$2:$H$550,5,FALSE),""))</f>
        <v/>
      </c>
      <c r="J2618" s="8">
        <f>IF(B2618="","",IFERROR(VLOOKUP(--B2618,'CATALOGO CECO'!$A$2:$H$550,8,FALSE),""))</f>
        <v/>
      </c>
      <c r="K2618" s="8">
        <f>IF(COUNTA(A2618:F2618)=0,"",IF(OR(LEN(A2618)&lt;&gt;7,MID(A2618,5,1)&lt;&gt;"-",ISERROR(--LEFT(A2618,4)),ISERROR(--RIGHT(A2618,2))),"ERROR: PERIODO debe ser AAAA-MM",IF(B2618="","ERROR: falta CODIGO CECO",IF(G2618="CECO NO EXISTE","ERROR: CECO no existe en el catálogo",IF(C2618="","ERROR: falta CUENTA",IF(ISERROR(--C2618),"ERROR: CUENTA debe tener solo dígitos",IF(ISERROR(FIND(LEFT(C2618,1),"567")),"ERROR: CUENTA fuera de las clases de costo",IF(NOT(ISNUMBER(E2618)),"ERROR: VALOR debe ser numérico",IF(E2618=0,"AVISO: valor cero (no se carga)",IF(J2618&lt;&gt;"ACTIVO","NO SE CARGA: CECO en estado "&amp;J2618,"OK"))))))))))</f>
        <v/>
      </c>
    </row>
    <row r="2619">
      <c r="A2619" s="5" t="n"/>
      <c r="B2619" s="6" t="n"/>
      <c r="C2619" s="5" t="n"/>
      <c r="D2619" s="6" t="n"/>
      <c r="E2619" s="7" t="n"/>
      <c r="F2619" s="6" t="n"/>
      <c r="G2619" s="8">
        <f>IF(B2619="","",IFERROR(VLOOKUP(--B2619,'CATALOGO CECO'!$A$2:$H$550,2,FALSE),"CECO NO EXISTE"))</f>
        <v/>
      </c>
      <c r="H2619" s="8">
        <f>IF(B2619="","",IFERROR(VLOOKUP(--B2619,'CATALOGO CECO'!$A$2:$H$550,3,FALSE),""))</f>
        <v/>
      </c>
      <c r="I2619" s="8">
        <f>IF(B2619="","",IFERROR(VLOOKUP(--B2619,'CATALOGO CECO'!$A$2:$H$550,5,FALSE),""))</f>
        <v/>
      </c>
      <c r="J2619" s="8">
        <f>IF(B2619="","",IFERROR(VLOOKUP(--B2619,'CATALOGO CECO'!$A$2:$H$550,8,FALSE),""))</f>
        <v/>
      </c>
      <c r="K2619" s="8">
        <f>IF(COUNTA(A2619:F2619)=0,"",IF(OR(LEN(A2619)&lt;&gt;7,MID(A2619,5,1)&lt;&gt;"-",ISERROR(--LEFT(A2619,4)),ISERROR(--RIGHT(A2619,2))),"ERROR: PERIODO debe ser AAAA-MM",IF(B2619="","ERROR: falta CODIGO CECO",IF(G2619="CECO NO EXISTE","ERROR: CECO no existe en el catálogo",IF(C2619="","ERROR: falta CUENTA",IF(ISERROR(--C2619),"ERROR: CUENTA debe tener solo dígitos",IF(ISERROR(FIND(LEFT(C2619,1),"567")),"ERROR: CUENTA fuera de las clases de costo",IF(NOT(ISNUMBER(E2619)),"ERROR: VALOR debe ser numérico",IF(E2619=0,"AVISO: valor cero (no se carga)",IF(J2619&lt;&gt;"ACTIVO","NO SE CARGA: CECO en estado "&amp;J2619,"OK"))))))))))</f>
        <v/>
      </c>
    </row>
    <row r="2620">
      <c r="A2620" s="5" t="n"/>
      <c r="B2620" s="6" t="n"/>
      <c r="C2620" s="5" t="n"/>
      <c r="D2620" s="6" t="n"/>
      <c r="E2620" s="7" t="n"/>
      <c r="F2620" s="6" t="n"/>
      <c r="G2620" s="8">
        <f>IF(B2620="","",IFERROR(VLOOKUP(--B2620,'CATALOGO CECO'!$A$2:$H$550,2,FALSE),"CECO NO EXISTE"))</f>
        <v/>
      </c>
      <c r="H2620" s="8">
        <f>IF(B2620="","",IFERROR(VLOOKUP(--B2620,'CATALOGO CECO'!$A$2:$H$550,3,FALSE),""))</f>
        <v/>
      </c>
      <c r="I2620" s="8">
        <f>IF(B2620="","",IFERROR(VLOOKUP(--B2620,'CATALOGO CECO'!$A$2:$H$550,5,FALSE),""))</f>
        <v/>
      </c>
      <c r="J2620" s="8">
        <f>IF(B2620="","",IFERROR(VLOOKUP(--B2620,'CATALOGO CECO'!$A$2:$H$550,8,FALSE),""))</f>
        <v/>
      </c>
      <c r="K2620" s="8">
        <f>IF(COUNTA(A2620:F2620)=0,"",IF(OR(LEN(A2620)&lt;&gt;7,MID(A2620,5,1)&lt;&gt;"-",ISERROR(--LEFT(A2620,4)),ISERROR(--RIGHT(A2620,2))),"ERROR: PERIODO debe ser AAAA-MM",IF(B2620="","ERROR: falta CODIGO CECO",IF(G2620="CECO NO EXISTE","ERROR: CECO no existe en el catálogo",IF(C2620="","ERROR: falta CUENTA",IF(ISERROR(--C2620),"ERROR: CUENTA debe tener solo dígitos",IF(ISERROR(FIND(LEFT(C2620,1),"567")),"ERROR: CUENTA fuera de las clases de costo",IF(NOT(ISNUMBER(E2620)),"ERROR: VALOR debe ser numérico",IF(E2620=0,"AVISO: valor cero (no se carga)",IF(J2620&lt;&gt;"ACTIVO","NO SE CARGA: CECO en estado "&amp;J2620,"OK"))))))))))</f>
        <v/>
      </c>
    </row>
    <row r="2621">
      <c r="A2621" s="5" t="n"/>
      <c r="B2621" s="6" t="n"/>
      <c r="C2621" s="5" t="n"/>
      <c r="D2621" s="6" t="n"/>
      <c r="E2621" s="7" t="n"/>
      <c r="F2621" s="6" t="n"/>
      <c r="G2621" s="8">
        <f>IF(B2621="","",IFERROR(VLOOKUP(--B2621,'CATALOGO CECO'!$A$2:$H$550,2,FALSE),"CECO NO EXISTE"))</f>
        <v/>
      </c>
      <c r="H2621" s="8">
        <f>IF(B2621="","",IFERROR(VLOOKUP(--B2621,'CATALOGO CECO'!$A$2:$H$550,3,FALSE),""))</f>
        <v/>
      </c>
      <c r="I2621" s="8">
        <f>IF(B2621="","",IFERROR(VLOOKUP(--B2621,'CATALOGO CECO'!$A$2:$H$550,5,FALSE),""))</f>
        <v/>
      </c>
      <c r="J2621" s="8">
        <f>IF(B2621="","",IFERROR(VLOOKUP(--B2621,'CATALOGO CECO'!$A$2:$H$550,8,FALSE),""))</f>
        <v/>
      </c>
      <c r="K2621" s="8">
        <f>IF(COUNTA(A2621:F2621)=0,"",IF(OR(LEN(A2621)&lt;&gt;7,MID(A2621,5,1)&lt;&gt;"-",ISERROR(--LEFT(A2621,4)),ISERROR(--RIGHT(A2621,2))),"ERROR: PERIODO debe ser AAAA-MM",IF(B2621="","ERROR: falta CODIGO CECO",IF(G2621="CECO NO EXISTE","ERROR: CECO no existe en el catálogo",IF(C2621="","ERROR: falta CUENTA",IF(ISERROR(--C2621),"ERROR: CUENTA debe tener solo dígitos",IF(ISERROR(FIND(LEFT(C2621,1),"567")),"ERROR: CUENTA fuera de las clases de costo",IF(NOT(ISNUMBER(E2621)),"ERROR: VALOR debe ser numérico",IF(E2621=0,"AVISO: valor cero (no se carga)",IF(J2621&lt;&gt;"ACTIVO","NO SE CARGA: CECO en estado "&amp;J2621,"OK"))))))))))</f>
        <v/>
      </c>
    </row>
    <row r="2622">
      <c r="A2622" s="5" t="n"/>
      <c r="B2622" s="6" t="n"/>
      <c r="C2622" s="5" t="n"/>
      <c r="D2622" s="6" t="n"/>
      <c r="E2622" s="7" t="n"/>
      <c r="F2622" s="6" t="n"/>
      <c r="G2622" s="8">
        <f>IF(B2622="","",IFERROR(VLOOKUP(--B2622,'CATALOGO CECO'!$A$2:$H$550,2,FALSE),"CECO NO EXISTE"))</f>
        <v/>
      </c>
      <c r="H2622" s="8">
        <f>IF(B2622="","",IFERROR(VLOOKUP(--B2622,'CATALOGO CECO'!$A$2:$H$550,3,FALSE),""))</f>
        <v/>
      </c>
      <c r="I2622" s="8">
        <f>IF(B2622="","",IFERROR(VLOOKUP(--B2622,'CATALOGO CECO'!$A$2:$H$550,5,FALSE),""))</f>
        <v/>
      </c>
      <c r="J2622" s="8">
        <f>IF(B2622="","",IFERROR(VLOOKUP(--B2622,'CATALOGO CECO'!$A$2:$H$550,8,FALSE),""))</f>
        <v/>
      </c>
      <c r="K2622" s="8">
        <f>IF(COUNTA(A2622:F2622)=0,"",IF(OR(LEN(A2622)&lt;&gt;7,MID(A2622,5,1)&lt;&gt;"-",ISERROR(--LEFT(A2622,4)),ISERROR(--RIGHT(A2622,2))),"ERROR: PERIODO debe ser AAAA-MM",IF(B2622="","ERROR: falta CODIGO CECO",IF(G2622="CECO NO EXISTE","ERROR: CECO no existe en el catálogo",IF(C2622="","ERROR: falta CUENTA",IF(ISERROR(--C2622),"ERROR: CUENTA debe tener solo dígitos",IF(ISERROR(FIND(LEFT(C2622,1),"567")),"ERROR: CUENTA fuera de las clases de costo",IF(NOT(ISNUMBER(E2622)),"ERROR: VALOR debe ser numérico",IF(E2622=0,"AVISO: valor cero (no se carga)",IF(J2622&lt;&gt;"ACTIVO","NO SE CARGA: CECO en estado "&amp;J2622,"OK"))))))))))</f>
        <v/>
      </c>
    </row>
    <row r="2623">
      <c r="A2623" s="5" t="n"/>
      <c r="B2623" s="6" t="n"/>
      <c r="C2623" s="5" t="n"/>
      <c r="D2623" s="6" t="n"/>
      <c r="E2623" s="7" t="n"/>
      <c r="F2623" s="6" t="n"/>
      <c r="G2623" s="8">
        <f>IF(B2623="","",IFERROR(VLOOKUP(--B2623,'CATALOGO CECO'!$A$2:$H$550,2,FALSE),"CECO NO EXISTE"))</f>
        <v/>
      </c>
      <c r="H2623" s="8">
        <f>IF(B2623="","",IFERROR(VLOOKUP(--B2623,'CATALOGO CECO'!$A$2:$H$550,3,FALSE),""))</f>
        <v/>
      </c>
      <c r="I2623" s="8">
        <f>IF(B2623="","",IFERROR(VLOOKUP(--B2623,'CATALOGO CECO'!$A$2:$H$550,5,FALSE),""))</f>
        <v/>
      </c>
      <c r="J2623" s="8">
        <f>IF(B2623="","",IFERROR(VLOOKUP(--B2623,'CATALOGO CECO'!$A$2:$H$550,8,FALSE),""))</f>
        <v/>
      </c>
      <c r="K2623" s="8">
        <f>IF(COUNTA(A2623:F2623)=0,"",IF(OR(LEN(A2623)&lt;&gt;7,MID(A2623,5,1)&lt;&gt;"-",ISERROR(--LEFT(A2623,4)),ISERROR(--RIGHT(A2623,2))),"ERROR: PERIODO debe ser AAAA-MM",IF(B2623="","ERROR: falta CODIGO CECO",IF(G2623="CECO NO EXISTE","ERROR: CECO no existe en el catálogo",IF(C2623="","ERROR: falta CUENTA",IF(ISERROR(--C2623),"ERROR: CUENTA debe tener solo dígitos",IF(ISERROR(FIND(LEFT(C2623,1),"567")),"ERROR: CUENTA fuera de las clases de costo",IF(NOT(ISNUMBER(E2623)),"ERROR: VALOR debe ser numérico",IF(E2623=0,"AVISO: valor cero (no se carga)",IF(J2623&lt;&gt;"ACTIVO","NO SE CARGA: CECO en estado "&amp;J2623,"OK"))))))))))</f>
        <v/>
      </c>
    </row>
    <row r="2624">
      <c r="A2624" s="5" t="n"/>
      <c r="B2624" s="6" t="n"/>
      <c r="C2624" s="5" t="n"/>
      <c r="D2624" s="6" t="n"/>
      <c r="E2624" s="7" t="n"/>
      <c r="F2624" s="6" t="n"/>
      <c r="G2624" s="8">
        <f>IF(B2624="","",IFERROR(VLOOKUP(--B2624,'CATALOGO CECO'!$A$2:$H$550,2,FALSE),"CECO NO EXISTE"))</f>
        <v/>
      </c>
      <c r="H2624" s="8">
        <f>IF(B2624="","",IFERROR(VLOOKUP(--B2624,'CATALOGO CECO'!$A$2:$H$550,3,FALSE),""))</f>
        <v/>
      </c>
      <c r="I2624" s="8">
        <f>IF(B2624="","",IFERROR(VLOOKUP(--B2624,'CATALOGO CECO'!$A$2:$H$550,5,FALSE),""))</f>
        <v/>
      </c>
      <c r="J2624" s="8">
        <f>IF(B2624="","",IFERROR(VLOOKUP(--B2624,'CATALOGO CECO'!$A$2:$H$550,8,FALSE),""))</f>
        <v/>
      </c>
      <c r="K2624" s="8">
        <f>IF(COUNTA(A2624:F2624)=0,"",IF(OR(LEN(A2624)&lt;&gt;7,MID(A2624,5,1)&lt;&gt;"-",ISERROR(--LEFT(A2624,4)),ISERROR(--RIGHT(A2624,2))),"ERROR: PERIODO debe ser AAAA-MM",IF(B2624="","ERROR: falta CODIGO CECO",IF(G2624="CECO NO EXISTE","ERROR: CECO no existe en el catálogo",IF(C2624="","ERROR: falta CUENTA",IF(ISERROR(--C2624),"ERROR: CUENTA debe tener solo dígitos",IF(ISERROR(FIND(LEFT(C2624,1),"567")),"ERROR: CUENTA fuera de las clases de costo",IF(NOT(ISNUMBER(E2624)),"ERROR: VALOR debe ser numérico",IF(E2624=0,"AVISO: valor cero (no se carga)",IF(J2624&lt;&gt;"ACTIVO","NO SE CARGA: CECO en estado "&amp;J2624,"OK"))))))))))</f>
        <v/>
      </c>
    </row>
    <row r="2625">
      <c r="A2625" s="5" t="n"/>
      <c r="B2625" s="6" t="n"/>
      <c r="C2625" s="5" t="n"/>
      <c r="D2625" s="6" t="n"/>
      <c r="E2625" s="7" t="n"/>
      <c r="F2625" s="6" t="n"/>
      <c r="G2625" s="8">
        <f>IF(B2625="","",IFERROR(VLOOKUP(--B2625,'CATALOGO CECO'!$A$2:$H$550,2,FALSE),"CECO NO EXISTE"))</f>
        <v/>
      </c>
      <c r="H2625" s="8">
        <f>IF(B2625="","",IFERROR(VLOOKUP(--B2625,'CATALOGO CECO'!$A$2:$H$550,3,FALSE),""))</f>
        <v/>
      </c>
      <c r="I2625" s="8">
        <f>IF(B2625="","",IFERROR(VLOOKUP(--B2625,'CATALOGO CECO'!$A$2:$H$550,5,FALSE),""))</f>
        <v/>
      </c>
      <c r="J2625" s="8">
        <f>IF(B2625="","",IFERROR(VLOOKUP(--B2625,'CATALOGO CECO'!$A$2:$H$550,8,FALSE),""))</f>
        <v/>
      </c>
      <c r="K2625" s="8">
        <f>IF(COUNTA(A2625:F2625)=0,"",IF(OR(LEN(A2625)&lt;&gt;7,MID(A2625,5,1)&lt;&gt;"-",ISERROR(--LEFT(A2625,4)),ISERROR(--RIGHT(A2625,2))),"ERROR: PERIODO debe ser AAAA-MM",IF(B2625="","ERROR: falta CODIGO CECO",IF(G2625="CECO NO EXISTE","ERROR: CECO no existe en el catálogo",IF(C2625="","ERROR: falta CUENTA",IF(ISERROR(--C2625),"ERROR: CUENTA debe tener solo dígitos",IF(ISERROR(FIND(LEFT(C2625,1),"567")),"ERROR: CUENTA fuera de las clases de costo",IF(NOT(ISNUMBER(E2625)),"ERROR: VALOR debe ser numérico",IF(E2625=0,"AVISO: valor cero (no se carga)",IF(J2625&lt;&gt;"ACTIVO","NO SE CARGA: CECO en estado "&amp;J2625,"OK"))))))))))</f>
        <v/>
      </c>
    </row>
    <row r="2626">
      <c r="A2626" s="5" t="n"/>
      <c r="B2626" s="6" t="n"/>
      <c r="C2626" s="5" t="n"/>
      <c r="D2626" s="6" t="n"/>
      <c r="E2626" s="7" t="n"/>
      <c r="F2626" s="6" t="n"/>
      <c r="G2626" s="8">
        <f>IF(B2626="","",IFERROR(VLOOKUP(--B2626,'CATALOGO CECO'!$A$2:$H$550,2,FALSE),"CECO NO EXISTE"))</f>
        <v/>
      </c>
      <c r="H2626" s="8">
        <f>IF(B2626="","",IFERROR(VLOOKUP(--B2626,'CATALOGO CECO'!$A$2:$H$550,3,FALSE),""))</f>
        <v/>
      </c>
      <c r="I2626" s="8">
        <f>IF(B2626="","",IFERROR(VLOOKUP(--B2626,'CATALOGO CECO'!$A$2:$H$550,5,FALSE),""))</f>
        <v/>
      </c>
      <c r="J2626" s="8">
        <f>IF(B2626="","",IFERROR(VLOOKUP(--B2626,'CATALOGO CECO'!$A$2:$H$550,8,FALSE),""))</f>
        <v/>
      </c>
      <c r="K2626" s="8">
        <f>IF(COUNTA(A2626:F2626)=0,"",IF(OR(LEN(A2626)&lt;&gt;7,MID(A2626,5,1)&lt;&gt;"-",ISERROR(--LEFT(A2626,4)),ISERROR(--RIGHT(A2626,2))),"ERROR: PERIODO debe ser AAAA-MM",IF(B2626="","ERROR: falta CODIGO CECO",IF(G2626="CECO NO EXISTE","ERROR: CECO no existe en el catálogo",IF(C2626="","ERROR: falta CUENTA",IF(ISERROR(--C2626),"ERROR: CUENTA debe tener solo dígitos",IF(ISERROR(FIND(LEFT(C2626,1),"567")),"ERROR: CUENTA fuera de las clases de costo",IF(NOT(ISNUMBER(E2626)),"ERROR: VALOR debe ser numérico",IF(E2626=0,"AVISO: valor cero (no se carga)",IF(J2626&lt;&gt;"ACTIVO","NO SE CARGA: CECO en estado "&amp;J2626,"OK"))))))))))</f>
        <v/>
      </c>
    </row>
    <row r="2627">
      <c r="A2627" s="5" t="n"/>
      <c r="B2627" s="6" t="n"/>
      <c r="C2627" s="5" t="n"/>
      <c r="D2627" s="6" t="n"/>
      <c r="E2627" s="7" t="n"/>
      <c r="F2627" s="6" t="n"/>
      <c r="G2627" s="8">
        <f>IF(B2627="","",IFERROR(VLOOKUP(--B2627,'CATALOGO CECO'!$A$2:$H$550,2,FALSE),"CECO NO EXISTE"))</f>
        <v/>
      </c>
      <c r="H2627" s="8">
        <f>IF(B2627="","",IFERROR(VLOOKUP(--B2627,'CATALOGO CECO'!$A$2:$H$550,3,FALSE),""))</f>
        <v/>
      </c>
      <c r="I2627" s="8">
        <f>IF(B2627="","",IFERROR(VLOOKUP(--B2627,'CATALOGO CECO'!$A$2:$H$550,5,FALSE),""))</f>
        <v/>
      </c>
      <c r="J2627" s="8">
        <f>IF(B2627="","",IFERROR(VLOOKUP(--B2627,'CATALOGO CECO'!$A$2:$H$550,8,FALSE),""))</f>
        <v/>
      </c>
      <c r="K2627" s="8">
        <f>IF(COUNTA(A2627:F2627)=0,"",IF(OR(LEN(A2627)&lt;&gt;7,MID(A2627,5,1)&lt;&gt;"-",ISERROR(--LEFT(A2627,4)),ISERROR(--RIGHT(A2627,2))),"ERROR: PERIODO debe ser AAAA-MM",IF(B2627="","ERROR: falta CODIGO CECO",IF(G2627="CECO NO EXISTE","ERROR: CECO no existe en el catálogo",IF(C2627="","ERROR: falta CUENTA",IF(ISERROR(--C2627),"ERROR: CUENTA debe tener solo dígitos",IF(ISERROR(FIND(LEFT(C2627,1),"567")),"ERROR: CUENTA fuera de las clases de costo",IF(NOT(ISNUMBER(E2627)),"ERROR: VALOR debe ser numérico",IF(E2627=0,"AVISO: valor cero (no se carga)",IF(J2627&lt;&gt;"ACTIVO","NO SE CARGA: CECO en estado "&amp;J2627,"OK"))))))))))</f>
        <v/>
      </c>
    </row>
    <row r="2628">
      <c r="A2628" s="5" t="n"/>
      <c r="B2628" s="6" t="n"/>
      <c r="C2628" s="5" t="n"/>
      <c r="D2628" s="6" t="n"/>
      <c r="E2628" s="7" t="n"/>
      <c r="F2628" s="6" t="n"/>
      <c r="G2628" s="8">
        <f>IF(B2628="","",IFERROR(VLOOKUP(--B2628,'CATALOGO CECO'!$A$2:$H$550,2,FALSE),"CECO NO EXISTE"))</f>
        <v/>
      </c>
      <c r="H2628" s="8">
        <f>IF(B2628="","",IFERROR(VLOOKUP(--B2628,'CATALOGO CECO'!$A$2:$H$550,3,FALSE),""))</f>
        <v/>
      </c>
      <c r="I2628" s="8">
        <f>IF(B2628="","",IFERROR(VLOOKUP(--B2628,'CATALOGO CECO'!$A$2:$H$550,5,FALSE),""))</f>
        <v/>
      </c>
      <c r="J2628" s="8">
        <f>IF(B2628="","",IFERROR(VLOOKUP(--B2628,'CATALOGO CECO'!$A$2:$H$550,8,FALSE),""))</f>
        <v/>
      </c>
      <c r="K2628" s="8">
        <f>IF(COUNTA(A2628:F2628)=0,"",IF(OR(LEN(A2628)&lt;&gt;7,MID(A2628,5,1)&lt;&gt;"-",ISERROR(--LEFT(A2628,4)),ISERROR(--RIGHT(A2628,2))),"ERROR: PERIODO debe ser AAAA-MM",IF(B2628="","ERROR: falta CODIGO CECO",IF(G2628="CECO NO EXISTE","ERROR: CECO no existe en el catálogo",IF(C2628="","ERROR: falta CUENTA",IF(ISERROR(--C2628),"ERROR: CUENTA debe tener solo dígitos",IF(ISERROR(FIND(LEFT(C2628,1),"567")),"ERROR: CUENTA fuera de las clases de costo",IF(NOT(ISNUMBER(E2628)),"ERROR: VALOR debe ser numérico",IF(E2628=0,"AVISO: valor cero (no se carga)",IF(J2628&lt;&gt;"ACTIVO","NO SE CARGA: CECO en estado "&amp;J2628,"OK"))))))))))</f>
        <v/>
      </c>
    </row>
    <row r="2629">
      <c r="A2629" s="5" t="n"/>
      <c r="B2629" s="6" t="n"/>
      <c r="C2629" s="5" t="n"/>
      <c r="D2629" s="6" t="n"/>
      <c r="E2629" s="7" t="n"/>
      <c r="F2629" s="6" t="n"/>
      <c r="G2629" s="8">
        <f>IF(B2629="","",IFERROR(VLOOKUP(--B2629,'CATALOGO CECO'!$A$2:$H$550,2,FALSE),"CECO NO EXISTE"))</f>
        <v/>
      </c>
      <c r="H2629" s="8">
        <f>IF(B2629="","",IFERROR(VLOOKUP(--B2629,'CATALOGO CECO'!$A$2:$H$550,3,FALSE),""))</f>
        <v/>
      </c>
      <c r="I2629" s="8">
        <f>IF(B2629="","",IFERROR(VLOOKUP(--B2629,'CATALOGO CECO'!$A$2:$H$550,5,FALSE),""))</f>
        <v/>
      </c>
      <c r="J2629" s="8">
        <f>IF(B2629="","",IFERROR(VLOOKUP(--B2629,'CATALOGO CECO'!$A$2:$H$550,8,FALSE),""))</f>
        <v/>
      </c>
      <c r="K2629" s="8">
        <f>IF(COUNTA(A2629:F2629)=0,"",IF(OR(LEN(A2629)&lt;&gt;7,MID(A2629,5,1)&lt;&gt;"-",ISERROR(--LEFT(A2629,4)),ISERROR(--RIGHT(A2629,2))),"ERROR: PERIODO debe ser AAAA-MM",IF(B2629="","ERROR: falta CODIGO CECO",IF(G2629="CECO NO EXISTE","ERROR: CECO no existe en el catálogo",IF(C2629="","ERROR: falta CUENTA",IF(ISERROR(--C2629),"ERROR: CUENTA debe tener solo dígitos",IF(ISERROR(FIND(LEFT(C2629,1),"567")),"ERROR: CUENTA fuera de las clases de costo",IF(NOT(ISNUMBER(E2629)),"ERROR: VALOR debe ser numérico",IF(E2629=0,"AVISO: valor cero (no se carga)",IF(J2629&lt;&gt;"ACTIVO","NO SE CARGA: CECO en estado "&amp;J2629,"OK"))))))))))</f>
        <v/>
      </c>
    </row>
    <row r="2630">
      <c r="A2630" s="5" t="n"/>
      <c r="B2630" s="6" t="n"/>
      <c r="C2630" s="5" t="n"/>
      <c r="D2630" s="6" t="n"/>
      <c r="E2630" s="7" t="n"/>
      <c r="F2630" s="6" t="n"/>
      <c r="G2630" s="8">
        <f>IF(B2630="","",IFERROR(VLOOKUP(--B2630,'CATALOGO CECO'!$A$2:$H$550,2,FALSE),"CECO NO EXISTE"))</f>
        <v/>
      </c>
      <c r="H2630" s="8">
        <f>IF(B2630="","",IFERROR(VLOOKUP(--B2630,'CATALOGO CECO'!$A$2:$H$550,3,FALSE),""))</f>
        <v/>
      </c>
      <c r="I2630" s="8">
        <f>IF(B2630="","",IFERROR(VLOOKUP(--B2630,'CATALOGO CECO'!$A$2:$H$550,5,FALSE),""))</f>
        <v/>
      </c>
      <c r="J2630" s="8">
        <f>IF(B2630="","",IFERROR(VLOOKUP(--B2630,'CATALOGO CECO'!$A$2:$H$550,8,FALSE),""))</f>
        <v/>
      </c>
      <c r="K2630" s="8">
        <f>IF(COUNTA(A2630:F2630)=0,"",IF(OR(LEN(A2630)&lt;&gt;7,MID(A2630,5,1)&lt;&gt;"-",ISERROR(--LEFT(A2630,4)),ISERROR(--RIGHT(A2630,2))),"ERROR: PERIODO debe ser AAAA-MM",IF(B2630="","ERROR: falta CODIGO CECO",IF(G2630="CECO NO EXISTE","ERROR: CECO no existe en el catálogo",IF(C2630="","ERROR: falta CUENTA",IF(ISERROR(--C2630),"ERROR: CUENTA debe tener solo dígitos",IF(ISERROR(FIND(LEFT(C2630,1),"567")),"ERROR: CUENTA fuera de las clases de costo",IF(NOT(ISNUMBER(E2630)),"ERROR: VALOR debe ser numérico",IF(E2630=0,"AVISO: valor cero (no se carga)",IF(J2630&lt;&gt;"ACTIVO","NO SE CARGA: CECO en estado "&amp;J2630,"OK"))))))))))</f>
        <v/>
      </c>
    </row>
    <row r="2631">
      <c r="A2631" s="5" t="n"/>
      <c r="B2631" s="6" t="n"/>
      <c r="C2631" s="5" t="n"/>
      <c r="D2631" s="6" t="n"/>
      <c r="E2631" s="7" t="n"/>
      <c r="F2631" s="6" t="n"/>
      <c r="G2631" s="8">
        <f>IF(B2631="","",IFERROR(VLOOKUP(--B2631,'CATALOGO CECO'!$A$2:$H$550,2,FALSE),"CECO NO EXISTE"))</f>
        <v/>
      </c>
      <c r="H2631" s="8">
        <f>IF(B2631="","",IFERROR(VLOOKUP(--B2631,'CATALOGO CECO'!$A$2:$H$550,3,FALSE),""))</f>
        <v/>
      </c>
      <c r="I2631" s="8">
        <f>IF(B2631="","",IFERROR(VLOOKUP(--B2631,'CATALOGO CECO'!$A$2:$H$550,5,FALSE),""))</f>
        <v/>
      </c>
      <c r="J2631" s="8">
        <f>IF(B2631="","",IFERROR(VLOOKUP(--B2631,'CATALOGO CECO'!$A$2:$H$550,8,FALSE),""))</f>
        <v/>
      </c>
      <c r="K2631" s="8">
        <f>IF(COUNTA(A2631:F2631)=0,"",IF(OR(LEN(A2631)&lt;&gt;7,MID(A2631,5,1)&lt;&gt;"-",ISERROR(--LEFT(A2631,4)),ISERROR(--RIGHT(A2631,2))),"ERROR: PERIODO debe ser AAAA-MM",IF(B2631="","ERROR: falta CODIGO CECO",IF(G2631="CECO NO EXISTE","ERROR: CECO no existe en el catálogo",IF(C2631="","ERROR: falta CUENTA",IF(ISERROR(--C2631),"ERROR: CUENTA debe tener solo dígitos",IF(ISERROR(FIND(LEFT(C2631,1),"567")),"ERROR: CUENTA fuera de las clases de costo",IF(NOT(ISNUMBER(E2631)),"ERROR: VALOR debe ser numérico",IF(E2631=0,"AVISO: valor cero (no se carga)",IF(J2631&lt;&gt;"ACTIVO","NO SE CARGA: CECO en estado "&amp;J2631,"OK"))))))))))</f>
        <v/>
      </c>
    </row>
    <row r="2632">
      <c r="A2632" s="5" t="n"/>
      <c r="B2632" s="6" t="n"/>
      <c r="C2632" s="5" t="n"/>
      <c r="D2632" s="6" t="n"/>
      <c r="E2632" s="7" t="n"/>
      <c r="F2632" s="6" t="n"/>
      <c r="G2632" s="8">
        <f>IF(B2632="","",IFERROR(VLOOKUP(--B2632,'CATALOGO CECO'!$A$2:$H$550,2,FALSE),"CECO NO EXISTE"))</f>
        <v/>
      </c>
      <c r="H2632" s="8">
        <f>IF(B2632="","",IFERROR(VLOOKUP(--B2632,'CATALOGO CECO'!$A$2:$H$550,3,FALSE),""))</f>
        <v/>
      </c>
      <c r="I2632" s="8">
        <f>IF(B2632="","",IFERROR(VLOOKUP(--B2632,'CATALOGO CECO'!$A$2:$H$550,5,FALSE),""))</f>
        <v/>
      </c>
      <c r="J2632" s="8">
        <f>IF(B2632="","",IFERROR(VLOOKUP(--B2632,'CATALOGO CECO'!$A$2:$H$550,8,FALSE),""))</f>
        <v/>
      </c>
      <c r="K2632" s="8">
        <f>IF(COUNTA(A2632:F2632)=0,"",IF(OR(LEN(A2632)&lt;&gt;7,MID(A2632,5,1)&lt;&gt;"-",ISERROR(--LEFT(A2632,4)),ISERROR(--RIGHT(A2632,2))),"ERROR: PERIODO debe ser AAAA-MM",IF(B2632="","ERROR: falta CODIGO CECO",IF(G2632="CECO NO EXISTE","ERROR: CECO no existe en el catálogo",IF(C2632="","ERROR: falta CUENTA",IF(ISERROR(--C2632),"ERROR: CUENTA debe tener solo dígitos",IF(ISERROR(FIND(LEFT(C2632,1),"567")),"ERROR: CUENTA fuera de las clases de costo",IF(NOT(ISNUMBER(E2632)),"ERROR: VALOR debe ser numérico",IF(E2632=0,"AVISO: valor cero (no se carga)",IF(J2632&lt;&gt;"ACTIVO","NO SE CARGA: CECO en estado "&amp;J2632,"OK"))))))))))</f>
        <v/>
      </c>
    </row>
    <row r="2633">
      <c r="A2633" s="5" t="n"/>
      <c r="B2633" s="6" t="n"/>
      <c r="C2633" s="5" t="n"/>
      <c r="D2633" s="6" t="n"/>
      <c r="E2633" s="7" t="n"/>
      <c r="F2633" s="6" t="n"/>
      <c r="G2633" s="8">
        <f>IF(B2633="","",IFERROR(VLOOKUP(--B2633,'CATALOGO CECO'!$A$2:$H$550,2,FALSE),"CECO NO EXISTE"))</f>
        <v/>
      </c>
      <c r="H2633" s="8">
        <f>IF(B2633="","",IFERROR(VLOOKUP(--B2633,'CATALOGO CECO'!$A$2:$H$550,3,FALSE),""))</f>
        <v/>
      </c>
      <c r="I2633" s="8">
        <f>IF(B2633="","",IFERROR(VLOOKUP(--B2633,'CATALOGO CECO'!$A$2:$H$550,5,FALSE),""))</f>
        <v/>
      </c>
      <c r="J2633" s="8">
        <f>IF(B2633="","",IFERROR(VLOOKUP(--B2633,'CATALOGO CECO'!$A$2:$H$550,8,FALSE),""))</f>
        <v/>
      </c>
      <c r="K2633" s="8">
        <f>IF(COUNTA(A2633:F2633)=0,"",IF(OR(LEN(A2633)&lt;&gt;7,MID(A2633,5,1)&lt;&gt;"-",ISERROR(--LEFT(A2633,4)),ISERROR(--RIGHT(A2633,2))),"ERROR: PERIODO debe ser AAAA-MM",IF(B2633="","ERROR: falta CODIGO CECO",IF(G2633="CECO NO EXISTE","ERROR: CECO no existe en el catálogo",IF(C2633="","ERROR: falta CUENTA",IF(ISERROR(--C2633),"ERROR: CUENTA debe tener solo dígitos",IF(ISERROR(FIND(LEFT(C2633,1),"567")),"ERROR: CUENTA fuera de las clases de costo",IF(NOT(ISNUMBER(E2633)),"ERROR: VALOR debe ser numérico",IF(E2633=0,"AVISO: valor cero (no se carga)",IF(J2633&lt;&gt;"ACTIVO","NO SE CARGA: CECO en estado "&amp;J2633,"OK"))))))))))</f>
        <v/>
      </c>
    </row>
    <row r="2634">
      <c r="A2634" s="5" t="n"/>
      <c r="B2634" s="6" t="n"/>
      <c r="C2634" s="5" t="n"/>
      <c r="D2634" s="6" t="n"/>
      <c r="E2634" s="7" t="n"/>
      <c r="F2634" s="6" t="n"/>
      <c r="G2634" s="8">
        <f>IF(B2634="","",IFERROR(VLOOKUP(--B2634,'CATALOGO CECO'!$A$2:$H$550,2,FALSE),"CECO NO EXISTE"))</f>
        <v/>
      </c>
      <c r="H2634" s="8">
        <f>IF(B2634="","",IFERROR(VLOOKUP(--B2634,'CATALOGO CECO'!$A$2:$H$550,3,FALSE),""))</f>
        <v/>
      </c>
      <c r="I2634" s="8">
        <f>IF(B2634="","",IFERROR(VLOOKUP(--B2634,'CATALOGO CECO'!$A$2:$H$550,5,FALSE),""))</f>
        <v/>
      </c>
      <c r="J2634" s="8">
        <f>IF(B2634="","",IFERROR(VLOOKUP(--B2634,'CATALOGO CECO'!$A$2:$H$550,8,FALSE),""))</f>
        <v/>
      </c>
      <c r="K2634" s="8">
        <f>IF(COUNTA(A2634:F2634)=0,"",IF(OR(LEN(A2634)&lt;&gt;7,MID(A2634,5,1)&lt;&gt;"-",ISERROR(--LEFT(A2634,4)),ISERROR(--RIGHT(A2634,2))),"ERROR: PERIODO debe ser AAAA-MM",IF(B2634="","ERROR: falta CODIGO CECO",IF(G2634="CECO NO EXISTE","ERROR: CECO no existe en el catálogo",IF(C2634="","ERROR: falta CUENTA",IF(ISERROR(--C2634),"ERROR: CUENTA debe tener solo dígitos",IF(ISERROR(FIND(LEFT(C2634,1),"567")),"ERROR: CUENTA fuera de las clases de costo",IF(NOT(ISNUMBER(E2634)),"ERROR: VALOR debe ser numérico",IF(E2634=0,"AVISO: valor cero (no se carga)",IF(J2634&lt;&gt;"ACTIVO","NO SE CARGA: CECO en estado "&amp;J2634,"OK"))))))))))</f>
        <v/>
      </c>
    </row>
    <row r="2635">
      <c r="A2635" s="5" t="n"/>
      <c r="B2635" s="6" t="n"/>
      <c r="C2635" s="5" t="n"/>
      <c r="D2635" s="6" t="n"/>
      <c r="E2635" s="7" t="n"/>
      <c r="F2635" s="6" t="n"/>
      <c r="G2635" s="8">
        <f>IF(B2635="","",IFERROR(VLOOKUP(--B2635,'CATALOGO CECO'!$A$2:$H$550,2,FALSE),"CECO NO EXISTE"))</f>
        <v/>
      </c>
      <c r="H2635" s="8">
        <f>IF(B2635="","",IFERROR(VLOOKUP(--B2635,'CATALOGO CECO'!$A$2:$H$550,3,FALSE),""))</f>
        <v/>
      </c>
      <c r="I2635" s="8">
        <f>IF(B2635="","",IFERROR(VLOOKUP(--B2635,'CATALOGO CECO'!$A$2:$H$550,5,FALSE),""))</f>
        <v/>
      </c>
      <c r="J2635" s="8">
        <f>IF(B2635="","",IFERROR(VLOOKUP(--B2635,'CATALOGO CECO'!$A$2:$H$550,8,FALSE),""))</f>
        <v/>
      </c>
      <c r="K2635" s="8">
        <f>IF(COUNTA(A2635:F2635)=0,"",IF(OR(LEN(A2635)&lt;&gt;7,MID(A2635,5,1)&lt;&gt;"-",ISERROR(--LEFT(A2635,4)),ISERROR(--RIGHT(A2635,2))),"ERROR: PERIODO debe ser AAAA-MM",IF(B2635="","ERROR: falta CODIGO CECO",IF(G2635="CECO NO EXISTE","ERROR: CECO no existe en el catálogo",IF(C2635="","ERROR: falta CUENTA",IF(ISERROR(--C2635),"ERROR: CUENTA debe tener solo dígitos",IF(ISERROR(FIND(LEFT(C2635,1),"567")),"ERROR: CUENTA fuera de las clases de costo",IF(NOT(ISNUMBER(E2635)),"ERROR: VALOR debe ser numérico",IF(E2635=0,"AVISO: valor cero (no se carga)",IF(J2635&lt;&gt;"ACTIVO","NO SE CARGA: CECO en estado "&amp;J2635,"OK"))))))))))</f>
        <v/>
      </c>
    </row>
    <row r="2636">
      <c r="A2636" s="5" t="n"/>
      <c r="B2636" s="6" t="n"/>
      <c r="C2636" s="5" t="n"/>
      <c r="D2636" s="6" t="n"/>
      <c r="E2636" s="7" t="n"/>
      <c r="F2636" s="6" t="n"/>
      <c r="G2636" s="8">
        <f>IF(B2636="","",IFERROR(VLOOKUP(--B2636,'CATALOGO CECO'!$A$2:$H$550,2,FALSE),"CECO NO EXISTE"))</f>
        <v/>
      </c>
      <c r="H2636" s="8">
        <f>IF(B2636="","",IFERROR(VLOOKUP(--B2636,'CATALOGO CECO'!$A$2:$H$550,3,FALSE),""))</f>
        <v/>
      </c>
      <c r="I2636" s="8">
        <f>IF(B2636="","",IFERROR(VLOOKUP(--B2636,'CATALOGO CECO'!$A$2:$H$550,5,FALSE),""))</f>
        <v/>
      </c>
      <c r="J2636" s="8">
        <f>IF(B2636="","",IFERROR(VLOOKUP(--B2636,'CATALOGO CECO'!$A$2:$H$550,8,FALSE),""))</f>
        <v/>
      </c>
      <c r="K2636" s="8">
        <f>IF(COUNTA(A2636:F2636)=0,"",IF(OR(LEN(A2636)&lt;&gt;7,MID(A2636,5,1)&lt;&gt;"-",ISERROR(--LEFT(A2636,4)),ISERROR(--RIGHT(A2636,2))),"ERROR: PERIODO debe ser AAAA-MM",IF(B2636="","ERROR: falta CODIGO CECO",IF(G2636="CECO NO EXISTE","ERROR: CECO no existe en el catálogo",IF(C2636="","ERROR: falta CUENTA",IF(ISERROR(--C2636),"ERROR: CUENTA debe tener solo dígitos",IF(ISERROR(FIND(LEFT(C2636,1),"567")),"ERROR: CUENTA fuera de las clases de costo",IF(NOT(ISNUMBER(E2636)),"ERROR: VALOR debe ser numérico",IF(E2636=0,"AVISO: valor cero (no se carga)",IF(J2636&lt;&gt;"ACTIVO","NO SE CARGA: CECO en estado "&amp;J2636,"OK"))))))))))</f>
        <v/>
      </c>
    </row>
    <row r="2637">
      <c r="A2637" s="5" t="n"/>
      <c r="B2637" s="6" t="n"/>
      <c r="C2637" s="5" t="n"/>
      <c r="D2637" s="6" t="n"/>
      <c r="E2637" s="7" t="n"/>
      <c r="F2637" s="6" t="n"/>
      <c r="G2637" s="8">
        <f>IF(B2637="","",IFERROR(VLOOKUP(--B2637,'CATALOGO CECO'!$A$2:$H$550,2,FALSE),"CECO NO EXISTE"))</f>
        <v/>
      </c>
      <c r="H2637" s="8">
        <f>IF(B2637="","",IFERROR(VLOOKUP(--B2637,'CATALOGO CECO'!$A$2:$H$550,3,FALSE),""))</f>
        <v/>
      </c>
      <c r="I2637" s="8">
        <f>IF(B2637="","",IFERROR(VLOOKUP(--B2637,'CATALOGO CECO'!$A$2:$H$550,5,FALSE),""))</f>
        <v/>
      </c>
      <c r="J2637" s="8">
        <f>IF(B2637="","",IFERROR(VLOOKUP(--B2637,'CATALOGO CECO'!$A$2:$H$550,8,FALSE),""))</f>
        <v/>
      </c>
      <c r="K2637" s="8">
        <f>IF(COUNTA(A2637:F2637)=0,"",IF(OR(LEN(A2637)&lt;&gt;7,MID(A2637,5,1)&lt;&gt;"-",ISERROR(--LEFT(A2637,4)),ISERROR(--RIGHT(A2637,2))),"ERROR: PERIODO debe ser AAAA-MM",IF(B2637="","ERROR: falta CODIGO CECO",IF(G2637="CECO NO EXISTE","ERROR: CECO no existe en el catálogo",IF(C2637="","ERROR: falta CUENTA",IF(ISERROR(--C2637),"ERROR: CUENTA debe tener solo dígitos",IF(ISERROR(FIND(LEFT(C2637,1),"567")),"ERROR: CUENTA fuera de las clases de costo",IF(NOT(ISNUMBER(E2637)),"ERROR: VALOR debe ser numérico",IF(E2637=0,"AVISO: valor cero (no se carga)",IF(J2637&lt;&gt;"ACTIVO","NO SE CARGA: CECO en estado "&amp;J2637,"OK"))))))))))</f>
        <v/>
      </c>
    </row>
    <row r="2638">
      <c r="A2638" s="5" t="n"/>
      <c r="B2638" s="6" t="n"/>
      <c r="C2638" s="5" t="n"/>
      <c r="D2638" s="6" t="n"/>
      <c r="E2638" s="7" t="n"/>
      <c r="F2638" s="6" t="n"/>
      <c r="G2638" s="8">
        <f>IF(B2638="","",IFERROR(VLOOKUP(--B2638,'CATALOGO CECO'!$A$2:$H$550,2,FALSE),"CECO NO EXISTE"))</f>
        <v/>
      </c>
      <c r="H2638" s="8">
        <f>IF(B2638="","",IFERROR(VLOOKUP(--B2638,'CATALOGO CECO'!$A$2:$H$550,3,FALSE),""))</f>
        <v/>
      </c>
      <c r="I2638" s="8">
        <f>IF(B2638="","",IFERROR(VLOOKUP(--B2638,'CATALOGO CECO'!$A$2:$H$550,5,FALSE),""))</f>
        <v/>
      </c>
      <c r="J2638" s="8">
        <f>IF(B2638="","",IFERROR(VLOOKUP(--B2638,'CATALOGO CECO'!$A$2:$H$550,8,FALSE),""))</f>
        <v/>
      </c>
      <c r="K2638" s="8">
        <f>IF(COUNTA(A2638:F2638)=0,"",IF(OR(LEN(A2638)&lt;&gt;7,MID(A2638,5,1)&lt;&gt;"-",ISERROR(--LEFT(A2638,4)),ISERROR(--RIGHT(A2638,2))),"ERROR: PERIODO debe ser AAAA-MM",IF(B2638="","ERROR: falta CODIGO CECO",IF(G2638="CECO NO EXISTE","ERROR: CECO no existe en el catálogo",IF(C2638="","ERROR: falta CUENTA",IF(ISERROR(--C2638),"ERROR: CUENTA debe tener solo dígitos",IF(ISERROR(FIND(LEFT(C2638,1),"567")),"ERROR: CUENTA fuera de las clases de costo",IF(NOT(ISNUMBER(E2638)),"ERROR: VALOR debe ser numérico",IF(E2638=0,"AVISO: valor cero (no se carga)",IF(J2638&lt;&gt;"ACTIVO","NO SE CARGA: CECO en estado "&amp;J2638,"OK"))))))))))</f>
        <v/>
      </c>
    </row>
    <row r="2639">
      <c r="A2639" s="5" t="n"/>
      <c r="B2639" s="6" t="n"/>
      <c r="C2639" s="5" t="n"/>
      <c r="D2639" s="6" t="n"/>
      <c r="E2639" s="7" t="n"/>
      <c r="F2639" s="6" t="n"/>
      <c r="G2639" s="8">
        <f>IF(B2639="","",IFERROR(VLOOKUP(--B2639,'CATALOGO CECO'!$A$2:$H$550,2,FALSE),"CECO NO EXISTE"))</f>
        <v/>
      </c>
      <c r="H2639" s="8">
        <f>IF(B2639="","",IFERROR(VLOOKUP(--B2639,'CATALOGO CECO'!$A$2:$H$550,3,FALSE),""))</f>
        <v/>
      </c>
      <c r="I2639" s="8">
        <f>IF(B2639="","",IFERROR(VLOOKUP(--B2639,'CATALOGO CECO'!$A$2:$H$550,5,FALSE),""))</f>
        <v/>
      </c>
      <c r="J2639" s="8">
        <f>IF(B2639="","",IFERROR(VLOOKUP(--B2639,'CATALOGO CECO'!$A$2:$H$550,8,FALSE),""))</f>
        <v/>
      </c>
      <c r="K2639" s="8">
        <f>IF(COUNTA(A2639:F2639)=0,"",IF(OR(LEN(A2639)&lt;&gt;7,MID(A2639,5,1)&lt;&gt;"-",ISERROR(--LEFT(A2639,4)),ISERROR(--RIGHT(A2639,2))),"ERROR: PERIODO debe ser AAAA-MM",IF(B2639="","ERROR: falta CODIGO CECO",IF(G2639="CECO NO EXISTE","ERROR: CECO no existe en el catálogo",IF(C2639="","ERROR: falta CUENTA",IF(ISERROR(--C2639),"ERROR: CUENTA debe tener solo dígitos",IF(ISERROR(FIND(LEFT(C2639,1),"567")),"ERROR: CUENTA fuera de las clases de costo",IF(NOT(ISNUMBER(E2639)),"ERROR: VALOR debe ser numérico",IF(E2639=0,"AVISO: valor cero (no se carga)",IF(J2639&lt;&gt;"ACTIVO","NO SE CARGA: CECO en estado "&amp;J2639,"OK"))))))))))</f>
        <v/>
      </c>
    </row>
    <row r="2640">
      <c r="A2640" s="5" t="n"/>
      <c r="B2640" s="6" t="n"/>
      <c r="C2640" s="5" t="n"/>
      <c r="D2640" s="6" t="n"/>
      <c r="E2640" s="7" t="n"/>
      <c r="F2640" s="6" t="n"/>
      <c r="G2640" s="8">
        <f>IF(B2640="","",IFERROR(VLOOKUP(--B2640,'CATALOGO CECO'!$A$2:$H$550,2,FALSE),"CECO NO EXISTE"))</f>
        <v/>
      </c>
      <c r="H2640" s="8">
        <f>IF(B2640="","",IFERROR(VLOOKUP(--B2640,'CATALOGO CECO'!$A$2:$H$550,3,FALSE),""))</f>
        <v/>
      </c>
      <c r="I2640" s="8">
        <f>IF(B2640="","",IFERROR(VLOOKUP(--B2640,'CATALOGO CECO'!$A$2:$H$550,5,FALSE),""))</f>
        <v/>
      </c>
      <c r="J2640" s="8">
        <f>IF(B2640="","",IFERROR(VLOOKUP(--B2640,'CATALOGO CECO'!$A$2:$H$550,8,FALSE),""))</f>
        <v/>
      </c>
      <c r="K2640" s="8">
        <f>IF(COUNTA(A2640:F2640)=0,"",IF(OR(LEN(A2640)&lt;&gt;7,MID(A2640,5,1)&lt;&gt;"-",ISERROR(--LEFT(A2640,4)),ISERROR(--RIGHT(A2640,2))),"ERROR: PERIODO debe ser AAAA-MM",IF(B2640="","ERROR: falta CODIGO CECO",IF(G2640="CECO NO EXISTE","ERROR: CECO no existe en el catálogo",IF(C2640="","ERROR: falta CUENTA",IF(ISERROR(--C2640),"ERROR: CUENTA debe tener solo dígitos",IF(ISERROR(FIND(LEFT(C2640,1),"567")),"ERROR: CUENTA fuera de las clases de costo",IF(NOT(ISNUMBER(E2640)),"ERROR: VALOR debe ser numérico",IF(E2640=0,"AVISO: valor cero (no se carga)",IF(J2640&lt;&gt;"ACTIVO","NO SE CARGA: CECO en estado "&amp;J2640,"OK"))))))))))</f>
        <v/>
      </c>
    </row>
    <row r="2641">
      <c r="A2641" s="5" t="n"/>
      <c r="B2641" s="6" t="n"/>
      <c r="C2641" s="5" t="n"/>
      <c r="D2641" s="6" t="n"/>
      <c r="E2641" s="7" t="n"/>
      <c r="F2641" s="6" t="n"/>
      <c r="G2641" s="8">
        <f>IF(B2641="","",IFERROR(VLOOKUP(--B2641,'CATALOGO CECO'!$A$2:$H$550,2,FALSE),"CECO NO EXISTE"))</f>
        <v/>
      </c>
      <c r="H2641" s="8">
        <f>IF(B2641="","",IFERROR(VLOOKUP(--B2641,'CATALOGO CECO'!$A$2:$H$550,3,FALSE),""))</f>
        <v/>
      </c>
      <c r="I2641" s="8">
        <f>IF(B2641="","",IFERROR(VLOOKUP(--B2641,'CATALOGO CECO'!$A$2:$H$550,5,FALSE),""))</f>
        <v/>
      </c>
      <c r="J2641" s="8">
        <f>IF(B2641="","",IFERROR(VLOOKUP(--B2641,'CATALOGO CECO'!$A$2:$H$550,8,FALSE),""))</f>
        <v/>
      </c>
      <c r="K2641" s="8">
        <f>IF(COUNTA(A2641:F2641)=0,"",IF(OR(LEN(A2641)&lt;&gt;7,MID(A2641,5,1)&lt;&gt;"-",ISERROR(--LEFT(A2641,4)),ISERROR(--RIGHT(A2641,2))),"ERROR: PERIODO debe ser AAAA-MM",IF(B2641="","ERROR: falta CODIGO CECO",IF(G2641="CECO NO EXISTE","ERROR: CECO no existe en el catálogo",IF(C2641="","ERROR: falta CUENTA",IF(ISERROR(--C2641),"ERROR: CUENTA debe tener solo dígitos",IF(ISERROR(FIND(LEFT(C2641,1),"567")),"ERROR: CUENTA fuera de las clases de costo",IF(NOT(ISNUMBER(E2641)),"ERROR: VALOR debe ser numérico",IF(E2641=0,"AVISO: valor cero (no se carga)",IF(J2641&lt;&gt;"ACTIVO","NO SE CARGA: CECO en estado "&amp;J2641,"OK"))))))))))</f>
        <v/>
      </c>
    </row>
    <row r="2642">
      <c r="A2642" s="5" t="n"/>
      <c r="B2642" s="6" t="n"/>
      <c r="C2642" s="5" t="n"/>
      <c r="D2642" s="6" t="n"/>
      <c r="E2642" s="7" t="n"/>
      <c r="F2642" s="6" t="n"/>
      <c r="G2642" s="8">
        <f>IF(B2642="","",IFERROR(VLOOKUP(--B2642,'CATALOGO CECO'!$A$2:$H$550,2,FALSE),"CECO NO EXISTE"))</f>
        <v/>
      </c>
      <c r="H2642" s="8">
        <f>IF(B2642="","",IFERROR(VLOOKUP(--B2642,'CATALOGO CECO'!$A$2:$H$550,3,FALSE),""))</f>
        <v/>
      </c>
      <c r="I2642" s="8">
        <f>IF(B2642="","",IFERROR(VLOOKUP(--B2642,'CATALOGO CECO'!$A$2:$H$550,5,FALSE),""))</f>
        <v/>
      </c>
      <c r="J2642" s="8">
        <f>IF(B2642="","",IFERROR(VLOOKUP(--B2642,'CATALOGO CECO'!$A$2:$H$550,8,FALSE),""))</f>
        <v/>
      </c>
      <c r="K2642" s="8">
        <f>IF(COUNTA(A2642:F2642)=0,"",IF(OR(LEN(A2642)&lt;&gt;7,MID(A2642,5,1)&lt;&gt;"-",ISERROR(--LEFT(A2642,4)),ISERROR(--RIGHT(A2642,2))),"ERROR: PERIODO debe ser AAAA-MM",IF(B2642="","ERROR: falta CODIGO CECO",IF(G2642="CECO NO EXISTE","ERROR: CECO no existe en el catálogo",IF(C2642="","ERROR: falta CUENTA",IF(ISERROR(--C2642),"ERROR: CUENTA debe tener solo dígitos",IF(ISERROR(FIND(LEFT(C2642,1),"567")),"ERROR: CUENTA fuera de las clases de costo",IF(NOT(ISNUMBER(E2642)),"ERROR: VALOR debe ser numérico",IF(E2642=0,"AVISO: valor cero (no se carga)",IF(J2642&lt;&gt;"ACTIVO","NO SE CARGA: CECO en estado "&amp;J2642,"OK"))))))))))</f>
        <v/>
      </c>
    </row>
    <row r="2643">
      <c r="A2643" s="5" t="n"/>
      <c r="B2643" s="6" t="n"/>
      <c r="C2643" s="5" t="n"/>
      <c r="D2643" s="6" t="n"/>
      <c r="E2643" s="7" t="n"/>
      <c r="F2643" s="6" t="n"/>
      <c r="G2643" s="8">
        <f>IF(B2643="","",IFERROR(VLOOKUP(--B2643,'CATALOGO CECO'!$A$2:$H$550,2,FALSE),"CECO NO EXISTE"))</f>
        <v/>
      </c>
      <c r="H2643" s="8">
        <f>IF(B2643="","",IFERROR(VLOOKUP(--B2643,'CATALOGO CECO'!$A$2:$H$550,3,FALSE),""))</f>
        <v/>
      </c>
      <c r="I2643" s="8">
        <f>IF(B2643="","",IFERROR(VLOOKUP(--B2643,'CATALOGO CECO'!$A$2:$H$550,5,FALSE),""))</f>
        <v/>
      </c>
      <c r="J2643" s="8">
        <f>IF(B2643="","",IFERROR(VLOOKUP(--B2643,'CATALOGO CECO'!$A$2:$H$550,8,FALSE),""))</f>
        <v/>
      </c>
      <c r="K2643" s="8">
        <f>IF(COUNTA(A2643:F2643)=0,"",IF(OR(LEN(A2643)&lt;&gt;7,MID(A2643,5,1)&lt;&gt;"-",ISERROR(--LEFT(A2643,4)),ISERROR(--RIGHT(A2643,2))),"ERROR: PERIODO debe ser AAAA-MM",IF(B2643="","ERROR: falta CODIGO CECO",IF(G2643="CECO NO EXISTE","ERROR: CECO no existe en el catálogo",IF(C2643="","ERROR: falta CUENTA",IF(ISERROR(--C2643),"ERROR: CUENTA debe tener solo dígitos",IF(ISERROR(FIND(LEFT(C2643,1),"567")),"ERROR: CUENTA fuera de las clases de costo",IF(NOT(ISNUMBER(E2643)),"ERROR: VALOR debe ser numérico",IF(E2643=0,"AVISO: valor cero (no se carga)",IF(J2643&lt;&gt;"ACTIVO","NO SE CARGA: CECO en estado "&amp;J2643,"OK"))))))))))</f>
        <v/>
      </c>
    </row>
    <row r="2644">
      <c r="A2644" s="5" t="n"/>
      <c r="B2644" s="6" t="n"/>
      <c r="C2644" s="5" t="n"/>
      <c r="D2644" s="6" t="n"/>
      <c r="E2644" s="7" t="n"/>
      <c r="F2644" s="6" t="n"/>
      <c r="G2644" s="8">
        <f>IF(B2644="","",IFERROR(VLOOKUP(--B2644,'CATALOGO CECO'!$A$2:$H$550,2,FALSE),"CECO NO EXISTE"))</f>
        <v/>
      </c>
      <c r="H2644" s="8">
        <f>IF(B2644="","",IFERROR(VLOOKUP(--B2644,'CATALOGO CECO'!$A$2:$H$550,3,FALSE),""))</f>
        <v/>
      </c>
      <c r="I2644" s="8">
        <f>IF(B2644="","",IFERROR(VLOOKUP(--B2644,'CATALOGO CECO'!$A$2:$H$550,5,FALSE),""))</f>
        <v/>
      </c>
      <c r="J2644" s="8">
        <f>IF(B2644="","",IFERROR(VLOOKUP(--B2644,'CATALOGO CECO'!$A$2:$H$550,8,FALSE),""))</f>
        <v/>
      </c>
      <c r="K2644" s="8">
        <f>IF(COUNTA(A2644:F2644)=0,"",IF(OR(LEN(A2644)&lt;&gt;7,MID(A2644,5,1)&lt;&gt;"-",ISERROR(--LEFT(A2644,4)),ISERROR(--RIGHT(A2644,2))),"ERROR: PERIODO debe ser AAAA-MM",IF(B2644="","ERROR: falta CODIGO CECO",IF(G2644="CECO NO EXISTE","ERROR: CECO no existe en el catálogo",IF(C2644="","ERROR: falta CUENTA",IF(ISERROR(--C2644),"ERROR: CUENTA debe tener solo dígitos",IF(ISERROR(FIND(LEFT(C2644,1),"567")),"ERROR: CUENTA fuera de las clases de costo",IF(NOT(ISNUMBER(E2644)),"ERROR: VALOR debe ser numérico",IF(E2644=0,"AVISO: valor cero (no se carga)",IF(J2644&lt;&gt;"ACTIVO","NO SE CARGA: CECO en estado "&amp;J2644,"OK"))))))))))</f>
        <v/>
      </c>
    </row>
    <row r="2645">
      <c r="A2645" s="5" t="n"/>
      <c r="B2645" s="6" t="n"/>
      <c r="C2645" s="5" t="n"/>
      <c r="D2645" s="6" t="n"/>
      <c r="E2645" s="7" t="n"/>
      <c r="F2645" s="6" t="n"/>
      <c r="G2645" s="8">
        <f>IF(B2645="","",IFERROR(VLOOKUP(--B2645,'CATALOGO CECO'!$A$2:$H$550,2,FALSE),"CECO NO EXISTE"))</f>
        <v/>
      </c>
      <c r="H2645" s="8">
        <f>IF(B2645="","",IFERROR(VLOOKUP(--B2645,'CATALOGO CECO'!$A$2:$H$550,3,FALSE),""))</f>
        <v/>
      </c>
      <c r="I2645" s="8">
        <f>IF(B2645="","",IFERROR(VLOOKUP(--B2645,'CATALOGO CECO'!$A$2:$H$550,5,FALSE),""))</f>
        <v/>
      </c>
      <c r="J2645" s="8">
        <f>IF(B2645="","",IFERROR(VLOOKUP(--B2645,'CATALOGO CECO'!$A$2:$H$550,8,FALSE),""))</f>
        <v/>
      </c>
      <c r="K2645" s="8">
        <f>IF(COUNTA(A2645:F2645)=0,"",IF(OR(LEN(A2645)&lt;&gt;7,MID(A2645,5,1)&lt;&gt;"-",ISERROR(--LEFT(A2645,4)),ISERROR(--RIGHT(A2645,2))),"ERROR: PERIODO debe ser AAAA-MM",IF(B2645="","ERROR: falta CODIGO CECO",IF(G2645="CECO NO EXISTE","ERROR: CECO no existe en el catálogo",IF(C2645="","ERROR: falta CUENTA",IF(ISERROR(--C2645),"ERROR: CUENTA debe tener solo dígitos",IF(ISERROR(FIND(LEFT(C2645,1),"567")),"ERROR: CUENTA fuera de las clases de costo",IF(NOT(ISNUMBER(E2645)),"ERROR: VALOR debe ser numérico",IF(E2645=0,"AVISO: valor cero (no se carga)",IF(J2645&lt;&gt;"ACTIVO","NO SE CARGA: CECO en estado "&amp;J2645,"OK"))))))))))</f>
        <v/>
      </c>
    </row>
    <row r="2646">
      <c r="A2646" s="5" t="n"/>
      <c r="B2646" s="6" t="n"/>
      <c r="C2646" s="5" t="n"/>
      <c r="D2646" s="6" t="n"/>
      <c r="E2646" s="7" t="n"/>
      <c r="F2646" s="6" t="n"/>
      <c r="G2646" s="8">
        <f>IF(B2646="","",IFERROR(VLOOKUP(--B2646,'CATALOGO CECO'!$A$2:$H$550,2,FALSE),"CECO NO EXISTE"))</f>
        <v/>
      </c>
      <c r="H2646" s="8">
        <f>IF(B2646="","",IFERROR(VLOOKUP(--B2646,'CATALOGO CECO'!$A$2:$H$550,3,FALSE),""))</f>
        <v/>
      </c>
      <c r="I2646" s="8">
        <f>IF(B2646="","",IFERROR(VLOOKUP(--B2646,'CATALOGO CECO'!$A$2:$H$550,5,FALSE),""))</f>
        <v/>
      </c>
      <c r="J2646" s="8">
        <f>IF(B2646="","",IFERROR(VLOOKUP(--B2646,'CATALOGO CECO'!$A$2:$H$550,8,FALSE),""))</f>
        <v/>
      </c>
      <c r="K2646" s="8">
        <f>IF(COUNTA(A2646:F2646)=0,"",IF(OR(LEN(A2646)&lt;&gt;7,MID(A2646,5,1)&lt;&gt;"-",ISERROR(--LEFT(A2646,4)),ISERROR(--RIGHT(A2646,2))),"ERROR: PERIODO debe ser AAAA-MM",IF(B2646="","ERROR: falta CODIGO CECO",IF(G2646="CECO NO EXISTE","ERROR: CECO no existe en el catálogo",IF(C2646="","ERROR: falta CUENTA",IF(ISERROR(--C2646),"ERROR: CUENTA debe tener solo dígitos",IF(ISERROR(FIND(LEFT(C2646,1),"567")),"ERROR: CUENTA fuera de las clases de costo",IF(NOT(ISNUMBER(E2646)),"ERROR: VALOR debe ser numérico",IF(E2646=0,"AVISO: valor cero (no se carga)",IF(J2646&lt;&gt;"ACTIVO","NO SE CARGA: CECO en estado "&amp;J2646,"OK"))))))))))</f>
        <v/>
      </c>
    </row>
    <row r="2647">
      <c r="A2647" s="5" t="n"/>
      <c r="B2647" s="6" t="n"/>
      <c r="C2647" s="5" t="n"/>
      <c r="D2647" s="6" t="n"/>
      <c r="E2647" s="7" t="n"/>
      <c r="F2647" s="6" t="n"/>
      <c r="G2647" s="8">
        <f>IF(B2647="","",IFERROR(VLOOKUP(--B2647,'CATALOGO CECO'!$A$2:$H$550,2,FALSE),"CECO NO EXISTE"))</f>
        <v/>
      </c>
      <c r="H2647" s="8">
        <f>IF(B2647="","",IFERROR(VLOOKUP(--B2647,'CATALOGO CECO'!$A$2:$H$550,3,FALSE),""))</f>
        <v/>
      </c>
      <c r="I2647" s="8">
        <f>IF(B2647="","",IFERROR(VLOOKUP(--B2647,'CATALOGO CECO'!$A$2:$H$550,5,FALSE),""))</f>
        <v/>
      </c>
      <c r="J2647" s="8">
        <f>IF(B2647="","",IFERROR(VLOOKUP(--B2647,'CATALOGO CECO'!$A$2:$H$550,8,FALSE),""))</f>
        <v/>
      </c>
      <c r="K2647" s="8">
        <f>IF(COUNTA(A2647:F2647)=0,"",IF(OR(LEN(A2647)&lt;&gt;7,MID(A2647,5,1)&lt;&gt;"-",ISERROR(--LEFT(A2647,4)),ISERROR(--RIGHT(A2647,2))),"ERROR: PERIODO debe ser AAAA-MM",IF(B2647="","ERROR: falta CODIGO CECO",IF(G2647="CECO NO EXISTE","ERROR: CECO no existe en el catálogo",IF(C2647="","ERROR: falta CUENTA",IF(ISERROR(--C2647),"ERROR: CUENTA debe tener solo dígitos",IF(ISERROR(FIND(LEFT(C2647,1),"567")),"ERROR: CUENTA fuera de las clases de costo",IF(NOT(ISNUMBER(E2647)),"ERROR: VALOR debe ser numérico",IF(E2647=0,"AVISO: valor cero (no se carga)",IF(J2647&lt;&gt;"ACTIVO","NO SE CARGA: CECO en estado "&amp;J2647,"OK"))))))))))</f>
        <v/>
      </c>
    </row>
    <row r="2648">
      <c r="A2648" s="5" t="n"/>
      <c r="B2648" s="6" t="n"/>
      <c r="C2648" s="5" t="n"/>
      <c r="D2648" s="6" t="n"/>
      <c r="E2648" s="7" t="n"/>
      <c r="F2648" s="6" t="n"/>
      <c r="G2648" s="8">
        <f>IF(B2648="","",IFERROR(VLOOKUP(--B2648,'CATALOGO CECO'!$A$2:$H$550,2,FALSE),"CECO NO EXISTE"))</f>
        <v/>
      </c>
      <c r="H2648" s="8">
        <f>IF(B2648="","",IFERROR(VLOOKUP(--B2648,'CATALOGO CECO'!$A$2:$H$550,3,FALSE),""))</f>
        <v/>
      </c>
      <c r="I2648" s="8">
        <f>IF(B2648="","",IFERROR(VLOOKUP(--B2648,'CATALOGO CECO'!$A$2:$H$550,5,FALSE),""))</f>
        <v/>
      </c>
      <c r="J2648" s="8">
        <f>IF(B2648="","",IFERROR(VLOOKUP(--B2648,'CATALOGO CECO'!$A$2:$H$550,8,FALSE),""))</f>
        <v/>
      </c>
      <c r="K2648" s="8">
        <f>IF(COUNTA(A2648:F2648)=0,"",IF(OR(LEN(A2648)&lt;&gt;7,MID(A2648,5,1)&lt;&gt;"-",ISERROR(--LEFT(A2648,4)),ISERROR(--RIGHT(A2648,2))),"ERROR: PERIODO debe ser AAAA-MM",IF(B2648="","ERROR: falta CODIGO CECO",IF(G2648="CECO NO EXISTE","ERROR: CECO no existe en el catálogo",IF(C2648="","ERROR: falta CUENTA",IF(ISERROR(--C2648),"ERROR: CUENTA debe tener solo dígitos",IF(ISERROR(FIND(LEFT(C2648,1),"567")),"ERROR: CUENTA fuera de las clases de costo",IF(NOT(ISNUMBER(E2648)),"ERROR: VALOR debe ser numérico",IF(E2648=0,"AVISO: valor cero (no se carga)",IF(J2648&lt;&gt;"ACTIVO","NO SE CARGA: CECO en estado "&amp;J2648,"OK"))))))))))</f>
        <v/>
      </c>
    </row>
    <row r="2649">
      <c r="A2649" s="5" t="n"/>
      <c r="B2649" s="6" t="n"/>
      <c r="C2649" s="5" t="n"/>
      <c r="D2649" s="6" t="n"/>
      <c r="E2649" s="7" t="n"/>
      <c r="F2649" s="6" t="n"/>
      <c r="G2649" s="8">
        <f>IF(B2649="","",IFERROR(VLOOKUP(--B2649,'CATALOGO CECO'!$A$2:$H$550,2,FALSE),"CECO NO EXISTE"))</f>
        <v/>
      </c>
      <c r="H2649" s="8">
        <f>IF(B2649="","",IFERROR(VLOOKUP(--B2649,'CATALOGO CECO'!$A$2:$H$550,3,FALSE),""))</f>
        <v/>
      </c>
      <c r="I2649" s="8">
        <f>IF(B2649="","",IFERROR(VLOOKUP(--B2649,'CATALOGO CECO'!$A$2:$H$550,5,FALSE),""))</f>
        <v/>
      </c>
      <c r="J2649" s="8">
        <f>IF(B2649="","",IFERROR(VLOOKUP(--B2649,'CATALOGO CECO'!$A$2:$H$550,8,FALSE),""))</f>
        <v/>
      </c>
      <c r="K2649" s="8">
        <f>IF(COUNTA(A2649:F2649)=0,"",IF(OR(LEN(A2649)&lt;&gt;7,MID(A2649,5,1)&lt;&gt;"-",ISERROR(--LEFT(A2649,4)),ISERROR(--RIGHT(A2649,2))),"ERROR: PERIODO debe ser AAAA-MM",IF(B2649="","ERROR: falta CODIGO CECO",IF(G2649="CECO NO EXISTE","ERROR: CECO no existe en el catálogo",IF(C2649="","ERROR: falta CUENTA",IF(ISERROR(--C2649),"ERROR: CUENTA debe tener solo dígitos",IF(ISERROR(FIND(LEFT(C2649,1),"567")),"ERROR: CUENTA fuera de las clases de costo",IF(NOT(ISNUMBER(E2649)),"ERROR: VALOR debe ser numérico",IF(E2649=0,"AVISO: valor cero (no se carga)",IF(J2649&lt;&gt;"ACTIVO","NO SE CARGA: CECO en estado "&amp;J2649,"OK"))))))))))</f>
        <v/>
      </c>
    </row>
    <row r="2650">
      <c r="A2650" s="5" t="n"/>
      <c r="B2650" s="6" t="n"/>
      <c r="C2650" s="5" t="n"/>
      <c r="D2650" s="6" t="n"/>
      <c r="E2650" s="7" t="n"/>
      <c r="F2650" s="6" t="n"/>
      <c r="G2650" s="8">
        <f>IF(B2650="","",IFERROR(VLOOKUP(--B2650,'CATALOGO CECO'!$A$2:$H$550,2,FALSE),"CECO NO EXISTE"))</f>
        <v/>
      </c>
      <c r="H2650" s="8">
        <f>IF(B2650="","",IFERROR(VLOOKUP(--B2650,'CATALOGO CECO'!$A$2:$H$550,3,FALSE),""))</f>
        <v/>
      </c>
      <c r="I2650" s="8">
        <f>IF(B2650="","",IFERROR(VLOOKUP(--B2650,'CATALOGO CECO'!$A$2:$H$550,5,FALSE),""))</f>
        <v/>
      </c>
      <c r="J2650" s="8">
        <f>IF(B2650="","",IFERROR(VLOOKUP(--B2650,'CATALOGO CECO'!$A$2:$H$550,8,FALSE),""))</f>
        <v/>
      </c>
      <c r="K2650" s="8">
        <f>IF(COUNTA(A2650:F2650)=0,"",IF(OR(LEN(A2650)&lt;&gt;7,MID(A2650,5,1)&lt;&gt;"-",ISERROR(--LEFT(A2650,4)),ISERROR(--RIGHT(A2650,2))),"ERROR: PERIODO debe ser AAAA-MM",IF(B2650="","ERROR: falta CODIGO CECO",IF(G2650="CECO NO EXISTE","ERROR: CECO no existe en el catálogo",IF(C2650="","ERROR: falta CUENTA",IF(ISERROR(--C2650),"ERROR: CUENTA debe tener solo dígitos",IF(ISERROR(FIND(LEFT(C2650,1),"567")),"ERROR: CUENTA fuera de las clases de costo",IF(NOT(ISNUMBER(E2650)),"ERROR: VALOR debe ser numérico",IF(E2650=0,"AVISO: valor cero (no se carga)",IF(J2650&lt;&gt;"ACTIVO","NO SE CARGA: CECO en estado "&amp;J2650,"OK"))))))))))</f>
        <v/>
      </c>
    </row>
    <row r="2651">
      <c r="A2651" s="5" t="n"/>
      <c r="B2651" s="6" t="n"/>
      <c r="C2651" s="5" t="n"/>
      <c r="D2651" s="6" t="n"/>
      <c r="E2651" s="7" t="n"/>
      <c r="F2651" s="6" t="n"/>
      <c r="G2651" s="8">
        <f>IF(B2651="","",IFERROR(VLOOKUP(--B2651,'CATALOGO CECO'!$A$2:$H$550,2,FALSE),"CECO NO EXISTE"))</f>
        <v/>
      </c>
      <c r="H2651" s="8">
        <f>IF(B2651="","",IFERROR(VLOOKUP(--B2651,'CATALOGO CECO'!$A$2:$H$550,3,FALSE),""))</f>
        <v/>
      </c>
      <c r="I2651" s="8">
        <f>IF(B2651="","",IFERROR(VLOOKUP(--B2651,'CATALOGO CECO'!$A$2:$H$550,5,FALSE),""))</f>
        <v/>
      </c>
      <c r="J2651" s="8">
        <f>IF(B2651="","",IFERROR(VLOOKUP(--B2651,'CATALOGO CECO'!$A$2:$H$550,8,FALSE),""))</f>
        <v/>
      </c>
      <c r="K2651" s="8">
        <f>IF(COUNTA(A2651:F2651)=0,"",IF(OR(LEN(A2651)&lt;&gt;7,MID(A2651,5,1)&lt;&gt;"-",ISERROR(--LEFT(A2651,4)),ISERROR(--RIGHT(A2651,2))),"ERROR: PERIODO debe ser AAAA-MM",IF(B2651="","ERROR: falta CODIGO CECO",IF(G2651="CECO NO EXISTE","ERROR: CECO no existe en el catálogo",IF(C2651="","ERROR: falta CUENTA",IF(ISERROR(--C2651),"ERROR: CUENTA debe tener solo dígitos",IF(ISERROR(FIND(LEFT(C2651,1),"567")),"ERROR: CUENTA fuera de las clases de costo",IF(NOT(ISNUMBER(E2651)),"ERROR: VALOR debe ser numérico",IF(E2651=0,"AVISO: valor cero (no se carga)",IF(J2651&lt;&gt;"ACTIVO","NO SE CARGA: CECO en estado "&amp;J2651,"OK"))))))))))</f>
        <v/>
      </c>
    </row>
    <row r="2652">
      <c r="A2652" s="5" t="n"/>
      <c r="B2652" s="6" t="n"/>
      <c r="C2652" s="5" t="n"/>
      <c r="D2652" s="6" t="n"/>
      <c r="E2652" s="7" t="n"/>
      <c r="F2652" s="6" t="n"/>
      <c r="G2652" s="8">
        <f>IF(B2652="","",IFERROR(VLOOKUP(--B2652,'CATALOGO CECO'!$A$2:$H$550,2,FALSE),"CECO NO EXISTE"))</f>
        <v/>
      </c>
      <c r="H2652" s="8">
        <f>IF(B2652="","",IFERROR(VLOOKUP(--B2652,'CATALOGO CECO'!$A$2:$H$550,3,FALSE),""))</f>
        <v/>
      </c>
      <c r="I2652" s="8">
        <f>IF(B2652="","",IFERROR(VLOOKUP(--B2652,'CATALOGO CECO'!$A$2:$H$550,5,FALSE),""))</f>
        <v/>
      </c>
      <c r="J2652" s="8">
        <f>IF(B2652="","",IFERROR(VLOOKUP(--B2652,'CATALOGO CECO'!$A$2:$H$550,8,FALSE),""))</f>
        <v/>
      </c>
      <c r="K2652" s="8">
        <f>IF(COUNTA(A2652:F2652)=0,"",IF(OR(LEN(A2652)&lt;&gt;7,MID(A2652,5,1)&lt;&gt;"-",ISERROR(--LEFT(A2652,4)),ISERROR(--RIGHT(A2652,2))),"ERROR: PERIODO debe ser AAAA-MM",IF(B2652="","ERROR: falta CODIGO CECO",IF(G2652="CECO NO EXISTE","ERROR: CECO no existe en el catálogo",IF(C2652="","ERROR: falta CUENTA",IF(ISERROR(--C2652),"ERROR: CUENTA debe tener solo dígitos",IF(ISERROR(FIND(LEFT(C2652,1),"567")),"ERROR: CUENTA fuera de las clases de costo",IF(NOT(ISNUMBER(E2652)),"ERROR: VALOR debe ser numérico",IF(E2652=0,"AVISO: valor cero (no se carga)",IF(J2652&lt;&gt;"ACTIVO","NO SE CARGA: CECO en estado "&amp;J2652,"OK"))))))))))</f>
        <v/>
      </c>
    </row>
    <row r="2653">
      <c r="A2653" s="5" t="n"/>
      <c r="B2653" s="6" t="n"/>
      <c r="C2653" s="5" t="n"/>
      <c r="D2653" s="6" t="n"/>
      <c r="E2653" s="7" t="n"/>
      <c r="F2653" s="6" t="n"/>
      <c r="G2653" s="8">
        <f>IF(B2653="","",IFERROR(VLOOKUP(--B2653,'CATALOGO CECO'!$A$2:$H$550,2,FALSE),"CECO NO EXISTE"))</f>
        <v/>
      </c>
      <c r="H2653" s="8">
        <f>IF(B2653="","",IFERROR(VLOOKUP(--B2653,'CATALOGO CECO'!$A$2:$H$550,3,FALSE),""))</f>
        <v/>
      </c>
      <c r="I2653" s="8">
        <f>IF(B2653="","",IFERROR(VLOOKUP(--B2653,'CATALOGO CECO'!$A$2:$H$550,5,FALSE),""))</f>
        <v/>
      </c>
      <c r="J2653" s="8">
        <f>IF(B2653="","",IFERROR(VLOOKUP(--B2653,'CATALOGO CECO'!$A$2:$H$550,8,FALSE),""))</f>
        <v/>
      </c>
      <c r="K2653" s="8">
        <f>IF(COUNTA(A2653:F2653)=0,"",IF(OR(LEN(A2653)&lt;&gt;7,MID(A2653,5,1)&lt;&gt;"-",ISERROR(--LEFT(A2653,4)),ISERROR(--RIGHT(A2653,2))),"ERROR: PERIODO debe ser AAAA-MM",IF(B2653="","ERROR: falta CODIGO CECO",IF(G2653="CECO NO EXISTE","ERROR: CECO no existe en el catálogo",IF(C2653="","ERROR: falta CUENTA",IF(ISERROR(--C2653),"ERROR: CUENTA debe tener solo dígitos",IF(ISERROR(FIND(LEFT(C2653,1),"567")),"ERROR: CUENTA fuera de las clases de costo",IF(NOT(ISNUMBER(E2653)),"ERROR: VALOR debe ser numérico",IF(E2653=0,"AVISO: valor cero (no se carga)",IF(J2653&lt;&gt;"ACTIVO","NO SE CARGA: CECO en estado "&amp;J2653,"OK"))))))))))</f>
        <v/>
      </c>
    </row>
    <row r="2654">
      <c r="A2654" s="5" t="n"/>
      <c r="B2654" s="6" t="n"/>
      <c r="C2654" s="5" t="n"/>
      <c r="D2654" s="6" t="n"/>
      <c r="E2654" s="7" t="n"/>
      <c r="F2654" s="6" t="n"/>
      <c r="G2654" s="8">
        <f>IF(B2654="","",IFERROR(VLOOKUP(--B2654,'CATALOGO CECO'!$A$2:$H$550,2,FALSE),"CECO NO EXISTE"))</f>
        <v/>
      </c>
      <c r="H2654" s="8">
        <f>IF(B2654="","",IFERROR(VLOOKUP(--B2654,'CATALOGO CECO'!$A$2:$H$550,3,FALSE),""))</f>
        <v/>
      </c>
      <c r="I2654" s="8">
        <f>IF(B2654="","",IFERROR(VLOOKUP(--B2654,'CATALOGO CECO'!$A$2:$H$550,5,FALSE),""))</f>
        <v/>
      </c>
      <c r="J2654" s="8">
        <f>IF(B2654="","",IFERROR(VLOOKUP(--B2654,'CATALOGO CECO'!$A$2:$H$550,8,FALSE),""))</f>
        <v/>
      </c>
      <c r="K2654" s="8">
        <f>IF(COUNTA(A2654:F2654)=0,"",IF(OR(LEN(A2654)&lt;&gt;7,MID(A2654,5,1)&lt;&gt;"-",ISERROR(--LEFT(A2654,4)),ISERROR(--RIGHT(A2654,2))),"ERROR: PERIODO debe ser AAAA-MM",IF(B2654="","ERROR: falta CODIGO CECO",IF(G2654="CECO NO EXISTE","ERROR: CECO no existe en el catálogo",IF(C2654="","ERROR: falta CUENTA",IF(ISERROR(--C2654),"ERROR: CUENTA debe tener solo dígitos",IF(ISERROR(FIND(LEFT(C2654,1),"567")),"ERROR: CUENTA fuera de las clases de costo",IF(NOT(ISNUMBER(E2654)),"ERROR: VALOR debe ser numérico",IF(E2654=0,"AVISO: valor cero (no se carga)",IF(J2654&lt;&gt;"ACTIVO","NO SE CARGA: CECO en estado "&amp;J2654,"OK"))))))))))</f>
        <v/>
      </c>
    </row>
    <row r="2655">
      <c r="A2655" s="5" t="n"/>
      <c r="B2655" s="6" t="n"/>
      <c r="C2655" s="5" t="n"/>
      <c r="D2655" s="6" t="n"/>
      <c r="E2655" s="7" t="n"/>
      <c r="F2655" s="6" t="n"/>
      <c r="G2655" s="8">
        <f>IF(B2655="","",IFERROR(VLOOKUP(--B2655,'CATALOGO CECO'!$A$2:$H$550,2,FALSE),"CECO NO EXISTE"))</f>
        <v/>
      </c>
      <c r="H2655" s="8">
        <f>IF(B2655="","",IFERROR(VLOOKUP(--B2655,'CATALOGO CECO'!$A$2:$H$550,3,FALSE),""))</f>
        <v/>
      </c>
      <c r="I2655" s="8">
        <f>IF(B2655="","",IFERROR(VLOOKUP(--B2655,'CATALOGO CECO'!$A$2:$H$550,5,FALSE),""))</f>
        <v/>
      </c>
      <c r="J2655" s="8">
        <f>IF(B2655="","",IFERROR(VLOOKUP(--B2655,'CATALOGO CECO'!$A$2:$H$550,8,FALSE),""))</f>
        <v/>
      </c>
      <c r="K2655" s="8">
        <f>IF(COUNTA(A2655:F2655)=0,"",IF(OR(LEN(A2655)&lt;&gt;7,MID(A2655,5,1)&lt;&gt;"-",ISERROR(--LEFT(A2655,4)),ISERROR(--RIGHT(A2655,2))),"ERROR: PERIODO debe ser AAAA-MM",IF(B2655="","ERROR: falta CODIGO CECO",IF(G2655="CECO NO EXISTE","ERROR: CECO no existe en el catálogo",IF(C2655="","ERROR: falta CUENTA",IF(ISERROR(--C2655),"ERROR: CUENTA debe tener solo dígitos",IF(ISERROR(FIND(LEFT(C2655,1),"567")),"ERROR: CUENTA fuera de las clases de costo",IF(NOT(ISNUMBER(E2655)),"ERROR: VALOR debe ser numérico",IF(E2655=0,"AVISO: valor cero (no se carga)",IF(J2655&lt;&gt;"ACTIVO","NO SE CARGA: CECO en estado "&amp;J2655,"OK"))))))))))</f>
        <v/>
      </c>
    </row>
    <row r="2656">
      <c r="A2656" s="5" t="n"/>
      <c r="B2656" s="6" t="n"/>
      <c r="C2656" s="5" t="n"/>
      <c r="D2656" s="6" t="n"/>
      <c r="E2656" s="7" t="n"/>
      <c r="F2656" s="6" t="n"/>
      <c r="G2656" s="8">
        <f>IF(B2656="","",IFERROR(VLOOKUP(--B2656,'CATALOGO CECO'!$A$2:$H$550,2,FALSE),"CECO NO EXISTE"))</f>
        <v/>
      </c>
      <c r="H2656" s="8">
        <f>IF(B2656="","",IFERROR(VLOOKUP(--B2656,'CATALOGO CECO'!$A$2:$H$550,3,FALSE),""))</f>
        <v/>
      </c>
      <c r="I2656" s="8">
        <f>IF(B2656="","",IFERROR(VLOOKUP(--B2656,'CATALOGO CECO'!$A$2:$H$550,5,FALSE),""))</f>
        <v/>
      </c>
      <c r="J2656" s="8">
        <f>IF(B2656="","",IFERROR(VLOOKUP(--B2656,'CATALOGO CECO'!$A$2:$H$550,8,FALSE),""))</f>
        <v/>
      </c>
      <c r="K2656" s="8">
        <f>IF(COUNTA(A2656:F2656)=0,"",IF(OR(LEN(A2656)&lt;&gt;7,MID(A2656,5,1)&lt;&gt;"-",ISERROR(--LEFT(A2656,4)),ISERROR(--RIGHT(A2656,2))),"ERROR: PERIODO debe ser AAAA-MM",IF(B2656="","ERROR: falta CODIGO CECO",IF(G2656="CECO NO EXISTE","ERROR: CECO no existe en el catálogo",IF(C2656="","ERROR: falta CUENTA",IF(ISERROR(--C2656),"ERROR: CUENTA debe tener solo dígitos",IF(ISERROR(FIND(LEFT(C2656,1),"567")),"ERROR: CUENTA fuera de las clases de costo",IF(NOT(ISNUMBER(E2656)),"ERROR: VALOR debe ser numérico",IF(E2656=0,"AVISO: valor cero (no se carga)",IF(J2656&lt;&gt;"ACTIVO","NO SE CARGA: CECO en estado "&amp;J2656,"OK"))))))))))</f>
        <v/>
      </c>
    </row>
    <row r="2657">
      <c r="A2657" s="5" t="n"/>
      <c r="B2657" s="6" t="n"/>
      <c r="C2657" s="5" t="n"/>
      <c r="D2657" s="6" t="n"/>
      <c r="E2657" s="7" t="n"/>
      <c r="F2657" s="6" t="n"/>
      <c r="G2657" s="8">
        <f>IF(B2657="","",IFERROR(VLOOKUP(--B2657,'CATALOGO CECO'!$A$2:$H$550,2,FALSE),"CECO NO EXISTE"))</f>
        <v/>
      </c>
      <c r="H2657" s="8">
        <f>IF(B2657="","",IFERROR(VLOOKUP(--B2657,'CATALOGO CECO'!$A$2:$H$550,3,FALSE),""))</f>
        <v/>
      </c>
      <c r="I2657" s="8">
        <f>IF(B2657="","",IFERROR(VLOOKUP(--B2657,'CATALOGO CECO'!$A$2:$H$550,5,FALSE),""))</f>
        <v/>
      </c>
      <c r="J2657" s="8">
        <f>IF(B2657="","",IFERROR(VLOOKUP(--B2657,'CATALOGO CECO'!$A$2:$H$550,8,FALSE),""))</f>
        <v/>
      </c>
      <c r="K2657" s="8">
        <f>IF(COUNTA(A2657:F2657)=0,"",IF(OR(LEN(A2657)&lt;&gt;7,MID(A2657,5,1)&lt;&gt;"-",ISERROR(--LEFT(A2657,4)),ISERROR(--RIGHT(A2657,2))),"ERROR: PERIODO debe ser AAAA-MM",IF(B2657="","ERROR: falta CODIGO CECO",IF(G2657="CECO NO EXISTE","ERROR: CECO no existe en el catálogo",IF(C2657="","ERROR: falta CUENTA",IF(ISERROR(--C2657),"ERROR: CUENTA debe tener solo dígitos",IF(ISERROR(FIND(LEFT(C2657,1),"567")),"ERROR: CUENTA fuera de las clases de costo",IF(NOT(ISNUMBER(E2657)),"ERROR: VALOR debe ser numérico",IF(E2657=0,"AVISO: valor cero (no se carga)",IF(J2657&lt;&gt;"ACTIVO","NO SE CARGA: CECO en estado "&amp;J2657,"OK"))))))))))</f>
        <v/>
      </c>
    </row>
    <row r="2658">
      <c r="A2658" s="5" t="n"/>
      <c r="B2658" s="6" t="n"/>
      <c r="C2658" s="5" t="n"/>
      <c r="D2658" s="6" t="n"/>
      <c r="E2658" s="7" t="n"/>
      <c r="F2658" s="6" t="n"/>
      <c r="G2658" s="8">
        <f>IF(B2658="","",IFERROR(VLOOKUP(--B2658,'CATALOGO CECO'!$A$2:$H$550,2,FALSE),"CECO NO EXISTE"))</f>
        <v/>
      </c>
      <c r="H2658" s="8">
        <f>IF(B2658="","",IFERROR(VLOOKUP(--B2658,'CATALOGO CECO'!$A$2:$H$550,3,FALSE),""))</f>
        <v/>
      </c>
      <c r="I2658" s="8">
        <f>IF(B2658="","",IFERROR(VLOOKUP(--B2658,'CATALOGO CECO'!$A$2:$H$550,5,FALSE),""))</f>
        <v/>
      </c>
      <c r="J2658" s="8">
        <f>IF(B2658="","",IFERROR(VLOOKUP(--B2658,'CATALOGO CECO'!$A$2:$H$550,8,FALSE),""))</f>
        <v/>
      </c>
      <c r="K2658" s="8">
        <f>IF(COUNTA(A2658:F2658)=0,"",IF(OR(LEN(A2658)&lt;&gt;7,MID(A2658,5,1)&lt;&gt;"-",ISERROR(--LEFT(A2658,4)),ISERROR(--RIGHT(A2658,2))),"ERROR: PERIODO debe ser AAAA-MM",IF(B2658="","ERROR: falta CODIGO CECO",IF(G2658="CECO NO EXISTE","ERROR: CECO no existe en el catálogo",IF(C2658="","ERROR: falta CUENTA",IF(ISERROR(--C2658),"ERROR: CUENTA debe tener solo dígitos",IF(ISERROR(FIND(LEFT(C2658,1),"567")),"ERROR: CUENTA fuera de las clases de costo",IF(NOT(ISNUMBER(E2658)),"ERROR: VALOR debe ser numérico",IF(E2658=0,"AVISO: valor cero (no se carga)",IF(J2658&lt;&gt;"ACTIVO","NO SE CARGA: CECO en estado "&amp;J2658,"OK"))))))))))</f>
        <v/>
      </c>
    </row>
    <row r="2659">
      <c r="A2659" s="5" t="n"/>
      <c r="B2659" s="6" t="n"/>
      <c r="C2659" s="5" t="n"/>
      <c r="D2659" s="6" t="n"/>
      <c r="E2659" s="7" t="n"/>
      <c r="F2659" s="6" t="n"/>
      <c r="G2659" s="8">
        <f>IF(B2659="","",IFERROR(VLOOKUP(--B2659,'CATALOGO CECO'!$A$2:$H$550,2,FALSE),"CECO NO EXISTE"))</f>
        <v/>
      </c>
      <c r="H2659" s="8">
        <f>IF(B2659="","",IFERROR(VLOOKUP(--B2659,'CATALOGO CECO'!$A$2:$H$550,3,FALSE),""))</f>
        <v/>
      </c>
      <c r="I2659" s="8">
        <f>IF(B2659="","",IFERROR(VLOOKUP(--B2659,'CATALOGO CECO'!$A$2:$H$550,5,FALSE),""))</f>
        <v/>
      </c>
      <c r="J2659" s="8">
        <f>IF(B2659="","",IFERROR(VLOOKUP(--B2659,'CATALOGO CECO'!$A$2:$H$550,8,FALSE),""))</f>
        <v/>
      </c>
      <c r="K2659" s="8">
        <f>IF(COUNTA(A2659:F2659)=0,"",IF(OR(LEN(A2659)&lt;&gt;7,MID(A2659,5,1)&lt;&gt;"-",ISERROR(--LEFT(A2659,4)),ISERROR(--RIGHT(A2659,2))),"ERROR: PERIODO debe ser AAAA-MM",IF(B2659="","ERROR: falta CODIGO CECO",IF(G2659="CECO NO EXISTE","ERROR: CECO no existe en el catálogo",IF(C2659="","ERROR: falta CUENTA",IF(ISERROR(--C2659),"ERROR: CUENTA debe tener solo dígitos",IF(ISERROR(FIND(LEFT(C2659,1),"567")),"ERROR: CUENTA fuera de las clases de costo",IF(NOT(ISNUMBER(E2659)),"ERROR: VALOR debe ser numérico",IF(E2659=0,"AVISO: valor cero (no se carga)",IF(J2659&lt;&gt;"ACTIVO","NO SE CARGA: CECO en estado "&amp;J2659,"OK"))))))))))</f>
        <v/>
      </c>
    </row>
    <row r="2660">
      <c r="A2660" s="5" t="n"/>
      <c r="B2660" s="6" t="n"/>
      <c r="C2660" s="5" t="n"/>
      <c r="D2660" s="6" t="n"/>
      <c r="E2660" s="7" t="n"/>
      <c r="F2660" s="6" t="n"/>
      <c r="G2660" s="8">
        <f>IF(B2660="","",IFERROR(VLOOKUP(--B2660,'CATALOGO CECO'!$A$2:$H$550,2,FALSE),"CECO NO EXISTE"))</f>
        <v/>
      </c>
      <c r="H2660" s="8">
        <f>IF(B2660="","",IFERROR(VLOOKUP(--B2660,'CATALOGO CECO'!$A$2:$H$550,3,FALSE),""))</f>
        <v/>
      </c>
      <c r="I2660" s="8">
        <f>IF(B2660="","",IFERROR(VLOOKUP(--B2660,'CATALOGO CECO'!$A$2:$H$550,5,FALSE),""))</f>
        <v/>
      </c>
      <c r="J2660" s="8">
        <f>IF(B2660="","",IFERROR(VLOOKUP(--B2660,'CATALOGO CECO'!$A$2:$H$550,8,FALSE),""))</f>
        <v/>
      </c>
      <c r="K2660" s="8">
        <f>IF(COUNTA(A2660:F2660)=0,"",IF(OR(LEN(A2660)&lt;&gt;7,MID(A2660,5,1)&lt;&gt;"-",ISERROR(--LEFT(A2660,4)),ISERROR(--RIGHT(A2660,2))),"ERROR: PERIODO debe ser AAAA-MM",IF(B2660="","ERROR: falta CODIGO CECO",IF(G2660="CECO NO EXISTE","ERROR: CECO no existe en el catálogo",IF(C2660="","ERROR: falta CUENTA",IF(ISERROR(--C2660),"ERROR: CUENTA debe tener solo dígitos",IF(ISERROR(FIND(LEFT(C2660,1),"567")),"ERROR: CUENTA fuera de las clases de costo",IF(NOT(ISNUMBER(E2660)),"ERROR: VALOR debe ser numérico",IF(E2660=0,"AVISO: valor cero (no se carga)",IF(J2660&lt;&gt;"ACTIVO","NO SE CARGA: CECO en estado "&amp;J2660,"OK"))))))))))</f>
        <v/>
      </c>
    </row>
    <row r="2661">
      <c r="A2661" s="5" t="n"/>
      <c r="B2661" s="6" t="n"/>
      <c r="C2661" s="5" t="n"/>
      <c r="D2661" s="6" t="n"/>
      <c r="E2661" s="7" t="n"/>
      <c r="F2661" s="6" t="n"/>
      <c r="G2661" s="8">
        <f>IF(B2661="","",IFERROR(VLOOKUP(--B2661,'CATALOGO CECO'!$A$2:$H$550,2,FALSE),"CECO NO EXISTE"))</f>
        <v/>
      </c>
      <c r="H2661" s="8">
        <f>IF(B2661="","",IFERROR(VLOOKUP(--B2661,'CATALOGO CECO'!$A$2:$H$550,3,FALSE),""))</f>
        <v/>
      </c>
      <c r="I2661" s="8">
        <f>IF(B2661="","",IFERROR(VLOOKUP(--B2661,'CATALOGO CECO'!$A$2:$H$550,5,FALSE),""))</f>
        <v/>
      </c>
      <c r="J2661" s="8">
        <f>IF(B2661="","",IFERROR(VLOOKUP(--B2661,'CATALOGO CECO'!$A$2:$H$550,8,FALSE),""))</f>
        <v/>
      </c>
      <c r="K2661" s="8">
        <f>IF(COUNTA(A2661:F2661)=0,"",IF(OR(LEN(A2661)&lt;&gt;7,MID(A2661,5,1)&lt;&gt;"-",ISERROR(--LEFT(A2661,4)),ISERROR(--RIGHT(A2661,2))),"ERROR: PERIODO debe ser AAAA-MM",IF(B2661="","ERROR: falta CODIGO CECO",IF(G2661="CECO NO EXISTE","ERROR: CECO no existe en el catálogo",IF(C2661="","ERROR: falta CUENTA",IF(ISERROR(--C2661),"ERROR: CUENTA debe tener solo dígitos",IF(ISERROR(FIND(LEFT(C2661,1),"567")),"ERROR: CUENTA fuera de las clases de costo",IF(NOT(ISNUMBER(E2661)),"ERROR: VALOR debe ser numérico",IF(E2661=0,"AVISO: valor cero (no se carga)",IF(J2661&lt;&gt;"ACTIVO","NO SE CARGA: CECO en estado "&amp;J2661,"OK"))))))))))</f>
        <v/>
      </c>
    </row>
    <row r="2662">
      <c r="A2662" s="5" t="n"/>
      <c r="B2662" s="6" t="n"/>
      <c r="C2662" s="5" t="n"/>
      <c r="D2662" s="6" t="n"/>
      <c r="E2662" s="7" t="n"/>
      <c r="F2662" s="6" t="n"/>
      <c r="G2662" s="8">
        <f>IF(B2662="","",IFERROR(VLOOKUP(--B2662,'CATALOGO CECO'!$A$2:$H$550,2,FALSE),"CECO NO EXISTE"))</f>
        <v/>
      </c>
      <c r="H2662" s="8">
        <f>IF(B2662="","",IFERROR(VLOOKUP(--B2662,'CATALOGO CECO'!$A$2:$H$550,3,FALSE),""))</f>
        <v/>
      </c>
      <c r="I2662" s="8">
        <f>IF(B2662="","",IFERROR(VLOOKUP(--B2662,'CATALOGO CECO'!$A$2:$H$550,5,FALSE),""))</f>
        <v/>
      </c>
      <c r="J2662" s="8">
        <f>IF(B2662="","",IFERROR(VLOOKUP(--B2662,'CATALOGO CECO'!$A$2:$H$550,8,FALSE),""))</f>
        <v/>
      </c>
      <c r="K2662" s="8">
        <f>IF(COUNTA(A2662:F2662)=0,"",IF(OR(LEN(A2662)&lt;&gt;7,MID(A2662,5,1)&lt;&gt;"-",ISERROR(--LEFT(A2662,4)),ISERROR(--RIGHT(A2662,2))),"ERROR: PERIODO debe ser AAAA-MM",IF(B2662="","ERROR: falta CODIGO CECO",IF(G2662="CECO NO EXISTE","ERROR: CECO no existe en el catálogo",IF(C2662="","ERROR: falta CUENTA",IF(ISERROR(--C2662),"ERROR: CUENTA debe tener solo dígitos",IF(ISERROR(FIND(LEFT(C2662,1),"567")),"ERROR: CUENTA fuera de las clases de costo",IF(NOT(ISNUMBER(E2662)),"ERROR: VALOR debe ser numérico",IF(E2662=0,"AVISO: valor cero (no se carga)",IF(J2662&lt;&gt;"ACTIVO","NO SE CARGA: CECO en estado "&amp;J2662,"OK"))))))))))</f>
        <v/>
      </c>
    </row>
    <row r="2663">
      <c r="A2663" s="5" t="n"/>
      <c r="B2663" s="6" t="n"/>
      <c r="C2663" s="5" t="n"/>
      <c r="D2663" s="6" t="n"/>
      <c r="E2663" s="7" t="n"/>
      <c r="F2663" s="6" t="n"/>
      <c r="G2663" s="8">
        <f>IF(B2663="","",IFERROR(VLOOKUP(--B2663,'CATALOGO CECO'!$A$2:$H$550,2,FALSE),"CECO NO EXISTE"))</f>
        <v/>
      </c>
      <c r="H2663" s="8">
        <f>IF(B2663="","",IFERROR(VLOOKUP(--B2663,'CATALOGO CECO'!$A$2:$H$550,3,FALSE),""))</f>
        <v/>
      </c>
      <c r="I2663" s="8">
        <f>IF(B2663="","",IFERROR(VLOOKUP(--B2663,'CATALOGO CECO'!$A$2:$H$550,5,FALSE),""))</f>
        <v/>
      </c>
      <c r="J2663" s="8">
        <f>IF(B2663="","",IFERROR(VLOOKUP(--B2663,'CATALOGO CECO'!$A$2:$H$550,8,FALSE),""))</f>
        <v/>
      </c>
      <c r="K2663" s="8">
        <f>IF(COUNTA(A2663:F2663)=0,"",IF(OR(LEN(A2663)&lt;&gt;7,MID(A2663,5,1)&lt;&gt;"-",ISERROR(--LEFT(A2663,4)),ISERROR(--RIGHT(A2663,2))),"ERROR: PERIODO debe ser AAAA-MM",IF(B2663="","ERROR: falta CODIGO CECO",IF(G2663="CECO NO EXISTE","ERROR: CECO no existe en el catálogo",IF(C2663="","ERROR: falta CUENTA",IF(ISERROR(--C2663),"ERROR: CUENTA debe tener solo dígitos",IF(ISERROR(FIND(LEFT(C2663,1),"567")),"ERROR: CUENTA fuera de las clases de costo",IF(NOT(ISNUMBER(E2663)),"ERROR: VALOR debe ser numérico",IF(E2663=0,"AVISO: valor cero (no se carga)",IF(J2663&lt;&gt;"ACTIVO","NO SE CARGA: CECO en estado "&amp;J2663,"OK"))))))))))</f>
        <v/>
      </c>
    </row>
    <row r="2664">
      <c r="A2664" s="5" t="n"/>
      <c r="B2664" s="6" t="n"/>
      <c r="C2664" s="5" t="n"/>
      <c r="D2664" s="6" t="n"/>
      <c r="E2664" s="7" t="n"/>
      <c r="F2664" s="6" t="n"/>
      <c r="G2664" s="8">
        <f>IF(B2664="","",IFERROR(VLOOKUP(--B2664,'CATALOGO CECO'!$A$2:$H$550,2,FALSE),"CECO NO EXISTE"))</f>
        <v/>
      </c>
      <c r="H2664" s="8">
        <f>IF(B2664="","",IFERROR(VLOOKUP(--B2664,'CATALOGO CECO'!$A$2:$H$550,3,FALSE),""))</f>
        <v/>
      </c>
      <c r="I2664" s="8">
        <f>IF(B2664="","",IFERROR(VLOOKUP(--B2664,'CATALOGO CECO'!$A$2:$H$550,5,FALSE),""))</f>
        <v/>
      </c>
      <c r="J2664" s="8">
        <f>IF(B2664="","",IFERROR(VLOOKUP(--B2664,'CATALOGO CECO'!$A$2:$H$550,8,FALSE),""))</f>
        <v/>
      </c>
      <c r="K2664" s="8">
        <f>IF(COUNTA(A2664:F2664)=0,"",IF(OR(LEN(A2664)&lt;&gt;7,MID(A2664,5,1)&lt;&gt;"-",ISERROR(--LEFT(A2664,4)),ISERROR(--RIGHT(A2664,2))),"ERROR: PERIODO debe ser AAAA-MM",IF(B2664="","ERROR: falta CODIGO CECO",IF(G2664="CECO NO EXISTE","ERROR: CECO no existe en el catálogo",IF(C2664="","ERROR: falta CUENTA",IF(ISERROR(--C2664),"ERROR: CUENTA debe tener solo dígitos",IF(ISERROR(FIND(LEFT(C2664,1),"567")),"ERROR: CUENTA fuera de las clases de costo",IF(NOT(ISNUMBER(E2664)),"ERROR: VALOR debe ser numérico",IF(E2664=0,"AVISO: valor cero (no se carga)",IF(J2664&lt;&gt;"ACTIVO","NO SE CARGA: CECO en estado "&amp;J2664,"OK"))))))))))</f>
        <v/>
      </c>
    </row>
    <row r="2665">
      <c r="A2665" s="5" t="n"/>
      <c r="B2665" s="6" t="n"/>
      <c r="C2665" s="5" t="n"/>
      <c r="D2665" s="6" t="n"/>
      <c r="E2665" s="7" t="n"/>
      <c r="F2665" s="6" t="n"/>
      <c r="G2665" s="8">
        <f>IF(B2665="","",IFERROR(VLOOKUP(--B2665,'CATALOGO CECO'!$A$2:$H$550,2,FALSE),"CECO NO EXISTE"))</f>
        <v/>
      </c>
      <c r="H2665" s="8">
        <f>IF(B2665="","",IFERROR(VLOOKUP(--B2665,'CATALOGO CECO'!$A$2:$H$550,3,FALSE),""))</f>
        <v/>
      </c>
      <c r="I2665" s="8">
        <f>IF(B2665="","",IFERROR(VLOOKUP(--B2665,'CATALOGO CECO'!$A$2:$H$550,5,FALSE),""))</f>
        <v/>
      </c>
      <c r="J2665" s="8">
        <f>IF(B2665="","",IFERROR(VLOOKUP(--B2665,'CATALOGO CECO'!$A$2:$H$550,8,FALSE),""))</f>
        <v/>
      </c>
      <c r="K2665" s="8">
        <f>IF(COUNTA(A2665:F2665)=0,"",IF(OR(LEN(A2665)&lt;&gt;7,MID(A2665,5,1)&lt;&gt;"-",ISERROR(--LEFT(A2665,4)),ISERROR(--RIGHT(A2665,2))),"ERROR: PERIODO debe ser AAAA-MM",IF(B2665="","ERROR: falta CODIGO CECO",IF(G2665="CECO NO EXISTE","ERROR: CECO no existe en el catálogo",IF(C2665="","ERROR: falta CUENTA",IF(ISERROR(--C2665),"ERROR: CUENTA debe tener solo dígitos",IF(ISERROR(FIND(LEFT(C2665,1),"567")),"ERROR: CUENTA fuera de las clases de costo",IF(NOT(ISNUMBER(E2665)),"ERROR: VALOR debe ser numérico",IF(E2665=0,"AVISO: valor cero (no se carga)",IF(J2665&lt;&gt;"ACTIVO","NO SE CARGA: CECO en estado "&amp;J2665,"OK"))))))))))</f>
        <v/>
      </c>
    </row>
    <row r="2666">
      <c r="A2666" s="5" t="n"/>
      <c r="B2666" s="6" t="n"/>
      <c r="C2666" s="5" t="n"/>
      <c r="D2666" s="6" t="n"/>
      <c r="E2666" s="7" t="n"/>
      <c r="F2666" s="6" t="n"/>
      <c r="G2666" s="8">
        <f>IF(B2666="","",IFERROR(VLOOKUP(--B2666,'CATALOGO CECO'!$A$2:$H$550,2,FALSE),"CECO NO EXISTE"))</f>
        <v/>
      </c>
      <c r="H2666" s="8">
        <f>IF(B2666="","",IFERROR(VLOOKUP(--B2666,'CATALOGO CECO'!$A$2:$H$550,3,FALSE),""))</f>
        <v/>
      </c>
      <c r="I2666" s="8">
        <f>IF(B2666="","",IFERROR(VLOOKUP(--B2666,'CATALOGO CECO'!$A$2:$H$550,5,FALSE),""))</f>
        <v/>
      </c>
      <c r="J2666" s="8">
        <f>IF(B2666="","",IFERROR(VLOOKUP(--B2666,'CATALOGO CECO'!$A$2:$H$550,8,FALSE),""))</f>
        <v/>
      </c>
      <c r="K2666" s="8">
        <f>IF(COUNTA(A2666:F2666)=0,"",IF(OR(LEN(A2666)&lt;&gt;7,MID(A2666,5,1)&lt;&gt;"-",ISERROR(--LEFT(A2666,4)),ISERROR(--RIGHT(A2666,2))),"ERROR: PERIODO debe ser AAAA-MM",IF(B2666="","ERROR: falta CODIGO CECO",IF(G2666="CECO NO EXISTE","ERROR: CECO no existe en el catálogo",IF(C2666="","ERROR: falta CUENTA",IF(ISERROR(--C2666),"ERROR: CUENTA debe tener solo dígitos",IF(ISERROR(FIND(LEFT(C2666,1),"567")),"ERROR: CUENTA fuera de las clases de costo",IF(NOT(ISNUMBER(E2666)),"ERROR: VALOR debe ser numérico",IF(E2666=0,"AVISO: valor cero (no se carga)",IF(J2666&lt;&gt;"ACTIVO","NO SE CARGA: CECO en estado "&amp;J2666,"OK"))))))))))</f>
        <v/>
      </c>
    </row>
    <row r="2667">
      <c r="A2667" s="5" t="n"/>
      <c r="B2667" s="6" t="n"/>
      <c r="C2667" s="5" t="n"/>
      <c r="D2667" s="6" t="n"/>
      <c r="E2667" s="7" t="n"/>
      <c r="F2667" s="6" t="n"/>
      <c r="G2667" s="8">
        <f>IF(B2667="","",IFERROR(VLOOKUP(--B2667,'CATALOGO CECO'!$A$2:$H$550,2,FALSE),"CECO NO EXISTE"))</f>
        <v/>
      </c>
      <c r="H2667" s="8">
        <f>IF(B2667="","",IFERROR(VLOOKUP(--B2667,'CATALOGO CECO'!$A$2:$H$550,3,FALSE),""))</f>
        <v/>
      </c>
      <c r="I2667" s="8">
        <f>IF(B2667="","",IFERROR(VLOOKUP(--B2667,'CATALOGO CECO'!$A$2:$H$550,5,FALSE),""))</f>
        <v/>
      </c>
      <c r="J2667" s="8">
        <f>IF(B2667="","",IFERROR(VLOOKUP(--B2667,'CATALOGO CECO'!$A$2:$H$550,8,FALSE),""))</f>
        <v/>
      </c>
      <c r="K2667" s="8">
        <f>IF(COUNTA(A2667:F2667)=0,"",IF(OR(LEN(A2667)&lt;&gt;7,MID(A2667,5,1)&lt;&gt;"-",ISERROR(--LEFT(A2667,4)),ISERROR(--RIGHT(A2667,2))),"ERROR: PERIODO debe ser AAAA-MM",IF(B2667="","ERROR: falta CODIGO CECO",IF(G2667="CECO NO EXISTE","ERROR: CECO no existe en el catálogo",IF(C2667="","ERROR: falta CUENTA",IF(ISERROR(--C2667),"ERROR: CUENTA debe tener solo dígitos",IF(ISERROR(FIND(LEFT(C2667,1),"567")),"ERROR: CUENTA fuera de las clases de costo",IF(NOT(ISNUMBER(E2667)),"ERROR: VALOR debe ser numérico",IF(E2667=0,"AVISO: valor cero (no se carga)",IF(J2667&lt;&gt;"ACTIVO","NO SE CARGA: CECO en estado "&amp;J2667,"OK"))))))))))</f>
        <v/>
      </c>
    </row>
    <row r="2668">
      <c r="A2668" s="5" t="n"/>
      <c r="B2668" s="6" t="n"/>
      <c r="C2668" s="5" t="n"/>
      <c r="D2668" s="6" t="n"/>
      <c r="E2668" s="7" t="n"/>
      <c r="F2668" s="6" t="n"/>
      <c r="G2668" s="8">
        <f>IF(B2668="","",IFERROR(VLOOKUP(--B2668,'CATALOGO CECO'!$A$2:$H$550,2,FALSE),"CECO NO EXISTE"))</f>
        <v/>
      </c>
      <c r="H2668" s="8">
        <f>IF(B2668="","",IFERROR(VLOOKUP(--B2668,'CATALOGO CECO'!$A$2:$H$550,3,FALSE),""))</f>
        <v/>
      </c>
      <c r="I2668" s="8">
        <f>IF(B2668="","",IFERROR(VLOOKUP(--B2668,'CATALOGO CECO'!$A$2:$H$550,5,FALSE),""))</f>
        <v/>
      </c>
      <c r="J2668" s="8">
        <f>IF(B2668="","",IFERROR(VLOOKUP(--B2668,'CATALOGO CECO'!$A$2:$H$550,8,FALSE),""))</f>
        <v/>
      </c>
      <c r="K2668" s="8">
        <f>IF(COUNTA(A2668:F2668)=0,"",IF(OR(LEN(A2668)&lt;&gt;7,MID(A2668,5,1)&lt;&gt;"-",ISERROR(--LEFT(A2668,4)),ISERROR(--RIGHT(A2668,2))),"ERROR: PERIODO debe ser AAAA-MM",IF(B2668="","ERROR: falta CODIGO CECO",IF(G2668="CECO NO EXISTE","ERROR: CECO no existe en el catálogo",IF(C2668="","ERROR: falta CUENTA",IF(ISERROR(--C2668),"ERROR: CUENTA debe tener solo dígitos",IF(ISERROR(FIND(LEFT(C2668,1),"567")),"ERROR: CUENTA fuera de las clases de costo",IF(NOT(ISNUMBER(E2668)),"ERROR: VALOR debe ser numérico",IF(E2668=0,"AVISO: valor cero (no se carga)",IF(J2668&lt;&gt;"ACTIVO","NO SE CARGA: CECO en estado "&amp;J2668,"OK"))))))))))</f>
        <v/>
      </c>
    </row>
    <row r="2669">
      <c r="A2669" s="5" t="n"/>
      <c r="B2669" s="6" t="n"/>
      <c r="C2669" s="5" t="n"/>
      <c r="D2669" s="6" t="n"/>
      <c r="E2669" s="7" t="n"/>
      <c r="F2669" s="6" t="n"/>
      <c r="G2669" s="8">
        <f>IF(B2669="","",IFERROR(VLOOKUP(--B2669,'CATALOGO CECO'!$A$2:$H$550,2,FALSE),"CECO NO EXISTE"))</f>
        <v/>
      </c>
      <c r="H2669" s="8">
        <f>IF(B2669="","",IFERROR(VLOOKUP(--B2669,'CATALOGO CECO'!$A$2:$H$550,3,FALSE),""))</f>
        <v/>
      </c>
      <c r="I2669" s="8">
        <f>IF(B2669="","",IFERROR(VLOOKUP(--B2669,'CATALOGO CECO'!$A$2:$H$550,5,FALSE),""))</f>
        <v/>
      </c>
      <c r="J2669" s="8">
        <f>IF(B2669="","",IFERROR(VLOOKUP(--B2669,'CATALOGO CECO'!$A$2:$H$550,8,FALSE),""))</f>
        <v/>
      </c>
      <c r="K2669" s="8">
        <f>IF(COUNTA(A2669:F2669)=0,"",IF(OR(LEN(A2669)&lt;&gt;7,MID(A2669,5,1)&lt;&gt;"-",ISERROR(--LEFT(A2669,4)),ISERROR(--RIGHT(A2669,2))),"ERROR: PERIODO debe ser AAAA-MM",IF(B2669="","ERROR: falta CODIGO CECO",IF(G2669="CECO NO EXISTE","ERROR: CECO no existe en el catálogo",IF(C2669="","ERROR: falta CUENTA",IF(ISERROR(--C2669),"ERROR: CUENTA debe tener solo dígitos",IF(ISERROR(FIND(LEFT(C2669,1),"567")),"ERROR: CUENTA fuera de las clases de costo",IF(NOT(ISNUMBER(E2669)),"ERROR: VALOR debe ser numérico",IF(E2669=0,"AVISO: valor cero (no se carga)",IF(J2669&lt;&gt;"ACTIVO","NO SE CARGA: CECO en estado "&amp;J2669,"OK"))))))))))</f>
        <v/>
      </c>
    </row>
    <row r="2670">
      <c r="A2670" s="5" t="n"/>
      <c r="B2670" s="6" t="n"/>
      <c r="C2670" s="5" t="n"/>
      <c r="D2670" s="6" t="n"/>
      <c r="E2670" s="7" t="n"/>
      <c r="F2670" s="6" t="n"/>
      <c r="G2670" s="8">
        <f>IF(B2670="","",IFERROR(VLOOKUP(--B2670,'CATALOGO CECO'!$A$2:$H$550,2,FALSE),"CECO NO EXISTE"))</f>
        <v/>
      </c>
      <c r="H2670" s="8">
        <f>IF(B2670="","",IFERROR(VLOOKUP(--B2670,'CATALOGO CECO'!$A$2:$H$550,3,FALSE),""))</f>
        <v/>
      </c>
      <c r="I2670" s="8">
        <f>IF(B2670="","",IFERROR(VLOOKUP(--B2670,'CATALOGO CECO'!$A$2:$H$550,5,FALSE),""))</f>
        <v/>
      </c>
      <c r="J2670" s="8">
        <f>IF(B2670="","",IFERROR(VLOOKUP(--B2670,'CATALOGO CECO'!$A$2:$H$550,8,FALSE),""))</f>
        <v/>
      </c>
      <c r="K2670" s="8">
        <f>IF(COUNTA(A2670:F2670)=0,"",IF(OR(LEN(A2670)&lt;&gt;7,MID(A2670,5,1)&lt;&gt;"-",ISERROR(--LEFT(A2670,4)),ISERROR(--RIGHT(A2670,2))),"ERROR: PERIODO debe ser AAAA-MM",IF(B2670="","ERROR: falta CODIGO CECO",IF(G2670="CECO NO EXISTE","ERROR: CECO no existe en el catálogo",IF(C2670="","ERROR: falta CUENTA",IF(ISERROR(--C2670),"ERROR: CUENTA debe tener solo dígitos",IF(ISERROR(FIND(LEFT(C2670,1),"567")),"ERROR: CUENTA fuera de las clases de costo",IF(NOT(ISNUMBER(E2670)),"ERROR: VALOR debe ser numérico",IF(E2670=0,"AVISO: valor cero (no se carga)",IF(J2670&lt;&gt;"ACTIVO","NO SE CARGA: CECO en estado "&amp;J2670,"OK"))))))))))</f>
        <v/>
      </c>
    </row>
    <row r="2671">
      <c r="A2671" s="5" t="n"/>
      <c r="B2671" s="6" t="n"/>
      <c r="C2671" s="5" t="n"/>
      <c r="D2671" s="6" t="n"/>
      <c r="E2671" s="7" t="n"/>
      <c r="F2671" s="6" t="n"/>
      <c r="G2671" s="8">
        <f>IF(B2671="","",IFERROR(VLOOKUP(--B2671,'CATALOGO CECO'!$A$2:$H$550,2,FALSE),"CECO NO EXISTE"))</f>
        <v/>
      </c>
      <c r="H2671" s="8">
        <f>IF(B2671="","",IFERROR(VLOOKUP(--B2671,'CATALOGO CECO'!$A$2:$H$550,3,FALSE),""))</f>
        <v/>
      </c>
      <c r="I2671" s="8">
        <f>IF(B2671="","",IFERROR(VLOOKUP(--B2671,'CATALOGO CECO'!$A$2:$H$550,5,FALSE),""))</f>
        <v/>
      </c>
      <c r="J2671" s="8">
        <f>IF(B2671="","",IFERROR(VLOOKUP(--B2671,'CATALOGO CECO'!$A$2:$H$550,8,FALSE),""))</f>
        <v/>
      </c>
      <c r="K2671" s="8">
        <f>IF(COUNTA(A2671:F2671)=0,"",IF(OR(LEN(A2671)&lt;&gt;7,MID(A2671,5,1)&lt;&gt;"-",ISERROR(--LEFT(A2671,4)),ISERROR(--RIGHT(A2671,2))),"ERROR: PERIODO debe ser AAAA-MM",IF(B2671="","ERROR: falta CODIGO CECO",IF(G2671="CECO NO EXISTE","ERROR: CECO no existe en el catálogo",IF(C2671="","ERROR: falta CUENTA",IF(ISERROR(--C2671),"ERROR: CUENTA debe tener solo dígitos",IF(ISERROR(FIND(LEFT(C2671,1),"567")),"ERROR: CUENTA fuera de las clases de costo",IF(NOT(ISNUMBER(E2671)),"ERROR: VALOR debe ser numérico",IF(E2671=0,"AVISO: valor cero (no se carga)",IF(J2671&lt;&gt;"ACTIVO","NO SE CARGA: CECO en estado "&amp;J2671,"OK"))))))))))</f>
        <v/>
      </c>
    </row>
    <row r="2672">
      <c r="A2672" s="5" t="n"/>
      <c r="B2672" s="6" t="n"/>
      <c r="C2672" s="5" t="n"/>
      <c r="D2672" s="6" t="n"/>
      <c r="E2672" s="7" t="n"/>
      <c r="F2672" s="6" t="n"/>
      <c r="G2672" s="8">
        <f>IF(B2672="","",IFERROR(VLOOKUP(--B2672,'CATALOGO CECO'!$A$2:$H$550,2,FALSE),"CECO NO EXISTE"))</f>
        <v/>
      </c>
      <c r="H2672" s="8">
        <f>IF(B2672="","",IFERROR(VLOOKUP(--B2672,'CATALOGO CECO'!$A$2:$H$550,3,FALSE),""))</f>
        <v/>
      </c>
      <c r="I2672" s="8">
        <f>IF(B2672="","",IFERROR(VLOOKUP(--B2672,'CATALOGO CECO'!$A$2:$H$550,5,FALSE),""))</f>
        <v/>
      </c>
      <c r="J2672" s="8">
        <f>IF(B2672="","",IFERROR(VLOOKUP(--B2672,'CATALOGO CECO'!$A$2:$H$550,8,FALSE),""))</f>
        <v/>
      </c>
      <c r="K2672" s="8">
        <f>IF(COUNTA(A2672:F2672)=0,"",IF(OR(LEN(A2672)&lt;&gt;7,MID(A2672,5,1)&lt;&gt;"-",ISERROR(--LEFT(A2672,4)),ISERROR(--RIGHT(A2672,2))),"ERROR: PERIODO debe ser AAAA-MM",IF(B2672="","ERROR: falta CODIGO CECO",IF(G2672="CECO NO EXISTE","ERROR: CECO no existe en el catálogo",IF(C2672="","ERROR: falta CUENTA",IF(ISERROR(--C2672),"ERROR: CUENTA debe tener solo dígitos",IF(ISERROR(FIND(LEFT(C2672,1),"567")),"ERROR: CUENTA fuera de las clases de costo",IF(NOT(ISNUMBER(E2672)),"ERROR: VALOR debe ser numérico",IF(E2672=0,"AVISO: valor cero (no se carga)",IF(J2672&lt;&gt;"ACTIVO","NO SE CARGA: CECO en estado "&amp;J2672,"OK"))))))))))</f>
        <v/>
      </c>
    </row>
    <row r="2673">
      <c r="A2673" s="5" t="n"/>
      <c r="B2673" s="6" t="n"/>
      <c r="C2673" s="5" t="n"/>
      <c r="D2673" s="6" t="n"/>
      <c r="E2673" s="7" t="n"/>
      <c r="F2673" s="6" t="n"/>
      <c r="G2673" s="8">
        <f>IF(B2673="","",IFERROR(VLOOKUP(--B2673,'CATALOGO CECO'!$A$2:$H$550,2,FALSE),"CECO NO EXISTE"))</f>
        <v/>
      </c>
      <c r="H2673" s="8">
        <f>IF(B2673="","",IFERROR(VLOOKUP(--B2673,'CATALOGO CECO'!$A$2:$H$550,3,FALSE),""))</f>
        <v/>
      </c>
      <c r="I2673" s="8">
        <f>IF(B2673="","",IFERROR(VLOOKUP(--B2673,'CATALOGO CECO'!$A$2:$H$550,5,FALSE),""))</f>
        <v/>
      </c>
      <c r="J2673" s="8">
        <f>IF(B2673="","",IFERROR(VLOOKUP(--B2673,'CATALOGO CECO'!$A$2:$H$550,8,FALSE),""))</f>
        <v/>
      </c>
      <c r="K2673" s="8">
        <f>IF(COUNTA(A2673:F2673)=0,"",IF(OR(LEN(A2673)&lt;&gt;7,MID(A2673,5,1)&lt;&gt;"-",ISERROR(--LEFT(A2673,4)),ISERROR(--RIGHT(A2673,2))),"ERROR: PERIODO debe ser AAAA-MM",IF(B2673="","ERROR: falta CODIGO CECO",IF(G2673="CECO NO EXISTE","ERROR: CECO no existe en el catálogo",IF(C2673="","ERROR: falta CUENTA",IF(ISERROR(--C2673),"ERROR: CUENTA debe tener solo dígitos",IF(ISERROR(FIND(LEFT(C2673,1),"567")),"ERROR: CUENTA fuera de las clases de costo",IF(NOT(ISNUMBER(E2673)),"ERROR: VALOR debe ser numérico",IF(E2673=0,"AVISO: valor cero (no se carga)",IF(J2673&lt;&gt;"ACTIVO","NO SE CARGA: CECO en estado "&amp;J2673,"OK"))))))))))</f>
        <v/>
      </c>
    </row>
    <row r="2674">
      <c r="A2674" s="5" t="n"/>
      <c r="B2674" s="6" t="n"/>
      <c r="C2674" s="5" t="n"/>
      <c r="D2674" s="6" t="n"/>
      <c r="E2674" s="7" t="n"/>
      <c r="F2674" s="6" t="n"/>
      <c r="G2674" s="8">
        <f>IF(B2674="","",IFERROR(VLOOKUP(--B2674,'CATALOGO CECO'!$A$2:$H$550,2,FALSE),"CECO NO EXISTE"))</f>
        <v/>
      </c>
      <c r="H2674" s="8">
        <f>IF(B2674="","",IFERROR(VLOOKUP(--B2674,'CATALOGO CECO'!$A$2:$H$550,3,FALSE),""))</f>
        <v/>
      </c>
      <c r="I2674" s="8">
        <f>IF(B2674="","",IFERROR(VLOOKUP(--B2674,'CATALOGO CECO'!$A$2:$H$550,5,FALSE),""))</f>
        <v/>
      </c>
      <c r="J2674" s="8">
        <f>IF(B2674="","",IFERROR(VLOOKUP(--B2674,'CATALOGO CECO'!$A$2:$H$550,8,FALSE),""))</f>
        <v/>
      </c>
      <c r="K2674" s="8">
        <f>IF(COUNTA(A2674:F2674)=0,"",IF(OR(LEN(A2674)&lt;&gt;7,MID(A2674,5,1)&lt;&gt;"-",ISERROR(--LEFT(A2674,4)),ISERROR(--RIGHT(A2674,2))),"ERROR: PERIODO debe ser AAAA-MM",IF(B2674="","ERROR: falta CODIGO CECO",IF(G2674="CECO NO EXISTE","ERROR: CECO no existe en el catálogo",IF(C2674="","ERROR: falta CUENTA",IF(ISERROR(--C2674),"ERROR: CUENTA debe tener solo dígitos",IF(ISERROR(FIND(LEFT(C2674,1),"567")),"ERROR: CUENTA fuera de las clases de costo",IF(NOT(ISNUMBER(E2674)),"ERROR: VALOR debe ser numérico",IF(E2674=0,"AVISO: valor cero (no se carga)",IF(J2674&lt;&gt;"ACTIVO","NO SE CARGA: CECO en estado "&amp;J2674,"OK"))))))))))</f>
        <v/>
      </c>
    </row>
    <row r="2675">
      <c r="A2675" s="5" t="n"/>
      <c r="B2675" s="6" t="n"/>
      <c r="C2675" s="5" t="n"/>
      <c r="D2675" s="6" t="n"/>
      <c r="E2675" s="7" t="n"/>
      <c r="F2675" s="6" t="n"/>
      <c r="G2675" s="8">
        <f>IF(B2675="","",IFERROR(VLOOKUP(--B2675,'CATALOGO CECO'!$A$2:$H$550,2,FALSE),"CECO NO EXISTE"))</f>
        <v/>
      </c>
      <c r="H2675" s="8">
        <f>IF(B2675="","",IFERROR(VLOOKUP(--B2675,'CATALOGO CECO'!$A$2:$H$550,3,FALSE),""))</f>
        <v/>
      </c>
      <c r="I2675" s="8">
        <f>IF(B2675="","",IFERROR(VLOOKUP(--B2675,'CATALOGO CECO'!$A$2:$H$550,5,FALSE),""))</f>
        <v/>
      </c>
      <c r="J2675" s="8">
        <f>IF(B2675="","",IFERROR(VLOOKUP(--B2675,'CATALOGO CECO'!$A$2:$H$550,8,FALSE),""))</f>
        <v/>
      </c>
      <c r="K2675" s="8">
        <f>IF(COUNTA(A2675:F2675)=0,"",IF(OR(LEN(A2675)&lt;&gt;7,MID(A2675,5,1)&lt;&gt;"-",ISERROR(--LEFT(A2675,4)),ISERROR(--RIGHT(A2675,2))),"ERROR: PERIODO debe ser AAAA-MM",IF(B2675="","ERROR: falta CODIGO CECO",IF(G2675="CECO NO EXISTE","ERROR: CECO no existe en el catálogo",IF(C2675="","ERROR: falta CUENTA",IF(ISERROR(--C2675),"ERROR: CUENTA debe tener solo dígitos",IF(ISERROR(FIND(LEFT(C2675,1),"567")),"ERROR: CUENTA fuera de las clases de costo",IF(NOT(ISNUMBER(E2675)),"ERROR: VALOR debe ser numérico",IF(E2675=0,"AVISO: valor cero (no se carga)",IF(J2675&lt;&gt;"ACTIVO","NO SE CARGA: CECO en estado "&amp;J2675,"OK"))))))))))</f>
        <v/>
      </c>
    </row>
    <row r="2676">
      <c r="A2676" s="5" t="n"/>
      <c r="B2676" s="6" t="n"/>
      <c r="C2676" s="5" t="n"/>
      <c r="D2676" s="6" t="n"/>
      <c r="E2676" s="7" t="n"/>
      <c r="F2676" s="6" t="n"/>
      <c r="G2676" s="8">
        <f>IF(B2676="","",IFERROR(VLOOKUP(--B2676,'CATALOGO CECO'!$A$2:$H$550,2,FALSE),"CECO NO EXISTE"))</f>
        <v/>
      </c>
      <c r="H2676" s="8">
        <f>IF(B2676="","",IFERROR(VLOOKUP(--B2676,'CATALOGO CECO'!$A$2:$H$550,3,FALSE),""))</f>
        <v/>
      </c>
      <c r="I2676" s="8">
        <f>IF(B2676="","",IFERROR(VLOOKUP(--B2676,'CATALOGO CECO'!$A$2:$H$550,5,FALSE),""))</f>
        <v/>
      </c>
      <c r="J2676" s="8">
        <f>IF(B2676="","",IFERROR(VLOOKUP(--B2676,'CATALOGO CECO'!$A$2:$H$550,8,FALSE),""))</f>
        <v/>
      </c>
      <c r="K2676" s="8">
        <f>IF(COUNTA(A2676:F2676)=0,"",IF(OR(LEN(A2676)&lt;&gt;7,MID(A2676,5,1)&lt;&gt;"-",ISERROR(--LEFT(A2676,4)),ISERROR(--RIGHT(A2676,2))),"ERROR: PERIODO debe ser AAAA-MM",IF(B2676="","ERROR: falta CODIGO CECO",IF(G2676="CECO NO EXISTE","ERROR: CECO no existe en el catálogo",IF(C2676="","ERROR: falta CUENTA",IF(ISERROR(--C2676),"ERROR: CUENTA debe tener solo dígitos",IF(ISERROR(FIND(LEFT(C2676,1),"567")),"ERROR: CUENTA fuera de las clases de costo",IF(NOT(ISNUMBER(E2676)),"ERROR: VALOR debe ser numérico",IF(E2676=0,"AVISO: valor cero (no se carga)",IF(J2676&lt;&gt;"ACTIVO","NO SE CARGA: CECO en estado "&amp;J2676,"OK"))))))))))</f>
        <v/>
      </c>
    </row>
    <row r="2677">
      <c r="A2677" s="5" t="n"/>
      <c r="B2677" s="6" t="n"/>
      <c r="C2677" s="5" t="n"/>
      <c r="D2677" s="6" t="n"/>
      <c r="E2677" s="7" t="n"/>
      <c r="F2677" s="6" t="n"/>
      <c r="G2677" s="8">
        <f>IF(B2677="","",IFERROR(VLOOKUP(--B2677,'CATALOGO CECO'!$A$2:$H$550,2,FALSE),"CECO NO EXISTE"))</f>
        <v/>
      </c>
      <c r="H2677" s="8">
        <f>IF(B2677="","",IFERROR(VLOOKUP(--B2677,'CATALOGO CECO'!$A$2:$H$550,3,FALSE),""))</f>
        <v/>
      </c>
      <c r="I2677" s="8">
        <f>IF(B2677="","",IFERROR(VLOOKUP(--B2677,'CATALOGO CECO'!$A$2:$H$550,5,FALSE),""))</f>
        <v/>
      </c>
      <c r="J2677" s="8">
        <f>IF(B2677="","",IFERROR(VLOOKUP(--B2677,'CATALOGO CECO'!$A$2:$H$550,8,FALSE),""))</f>
        <v/>
      </c>
      <c r="K2677" s="8">
        <f>IF(COUNTA(A2677:F2677)=0,"",IF(OR(LEN(A2677)&lt;&gt;7,MID(A2677,5,1)&lt;&gt;"-",ISERROR(--LEFT(A2677,4)),ISERROR(--RIGHT(A2677,2))),"ERROR: PERIODO debe ser AAAA-MM",IF(B2677="","ERROR: falta CODIGO CECO",IF(G2677="CECO NO EXISTE","ERROR: CECO no existe en el catálogo",IF(C2677="","ERROR: falta CUENTA",IF(ISERROR(--C2677),"ERROR: CUENTA debe tener solo dígitos",IF(ISERROR(FIND(LEFT(C2677,1),"567")),"ERROR: CUENTA fuera de las clases de costo",IF(NOT(ISNUMBER(E2677)),"ERROR: VALOR debe ser numérico",IF(E2677=0,"AVISO: valor cero (no se carga)",IF(J2677&lt;&gt;"ACTIVO","NO SE CARGA: CECO en estado "&amp;J2677,"OK"))))))))))</f>
        <v/>
      </c>
    </row>
    <row r="2678">
      <c r="A2678" s="5" t="n"/>
      <c r="B2678" s="6" t="n"/>
      <c r="C2678" s="5" t="n"/>
      <c r="D2678" s="6" t="n"/>
      <c r="E2678" s="7" t="n"/>
      <c r="F2678" s="6" t="n"/>
      <c r="G2678" s="8">
        <f>IF(B2678="","",IFERROR(VLOOKUP(--B2678,'CATALOGO CECO'!$A$2:$H$550,2,FALSE),"CECO NO EXISTE"))</f>
        <v/>
      </c>
      <c r="H2678" s="8">
        <f>IF(B2678="","",IFERROR(VLOOKUP(--B2678,'CATALOGO CECO'!$A$2:$H$550,3,FALSE),""))</f>
        <v/>
      </c>
      <c r="I2678" s="8">
        <f>IF(B2678="","",IFERROR(VLOOKUP(--B2678,'CATALOGO CECO'!$A$2:$H$550,5,FALSE),""))</f>
        <v/>
      </c>
      <c r="J2678" s="8">
        <f>IF(B2678="","",IFERROR(VLOOKUP(--B2678,'CATALOGO CECO'!$A$2:$H$550,8,FALSE),""))</f>
        <v/>
      </c>
      <c r="K2678" s="8">
        <f>IF(COUNTA(A2678:F2678)=0,"",IF(OR(LEN(A2678)&lt;&gt;7,MID(A2678,5,1)&lt;&gt;"-",ISERROR(--LEFT(A2678,4)),ISERROR(--RIGHT(A2678,2))),"ERROR: PERIODO debe ser AAAA-MM",IF(B2678="","ERROR: falta CODIGO CECO",IF(G2678="CECO NO EXISTE","ERROR: CECO no existe en el catálogo",IF(C2678="","ERROR: falta CUENTA",IF(ISERROR(--C2678),"ERROR: CUENTA debe tener solo dígitos",IF(ISERROR(FIND(LEFT(C2678,1),"567")),"ERROR: CUENTA fuera de las clases de costo",IF(NOT(ISNUMBER(E2678)),"ERROR: VALOR debe ser numérico",IF(E2678=0,"AVISO: valor cero (no se carga)",IF(J2678&lt;&gt;"ACTIVO","NO SE CARGA: CECO en estado "&amp;J2678,"OK"))))))))))</f>
        <v/>
      </c>
    </row>
    <row r="2679">
      <c r="A2679" s="5" t="n"/>
      <c r="B2679" s="6" t="n"/>
      <c r="C2679" s="5" t="n"/>
      <c r="D2679" s="6" t="n"/>
      <c r="E2679" s="7" t="n"/>
      <c r="F2679" s="6" t="n"/>
      <c r="G2679" s="8">
        <f>IF(B2679="","",IFERROR(VLOOKUP(--B2679,'CATALOGO CECO'!$A$2:$H$550,2,FALSE),"CECO NO EXISTE"))</f>
        <v/>
      </c>
      <c r="H2679" s="8">
        <f>IF(B2679="","",IFERROR(VLOOKUP(--B2679,'CATALOGO CECO'!$A$2:$H$550,3,FALSE),""))</f>
        <v/>
      </c>
      <c r="I2679" s="8">
        <f>IF(B2679="","",IFERROR(VLOOKUP(--B2679,'CATALOGO CECO'!$A$2:$H$550,5,FALSE),""))</f>
        <v/>
      </c>
      <c r="J2679" s="8">
        <f>IF(B2679="","",IFERROR(VLOOKUP(--B2679,'CATALOGO CECO'!$A$2:$H$550,8,FALSE),""))</f>
        <v/>
      </c>
      <c r="K2679" s="8">
        <f>IF(COUNTA(A2679:F2679)=0,"",IF(OR(LEN(A2679)&lt;&gt;7,MID(A2679,5,1)&lt;&gt;"-",ISERROR(--LEFT(A2679,4)),ISERROR(--RIGHT(A2679,2))),"ERROR: PERIODO debe ser AAAA-MM",IF(B2679="","ERROR: falta CODIGO CECO",IF(G2679="CECO NO EXISTE","ERROR: CECO no existe en el catálogo",IF(C2679="","ERROR: falta CUENTA",IF(ISERROR(--C2679),"ERROR: CUENTA debe tener solo dígitos",IF(ISERROR(FIND(LEFT(C2679,1),"567")),"ERROR: CUENTA fuera de las clases de costo",IF(NOT(ISNUMBER(E2679)),"ERROR: VALOR debe ser numérico",IF(E2679=0,"AVISO: valor cero (no se carga)",IF(J2679&lt;&gt;"ACTIVO","NO SE CARGA: CECO en estado "&amp;J2679,"OK"))))))))))</f>
        <v/>
      </c>
    </row>
    <row r="2680">
      <c r="A2680" s="5" t="n"/>
      <c r="B2680" s="6" t="n"/>
      <c r="C2680" s="5" t="n"/>
      <c r="D2680" s="6" t="n"/>
      <c r="E2680" s="7" t="n"/>
      <c r="F2680" s="6" t="n"/>
      <c r="G2680" s="8">
        <f>IF(B2680="","",IFERROR(VLOOKUP(--B2680,'CATALOGO CECO'!$A$2:$H$550,2,FALSE),"CECO NO EXISTE"))</f>
        <v/>
      </c>
      <c r="H2680" s="8">
        <f>IF(B2680="","",IFERROR(VLOOKUP(--B2680,'CATALOGO CECO'!$A$2:$H$550,3,FALSE),""))</f>
        <v/>
      </c>
      <c r="I2680" s="8">
        <f>IF(B2680="","",IFERROR(VLOOKUP(--B2680,'CATALOGO CECO'!$A$2:$H$550,5,FALSE),""))</f>
        <v/>
      </c>
      <c r="J2680" s="8">
        <f>IF(B2680="","",IFERROR(VLOOKUP(--B2680,'CATALOGO CECO'!$A$2:$H$550,8,FALSE),""))</f>
        <v/>
      </c>
      <c r="K2680" s="8">
        <f>IF(COUNTA(A2680:F2680)=0,"",IF(OR(LEN(A2680)&lt;&gt;7,MID(A2680,5,1)&lt;&gt;"-",ISERROR(--LEFT(A2680,4)),ISERROR(--RIGHT(A2680,2))),"ERROR: PERIODO debe ser AAAA-MM",IF(B2680="","ERROR: falta CODIGO CECO",IF(G2680="CECO NO EXISTE","ERROR: CECO no existe en el catálogo",IF(C2680="","ERROR: falta CUENTA",IF(ISERROR(--C2680),"ERROR: CUENTA debe tener solo dígitos",IF(ISERROR(FIND(LEFT(C2680,1),"567")),"ERROR: CUENTA fuera de las clases de costo",IF(NOT(ISNUMBER(E2680)),"ERROR: VALOR debe ser numérico",IF(E2680=0,"AVISO: valor cero (no se carga)",IF(J2680&lt;&gt;"ACTIVO","NO SE CARGA: CECO en estado "&amp;J2680,"OK"))))))))))</f>
        <v/>
      </c>
    </row>
    <row r="2681">
      <c r="A2681" s="5" t="n"/>
      <c r="B2681" s="6" t="n"/>
      <c r="C2681" s="5" t="n"/>
      <c r="D2681" s="6" t="n"/>
      <c r="E2681" s="7" t="n"/>
      <c r="F2681" s="6" t="n"/>
      <c r="G2681" s="8">
        <f>IF(B2681="","",IFERROR(VLOOKUP(--B2681,'CATALOGO CECO'!$A$2:$H$550,2,FALSE),"CECO NO EXISTE"))</f>
        <v/>
      </c>
      <c r="H2681" s="8">
        <f>IF(B2681="","",IFERROR(VLOOKUP(--B2681,'CATALOGO CECO'!$A$2:$H$550,3,FALSE),""))</f>
        <v/>
      </c>
      <c r="I2681" s="8">
        <f>IF(B2681="","",IFERROR(VLOOKUP(--B2681,'CATALOGO CECO'!$A$2:$H$550,5,FALSE),""))</f>
        <v/>
      </c>
      <c r="J2681" s="8">
        <f>IF(B2681="","",IFERROR(VLOOKUP(--B2681,'CATALOGO CECO'!$A$2:$H$550,8,FALSE),""))</f>
        <v/>
      </c>
      <c r="K2681" s="8">
        <f>IF(COUNTA(A2681:F2681)=0,"",IF(OR(LEN(A2681)&lt;&gt;7,MID(A2681,5,1)&lt;&gt;"-",ISERROR(--LEFT(A2681,4)),ISERROR(--RIGHT(A2681,2))),"ERROR: PERIODO debe ser AAAA-MM",IF(B2681="","ERROR: falta CODIGO CECO",IF(G2681="CECO NO EXISTE","ERROR: CECO no existe en el catálogo",IF(C2681="","ERROR: falta CUENTA",IF(ISERROR(--C2681),"ERROR: CUENTA debe tener solo dígitos",IF(ISERROR(FIND(LEFT(C2681,1),"567")),"ERROR: CUENTA fuera de las clases de costo",IF(NOT(ISNUMBER(E2681)),"ERROR: VALOR debe ser numérico",IF(E2681=0,"AVISO: valor cero (no se carga)",IF(J2681&lt;&gt;"ACTIVO","NO SE CARGA: CECO en estado "&amp;J2681,"OK"))))))))))</f>
        <v/>
      </c>
    </row>
    <row r="2682">
      <c r="A2682" s="5" t="n"/>
      <c r="B2682" s="6" t="n"/>
      <c r="C2682" s="5" t="n"/>
      <c r="D2682" s="6" t="n"/>
      <c r="E2682" s="7" t="n"/>
      <c r="F2682" s="6" t="n"/>
      <c r="G2682" s="8">
        <f>IF(B2682="","",IFERROR(VLOOKUP(--B2682,'CATALOGO CECO'!$A$2:$H$550,2,FALSE),"CECO NO EXISTE"))</f>
        <v/>
      </c>
      <c r="H2682" s="8">
        <f>IF(B2682="","",IFERROR(VLOOKUP(--B2682,'CATALOGO CECO'!$A$2:$H$550,3,FALSE),""))</f>
        <v/>
      </c>
      <c r="I2682" s="8">
        <f>IF(B2682="","",IFERROR(VLOOKUP(--B2682,'CATALOGO CECO'!$A$2:$H$550,5,FALSE),""))</f>
        <v/>
      </c>
      <c r="J2682" s="8">
        <f>IF(B2682="","",IFERROR(VLOOKUP(--B2682,'CATALOGO CECO'!$A$2:$H$550,8,FALSE),""))</f>
        <v/>
      </c>
      <c r="K2682" s="8">
        <f>IF(COUNTA(A2682:F2682)=0,"",IF(OR(LEN(A2682)&lt;&gt;7,MID(A2682,5,1)&lt;&gt;"-",ISERROR(--LEFT(A2682,4)),ISERROR(--RIGHT(A2682,2))),"ERROR: PERIODO debe ser AAAA-MM",IF(B2682="","ERROR: falta CODIGO CECO",IF(G2682="CECO NO EXISTE","ERROR: CECO no existe en el catálogo",IF(C2682="","ERROR: falta CUENTA",IF(ISERROR(--C2682),"ERROR: CUENTA debe tener solo dígitos",IF(ISERROR(FIND(LEFT(C2682,1),"567")),"ERROR: CUENTA fuera de las clases de costo",IF(NOT(ISNUMBER(E2682)),"ERROR: VALOR debe ser numérico",IF(E2682=0,"AVISO: valor cero (no se carga)",IF(J2682&lt;&gt;"ACTIVO","NO SE CARGA: CECO en estado "&amp;J2682,"OK"))))))))))</f>
        <v/>
      </c>
    </row>
    <row r="2683">
      <c r="A2683" s="5" t="n"/>
      <c r="B2683" s="6" t="n"/>
      <c r="C2683" s="5" t="n"/>
      <c r="D2683" s="6" t="n"/>
      <c r="E2683" s="7" t="n"/>
      <c r="F2683" s="6" t="n"/>
      <c r="G2683" s="8">
        <f>IF(B2683="","",IFERROR(VLOOKUP(--B2683,'CATALOGO CECO'!$A$2:$H$550,2,FALSE),"CECO NO EXISTE"))</f>
        <v/>
      </c>
      <c r="H2683" s="8">
        <f>IF(B2683="","",IFERROR(VLOOKUP(--B2683,'CATALOGO CECO'!$A$2:$H$550,3,FALSE),""))</f>
        <v/>
      </c>
      <c r="I2683" s="8">
        <f>IF(B2683="","",IFERROR(VLOOKUP(--B2683,'CATALOGO CECO'!$A$2:$H$550,5,FALSE),""))</f>
        <v/>
      </c>
      <c r="J2683" s="8">
        <f>IF(B2683="","",IFERROR(VLOOKUP(--B2683,'CATALOGO CECO'!$A$2:$H$550,8,FALSE),""))</f>
        <v/>
      </c>
      <c r="K2683" s="8">
        <f>IF(COUNTA(A2683:F2683)=0,"",IF(OR(LEN(A2683)&lt;&gt;7,MID(A2683,5,1)&lt;&gt;"-",ISERROR(--LEFT(A2683,4)),ISERROR(--RIGHT(A2683,2))),"ERROR: PERIODO debe ser AAAA-MM",IF(B2683="","ERROR: falta CODIGO CECO",IF(G2683="CECO NO EXISTE","ERROR: CECO no existe en el catálogo",IF(C2683="","ERROR: falta CUENTA",IF(ISERROR(--C2683),"ERROR: CUENTA debe tener solo dígitos",IF(ISERROR(FIND(LEFT(C2683,1),"567")),"ERROR: CUENTA fuera de las clases de costo",IF(NOT(ISNUMBER(E2683)),"ERROR: VALOR debe ser numérico",IF(E2683=0,"AVISO: valor cero (no se carga)",IF(J2683&lt;&gt;"ACTIVO","NO SE CARGA: CECO en estado "&amp;J2683,"OK"))))))))))</f>
        <v/>
      </c>
    </row>
    <row r="2684">
      <c r="A2684" s="5" t="n"/>
      <c r="B2684" s="6" t="n"/>
      <c r="C2684" s="5" t="n"/>
      <c r="D2684" s="6" t="n"/>
      <c r="E2684" s="7" t="n"/>
      <c r="F2684" s="6" t="n"/>
      <c r="G2684" s="8">
        <f>IF(B2684="","",IFERROR(VLOOKUP(--B2684,'CATALOGO CECO'!$A$2:$H$550,2,FALSE),"CECO NO EXISTE"))</f>
        <v/>
      </c>
      <c r="H2684" s="8">
        <f>IF(B2684="","",IFERROR(VLOOKUP(--B2684,'CATALOGO CECO'!$A$2:$H$550,3,FALSE),""))</f>
        <v/>
      </c>
      <c r="I2684" s="8">
        <f>IF(B2684="","",IFERROR(VLOOKUP(--B2684,'CATALOGO CECO'!$A$2:$H$550,5,FALSE),""))</f>
        <v/>
      </c>
      <c r="J2684" s="8">
        <f>IF(B2684="","",IFERROR(VLOOKUP(--B2684,'CATALOGO CECO'!$A$2:$H$550,8,FALSE),""))</f>
        <v/>
      </c>
      <c r="K2684" s="8">
        <f>IF(COUNTA(A2684:F2684)=0,"",IF(OR(LEN(A2684)&lt;&gt;7,MID(A2684,5,1)&lt;&gt;"-",ISERROR(--LEFT(A2684,4)),ISERROR(--RIGHT(A2684,2))),"ERROR: PERIODO debe ser AAAA-MM",IF(B2684="","ERROR: falta CODIGO CECO",IF(G2684="CECO NO EXISTE","ERROR: CECO no existe en el catálogo",IF(C2684="","ERROR: falta CUENTA",IF(ISERROR(--C2684),"ERROR: CUENTA debe tener solo dígitos",IF(ISERROR(FIND(LEFT(C2684,1),"567")),"ERROR: CUENTA fuera de las clases de costo",IF(NOT(ISNUMBER(E2684)),"ERROR: VALOR debe ser numérico",IF(E2684=0,"AVISO: valor cero (no se carga)",IF(J2684&lt;&gt;"ACTIVO","NO SE CARGA: CECO en estado "&amp;J2684,"OK"))))))))))</f>
        <v/>
      </c>
    </row>
    <row r="2685">
      <c r="A2685" s="5" t="n"/>
      <c r="B2685" s="6" t="n"/>
      <c r="C2685" s="5" t="n"/>
      <c r="D2685" s="6" t="n"/>
      <c r="E2685" s="7" t="n"/>
      <c r="F2685" s="6" t="n"/>
      <c r="G2685" s="8">
        <f>IF(B2685="","",IFERROR(VLOOKUP(--B2685,'CATALOGO CECO'!$A$2:$H$550,2,FALSE),"CECO NO EXISTE"))</f>
        <v/>
      </c>
      <c r="H2685" s="8">
        <f>IF(B2685="","",IFERROR(VLOOKUP(--B2685,'CATALOGO CECO'!$A$2:$H$550,3,FALSE),""))</f>
        <v/>
      </c>
      <c r="I2685" s="8">
        <f>IF(B2685="","",IFERROR(VLOOKUP(--B2685,'CATALOGO CECO'!$A$2:$H$550,5,FALSE),""))</f>
        <v/>
      </c>
      <c r="J2685" s="8">
        <f>IF(B2685="","",IFERROR(VLOOKUP(--B2685,'CATALOGO CECO'!$A$2:$H$550,8,FALSE),""))</f>
        <v/>
      </c>
      <c r="K2685" s="8">
        <f>IF(COUNTA(A2685:F2685)=0,"",IF(OR(LEN(A2685)&lt;&gt;7,MID(A2685,5,1)&lt;&gt;"-",ISERROR(--LEFT(A2685,4)),ISERROR(--RIGHT(A2685,2))),"ERROR: PERIODO debe ser AAAA-MM",IF(B2685="","ERROR: falta CODIGO CECO",IF(G2685="CECO NO EXISTE","ERROR: CECO no existe en el catálogo",IF(C2685="","ERROR: falta CUENTA",IF(ISERROR(--C2685),"ERROR: CUENTA debe tener solo dígitos",IF(ISERROR(FIND(LEFT(C2685,1),"567")),"ERROR: CUENTA fuera de las clases de costo",IF(NOT(ISNUMBER(E2685)),"ERROR: VALOR debe ser numérico",IF(E2685=0,"AVISO: valor cero (no se carga)",IF(J2685&lt;&gt;"ACTIVO","NO SE CARGA: CECO en estado "&amp;J2685,"OK"))))))))))</f>
        <v/>
      </c>
    </row>
    <row r="2686">
      <c r="A2686" s="5" t="n"/>
      <c r="B2686" s="6" t="n"/>
      <c r="C2686" s="5" t="n"/>
      <c r="D2686" s="6" t="n"/>
      <c r="E2686" s="7" t="n"/>
      <c r="F2686" s="6" t="n"/>
      <c r="G2686" s="8">
        <f>IF(B2686="","",IFERROR(VLOOKUP(--B2686,'CATALOGO CECO'!$A$2:$H$550,2,FALSE),"CECO NO EXISTE"))</f>
        <v/>
      </c>
      <c r="H2686" s="8">
        <f>IF(B2686="","",IFERROR(VLOOKUP(--B2686,'CATALOGO CECO'!$A$2:$H$550,3,FALSE),""))</f>
        <v/>
      </c>
      <c r="I2686" s="8">
        <f>IF(B2686="","",IFERROR(VLOOKUP(--B2686,'CATALOGO CECO'!$A$2:$H$550,5,FALSE),""))</f>
        <v/>
      </c>
      <c r="J2686" s="8">
        <f>IF(B2686="","",IFERROR(VLOOKUP(--B2686,'CATALOGO CECO'!$A$2:$H$550,8,FALSE),""))</f>
        <v/>
      </c>
      <c r="K2686" s="8">
        <f>IF(COUNTA(A2686:F2686)=0,"",IF(OR(LEN(A2686)&lt;&gt;7,MID(A2686,5,1)&lt;&gt;"-",ISERROR(--LEFT(A2686,4)),ISERROR(--RIGHT(A2686,2))),"ERROR: PERIODO debe ser AAAA-MM",IF(B2686="","ERROR: falta CODIGO CECO",IF(G2686="CECO NO EXISTE","ERROR: CECO no existe en el catálogo",IF(C2686="","ERROR: falta CUENTA",IF(ISERROR(--C2686),"ERROR: CUENTA debe tener solo dígitos",IF(ISERROR(FIND(LEFT(C2686,1),"567")),"ERROR: CUENTA fuera de las clases de costo",IF(NOT(ISNUMBER(E2686)),"ERROR: VALOR debe ser numérico",IF(E2686=0,"AVISO: valor cero (no se carga)",IF(J2686&lt;&gt;"ACTIVO","NO SE CARGA: CECO en estado "&amp;J2686,"OK"))))))))))</f>
        <v/>
      </c>
    </row>
    <row r="2687">
      <c r="A2687" s="5" t="n"/>
      <c r="B2687" s="6" t="n"/>
      <c r="C2687" s="5" t="n"/>
      <c r="D2687" s="6" t="n"/>
      <c r="E2687" s="7" t="n"/>
      <c r="F2687" s="6" t="n"/>
      <c r="G2687" s="8">
        <f>IF(B2687="","",IFERROR(VLOOKUP(--B2687,'CATALOGO CECO'!$A$2:$H$550,2,FALSE),"CECO NO EXISTE"))</f>
        <v/>
      </c>
      <c r="H2687" s="8">
        <f>IF(B2687="","",IFERROR(VLOOKUP(--B2687,'CATALOGO CECO'!$A$2:$H$550,3,FALSE),""))</f>
        <v/>
      </c>
      <c r="I2687" s="8">
        <f>IF(B2687="","",IFERROR(VLOOKUP(--B2687,'CATALOGO CECO'!$A$2:$H$550,5,FALSE),""))</f>
        <v/>
      </c>
      <c r="J2687" s="8">
        <f>IF(B2687="","",IFERROR(VLOOKUP(--B2687,'CATALOGO CECO'!$A$2:$H$550,8,FALSE),""))</f>
        <v/>
      </c>
      <c r="K2687" s="8">
        <f>IF(COUNTA(A2687:F2687)=0,"",IF(OR(LEN(A2687)&lt;&gt;7,MID(A2687,5,1)&lt;&gt;"-",ISERROR(--LEFT(A2687,4)),ISERROR(--RIGHT(A2687,2))),"ERROR: PERIODO debe ser AAAA-MM",IF(B2687="","ERROR: falta CODIGO CECO",IF(G2687="CECO NO EXISTE","ERROR: CECO no existe en el catálogo",IF(C2687="","ERROR: falta CUENTA",IF(ISERROR(--C2687),"ERROR: CUENTA debe tener solo dígitos",IF(ISERROR(FIND(LEFT(C2687,1),"567")),"ERROR: CUENTA fuera de las clases de costo",IF(NOT(ISNUMBER(E2687)),"ERROR: VALOR debe ser numérico",IF(E2687=0,"AVISO: valor cero (no se carga)",IF(J2687&lt;&gt;"ACTIVO","NO SE CARGA: CECO en estado "&amp;J2687,"OK"))))))))))</f>
        <v/>
      </c>
    </row>
    <row r="2688">
      <c r="A2688" s="5" t="n"/>
      <c r="B2688" s="6" t="n"/>
      <c r="C2688" s="5" t="n"/>
      <c r="D2688" s="6" t="n"/>
      <c r="E2688" s="7" t="n"/>
      <c r="F2688" s="6" t="n"/>
      <c r="G2688" s="8">
        <f>IF(B2688="","",IFERROR(VLOOKUP(--B2688,'CATALOGO CECO'!$A$2:$H$550,2,FALSE),"CECO NO EXISTE"))</f>
        <v/>
      </c>
      <c r="H2688" s="8">
        <f>IF(B2688="","",IFERROR(VLOOKUP(--B2688,'CATALOGO CECO'!$A$2:$H$550,3,FALSE),""))</f>
        <v/>
      </c>
      <c r="I2688" s="8">
        <f>IF(B2688="","",IFERROR(VLOOKUP(--B2688,'CATALOGO CECO'!$A$2:$H$550,5,FALSE),""))</f>
        <v/>
      </c>
      <c r="J2688" s="8">
        <f>IF(B2688="","",IFERROR(VLOOKUP(--B2688,'CATALOGO CECO'!$A$2:$H$550,8,FALSE),""))</f>
        <v/>
      </c>
      <c r="K2688" s="8">
        <f>IF(COUNTA(A2688:F2688)=0,"",IF(OR(LEN(A2688)&lt;&gt;7,MID(A2688,5,1)&lt;&gt;"-",ISERROR(--LEFT(A2688,4)),ISERROR(--RIGHT(A2688,2))),"ERROR: PERIODO debe ser AAAA-MM",IF(B2688="","ERROR: falta CODIGO CECO",IF(G2688="CECO NO EXISTE","ERROR: CECO no existe en el catálogo",IF(C2688="","ERROR: falta CUENTA",IF(ISERROR(--C2688),"ERROR: CUENTA debe tener solo dígitos",IF(ISERROR(FIND(LEFT(C2688,1),"567")),"ERROR: CUENTA fuera de las clases de costo",IF(NOT(ISNUMBER(E2688)),"ERROR: VALOR debe ser numérico",IF(E2688=0,"AVISO: valor cero (no se carga)",IF(J2688&lt;&gt;"ACTIVO","NO SE CARGA: CECO en estado "&amp;J2688,"OK"))))))))))</f>
        <v/>
      </c>
    </row>
    <row r="2689">
      <c r="A2689" s="5" t="n"/>
      <c r="B2689" s="6" t="n"/>
      <c r="C2689" s="5" t="n"/>
      <c r="D2689" s="6" t="n"/>
      <c r="E2689" s="7" t="n"/>
      <c r="F2689" s="6" t="n"/>
      <c r="G2689" s="8">
        <f>IF(B2689="","",IFERROR(VLOOKUP(--B2689,'CATALOGO CECO'!$A$2:$H$550,2,FALSE),"CECO NO EXISTE"))</f>
        <v/>
      </c>
      <c r="H2689" s="8">
        <f>IF(B2689="","",IFERROR(VLOOKUP(--B2689,'CATALOGO CECO'!$A$2:$H$550,3,FALSE),""))</f>
        <v/>
      </c>
      <c r="I2689" s="8">
        <f>IF(B2689="","",IFERROR(VLOOKUP(--B2689,'CATALOGO CECO'!$A$2:$H$550,5,FALSE),""))</f>
        <v/>
      </c>
      <c r="J2689" s="8">
        <f>IF(B2689="","",IFERROR(VLOOKUP(--B2689,'CATALOGO CECO'!$A$2:$H$550,8,FALSE),""))</f>
        <v/>
      </c>
      <c r="K2689" s="8">
        <f>IF(COUNTA(A2689:F2689)=0,"",IF(OR(LEN(A2689)&lt;&gt;7,MID(A2689,5,1)&lt;&gt;"-",ISERROR(--LEFT(A2689,4)),ISERROR(--RIGHT(A2689,2))),"ERROR: PERIODO debe ser AAAA-MM",IF(B2689="","ERROR: falta CODIGO CECO",IF(G2689="CECO NO EXISTE","ERROR: CECO no existe en el catálogo",IF(C2689="","ERROR: falta CUENTA",IF(ISERROR(--C2689),"ERROR: CUENTA debe tener solo dígitos",IF(ISERROR(FIND(LEFT(C2689,1),"567")),"ERROR: CUENTA fuera de las clases de costo",IF(NOT(ISNUMBER(E2689)),"ERROR: VALOR debe ser numérico",IF(E2689=0,"AVISO: valor cero (no se carga)",IF(J2689&lt;&gt;"ACTIVO","NO SE CARGA: CECO en estado "&amp;J2689,"OK"))))))))))</f>
        <v/>
      </c>
    </row>
    <row r="2690">
      <c r="A2690" s="5" t="n"/>
      <c r="B2690" s="6" t="n"/>
      <c r="C2690" s="5" t="n"/>
      <c r="D2690" s="6" t="n"/>
      <c r="E2690" s="7" t="n"/>
      <c r="F2690" s="6" t="n"/>
      <c r="G2690" s="8">
        <f>IF(B2690="","",IFERROR(VLOOKUP(--B2690,'CATALOGO CECO'!$A$2:$H$550,2,FALSE),"CECO NO EXISTE"))</f>
        <v/>
      </c>
      <c r="H2690" s="8">
        <f>IF(B2690="","",IFERROR(VLOOKUP(--B2690,'CATALOGO CECO'!$A$2:$H$550,3,FALSE),""))</f>
        <v/>
      </c>
      <c r="I2690" s="8">
        <f>IF(B2690="","",IFERROR(VLOOKUP(--B2690,'CATALOGO CECO'!$A$2:$H$550,5,FALSE),""))</f>
        <v/>
      </c>
      <c r="J2690" s="8">
        <f>IF(B2690="","",IFERROR(VLOOKUP(--B2690,'CATALOGO CECO'!$A$2:$H$550,8,FALSE),""))</f>
        <v/>
      </c>
      <c r="K2690" s="8">
        <f>IF(COUNTA(A2690:F2690)=0,"",IF(OR(LEN(A2690)&lt;&gt;7,MID(A2690,5,1)&lt;&gt;"-",ISERROR(--LEFT(A2690,4)),ISERROR(--RIGHT(A2690,2))),"ERROR: PERIODO debe ser AAAA-MM",IF(B2690="","ERROR: falta CODIGO CECO",IF(G2690="CECO NO EXISTE","ERROR: CECO no existe en el catálogo",IF(C2690="","ERROR: falta CUENTA",IF(ISERROR(--C2690),"ERROR: CUENTA debe tener solo dígitos",IF(ISERROR(FIND(LEFT(C2690,1),"567")),"ERROR: CUENTA fuera de las clases de costo",IF(NOT(ISNUMBER(E2690)),"ERROR: VALOR debe ser numérico",IF(E2690=0,"AVISO: valor cero (no se carga)",IF(J2690&lt;&gt;"ACTIVO","NO SE CARGA: CECO en estado "&amp;J2690,"OK"))))))))))</f>
        <v/>
      </c>
    </row>
    <row r="2691">
      <c r="A2691" s="5" t="n"/>
      <c r="B2691" s="6" t="n"/>
      <c r="C2691" s="5" t="n"/>
      <c r="D2691" s="6" t="n"/>
      <c r="E2691" s="7" t="n"/>
      <c r="F2691" s="6" t="n"/>
      <c r="G2691" s="8">
        <f>IF(B2691="","",IFERROR(VLOOKUP(--B2691,'CATALOGO CECO'!$A$2:$H$550,2,FALSE),"CECO NO EXISTE"))</f>
        <v/>
      </c>
      <c r="H2691" s="8">
        <f>IF(B2691="","",IFERROR(VLOOKUP(--B2691,'CATALOGO CECO'!$A$2:$H$550,3,FALSE),""))</f>
        <v/>
      </c>
      <c r="I2691" s="8">
        <f>IF(B2691="","",IFERROR(VLOOKUP(--B2691,'CATALOGO CECO'!$A$2:$H$550,5,FALSE),""))</f>
        <v/>
      </c>
      <c r="J2691" s="8">
        <f>IF(B2691="","",IFERROR(VLOOKUP(--B2691,'CATALOGO CECO'!$A$2:$H$550,8,FALSE),""))</f>
        <v/>
      </c>
      <c r="K2691" s="8">
        <f>IF(COUNTA(A2691:F2691)=0,"",IF(OR(LEN(A2691)&lt;&gt;7,MID(A2691,5,1)&lt;&gt;"-",ISERROR(--LEFT(A2691,4)),ISERROR(--RIGHT(A2691,2))),"ERROR: PERIODO debe ser AAAA-MM",IF(B2691="","ERROR: falta CODIGO CECO",IF(G2691="CECO NO EXISTE","ERROR: CECO no existe en el catálogo",IF(C2691="","ERROR: falta CUENTA",IF(ISERROR(--C2691),"ERROR: CUENTA debe tener solo dígitos",IF(ISERROR(FIND(LEFT(C2691,1),"567")),"ERROR: CUENTA fuera de las clases de costo",IF(NOT(ISNUMBER(E2691)),"ERROR: VALOR debe ser numérico",IF(E2691=0,"AVISO: valor cero (no se carga)",IF(J2691&lt;&gt;"ACTIVO","NO SE CARGA: CECO en estado "&amp;J2691,"OK"))))))))))</f>
        <v/>
      </c>
    </row>
    <row r="2692">
      <c r="A2692" s="5" t="n"/>
      <c r="B2692" s="6" t="n"/>
      <c r="C2692" s="5" t="n"/>
      <c r="D2692" s="6" t="n"/>
      <c r="E2692" s="7" t="n"/>
      <c r="F2692" s="6" t="n"/>
      <c r="G2692" s="8">
        <f>IF(B2692="","",IFERROR(VLOOKUP(--B2692,'CATALOGO CECO'!$A$2:$H$550,2,FALSE),"CECO NO EXISTE"))</f>
        <v/>
      </c>
      <c r="H2692" s="8">
        <f>IF(B2692="","",IFERROR(VLOOKUP(--B2692,'CATALOGO CECO'!$A$2:$H$550,3,FALSE),""))</f>
        <v/>
      </c>
      <c r="I2692" s="8">
        <f>IF(B2692="","",IFERROR(VLOOKUP(--B2692,'CATALOGO CECO'!$A$2:$H$550,5,FALSE),""))</f>
        <v/>
      </c>
      <c r="J2692" s="8">
        <f>IF(B2692="","",IFERROR(VLOOKUP(--B2692,'CATALOGO CECO'!$A$2:$H$550,8,FALSE),""))</f>
        <v/>
      </c>
      <c r="K2692" s="8">
        <f>IF(COUNTA(A2692:F2692)=0,"",IF(OR(LEN(A2692)&lt;&gt;7,MID(A2692,5,1)&lt;&gt;"-",ISERROR(--LEFT(A2692,4)),ISERROR(--RIGHT(A2692,2))),"ERROR: PERIODO debe ser AAAA-MM",IF(B2692="","ERROR: falta CODIGO CECO",IF(G2692="CECO NO EXISTE","ERROR: CECO no existe en el catálogo",IF(C2692="","ERROR: falta CUENTA",IF(ISERROR(--C2692),"ERROR: CUENTA debe tener solo dígitos",IF(ISERROR(FIND(LEFT(C2692,1),"567")),"ERROR: CUENTA fuera de las clases de costo",IF(NOT(ISNUMBER(E2692)),"ERROR: VALOR debe ser numérico",IF(E2692=0,"AVISO: valor cero (no se carga)",IF(J2692&lt;&gt;"ACTIVO","NO SE CARGA: CECO en estado "&amp;J2692,"OK"))))))))))</f>
        <v/>
      </c>
    </row>
    <row r="2693">
      <c r="A2693" s="5" t="n"/>
      <c r="B2693" s="6" t="n"/>
      <c r="C2693" s="5" t="n"/>
      <c r="D2693" s="6" t="n"/>
      <c r="E2693" s="7" t="n"/>
      <c r="F2693" s="6" t="n"/>
      <c r="G2693" s="8">
        <f>IF(B2693="","",IFERROR(VLOOKUP(--B2693,'CATALOGO CECO'!$A$2:$H$550,2,FALSE),"CECO NO EXISTE"))</f>
        <v/>
      </c>
      <c r="H2693" s="8">
        <f>IF(B2693="","",IFERROR(VLOOKUP(--B2693,'CATALOGO CECO'!$A$2:$H$550,3,FALSE),""))</f>
        <v/>
      </c>
      <c r="I2693" s="8">
        <f>IF(B2693="","",IFERROR(VLOOKUP(--B2693,'CATALOGO CECO'!$A$2:$H$550,5,FALSE),""))</f>
        <v/>
      </c>
      <c r="J2693" s="8">
        <f>IF(B2693="","",IFERROR(VLOOKUP(--B2693,'CATALOGO CECO'!$A$2:$H$550,8,FALSE),""))</f>
        <v/>
      </c>
      <c r="K2693" s="8">
        <f>IF(COUNTA(A2693:F2693)=0,"",IF(OR(LEN(A2693)&lt;&gt;7,MID(A2693,5,1)&lt;&gt;"-",ISERROR(--LEFT(A2693,4)),ISERROR(--RIGHT(A2693,2))),"ERROR: PERIODO debe ser AAAA-MM",IF(B2693="","ERROR: falta CODIGO CECO",IF(G2693="CECO NO EXISTE","ERROR: CECO no existe en el catálogo",IF(C2693="","ERROR: falta CUENTA",IF(ISERROR(--C2693),"ERROR: CUENTA debe tener solo dígitos",IF(ISERROR(FIND(LEFT(C2693,1),"567")),"ERROR: CUENTA fuera de las clases de costo",IF(NOT(ISNUMBER(E2693)),"ERROR: VALOR debe ser numérico",IF(E2693=0,"AVISO: valor cero (no se carga)",IF(J2693&lt;&gt;"ACTIVO","NO SE CARGA: CECO en estado "&amp;J2693,"OK"))))))))))</f>
        <v/>
      </c>
    </row>
    <row r="2694">
      <c r="A2694" s="5" t="n"/>
      <c r="B2694" s="6" t="n"/>
      <c r="C2694" s="5" t="n"/>
      <c r="D2694" s="6" t="n"/>
      <c r="E2694" s="7" t="n"/>
      <c r="F2694" s="6" t="n"/>
      <c r="G2694" s="8">
        <f>IF(B2694="","",IFERROR(VLOOKUP(--B2694,'CATALOGO CECO'!$A$2:$H$550,2,FALSE),"CECO NO EXISTE"))</f>
        <v/>
      </c>
      <c r="H2694" s="8">
        <f>IF(B2694="","",IFERROR(VLOOKUP(--B2694,'CATALOGO CECO'!$A$2:$H$550,3,FALSE),""))</f>
        <v/>
      </c>
      <c r="I2694" s="8">
        <f>IF(B2694="","",IFERROR(VLOOKUP(--B2694,'CATALOGO CECO'!$A$2:$H$550,5,FALSE),""))</f>
        <v/>
      </c>
      <c r="J2694" s="8">
        <f>IF(B2694="","",IFERROR(VLOOKUP(--B2694,'CATALOGO CECO'!$A$2:$H$550,8,FALSE),""))</f>
        <v/>
      </c>
      <c r="K2694" s="8">
        <f>IF(COUNTA(A2694:F2694)=0,"",IF(OR(LEN(A2694)&lt;&gt;7,MID(A2694,5,1)&lt;&gt;"-",ISERROR(--LEFT(A2694,4)),ISERROR(--RIGHT(A2694,2))),"ERROR: PERIODO debe ser AAAA-MM",IF(B2694="","ERROR: falta CODIGO CECO",IF(G2694="CECO NO EXISTE","ERROR: CECO no existe en el catálogo",IF(C2694="","ERROR: falta CUENTA",IF(ISERROR(--C2694),"ERROR: CUENTA debe tener solo dígitos",IF(ISERROR(FIND(LEFT(C2694,1),"567")),"ERROR: CUENTA fuera de las clases de costo",IF(NOT(ISNUMBER(E2694)),"ERROR: VALOR debe ser numérico",IF(E2694=0,"AVISO: valor cero (no se carga)",IF(J2694&lt;&gt;"ACTIVO","NO SE CARGA: CECO en estado "&amp;J2694,"OK"))))))))))</f>
        <v/>
      </c>
    </row>
    <row r="2695">
      <c r="A2695" s="5" t="n"/>
      <c r="B2695" s="6" t="n"/>
      <c r="C2695" s="5" t="n"/>
      <c r="D2695" s="6" t="n"/>
      <c r="E2695" s="7" t="n"/>
      <c r="F2695" s="6" t="n"/>
      <c r="G2695" s="8">
        <f>IF(B2695="","",IFERROR(VLOOKUP(--B2695,'CATALOGO CECO'!$A$2:$H$550,2,FALSE),"CECO NO EXISTE"))</f>
        <v/>
      </c>
      <c r="H2695" s="8">
        <f>IF(B2695="","",IFERROR(VLOOKUP(--B2695,'CATALOGO CECO'!$A$2:$H$550,3,FALSE),""))</f>
        <v/>
      </c>
      <c r="I2695" s="8">
        <f>IF(B2695="","",IFERROR(VLOOKUP(--B2695,'CATALOGO CECO'!$A$2:$H$550,5,FALSE),""))</f>
        <v/>
      </c>
      <c r="J2695" s="8">
        <f>IF(B2695="","",IFERROR(VLOOKUP(--B2695,'CATALOGO CECO'!$A$2:$H$550,8,FALSE),""))</f>
        <v/>
      </c>
      <c r="K2695" s="8">
        <f>IF(COUNTA(A2695:F2695)=0,"",IF(OR(LEN(A2695)&lt;&gt;7,MID(A2695,5,1)&lt;&gt;"-",ISERROR(--LEFT(A2695,4)),ISERROR(--RIGHT(A2695,2))),"ERROR: PERIODO debe ser AAAA-MM",IF(B2695="","ERROR: falta CODIGO CECO",IF(G2695="CECO NO EXISTE","ERROR: CECO no existe en el catálogo",IF(C2695="","ERROR: falta CUENTA",IF(ISERROR(--C2695),"ERROR: CUENTA debe tener solo dígitos",IF(ISERROR(FIND(LEFT(C2695,1),"567")),"ERROR: CUENTA fuera de las clases de costo",IF(NOT(ISNUMBER(E2695)),"ERROR: VALOR debe ser numérico",IF(E2695=0,"AVISO: valor cero (no se carga)",IF(J2695&lt;&gt;"ACTIVO","NO SE CARGA: CECO en estado "&amp;J2695,"OK"))))))))))</f>
        <v/>
      </c>
    </row>
    <row r="2696">
      <c r="A2696" s="5" t="n"/>
      <c r="B2696" s="6" t="n"/>
      <c r="C2696" s="5" t="n"/>
      <c r="D2696" s="6" t="n"/>
      <c r="E2696" s="7" t="n"/>
      <c r="F2696" s="6" t="n"/>
      <c r="G2696" s="8">
        <f>IF(B2696="","",IFERROR(VLOOKUP(--B2696,'CATALOGO CECO'!$A$2:$H$550,2,FALSE),"CECO NO EXISTE"))</f>
        <v/>
      </c>
      <c r="H2696" s="8">
        <f>IF(B2696="","",IFERROR(VLOOKUP(--B2696,'CATALOGO CECO'!$A$2:$H$550,3,FALSE),""))</f>
        <v/>
      </c>
      <c r="I2696" s="8">
        <f>IF(B2696="","",IFERROR(VLOOKUP(--B2696,'CATALOGO CECO'!$A$2:$H$550,5,FALSE),""))</f>
        <v/>
      </c>
      <c r="J2696" s="8">
        <f>IF(B2696="","",IFERROR(VLOOKUP(--B2696,'CATALOGO CECO'!$A$2:$H$550,8,FALSE),""))</f>
        <v/>
      </c>
      <c r="K2696" s="8">
        <f>IF(COUNTA(A2696:F2696)=0,"",IF(OR(LEN(A2696)&lt;&gt;7,MID(A2696,5,1)&lt;&gt;"-",ISERROR(--LEFT(A2696,4)),ISERROR(--RIGHT(A2696,2))),"ERROR: PERIODO debe ser AAAA-MM",IF(B2696="","ERROR: falta CODIGO CECO",IF(G2696="CECO NO EXISTE","ERROR: CECO no existe en el catálogo",IF(C2696="","ERROR: falta CUENTA",IF(ISERROR(--C2696),"ERROR: CUENTA debe tener solo dígitos",IF(ISERROR(FIND(LEFT(C2696,1),"567")),"ERROR: CUENTA fuera de las clases de costo",IF(NOT(ISNUMBER(E2696)),"ERROR: VALOR debe ser numérico",IF(E2696=0,"AVISO: valor cero (no se carga)",IF(J2696&lt;&gt;"ACTIVO","NO SE CARGA: CECO en estado "&amp;J2696,"OK"))))))))))</f>
        <v/>
      </c>
    </row>
    <row r="2697">
      <c r="A2697" s="5" t="n"/>
      <c r="B2697" s="6" t="n"/>
      <c r="C2697" s="5" t="n"/>
      <c r="D2697" s="6" t="n"/>
      <c r="E2697" s="7" t="n"/>
      <c r="F2697" s="6" t="n"/>
      <c r="G2697" s="8">
        <f>IF(B2697="","",IFERROR(VLOOKUP(--B2697,'CATALOGO CECO'!$A$2:$H$550,2,FALSE),"CECO NO EXISTE"))</f>
        <v/>
      </c>
      <c r="H2697" s="8">
        <f>IF(B2697="","",IFERROR(VLOOKUP(--B2697,'CATALOGO CECO'!$A$2:$H$550,3,FALSE),""))</f>
        <v/>
      </c>
      <c r="I2697" s="8">
        <f>IF(B2697="","",IFERROR(VLOOKUP(--B2697,'CATALOGO CECO'!$A$2:$H$550,5,FALSE),""))</f>
        <v/>
      </c>
      <c r="J2697" s="8">
        <f>IF(B2697="","",IFERROR(VLOOKUP(--B2697,'CATALOGO CECO'!$A$2:$H$550,8,FALSE),""))</f>
        <v/>
      </c>
      <c r="K2697" s="8">
        <f>IF(COUNTA(A2697:F2697)=0,"",IF(OR(LEN(A2697)&lt;&gt;7,MID(A2697,5,1)&lt;&gt;"-",ISERROR(--LEFT(A2697,4)),ISERROR(--RIGHT(A2697,2))),"ERROR: PERIODO debe ser AAAA-MM",IF(B2697="","ERROR: falta CODIGO CECO",IF(G2697="CECO NO EXISTE","ERROR: CECO no existe en el catálogo",IF(C2697="","ERROR: falta CUENTA",IF(ISERROR(--C2697),"ERROR: CUENTA debe tener solo dígitos",IF(ISERROR(FIND(LEFT(C2697,1),"567")),"ERROR: CUENTA fuera de las clases de costo",IF(NOT(ISNUMBER(E2697)),"ERROR: VALOR debe ser numérico",IF(E2697=0,"AVISO: valor cero (no se carga)",IF(J2697&lt;&gt;"ACTIVO","NO SE CARGA: CECO en estado "&amp;J2697,"OK"))))))))))</f>
        <v/>
      </c>
    </row>
    <row r="2698">
      <c r="A2698" s="5" t="n"/>
      <c r="B2698" s="6" t="n"/>
      <c r="C2698" s="5" t="n"/>
      <c r="D2698" s="6" t="n"/>
      <c r="E2698" s="7" t="n"/>
      <c r="F2698" s="6" t="n"/>
      <c r="G2698" s="8">
        <f>IF(B2698="","",IFERROR(VLOOKUP(--B2698,'CATALOGO CECO'!$A$2:$H$550,2,FALSE),"CECO NO EXISTE"))</f>
        <v/>
      </c>
      <c r="H2698" s="8">
        <f>IF(B2698="","",IFERROR(VLOOKUP(--B2698,'CATALOGO CECO'!$A$2:$H$550,3,FALSE),""))</f>
        <v/>
      </c>
      <c r="I2698" s="8">
        <f>IF(B2698="","",IFERROR(VLOOKUP(--B2698,'CATALOGO CECO'!$A$2:$H$550,5,FALSE),""))</f>
        <v/>
      </c>
      <c r="J2698" s="8">
        <f>IF(B2698="","",IFERROR(VLOOKUP(--B2698,'CATALOGO CECO'!$A$2:$H$550,8,FALSE),""))</f>
        <v/>
      </c>
      <c r="K2698" s="8">
        <f>IF(COUNTA(A2698:F2698)=0,"",IF(OR(LEN(A2698)&lt;&gt;7,MID(A2698,5,1)&lt;&gt;"-",ISERROR(--LEFT(A2698,4)),ISERROR(--RIGHT(A2698,2))),"ERROR: PERIODO debe ser AAAA-MM",IF(B2698="","ERROR: falta CODIGO CECO",IF(G2698="CECO NO EXISTE","ERROR: CECO no existe en el catálogo",IF(C2698="","ERROR: falta CUENTA",IF(ISERROR(--C2698),"ERROR: CUENTA debe tener solo dígitos",IF(ISERROR(FIND(LEFT(C2698,1),"567")),"ERROR: CUENTA fuera de las clases de costo",IF(NOT(ISNUMBER(E2698)),"ERROR: VALOR debe ser numérico",IF(E2698=0,"AVISO: valor cero (no se carga)",IF(J2698&lt;&gt;"ACTIVO","NO SE CARGA: CECO en estado "&amp;J2698,"OK"))))))))))</f>
        <v/>
      </c>
    </row>
    <row r="2699">
      <c r="A2699" s="5" t="n"/>
      <c r="B2699" s="6" t="n"/>
      <c r="C2699" s="5" t="n"/>
      <c r="D2699" s="6" t="n"/>
      <c r="E2699" s="7" t="n"/>
      <c r="F2699" s="6" t="n"/>
      <c r="G2699" s="8">
        <f>IF(B2699="","",IFERROR(VLOOKUP(--B2699,'CATALOGO CECO'!$A$2:$H$550,2,FALSE),"CECO NO EXISTE"))</f>
        <v/>
      </c>
      <c r="H2699" s="8">
        <f>IF(B2699="","",IFERROR(VLOOKUP(--B2699,'CATALOGO CECO'!$A$2:$H$550,3,FALSE),""))</f>
        <v/>
      </c>
      <c r="I2699" s="8">
        <f>IF(B2699="","",IFERROR(VLOOKUP(--B2699,'CATALOGO CECO'!$A$2:$H$550,5,FALSE),""))</f>
        <v/>
      </c>
      <c r="J2699" s="8">
        <f>IF(B2699="","",IFERROR(VLOOKUP(--B2699,'CATALOGO CECO'!$A$2:$H$550,8,FALSE),""))</f>
        <v/>
      </c>
      <c r="K2699" s="8">
        <f>IF(COUNTA(A2699:F2699)=0,"",IF(OR(LEN(A2699)&lt;&gt;7,MID(A2699,5,1)&lt;&gt;"-",ISERROR(--LEFT(A2699,4)),ISERROR(--RIGHT(A2699,2))),"ERROR: PERIODO debe ser AAAA-MM",IF(B2699="","ERROR: falta CODIGO CECO",IF(G2699="CECO NO EXISTE","ERROR: CECO no existe en el catálogo",IF(C2699="","ERROR: falta CUENTA",IF(ISERROR(--C2699),"ERROR: CUENTA debe tener solo dígitos",IF(ISERROR(FIND(LEFT(C2699,1),"567")),"ERROR: CUENTA fuera de las clases de costo",IF(NOT(ISNUMBER(E2699)),"ERROR: VALOR debe ser numérico",IF(E2699=0,"AVISO: valor cero (no se carga)",IF(J2699&lt;&gt;"ACTIVO","NO SE CARGA: CECO en estado "&amp;J2699,"OK"))))))))))</f>
        <v/>
      </c>
    </row>
    <row r="2700">
      <c r="A2700" s="5" t="n"/>
      <c r="B2700" s="6" t="n"/>
      <c r="C2700" s="5" t="n"/>
      <c r="D2700" s="6" t="n"/>
      <c r="E2700" s="7" t="n"/>
      <c r="F2700" s="6" t="n"/>
      <c r="G2700" s="8">
        <f>IF(B2700="","",IFERROR(VLOOKUP(--B2700,'CATALOGO CECO'!$A$2:$H$550,2,FALSE),"CECO NO EXISTE"))</f>
        <v/>
      </c>
      <c r="H2700" s="8">
        <f>IF(B2700="","",IFERROR(VLOOKUP(--B2700,'CATALOGO CECO'!$A$2:$H$550,3,FALSE),""))</f>
        <v/>
      </c>
      <c r="I2700" s="8">
        <f>IF(B2700="","",IFERROR(VLOOKUP(--B2700,'CATALOGO CECO'!$A$2:$H$550,5,FALSE),""))</f>
        <v/>
      </c>
      <c r="J2700" s="8">
        <f>IF(B2700="","",IFERROR(VLOOKUP(--B2700,'CATALOGO CECO'!$A$2:$H$550,8,FALSE),""))</f>
        <v/>
      </c>
      <c r="K2700" s="8">
        <f>IF(COUNTA(A2700:F2700)=0,"",IF(OR(LEN(A2700)&lt;&gt;7,MID(A2700,5,1)&lt;&gt;"-",ISERROR(--LEFT(A2700,4)),ISERROR(--RIGHT(A2700,2))),"ERROR: PERIODO debe ser AAAA-MM",IF(B2700="","ERROR: falta CODIGO CECO",IF(G2700="CECO NO EXISTE","ERROR: CECO no existe en el catálogo",IF(C2700="","ERROR: falta CUENTA",IF(ISERROR(--C2700),"ERROR: CUENTA debe tener solo dígitos",IF(ISERROR(FIND(LEFT(C2700,1),"567")),"ERROR: CUENTA fuera de las clases de costo",IF(NOT(ISNUMBER(E2700)),"ERROR: VALOR debe ser numérico",IF(E2700=0,"AVISO: valor cero (no se carga)",IF(J2700&lt;&gt;"ACTIVO","NO SE CARGA: CECO en estado "&amp;J2700,"OK"))))))))))</f>
        <v/>
      </c>
    </row>
    <row r="2701">
      <c r="A2701" s="5" t="n"/>
      <c r="B2701" s="6" t="n"/>
      <c r="C2701" s="5" t="n"/>
      <c r="D2701" s="6" t="n"/>
      <c r="E2701" s="7" t="n"/>
      <c r="F2701" s="6" t="n"/>
      <c r="G2701" s="8">
        <f>IF(B2701="","",IFERROR(VLOOKUP(--B2701,'CATALOGO CECO'!$A$2:$H$550,2,FALSE),"CECO NO EXISTE"))</f>
        <v/>
      </c>
      <c r="H2701" s="8">
        <f>IF(B2701="","",IFERROR(VLOOKUP(--B2701,'CATALOGO CECO'!$A$2:$H$550,3,FALSE),""))</f>
        <v/>
      </c>
      <c r="I2701" s="8">
        <f>IF(B2701="","",IFERROR(VLOOKUP(--B2701,'CATALOGO CECO'!$A$2:$H$550,5,FALSE),""))</f>
        <v/>
      </c>
      <c r="J2701" s="8">
        <f>IF(B2701="","",IFERROR(VLOOKUP(--B2701,'CATALOGO CECO'!$A$2:$H$550,8,FALSE),""))</f>
        <v/>
      </c>
      <c r="K2701" s="8">
        <f>IF(COUNTA(A2701:F2701)=0,"",IF(OR(LEN(A2701)&lt;&gt;7,MID(A2701,5,1)&lt;&gt;"-",ISERROR(--LEFT(A2701,4)),ISERROR(--RIGHT(A2701,2))),"ERROR: PERIODO debe ser AAAA-MM",IF(B2701="","ERROR: falta CODIGO CECO",IF(G2701="CECO NO EXISTE","ERROR: CECO no existe en el catálogo",IF(C2701="","ERROR: falta CUENTA",IF(ISERROR(--C2701),"ERROR: CUENTA debe tener solo dígitos",IF(ISERROR(FIND(LEFT(C2701,1),"567")),"ERROR: CUENTA fuera de las clases de costo",IF(NOT(ISNUMBER(E2701)),"ERROR: VALOR debe ser numérico",IF(E2701=0,"AVISO: valor cero (no se carga)",IF(J2701&lt;&gt;"ACTIVO","NO SE CARGA: CECO en estado "&amp;J2701,"OK"))))))))))</f>
        <v/>
      </c>
    </row>
    <row r="2702">
      <c r="A2702" s="5" t="n"/>
      <c r="B2702" s="6" t="n"/>
      <c r="C2702" s="5" t="n"/>
      <c r="D2702" s="6" t="n"/>
      <c r="E2702" s="7" t="n"/>
      <c r="F2702" s="6" t="n"/>
      <c r="G2702" s="8">
        <f>IF(B2702="","",IFERROR(VLOOKUP(--B2702,'CATALOGO CECO'!$A$2:$H$550,2,FALSE),"CECO NO EXISTE"))</f>
        <v/>
      </c>
      <c r="H2702" s="8">
        <f>IF(B2702="","",IFERROR(VLOOKUP(--B2702,'CATALOGO CECO'!$A$2:$H$550,3,FALSE),""))</f>
        <v/>
      </c>
      <c r="I2702" s="8">
        <f>IF(B2702="","",IFERROR(VLOOKUP(--B2702,'CATALOGO CECO'!$A$2:$H$550,5,FALSE),""))</f>
        <v/>
      </c>
      <c r="J2702" s="8">
        <f>IF(B2702="","",IFERROR(VLOOKUP(--B2702,'CATALOGO CECO'!$A$2:$H$550,8,FALSE),""))</f>
        <v/>
      </c>
      <c r="K2702" s="8">
        <f>IF(COUNTA(A2702:F2702)=0,"",IF(OR(LEN(A2702)&lt;&gt;7,MID(A2702,5,1)&lt;&gt;"-",ISERROR(--LEFT(A2702,4)),ISERROR(--RIGHT(A2702,2))),"ERROR: PERIODO debe ser AAAA-MM",IF(B2702="","ERROR: falta CODIGO CECO",IF(G2702="CECO NO EXISTE","ERROR: CECO no existe en el catálogo",IF(C2702="","ERROR: falta CUENTA",IF(ISERROR(--C2702),"ERROR: CUENTA debe tener solo dígitos",IF(ISERROR(FIND(LEFT(C2702,1),"567")),"ERROR: CUENTA fuera de las clases de costo",IF(NOT(ISNUMBER(E2702)),"ERROR: VALOR debe ser numérico",IF(E2702=0,"AVISO: valor cero (no se carga)",IF(J2702&lt;&gt;"ACTIVO","NO SE CARGA: CECO en estado "&amp;J2702,"OK"))))))))))</f>
        <v/>
      </c>
    </row>
    <row r="2703">
      <c r="A2703" s="5" t="n"/>
      <c r="B2703" s="6" t="n"/>
      <c r="C2703" s="5" t="n"/>
      <c r="D2703" s="6" t="n"/>
      <c r="E2703" s="7" t="n"/>
      <c r="F2703" s="6" t="n"/>
      <c r="G2703" s="8">
        <f>IF(B2703="","",IFERROR(VLOOKUP(--B2703,'CATALOGO CECO'!$A$2:$H$550,2,FALSE),"CECO NO EXISTE"))</f>
        <v/>
      </c>
      <c r="H2703" s="8">
        <f>IF(B2703="","",IFERROR(VLOOKUP(--B2703,'CATALOGO CECO'!$A$2:$H$550,3,FALSE),""))</f>
        <v/>
      </c>
      <c r="I2703" s="8">
        <f>IF(B2703="","",IFERROR(VLOOKUP(--B2703,'CATALOGO CECO'!$A$2:$H$550,5,FALSE),""))</f>
        <v/>
      </c>
      <c r="J2703" s="8">
        <f>IF(B2703="","",IFERROR(VLOOKUP(--B2703,'CATALOGO CECO'!$A$2:$H$550,8,FALSE),""))</f>
        <v/>
      </c>
      <c r="K2703" s="8">
        <f>IF(COUNTA(A2703:F2703)=0,"",IF(OR(LEN(A2703)&lt;&gt;7,MID(A2703,5,1)&lt;&gt;"-",ISERROR(--LEFT(A2703,4)),ISERROR(--RIGHT(A2703,2))),"ERROR: PERIODO debe ser AAAA-MM",IF(B2703="","ERROR: falta CODIGO CECO",IF(G2703="CECO NO EXISTE","ERROR: CECO no existe en el catálogo",IF(C2703="","ERROR: falta CUENTA",IF(ISERROR(--C2703),"ERROR: CUENTA debe tener solo dígitos",IF(ISERROR(FIND(LEFT(C2703,1),"567")),"ERROR: CUENTA fuera de las clases de costo",IF(NOT(ISNUMBER(E2703)),"ERROR: VALOR debe ser numérico",IF(E2703=0,"AVISO: valor cero (no se carga)",IF(J2703&lt;&gt;"ACTIVO","NO SE CARGA: CECO en estado "&amp;J2703,"OK"))))))))))</f>
        <v/>
      </c>
    </row>
    <row r="2704">
      <c r="A2704" s="5" t="n"/>
      <c r="B2704" s="6" t="n"/>
      <c r="C2704" s="5" t="n"/>
      <c r="D2704" s="6" t="n"/>
      <c r="E2704" s="7" t="n"/>
      <c r="F2704" s="6" t="n"/>
      <c r="G2704" s="8">
        <f>IF(B2704="","",IFERROR(VLOOKUP(--B2704,'CATALOGO CECO'!$A$2:$H$550,2,FALSE),"CECO NO EXISTE"))</f>
        <v/>
      </c>
      <c r="H2704" s="8">
        <f>IF(B2704="","",IFERROR(VLOOKUP(--B2704,'CATALOGO CECO'!$A$2:$H$550,3,FALSE),""))</f>
        <v/>
      </c>
      <c r="I2704" s="8">
        <f>IF(B2704="","",IFERROR(VLOOKUP(--B2704,'CATALOGO CECO'!$A$2:$H$550,5,FALSE),""))</f>
        <v/>
      </c>
      <c r="J2704" s="8">
        <f>IF(B2704="","",IFERROR(VLOOKUP(--B2704,'CATALOGO CECO'!$A$2:$H$550,8,FALSE),""))</f>
        <v/>
      </c>
      <c r="K2704" s="8">
        <f>IF(COUNTA(A2704:F2704)=0,"",IF(OR(LEN(A2704)&lt;&gt;7,MID(A2704,5,1)&lt;&gt;"-",ISERROR(--LEFT(A2704,4)),ISERROR(--RIGHT(A2704,2))),"ERROR: PERIODO debe ser AAAA-MM",IF(B2704="","ERROR: falta CODIGO CECO",IF(G2704="CECO NO EXISTE","ERROR: CECO no existe en el catálogo",IF(C2704="","ERROR: falta CUENTA",IF(ISERROR(--C2704),"ERROR: CUENTA debe tener solo dígitos",IF(ISERROR(FIND(LEFT(C2704,1),"567")),"ERROR: CUENTA fuera de las clases de costo",IF(NOT(ISNUMBER(E2704)),"ERROR: VALOR debe ser numérico",IF(E2704=0,"AVISO: valor cero (no se carga)",IF(J2704&lt;&gt;"ACTIVO","NO SE CARGA: CECO en estado "&amp;J2704,"OK"))))))))))</f>
        <v/>
      </c>
    </row>
    <row r="2705">
      <c r="A2705" s="5" t="n"/>
      <c r="B2705" s="6" t="n"/>
      <c r="C2705" s="5" t="n"/>
      <c r="D2705" s="6" t="n"/>
      <c r="E2705" s="7" t="n"/>
      <c r="F2705" s="6" t="n"/>
      <c r="G2705" s="8">
        <f>IF(B2705="","",IFERROR(VLOOKUP(--B2705,'CATALOGO CECO'!$A$2:$H$550,2,FALSE),"CECO NO EXISTE"))</f>
        <v/>
      </c>
      <c r="H2705" s="8">
        <f>IF(B2705="","",IFERROR(VLOOKUP(--B2705,'CATALOGO CECO'!$A$2:$H$550,3,FALSE),""))</f>
        <v/>
      </c>
      <c r="I2705" s="8">
        <f>IF(B2705="","",IFERROR(VLOOKUP(--B2705,'CATALOGO CECO'!$A$2:$H$550,5,FALSE),""))</f>
        <v/>
      </c>
      <c r="J2705" s="8">
        <f>IF(B2705="","",IFERROR(VLOOKUP(--B2705,'CATALOGO CECO'!$A$2:$H$550,8,FALSE),""))</f>
        <v/>
      </c>
      <c r="K2705" s="8">
        <f>IF(COUNTA(A2705:F2705)=0,"",IF(OR(LEN(A2705)&lt;&gt;7,MID(A2705,5,1)&lt;&gt;"-",ISERROR(--LEFT(A2705,4)),ISERROR(--RIGHT(A2705,2))),"ERROR: PERIODO debe ser AAAA-MM",IF(B2705="","ERROR: falta CODIGO CECO",IF(G2705="CECO NO EXISTE","ERROR: CECO no existe en el catálogo",IF(C2705="","ERROR: falta CUENTA",IF(ISERROR(--C2705),"ERROR: CUENTA debe tener solo dígitos",IF(ISERROR(FIND(LEFT(C2705,1),"567")),"ERROR: CUENTA fuera de las clases de costo",IF(NOT(ISNUMBER(E2705)),"ERROR: VALOR debe ser numérico",IF(E2705=0,"AVISO: valor cero (no se carga)",IF(J2705&lt;&gt;"ACTIVO","NO SE CARGA: CECO en estado "&amp;J2705,"OK"))))))))))</f>
        <v/>
      </c>
    </row>
    <row r="2706">
      <c r="A2706" s="5" t="n"/>
      <c r="B2706" s="6" t="n"/>
      <c r="C2706" s="5" t="n"/>
      <c r="D2706" s="6" t="n"/>
      <c r="E2706" s="7" t="n"/>
      <c r="F2706" s="6" t="n"/>
      <c r="G2706" s="8">
        <f>IF(B2706="","",IFERROR(VLOOKUP(--B2706,'CATALOGO CECO'!$A$2:$H$550,2,FALSE),"CECO NO EXISTE"))</f>
        <v/>
      </c>
      <c r="H2706" s="8">
        <f>IF(B2706="","",IFERROR(VLOOKUP(--B2706,'CATALOGO CECO'!$A$2:$H$550,3,FALSE),""))</f>
        <v/>
      </c>
      <c r="I2706" s="8">
        <f>IF(B2706="","",IFERROR(VLOOKUP(--B2706,'CATALOGO CECO'!$A$2:$H$550,5,FALSE),""))</f>
        <v/>
      </c>
      <c r="J2706" s="8">
        <f>IF(B2706="","",IFERROR(VLOOKUP(--B2706,'CATALOGO CECO'!$A$2:$H$550,8,FALSE),""))</f>
        <v/>
      </c>
      <c r="K2706" s="8">
        <f>IF(COUNTA(A2706:F2706)=0,"",IF(OR(LEN(A2706)&lt;&gt;7,MID(A2706,5,1)&lt;&gt;"-",ISERROR(--LEFT(A2706,4)),ISERROR(--RIGHT(A2706,2))),"ERROR: PERIODO debe ser AAAA-MM",IF(B2706="","ERROR: falta CODIGO CECO",IF(G2706="CECO NO EXISTE","ERROR: CECO no existe en el catálogo",IF(C2706="","ERROR: falta CUENTA",IF(ISERROR(--C2706),"ERROR: CUENTA debe tener solo dígitos",IF(ISERROR(FIND(LEFT(C2706,1),"567")),"ERROR: CUENTA fuera de las clases de costo",IF(NOT(ISNUMBER(E2706)),"ERROR: VALOR debe ser numérico",IF(E2706=0,"AVISO: valor cero (no se carga)",IF(J2706&lt;&gt;"ACTIVO","NO SE CARGA: CECO en estado "&amp;J2706,"OK"))))))))))</f>
        <v/>
      </c>
    </row>
    <row r="2707">
      <c r="A2707" s="5" t="n"/>
      <c r="B2707" s="6" t="n"/>
      <c r="C2707" s="5" t="n"/>
      <c r="D2707" s="6" t="n"/>
      <c r="E2707" s="7" t="n"/>
      <c r="F2707" s="6" t="n"/>
      <c r="G2707" s="8">
        <f>IF(B2707="","",IFERROR(VLOOKUP(--B2707,'CATALOGO CECO'!$A$2:$H$550,2,FALSE),"CECO NO EXISTE"))</f>
        <v/>
      </c>
      <c r="H2707" s="8">
        <f>IF(B2707="","",IFERROR(VLOOKUP(--B2707,'CATALOGO CECO'!$A$2:$H$550,3,FALSE),""))</f>
        <v/>
      </c>
      <c r="I2707" s="8">
        <f>IF(B2707="","",IFERROR(VLOOKUP(--B2707,'CATALOGO CECO'!$A$2:$H$550,5,FALSE),""))</f>
        <v/>
      </c>
      <c r="J2707" s="8">
        <f>IF(B2707="","",IFERROR(VLOOKUP(--B2707,'CATALOGO CECO'!$A$2:$H$550,8,FALSE),""))</f>
        <v/>
      </c>
      <c r="K2707" s="8">
        <f>IF(COUNTA(A2707:F2707)=0,"",IF(OR(LEN(A2707)&lt;&gt;7,MID(A2707,5,1)&lt;&gt;"-",ISERROR(--LEFT(A2707,4)),ISERROR(--RIGHT(A2707,2))),"ERROR: PERIODO debe ser AAAA-MM",IF(B2707="","ERROR: falta CODIGO CECO",IF(G2707="CECO NO EXISTE","ERROR: CECO no existe en el catálogo",IF(C2707="","ERROR: falta CUENTA",IF(ISERROR(--C2707),"ERROR: CUENTA debe tener solo dígitos",IF(ISERROR(FIND(LEFT(C2707,1),"567")),"ERROR: CUENTA fuera de las clases de costo",IF(NOT(ISNUMBER(E2707)),"ERROR: VALOR debe ser numérico",IF(E2707=0,"AVISO: valor cero (no se carga)",IF(J2707&lt;&gt;"ACTIVO","NO SE CARGA: CECO en estado "&amp;J2707,"OK"))))))))))</f>
        <v/>
      </c>
    </row>
    <row r="2708">
      <c r="A2708" s="5" t="n"/>
      <c r="B2708" s="6" t="n"/>
      <c r="C2708" s="5" t="n"/>
      <c r="D2708" s="6" t="n"/>
      <c r="E2708" s="7" t="n"/>
      <c r="F2708" s="6" t="n"/>
      <c r="G2708" s="8">
        <f>IF(B2708="","",IFERROR(VLOOKUP(--B2708,'CATALOGO CECO'!$A$2:$H$550,2,FALSE),"CECO NO EXISTE"))</f>
        <v/>
      </c>
      <c r="H2708" s="8">
        <f>IF(B2708="","",IFERROR(VLOOKUP(--B2708,'CATALOGO CECO'!$A$2:$H$550,3,FALSE),""))</f>
        <v/>
      </c>
      <c r="I2708" s="8">
        <f>IF(B2708="","",IFERROR(VLOOKUP(--B2708,'CATALOGO CECO'!$A$2:$H$550,5,FALSE),""))</f>
        <v/>
      </c>
      <c r="J2708" s="8">
        <f>IF(B2708="","",IFERROR(VLOOKUP(--B2708,'CATALOGO CECO'!$A$2:$H$550,8,FALSE),""))</f>
        <v/>
      </c>
      <c r="K2708" s="8">
        <f>IF(COUNTA(A2708:F2708)=0,"",IF(OR(LEN(A2708)&lt;&gt;7,MID(A2708,5,1)&lt;&gt;"-",ISERROR(--LEFT(A2708,4)),ISERROR(--RIGHT(A2708,2))),"ERROR: PERIODO debe ser AAAA-MM",IF(B2708="","ERROR: falta CODIGO CECO",IF(G2708="CECO NO EXISTE","ERROR: CECO no existe en el catálogo",IF(C2708="","ERROR: falta CUENTA",IF(ISERROR(--C2708),"ERROR: CUENTA debe tener solo dígitos",IF(ISERROR(FIND(LEFT(C2708,1),"567")),"ERROR: CUENTA fuera de las clases de costo",IF(NOT(ISNUMBER(E2708)),"ERROR: VALOR debe ser numérico",IF(E2708=0,"AVISO: valor cero (no se carga)",IF(J2708&lt;&gt;"ACTIVO","NO SE CARGA: CECO en estado "&amp;J2708,"OK"))))))))))</f>
        <v/>
      </c>
    </row>
    <row r="2709">
      <c r="A2709" s="5" t="n"/>
      <c r="B2709" s="6" t="n"/>
      <c r="C2709" s="5" t="n"/>
      <c r="D2709" s="6" t="n"/>
      <c r="E2709" s="7" t="n"/>
      <c r="F2709" s="6" t="n"/>
      <c r="G2709" s="8">
        <f>IF(B2709="","",IFERROR(VLOOKUP(--B2709,'CATALOGO CECO'!$A$2:$H$550,2,FALSE),"CECO NO EXISTE"))</f>
        <v/>
      </c>
      <c r="H2709" s="8">
        <f>IF(B2709="","",IFERROR(VLOOKUP(--B2709,'CATALOGO CECO'!$A$2:$H$550,3,FALSE),""))</f>
        <v/>
      </c>
      <c r="I2709" s="8">
        <f>IF(B2709="","",IFERROR(VLOOKUP(--B2709,'CATALOGO CECO'!$A$2:$H$550,5,FALSE),""))</f>
        <v/>
      </c>
      <c r="J2709" s="8">
        <f>IF(B2709="","",IFERROR(VLOOKUP(--B2709,'CATALOGO CECO'!$A$2:$H$550,8,FALSE),""))</f>
        <v/>
      </c>
      <c r="K2709" s="8">
        <f>IF(COUNTA(A2709:F2709)=0,"",IF(OR(LEN(A2709)&lt;&gt;7,MID(A2709,5,1)&lt;&gt;"-",ISERROR(--LEFT(A2709,4)),ISERROR(--RIGHT(A2709,2))),"ERROR: PERIODO debe ser AAAA-MM",IF(B2709="","ERROR: falta CODIGO CECO",IF(G2709="CECO NO EXISTE","ERROR: CECO no existe en el catálogo",IF(C2709="","ERROR: falta CUENTA",IF(ISERROR(--C2709),"ERROR: CUENTA debe tener solo dígitos",IF(ISERROR(FIND(LEFT(C2709,1),"567")),"ERROR: CUENTA fuera de las clases de costo",IF(NOT(ISNUMBER(E2709)),"ERROR: VALOR debe ser numérico",IF(E2709=0,"AVISO: valor cero (no se carga)",IF(J2709&lt;&gt;"ACTIVO","NO SE CARGA: CECO en estado "&amp;J2709,"OK"))))))))))</f>
        <v/>
      </c>
    </row>
    <row r="2710">
      <c r="A2710" s="5" t="n"/>
      <c r="B2710" s="6" t="n"/>
      <c r="C2710" s="5" t="n"/>
      <c r="D2710" s="6" t="n"/>
      <c r="E2710" s="7" t="n"/>
      <c r="F2710" s="6" t="n"/>
      <c r="G2710" s="8">
        <f>IF(B2710="","",IFERROR(VLOOKUP(--B2710,'CATALOGO CECO'!$A$2:$H$550,2,FALSE),"CECO NO EXISTE"))</f>
        <v/>
      </c>
      <c r="H2710" s="8">
        <f>IF(B2710="","",IFERROR(VLOOKUP(--B2710,'CATALOGO CECO'!$A$2:$H$550,3,FALSE),""))</f>
        <v/>
      </c>
      <c r="I2710" s="8">
        <f>IF(B2710="","",IFERROR(VLOOKUP(--B2710,'CATALOGO CECO'!$A$2:$H$550,5,FALSE),""))</f>
        <v/>
      </c>
      <c r="J2710" s="8">
        <f>IF(B2710="","",IFERROR(VLOOKUP(--B2710,'CATALOGO CECO'!$A$2:$H$550,8,FALSE),""))</f>
        <v/>
      </c>
      <c r="K2710" s="8">
        <f>IF(COUNTA(A2710:F2710)=0,"",IF(OR(LEN(A2710)&lt;&gt;7,MID(A2710,5,1)&lt;&gt;"-",ISERROR(--LEFT(A2710,4)),ISERROR(--RIGHT(A2710,2))),"ERROR: PERIODO debe ser AAAA-MM",IF(B2710="","ERROR: falta CODIGO CECO",IF(G2710="CECO NO EXISTE","ERROR: CECO no existe en el catálogo",IF(C2710="","ERROR: falta CUENTA",IF(ISERROR(--C2710),"ERROR: CUENTA debe tener solo dígitos",IF(ISERROR(FIND(LEFT(C2710,1),"567")),"ERROR: CUENTA fuera de las clases de costo",IF(NOT(ISNUMBER(E2710)),"ERROR: VALOR debe ser numérico",IF(E2710=0,"AVISO: valor cero (no se carga)",IF(J2710&lt;&gt;"ACTIVO","NO SE CARGA: CECO en estado "&amp;J2710,"OK"))))))))))</f>
        <v/>
      </c>
    </row>
    <row r="2711">
      <c r="A2711" s="5" t="n"/>
      <c r="B2711" s="6" t="n"/>
      <c r="C2711" s="5" t="n"/>
      <c r="D2711" s="6" t="n"/>
      <c r="E2711" s="7" t="n"/>
      <c r="F2711" s="6" t="n"/>
      <c r="G2711" s="8">
        <f>IF(B2711="","",IFERROR(VLOOKUP(--B2711,'CATALOGO CECO'!$A$2:$H$550,2,FALSE),"CECO NO EXISTE"))</f>
        <v/>
      </c>
      <c r="H2711" s="8">
        <f>IF(B2711="","",IFERROR(VLOOKUP(--B2711,'CATALOGO CECO'!$A$2:$H$550,3,FALSE),""))</f>
        <v/>
      </c>
      <c r="I2711" s="8">
        <f>IF(B2711="","",IFERROR(VLOOKUP(--B2711,'CATALOGO CECO'!$A$2:$H$550,5,FALSE),""))</f>
        <v/>
      </c>
      <c r="J2711" s="8">
        <f>IF(B2711="","",IFERROR(VLOOKUP(--B2711,'CATALOGO CECO'!$A$2:$H$550,8,FALSE),""))</f>
        <v/>
      </c>
      <c r="K2711" s="8">
        <f>IF(COUNTA(A2711:F2711)=0,"",IF(OR(LEN(A2711)&lt;&gt;7,MID(A2711,5,1)&lt;&gt;"-",ISERROR(--LEFT(A2711,4)),ISERROR(--RIGHT(A2711,2))),"ERROR: PERIODO debe ser AAAA-MM",IF(B2711="","ERROR: falta CODIGO CECO",IF(G2711="CECO NO EXISTE","ERROR: CECO no existe en el catálogo",IF(C2711="","ERROR: falta CUENTA",IF(ISERROR(--C2711),"ERROR: CUENTA debe tener solo dígitos",IF(ISERROR(FIND(LEFT(C2711,1),"567")),"ERROR: CUENTA fuera de las clases de costo",IF(NOT(ISNUMBER(E2711)),"ERROR: VALOR debe ser numérico",IF(E2711=0,"AVISO: valor cero (no se carga)",IF(J2711&lt;&gt;"ACTIVO","NO SE CARGA: CECO en estado "&amp;J2711,"OK"))))))))))</f>
        <v/>
      </c>
    </row>
    <row r="2712">
      <c r="A2712" s="5" t="n"/>
      <c r="B2712" s="6" t="n"/>
      <c r="C2712" s="5" t="n"/>
      <c r="D2712" s="6" t="n"/>
      <c r="E2712" s="7" t="n"/>
      <c r="F2712" s="6" t="n"/>
      <c r="G2712" s="8">
        <f>IF(B2712="","",IFERROR(VLOOKUP(--B2712,'CATALOGO CECO'!$A$2:$H$550,2,FALSE),"CECO NO EXISTE"))</f>
        <v/>
      </c>
      <c r="H2712" s="8">
        <f>IF(B2712="","",IFERROR(VLOOKUP(--B2712,'CATALOGO CECO'!$A$2:$H$550,3,FALSE),""))</f>
        <v/>
      </c>
      <c r="I2712" s="8">
        <f>IF(B2712="","",IFERROR(VLOOKUP(--B2712,'CATALOGO CECO'!$A$2:$H$550,5,FALSE),""))</f>
        <v/>
      </c>
      <c r="J2712" s="8">
        <f>IF(B2712="","",IFERROR(VLOOKUP(--B2712,'CATALOGO CECO'!$A$2:$H$550,8,FALSE),""))</f>
        <v/>
      </c>
      <c r="K2712" s="8">
        <f>IF(COUNTA(A2712:F2712)=0,"",IF(OR(LEN(A2712)&lt;&gt;7,MID(A2712,5,1)&lt;&gt;"-",ISERROR(--LEFT(A2712,4)),ISERROR(--RIGHT(A2712,2))),"ERROR: PERIODO debe ser AAAA-MM",IF(B2712="","ERROR: falta CODIGO CECO",IF(G2712="CECO NO EXISTE","ERROR: CECO no existe en el catálogo",IF(C2712="","ERROR: falta CUENTA",IF(ISERROR(--C2712),"ERROR: CUENTA debe tener solo dígitos",IF(ISERROR(FIND(LEFT(C2712,1),"567")),"ERROR: CUENTA fuera de las clases de costo",IF(NOT(ISNUMBER(E2712)),"ERROR: VALOR debe ser numérico",IF(E2712=0,"AVISO: valor cero (no se carga)",IF(J2712&lt;&gt;"ACTIVO","NO SE CARGA: CECO en estado "&amp;J2712,"OK"))))))))))</f>
        <v/>
      </c>
    </row>
    <row r="2713">
      <c r="A2713" s="5" t="n"/>
      <c r="B2713" s="6" t="n"/>
      <c r="C2713" s="5" t="n"/>
      <c r="D2713" s="6" t="n"/>
      <c r="E2713" s="7" t="n"/>
      <c r="F2713" s="6" t="n"/>
      <c r="G2713" s="8">
        <f>IF(B2713="","",IFERROR(VLOOKUP(--B2713,'CATALOGO CECO'!$A$2:$H$550,2,FALSE),"CECO NO EXISTE"))</f>
        <v/>
      </c>
      <c r="H2713" s="8">
        <f>IF(B2713="","",IFERROR(VLOOKUP(--B2713,'CATALOGO CECO'!$A$2:$H$550,3,FALSE),""))</f>
        <v/>
      </c>
      <c r="I2713" s="8">
        <f>IF(B2713="","",IFERROR(VLOOKUP(--B2713,'CATALOGO CECO'!$A$2:$H$550,5,FALSE),""))</f>
        <v/>
      </c>
      <c r="J2713" s="8">
        <f>IF(B2713="","",IFERROR(VLOOKUP(--B2713,'CATALOGO CECO'!$A$2:$H$550,8,FALSE),""))</f>
        <v/>
      </c>
      <c r="K2713" s="8">
        <f>IF(COUNTA(A2713:F2713)=0,"",IF(OR(LEN(A2713)&lt;&gt;7,MID(A2713,5,1)&lt;&gt;"-",ISERROR(--LEFT(A2713,4)),ISERROR(--RIGHT(A2713,2))),"ERROR: PERIODO debe ser AAAA-MM",IF(B2713="","ERROR: falta CODIGO CECO",IF(G2713="CECO NO EXISTE","ERROR: CECO no existe en el catálogo",IF(C2713="","ERROR: falta CUENTA",IF(ISERROR(--C2713),"ERROR: CUENTA debe tener solo dígitos",IF(ISERROR(FIND(LEFT(C2713,1),"567")),"ERROR: CUENTA fuera de las clases de costo",IF(NOT(ISNUMBER(E2713)),"ERROR: VALOR debe ser numérico",IF(E2713=0,"AVISO: valor cero (no se carga)",IF(J2713&lt;&gt;"ACTIVO","NO SE CARGA: CECO en estado "&amp;J2713,"OK"))))))))))</f>
        <v/>
      </c>
    </row>
    <row r="2714">
      <c r="A2714" s="5" t="n"/>
      <c r="B2714" s="6" t="n"/>
      <c r="C2714" s="5" t="n"/>
      <c r="D2714" s="6" t="n"/>
      <c r="E2714" s="7" t="n"/>
      <c r="F2714" s="6" t="n"/>
      <c r="G2714" s="8">
        <f>IF(B2714="","",IFERROR(VLOOKUP(--B2714,'CATALOGO CECO'!$A$2:$H$550,2,FALSE),"CECO NO EXISTE"))</f>
        <v/>
      </c>
      <c r="H2714" s="8">
        <f>IF(B2714="","",IFERROR(VLOOKUP(--B2714,'CATALOGO CECO'!$A$2:$H$550,3,FALSE),""))</f>
        <v/>
      </c>
      <c r="I2714" s="8">
        <f>IF(B2714="","",IFERROR(VLOOKUP(--B2714,'CATALOGO CECO'!$A$2:$H$550,5,FALSE),""))</f>
        <v/>
      </c>
      <c r="J2714" s="8">
        <f>IF(B2714="","",IFERROR(VLOOKUP(--B2714,'CATALOGO CECO'!$A$2:$H$550,8,FALSE),""))</f>
        <v/>
      </c>
      <c r="K2714" s="8">
        <f>IF(COUNTA(A2714:F2714)=0,"",IF(OR(LEN(A2714)&lt;&gt;7,MID(A2714,5,1)&lt;&gt;"-",ISERROR(--LEFT(A2714,4)),ISERROR(--RIGHT(A2714,2))),"ERROR: PERIODO debe ser AAAA-MM",IF(B2714="","ERROR: falta CODIGO CECO",IF(G2714="CECO NO EXISTE","ERROR: CECO no existe en el catálogo",IF(C2714="","ERROR: falta CUENTA",IF(ISERROR(--C2714),"ERROR: CUENTA debe tener solo dígitos",IF(ISERROR(FIND(LEFT(C2714,1),"567")),"ERROR: CUENTA fuera de las clases de costo",IF(NOT(ISNUMBER(E2714)),"ERROR: VALOR debe ser numérico",IF(E2714=0,"AVISO: valor cero (no se carga)",IF(J2714&lt;&gt;"ACTIVO","NO SE CARGA: CECO en estado "&amp;J2714,"OK"))))))))))</f>
        <v/>
      </c>
    </row>
    <row r="2715">
      <c r="A2715" s="5" t="n"/>
      <c r="B2715" s="6" t="n"/>
      <c r="C2715" s="5" t="n"/>
      <c r="D2715" s="6" t="n"/>
      <c r="E2715" s="7" t="n"/>
      <c r="F2715" s="6" t="n"/>
      <c r="G2715" s="8">
        <f>IF(B2715="","",IFERROR(VLOOKUP(--B2715,'CATALOGO CECO'!$A$2:$H$550,2,FALSE),"CECO NO EXISTE"))</f>
        <v/>
      </c>
      <c r="H2715" s="8">
        <f>IF(B2715="","",IFERROR(VLOOKUP(--B2715,'CATALOGO CECO'!$A$2:$H$550,3,FALSE),""))</f>
        <v/>
      </c>
      <c r="I2715" s="8">
        <f>IF(B2715="","",IFERROR(VLOOKUP(--B2715,'CATALOGO CECO'!$A$2:$H$550,5,FALSE),""))</f>
        <v/>
      </c>
      <c r="J2715" s="8">
        <f>IF(B2715="","",IFERROR(VLOOKUP(--B2715,'CATALOGO CECO'!$A$2:$H$550,8,FALSE),""))</f>
        <v/>
      </c>
      <c r="K2715" s="8">
        <f>IF(COUNTA(A2715:F2715)=0,"",IF(OR(LEN(A2715)&lt;&gt;7,MID(A2715,5,1)&lt;&gt;"-",ISERROR(--LEFT(A2715,4)),ISERROR(--RIGHT(A2715,2))),"ERROR: PERIODO debe ser AAAA-MM",IF(B2715="","ERROR: falta CODIGO CECO",IF(G2715="CECO NO EXISTE","ERROR: CECO no existe en el catálogo",IF(C2715="","ERROR: falta CUENTA",IF(ISERROR(--C2715),"ERROR: CUENTA debe tener solo dígitos",IF(ISERROR(FIND(LEFT(C2715,1),"567")),"ERROR: CUENTA fuera de las clases de costo",IF(NOT(ISNUMBER(E2715)),"ERROR: VALOR debe ser numérico",IF(E2715=0,"AVISO: valor cero (no se carga)",IF(J2715&lt;&gt;"ACTIVO","NO SE CARGA: CECO en estado "&amp;J2715,"OK"))))))))))</f>
        <v/>
      </c>
    </row>
    <row r="2716">
      <c r="A2716" s="5" t="n"/>
      <c r="B2716" s="6" t="n"/>
      <c r="C2716" s="5" t="n"/>
      <c r="D2716" s="6" t="n"/>
      <c r="E2716" s="7" t="n"/>
      <c r="F2716" s="6" t="n"/>
      <c r="G2716" s="8">
        <f>IF(B2716="","",IFERROR(VLOOKUP(--B2716,'CATALOGO CECO'!$A$2:$H$550,2,FALSE),"CECO NO EXISTE"))</f>
        <v/>
      </c>
      <c r="H2716" s="8">
        <f>IF(B2716="","",IFERROR(VLOOKUP(--B2716,'CATALOGO CECO'!$A$2:$H$550,3,FALSE),""))</f>
        <v/>
      </c>
      <c r="I2716" s="8">
        <f>IF(B2716="","",IFERROR(VLOOKUP(--B2716,'CATALOGO CECO'!$A$2:$H$550,5,FALSE),""))</f>
        <v/>
      </c>
      <c r="J2716" s="8">
        <f>IF(B2716="","",IFERROR(VLOOKUP(--B2716,'CATALOGO CECO'!$A$2:$H$550,8,FALSE),""))</f>
        <v/>
      </c>
      <c r="K2716" s="8">
        <f>IF(COUNTA(A2716:F2716)=0,"",IF(OR(LEN(A2716)&lt;&gt;7,MID(A2716,5,1)&lt;&gt;"-",ISERROR(--LEFT(A2716,4)),ISERROR(--RIGHT(A2716,2))),"ERROR: PERIODO debe ser AAAA-MM",IF(B2716="","ERROR: falta CODIGO CECO",IF(G2716="CECO NO EXISTE","ERROR: CECO no existe en el catálogo",IF(C2716="","ERROR: falta CUENTA",IF(ISERROR(--C2716),"ERROR: CUENTA debe tener solo dígitos",IF(ISERROR(FIND(LEFT(C2716,1),"567")),"ERROR: CUENTA fuera de las clases de costo",IF(NOT(ISNUMBER(E2716)),"ERROR: VALOR debe ser numérico",IF(E2716=0,"AVISO: valor cero (no se carga)",IF(J2716&lt;&gt;"ACTIVO","NO SE CARGA: CECO en estado "&amp;J2716,"OK"))))))))))</f>
        <v/>
      </c>
    </row>
    <row r="2717">
      <c r="A2717" s="5" t="n"/>
      <c r="B2717" s="6" t="n"/>
      <c r="C2717" s="5" t="n"/>
      <c r="D2717" s="6" t="n"/>
      <c r="E2717" s="7" t="n"/>
      <c r="F2717" s="6" t="n"/>
      <c r="G2717" s="8">
        <f>IF(B2717="","",IFERROR(VLOOKUP(--B2717,'CATALOGO CECO'!$A$2:$H$550,2,FALSE),"CECO NO EXISTE"))</f>
        <v/>
      </c>
      <c r="H2717" s="8">
        <f>IF(B2717="","",IFERROR(VLOOKUP(--B2717,'CATALOGO CECO'!$A$2:$H$550,3,FALSE),""))</f>
        <v/>
      </c>
      <c r="I2717" s="8">
        <f>IF(B2717="","",IFERROR(VLOOKUP(--B2717,'CATALOGO CECO'!$A$2:$H$550,5,FALSE),""))</f>
        <v/>
      </c>
      <c r="J2717" s="8">
        <f>IF(B2717="","",IFERROR(VLOOKUP(--B2717,'CATALOGO CECO'!$A$2:$H$550,8,FALSE),""))</f>
        <v/>
      </c>
      <c r="K2717" s="8">
        <f>IF(COUNTA(A2717:F2717)=0,"",IF(OR(LEN(A2717)&lt;&gt;7,MID(A2717,5,1)&lt;&gt;"-",ISERROR(--LEFT(A2717,4)),ISERROR(--RIGHT(A2717,2))),"ERROR: PERIODO debe ser AAAA-MM",IF(B2717="","ERROR: falta CODIGO CECO",IF(G2717="CECO NO EXISTE","ERROR: CECO no existe en el catálogo",IF(C2717="","ERROR: falta CUENTA",IF(ISERROR(--C2717),"ERROR: CUENTA debe tener solo dígitos",IF(ISERROR(FIND(LEFT(C2717,1),"567")),"ERROR: CUENTA fuera de las clases de costo",IF(NOT(ISNUMBER(E2717)),"ERROR: VALOR debe ser numérico",IF(E2717=0,"AVISO: valor cero (no se carga)",IF(J2717&lt;&gt;"ACTIVO","NO SE CARGA: CECO en estado "&amp;J2717,"OK"))))))))))</f>
        <v/>
      </c>
    </row>
    <row r="2718">
      <c r="A2718" s="5" t="n"/>
      <c r="B2718" s="6" t="n"/>
      <c r="C2718" s="5" t="n"/>
      <c r="D2718" s="6" t="n"/>
      <c r="E2718" s="7" t="n"/>
      <c r="F2718" s="6" t="n"/>
      <c r="G2718" s="8">
        <f>IF(B2718="","",IFERROR(VLOOKUP(--B2718,'CATALOGO CECO'!$A$2:$H$550,2,FALSE),"CECO NO EXISTE"))</f>
        <v/>
      </c>
      <c r="H2718" s="8">
        <f>IF(B2718="","",IFERROR(VLOOKUP(--B2718,'CATALOGO CECO'!$A$2:$H$550,3,FALSE),""))</f>
        <v/>
      </c>
      <c r="I2718" s="8">
        <f>IF(B2718="","",IFERROR(VLOOKUP(--B2718,'CATALOGO CECO'!$A$2:$H$550,5,FALSE),""))</f>
        <v/>
      </c>
      <c r="J2718" s="8">
        <f>IF(B2718="","",IFERROR(VLOOKUP(--B2718,'CATALOGO CECO'!$A$2:$H$550,8,FALSE),""))</f>
        <v/>
      </c>
      <c r="K2718" s="8">
        <f>IF(COUNTA(A2718:F2718)=0,"",IF(OR(LEN(A2718)&lt;&gt;7,MID(A2718,5,1)&lt;&gt;"-",ISERROR(--LEFT(A2718,4)),ISERROR(--RIGHT(A2718,2))),"ERROR: PERIODO debe ser AAAA-MM",IF(B2718="","ERROR: falta CODIGO CECO",IF(G2718="CECO NO EXISTE","ERROR: CECO no existe en el catálogo",IF(C2718="","ERROR: falta CUENTA",IF(ISERROR(--C2718),"ERROR: CUENTA debe tener solo dígitos",IF(ISERROR(FIND(LEFT(C2718,1),"567")),"ERROR: CUENTA fuera de las clases de costo",IF(NOT(ISNUMBER(E2718)),"ERROR: VALOR debe ser numérico",IF(E2718=0,"AVISO: valor cero (no se carga)",IF(J2718&lt;&gt;"ACTIVO","NO SE CARGA: CECO en estado "&amp;J2718,"OK"))))))))))</f>
        <v/>
      </c>
    </row>
    <row r="2719">
      <c r="A2719" s="5" t="n"/>
      <c r="B2719" s="6" t="n"/>
      <c r="C2719" s="5" t="n"/>
      <c r="D2719" s="6" t="n"/>
      <c r="E2719" s="7" t="n"/>
      <c r="F2719" s="6" t="n"/>
      <c r="G2719" s="8">
        <f>IF(B2719="","",IFERROR(VLOOKUP(--B2719,'CATALOGO CECO'!$A$2:$H$550,2,FALSE),"CECO NO EXISTE"))</f>
        <v/>
      </c>
      <c r="H2719" s="8">
        <f>IF(B2719="","",IFERROR(VLOOKUP(--B2719,'CATALOGO CECO'!$A$2:$H$550,3,FALSE),""))</f>
        <v/>
      </c>
      <c r="I2719" s="8">
        <f>IF(B2719="","",IFERROR(VLOOKUP(--B2719,'CATALOGO CECO'!$A$2:$H$550,5,FALSE),""))</f>
        <v/>
      </c>
      <c r="J2719" s="8">
        <f>IF(B2719="","",IFERROR(VLOOKUP(--B2719,'CATALOGO CECO'!$A$2:$H$550,8,FALSE),""))</f>
        <v/>
      </c>
      <c r="K2719" s="8">
        <f>IF(COUNTA(A2719:F2719)=0,"",IF(OR(LEN(A2719)&lt;&gt;7,MID(A2719,5,1)&lt;&gt;"-",ISERROR(--LEFT(A2719,4)),ISERROR(--RIGHT(A2719,2))),"ERROR: PERIODO debe ser AAAA-MM",IF(B2719="","ERROR: falta CODIGO CECO",IF(G2719="CECO NO EXISTE","ERROR: CECO no existe en el catálogo",IF(C2719="","ERROR: falta CUENTA",IF(ISERROR(--C2719),"ERROR: CUENTA debe tener solo dígitos",IF(ISERROR(FIND(LEFT(C2719,1),"567")),"ERROR: CUENTA fuera de las clases de costo",IF(NOT(ISNUMBER(E2719)),"ERROR: VALOR debe ser numérico",IF(E2719=0,"AVISO: valor cero (no se carga)",IF(J2719&lt;&gt;"ACTIVO","NO SE CARGA: CECO en estado "&amp;J2719,"OK"))))))))))</f>
        <v/>
      </c>
    </row>
    <row r="2720">
      <c r="A2720" s="5" t="n"/>
      <c r="B2720" s="6" t="n"/>
      <c r="C2720" s="5" t="n"/>
      <c r="D2720" s="6" t="n"/>
      <c r="E2720" s="7" t="n"/>
      <c r="F2720" s="6" t="n"/>
      <c r="G2720" s="8">
        <f>IF(B2720="","",IFERROR(VLOOKUP(--B2720,'CATALOGO CECO'!$A$2:$H$550,2,FALSE),"CECO NO EXISTE"))</f>
        <v/>
      </c>
      <c r="H2720" s="8">
        <f>IF(B2720="","",IFERROR(VLOOKUP(--B2720,'CATALOGO CECO'!$A$2:$H$550,3,FALSE),""))</f>
        <v/>
      </c>
      <c r="I2720" s="8">
        <f>IF(B2720="","",IFERROR(VLOOKUP(--B2720,'CATALOGO CECO'!$A$2:$H$550,5,FALSE),""))</f>
        <v/>
      </c>
      <c r="J2720" s="8">
        <f>IF(B2720="","",IFERROR(VLOOKUP(--B2720,'CATALOGO CECO'!$A$2:$H$550,8,FALSE),""))</f>
        <v/>
      </c>
      <c r="K2720" s="8">
        <f>IF(COUNTA(A2720:F2720)=0,"",IF(OR(LEN(A2720)&lt;&gt;7,MID(A2720,5,1)&lt;&gt;"-",ISERROR(--LEFT(A2720,4)),ISERROR(--RIGHT(A2720,2))),"ERROR: PERIODO debe ser AAAA-MM",IF(B2720="","ERROR: falta CODIGO CECO",IF(G2720="CECO NO EXISTE","ERROR: CECO no existe en el catálogo",IF(C2720="","ERROR: falta CUENTA",IF(ISERROR(--C2720),"ERROR: CUENTA debe tener solo dígitos",IF(ISERROR(FIND(LEFT(C2720,1),"567")),"ERROR: CUENTA fuera de las clases de costo",IF(NOT(ISNUMBER(E2720)),"ERROR: VALOR debe ser numérico",IF(E2720=0,"AVISO: valor cero (no se carga)",IF(J2720&lt;&gt;"ACTIVO","NO SE CARGA: CECO en estado "&amp;J2720,"OK"))))))))))</f>
        <v/>
      </c>
    </row>
    <row r="2721">
      <c r="A2721" s="5" t="n"/>
      <c r="B2721" s="6" t="n"/>
      <c r="C2721" s="5" t="n"/>
      <c r="D2721" s="6" t="n"/>
      <c r="E2721" s="7" t="n"/>
      <c r="F2721" s="6" t="n"/>
      <c r="G2721" s="8">
        <f>IF(B2721="","",IFERROR(VLOOKUP(--B2721,'CATALOGO CECO'!$A$2:$H$550,2,FALSE),"CECO NO EXISTE"))</f>
        <v/>
      </c>
      <c r="H2721" s="8">
        <f>IF(B2721="","",IFERROR(VLOOKUP(--B2721,'CATALOGO CECO'!$A$2:$H$550,3,FALSE),""))</f>
        <v/>
      </c>
      <c r="I2721" s="8">
        <f>IF(B2721="","",IFERROR(VLOOKUP(--B2721,'CATALOGO CECO'!$A$2:$H$550,5,FALSE),""))</f>
        <v/>
      </c>
      <c r="J2721" s="8">
        <f>IF(B2721="","",IFERROR(VLOOKUP(--B2721,'CATALOGO CECO'!$A$2:$H$550,8,FALSE),""))</f>
        <v/>
      </c>
      <c r="K2721" s="8">
        <f>IF(COUNTA(A2721:F2721)=0,"",IF(OR(LEN(A2721)&lt;&gt;7,MID(A2721,5,1)&lt;&gt;"-",ISERROR(--LEFT(A2721,4)),ISERROR(--RIGHT(A2721,2))),"ERROR: PERIODO debe ser AAAA-MM",IF(B2721="","ERROR: falta CODIGO CECO",IF(G2721="CECO NO EXISTE","ERROR: CECO no existe en el catálogo",IF(C2721="","ERROR: falta CUENTA",IF(ISERROR(--C2721),"ERROR: CUENTA debe tener solo dígitos",IF(ISERROR(FIND(LEFT(C2721,1),"567")),"ERROR: CUENTA fuera de las clases de costo",IF(NOT(ISNUMBER(E2721)),"ERROR: VALOR debe ser numérico",IF(E2721=0,"AVISO: valor cero (no se carga)",IF(J2721&lt;&gt;"ACTIVO","NO SE CARGA: CECO en estado "&amp;J2721,"OK"))))))))))</f>
        <v/>
      </c>
    </row>
    <row r="2722">
      <c r="A2722" s="5" t="n"/>
      <c r="B2722" s="6" t="n"/>
      <c r="C2722" s="5" t="n"/>
      <c r="D2722" s="6" t="n"/>
      <c r="E2722" s="7" t="n"/>
      <c r="F2722" s="6" t="n"/>
      <c r="G2722" s="8">
        <f>IF(B2722="","",IFERROR(VLOOKUP(--B2722,'CATALOGO CECO'!$A$2:$H$550,2,FALSE),"CECO NO EXISTE"))</f>
        <v/>
      </c>
      <c r="H2722" s="8">
        <f>IF(B2722="","",IFERROR(VLOOKUP(--B2722,'CATALOGO CECO'!$A$2:$H$550,3,FALSE),""))</f>
        <v/>
      </c>
      <c r="I2722" s="8">
        <f>IF(B2722="","",IFERROR(VLOOKUP(--B2722,'CATALOGO CECO'!$A$2:$H$550,5,FALSE),""))</f>
        <v/>
      </c>
      <c r="J2722" s="8">
        <f>IF(B2722="","",IFERROR(VLOOKUP(--B2722,'CATALOGO CECO'!$A$2:$H$550,8,FALSE),""))</f>
        <v/>
      </c>
      <c r="K2722" s="8">
        <f>IF(COUNTA(A2722:F2722)=0,"",IF(OR(LEN(A2722)&lt;&gt;7,MID(A2722,5,1)&lt;&gt;"-",ISERROR(--LEFT(A2722,4)),ISERROR(--RIGHT(A2722,2))),"ERROR: PERIODO debe ser AAAA-MM",IF(B2722="","ERROR: falta CODIGO CECO",IF(G2722="CECO NO EXISTE","ERROR: CECO no existe en el catálogo",IF(C2722="","ERROR: falta CUENTA",IF(ISERROR(--C2722),"ERROR: CUENTA debe tener solo dígitos",IF(ISERROR(FIND(LEFT(C2722,1),"567")),"ERROR: CUENTA fuera de las clases de costo",IF(NOT(ISNUMBER(E2722)),"ERROR: VALOR debe ser numérico",IF(E2722=0,"AVISO: valor cero (no se carga)",IF(J2722&lt;&gt;"ACTIVO","NO SE CARGA: CECO en estado "&amp;J2722,"OK"))))))))))</f>
        <v/>
      </c>
    </row>
    <row r="2723">
      <c r="A2723" s="5" t="n"/>
      <c r="B2723" s="6" t="n"/>
      <c r="C2723" s="5" t="n"/>
      <c r="D2723" s="6" t="n"/>
      <c r="E2723" s="7" t="n"/>
      <c r="F2723" s="6" t="n"/>
      <c r="G2723" s="8">
        <f>IF(B2723="","",IFERROR(VLOOKUP(--B2723,'CATALOGO CECO'!$A$2:$H$550,2,FALSE),"CECO NO EXISTE"))</f>
        <v/>
      </c>
      <c r="H2723" s="8">
        <f>IF(B2723="","",IFERROR(VLOOKUP(--B2723,'CATALOGO CECO'!$A$2:$H$550,3,FALSE),""))</f>
        <v/>
      </c>
      <c r="I2723" s="8">
        <f>IF(B2723="","",IFERROR(VLOOKUP(--B2723,'CATALOGO CECO'!$A$2:$H$550,5,FALSE),""))</f>
        <v/>
      </c>
      <c r="J2723" s="8">
        <f>IF(B2723="","",IFERROR(VLOOKUP(--B2723,'CATALOGO CECO'!$A$2:$H$550,8,FALSE),""))</f>
        <v/>
      </c>
      <c r="K2723" s="8">
        <f>IF(COUNTA(A2723:F2723)=0,"",IF(OR(LEN(A2723)&lt;&gt;7,MID(A2723,5,1)&lt;&gt;"-",ISERROR(--LEFT(A2723,4)),ISERROR(--RIGHT(A2723,2))),"ERROR: PERIODO debe ser AAAA-MM",IF(B2723="","ERROR: falta CODIGO CECO",IF(G2723="CECO NO EXISTE","ERROR: CECO no existe en el catálogo",IF(C2723="","ERROR: falta CUENTA",IF(ISERROR(--C2723),"ERROR: CUENTA debe tener solo dígitos",IF(ISERROR(FIND(LEFT(C2723,1),"567")),"ERROR: CUENTA fuera de las clases de costo",IF(NOT(ISNUMBER(E2723)),"ERROR: VALOR debe ser numérico",IF(E2723=0,"AVISO: valor cero (no se carga)",IF(J2723&lt;&gt;"ACTIVO","NO SE CARGA: CECO en estado "&amp;J2723,"OK"))))))))))</f>
        <v/>
      </c>
    </row>
    <row r="2724">
      <c r="A2724" s="5" t="n"/>
      <c r="B2724" s="6" t="n"/>
      <c r="C2724" s="5" t="n"/>
      <c r="D2724" s="6" t="n"/>
      <c r="E2724" s="7" t="n"/>
      <c r="F2724" s="6" t="n"/>
      <c r="G2724" s="8">
        <f>IF(B2724="","",IFERROR(VLOOKUP(--B2724,'CATALOGO CECO'!$A$2:$H$550,2,FALSE),"CECO NO EXISTE"))</f>
        <v/>
      </c>
      <c r="H2724" s="8">
        <f>IF(B2724="","",IFERROR(VLOOKUP(--B2724,'CATALOGO CECO'!$A$2:$H$550,3,FALSE),""))</f>
        <v/>
      </c>
      <c r="I2724" s="8">
        <f>IF(B2724="","",IFERROR(VLOOKUP(--B2724,'CATALOGO CECO'!$A$2:$H$550,5,FALSE),""))</f>
        <v/>
      </c>
      <c r="J2724" s="8">
        <f>IF(B2724="","",IFERROR(VLOOKUP(--B2724,'CATALOGO CECO'!$A$2:$H$550,8,FALSE),""))</f>
        <v/>
      </c>
      <c r="K2724" s="8">
        <f>IF(COUNTA(A2724:F2724)=0,"",IF(OR(LEN(A2724)&lt;&gt;7,MID(A2724,5,1)&lt;&gt;"-",ISERROR(--LEFT(A2724,4)),ISERROR(--RIGHT(A2724,2))),"ERROR: PERIODO debe ser AAAA-MM",IF(B2724="","ERROR: falta CODIGO CECO",IF(G2724="CECO NO EXISTE","ERROR: CECO no existe en el catálogo",IF(C2724="","ERROR: falta CUENTA",IF(ISERROR(--C2724),"ERROR: CUENTA debe tener solo dígitos",IF(ISERROR(FIND(LEFT(C2724,1),"567")),"ERROR: CUENTA fuera de las clases de costo",IF(NOT(ISNUMBER(E2724)),"ERROR: VALOR debe ser numérico",IF(E2724=0,"AVISO: valor cero (no se carga)",IF(J2724&lt;&gt;"ACTIVO","NO SE CARGA: CECO en estado "&amp;J2724,"OK"))))))))))</f>
        <v/>
      </c>
    </row>
    <row r="2725">
      <c r="A2725" s="5" t="n"/>
      <c r="B2725" s="6" t="n"/>
      <c r="C2725" s="5" t="n"/>
      <c r="D2725" s="6" t="n"/>
      <c r="E2725" s="7" t="n"/>
      <c r="F2725" s="6" t="n"/>
      <c r="G2725" s="8">
        <f>IF(B2725="","",IFERROR(VLOOKUP(--B2725,'CATALOGO CECO'!$A$2:$H$550,2,FALSE),"CECO NO EXISTE"))</f>
        <v/>
      </c>
      <c r="H2725" s="8">
        <f>IF(B2725="","",IFERROR(VLOOKUP(--B2725,'CATALOGO CECO'!$A$2:$H$550,3,FALSE),""))</f>
        <v/>
      </c>
      <c r="I2725" s="8">
        <f>IF(B2725="","",IFERROR(VLOOKUP(--B2725,'CATALOGO CECO'!$A$2:$H$550,5,FALSE),""))</f>
        <v/>
      </c>
      <c r="J2725" s="8">
        <f>IF(B2725="","",IFERROR(VLOOKUP(--B2725,'CATALOGO CECO'!$A$2:$H$550,8,FALSE),""))</f>
        <v/>
      </c>
      <c r="K2725" s="8">
        <f>IF(COUNTA(A2725:F2725)=0,"",IF(OR(LEN(A2725)&lt;&gt;7,MID(A2725,5,1)&lt;&gt;"-",ISERROR(--LEFT(A2725,4)),ISERROR(--RIGHT(A2725,2))),"ERROR: PERIODO debe ser AAAA-MM",IF(B2725="","ERROR: falta CODIGO CECO",IF(G2725="CECO NO EXISTE","ERROR: CECO no existe en el catálogo",IF(C2725="","ERROR: falta CUENTA",IF(ISERROR(--C2725),"ERROR: CUENTA debe tener solo dígitos",IF(ISERROR(FIND(LEFT(C2725,1),"567")),"ERROR: CUENTA fuera de las clases de costo",IF(NOT(ISNUMBER(E2725)),"ERROR: VALOR debe ser numérico",IF(E2725=0,"AVISO: valor cero (no se carga)",IF(J2725&lt;&gt;"ACTIVO","NO SE CARGA: CECO en estado "&amp;J2725,"OK"))))))))))</f>
        <v/>
      </c>
    </row>
    <row r="2726">
      <c r="A2726" s="5" t="n"/>
      <c r="B2726" s="6" t="n"/>
      <c r="C2726" s="5" t="n"/>
      <c r="D2726" s="6" t="n"/>
      <c r="E2726" s="7" t="n"/>
      <c r="F2726" s="6" t="n"/>
      <c r="G2726" s="8">
        <f>IF(B2726="","",IFERROR(VLOOKUP(--B2726,'CATALOGO CECO'!$A$2:$H$550,2,FALSE),"CECO NO EXISTE"))</f>
        <v/>
      </c>
      <c r="H2726" s="8">
        <f>IF(B2726="","",IFERROR(VLOOKUP(--B2726,'CATALOGO CECO'!$A$2:$H$550,3,FALSE),""))</f>
        <v/>
      </c>
      <c r="I2726" s="8">
        <f>IF(B2726="","",IFERROR(VLOOKUP(--B2726,'CATALOGO CECO'!$A$2:$H$550,5,FALSE),""))</f>
        <v/>
      </c>
      <c r="J2726" s="8">
        <f>IF(B2726="","",IFERROR(VLOOKUP(--B2726,'CATALOGO CECO'!$A$2:$H$550,8,FALSE),""))</f>
        <v/>
      </c>
      <c r="K2726" s="8">
        <f>IF(COUNTA(A2726:F2726)=0,"",IF(OR(LEN(A2726)&lt;&gt;7,MID(A2726,5,1)&lt;&gt;"-",ISERROR(--LEFT(A2726,4)),ISERROR(--RIGHT(A2726,2))),"ERROR: PERIODO debe ser AAAA-MM",IF(B2726="","ERROR: falta CODIGO CECO",IF(G2726="CECO NO EXISTE","ERROR: CECO no existe en el catálogo",IF(C2726="","ERROR: falta CUENTA",IF(ISERROR(--C2726),"ERROR: CUENTA debe tener solo dígitos",IF(ISERROR(FIND(LEFT(C2726,1),"567")),"ERROR: CUENTA fuera de las clases de costo",IF(NOT(ISNUMBER(E2726)),"ERROR: VALOR debe ser numérico",IF(E2726=0,"AVISO: valor cero (no se carga)",IF(J2726&lt;&gt;"ACTIVO","NO SE CARGA: CECO en estado "&amp;J2726,"OK"))))))))))</f>
        <v/>
      </c>
    </row>
    <row r="2727">
      <c r="A2727" s="5" t="n"/>
      <c r="B2727" s="6" t="n"/>
      <c r="C2727" s="5" t="n"/>
      <c r="D2727" s="6" t="n"/>
      <c r="E2727" s="7" t="n"/>
      <c r="F2727" s="6" t="n"/>
      <c r="G2727" s="8">
        <f>IF(B2727="","",IFERROR(VLOOKUP(--B2727,'CATALOGO CECO'!$A$2:$H$550,2,FALSE),"CECO NO EXISTE"))</f>
        <v/>
      </c>
      <c r="H2727" s="8">
        <f>IF(B2727="","",IFERROR(VLOOKUP(--B2727,'CATALOGO CECO'!$A$2:$H$550,3,FALSE),""))</f>
        <v/>
      </c>
      <c r="I2727" s="8">
        <f>IF(B2727="","",IFERROR(VLOOKUP(--B2727,'CATALOGO CECO'!$A$2:$H$550,5,FALSE),""))</f>
        <v/>
      </c>
      <c r="J2727" s="8">
        <f>IF(B2727="","",IFERROR(VLOOKUP(--B2727,'CATALOGO CECO'!$A$2:$H$550,8,FALSE),""))</f>
        <v/>
      </c>
      <c r="K2727" s="8">
        <f>IF(COUNTA(A2727:F2727)=0,"",IF(OR(LEN(A2727)&lt;&gt;7,MID(A2727,5,1)&lt;&gt;"-",ISERROR(--LEFT(A2727,4)),ISERROR(--RIGHT(A2727,2))),"ERROR: PERIODO debe ser AAAA-MM",IF(B2727="","ERROR: falta CODIGO CECO",IF(G2727="CECO NO EXISTE","ERROR: CECO no existe en el catálogo",IF(C2727="","ERROR: falta CUENTA",IF(ISERROR(--C2727),"ERROR: CUENTA debe tener solo dígitos",IF(ISERROR(FIND(LEFT(C2727,1),"567")),"ERROR: CUENTA fuera de las clases de costo",IF(NOT(ISNUMBER(E2727)),"ERROR: VALOR debe ser numérico",IF(E2727=0,"AVISO: valor cero (no se carga)",IF(J2727&lt;&gt;"ACTIVO","NO SE CARGA: CECO en estado "&amp;J2727,"OK"))))))))))</f>
        <v/>
      </c>
    </row>
    <row r="2728">
      <c r="A2728" s="5" t="n"/>
      <c r="B2728" s="6" t="n"/>
      <c r="C2728" s="5" t="n"/>
      <c r="D2728" s="6" t="n"/>
      <c r="E2728" s="7" t="n"/>
      <c r="F2728" s="6" t="n"/>
      <c r="G2728" s="8">
        <f>IF(B2728="","",IFERROR(VLOOKUP(--B2728,'CATALOGO CECO'!$A$2:$H$550,2,FALSE),"CECO NO EXISTE"))</f>
        <v/>
      </c>
      <c r="H2728" s="8">
        <f>IF(B2728="","",IFERROR(VLOOKUP(--B2728,'CATALOGO CECO'!$A$2:$H$550,3,FALSE),""))</f>
        <v/>
      </c>
      <c r="I2728" s="8">
        <f>IF(B2728="","",IFERROR(VLOOKUP(--B2728,'CATALOGO CECO'!$A$2:$H$550,5,FALSE),""))</f>
        <v/>
      </c>
      <c r="J2728" s="8">
        <f>IF(B2728="","",IFERROR(VLOOKUP(--B2728,'CATALOGO CECO'!$A$2:$H$550,8,FALSE),""))</f>
        <v/>
      </c>
      <c r="K2728" s="8">
        <f>IF(COUNTA(A2728:F2728)=0,"",IF(OR(LEN(A2728)&lt;&gt;7,MID(A2728,5,1)&lt;&gt;"-",ISERROR(--LEFT(A2728,4)),ISERROR(--RIGHT(A2728,2))),"ERROR: PERIODO debe ser AAAA-MM",IF(B2728="","ERROR: falta CODIGO CECO",IF(G2728="CECO NO EXISTE","ERROR: CECO no existe en el catálogo",IF(C2728="","ERROR: falta CUENTA",IF(ISERROR(--C2728),"ERROR: CUENTA debe tener solo dígitos",IF(ISERROR(FIND(LEFT(C2728,1),"567")),"ERROR: CUENTA fuera de las clases de costo",IF(NOT(ISNUMBER(E2728)),"ERROR: VALOR debe ser numérico",IF(E2728=0,"AVISO: valor cero (no se carga)",IF(J2728&lt;&gt;"ACTIVO","NO SE CARGA: CECO en estado "&amp;J2728,"OK"))))))))))</f>
        <v/>
      </c>
    </row>
    <row r="2729">
      <c r="A2729" s="5" t="n"/>
      <c r="B2729" s="6" t="n"/>
      <c r="C2729" s="5" t="n"/>
      <c r="D2729" s="6" t="n"/>
      <c r="E2729" s="7" t="n"/>
      <c r="F2729" s="6" t="n"/>
      <c r="G2729" s="8">
        <f>IF(B2729="","",IFERROR(VLOOKUP(--B2729,'CATALOGO CECO'!$A$2:$H$550,2,FALSE),"CECO NO EXISTE"))</f>
        <v/>
      </c>
      <c r="H2729" s="8">
        <f>IF(B2729="","",IFERROR(VLOOKUP(--B2729,'CATALOGO CECO'!$A$2:$H$550,3,FALSE),""))</f>
        <v/>
      </c>
      <c r="I2729" s="8">
        <f>IF(B2729="","",IFERROR(VLOOKUP(--B2729,'CATALOGO CECO'!$A$2:$H$550,5,FALSE),""))</f>
        <v/>
      </c>
      <c r="J2729" s="8">
        <f>IF(B2729="","",IFERROR(VLOOKUP(--B2729,'CATALOGO CECO'!$A$2:$H$550,8,FALSE),""))</f>
        <v/>
      </c>
      <c r="K2729" s="8">
        <f>IF(COUNTA(A2729:F2729)=0,"",IF(OR(LEN(A2729)&lt;&gt;7,MID(A2729,5,1)&lt;&gt;"-",ISERROR(--LEFT(A2729,4)),ISERROR(--RIGHT(A2729,2))),"ERROR: PERIODO debe ser AAAA-MM",IF(B2729="","ERROR: falta CODIGO CECO",IF(G2729="CECO NO EXISTE","ERROR: CECO no existe en el catálogo",IF(C2729="","ERROR: falta CUENTA",IF(ISERROR(--C2729),"ERROR: CUENTA debe tener solo dígitos",IF(ISERROR(FIND(LEFT(C2729,1),"567")),"ERROR: CUENTA fuera de las clases de costo",IF(NOT(ISNUMBER(E2729)),"ERROR: VALOR debe ser numérico",IF(E2729=0,"AVISO: valor cero (no se carga)",IF(J2729&lt;&gt;"ACTIVO","NO SE CARGA: CECO en estado "&amp;J2729,"OK"))))))))))</f>
        <v/>
      </c>
    </row>
    <row r="2730">
      <c r="A2730" s="5" t="n"/>
      <c r="B2730" s="6" t="n"/>
      <c r="C2730" s="5" t="n"/>
      <c r="D2730" s="6" t="n"/>
      <c r="E2730" s="7" t="n"/>
      <c r="F2730" s="6" t="n"/>
      <c r="G2730" s="8">
        <f>IF(B2730="","",IFERROR(VLOOKUP(--B2730,'CATALOGO CECO'!$A$2:$H$550,2,FALSE),"CECO NO EXISTE"))</f>
        <v/>
      </c>
      <c r="H2730" s="8">
        <f>IF(B2730="","",IFERROR(VLOOKUP(--B2730,'CATALOGO CECO'!$A$2:$H$550,3,FALSE),""))</f>
        <v/>
      </c>
      <c r="I2730" s="8">
        <f>IF(B2730="","",IFERROR(VLOOKUP(--B2730,'CATALOGO CECO'!$A$2:$H$550,5,FALSE),""))</f>
        <v/>
      </c>
      <c r="J2730" s="8">
        <f>IF(B2730="","",IFERROR(VLOOKUP(--B2730,'CATALOGO CECO'!$A$2:$H$550,8,FALSE),""))</f>
        <v/>
      </c>
      <c r="K2730" s="8">
        <f>IF(COUNTA(A2730:F2730)=0,"",IF(OR(LEN(A2730)&lt;&gt;7,MID(A2730,5,1)&lt;&gt;"-",ISERROR(--LEFT(A2730,4)),ISERROR(--RIGHT(A2730,2))),"ERROR: PERIODO debe ser AAAA-MM",IF(B2730="","ERROR: falta CODIGO CECO",IF(G2730="CECO NO EXISTE","ERROR: CECO no existe en el catálogo",IF(C2730="","ERROR: falta CUENTA",IF(ISERROR(--C2730),"ERROR: CUENTA debe tener solo dígitos",IF(ISERROR(FIND(LEFT(C2730,1),"567")),"ERROR: CUENTA fuera de las clases de costo",IF(NOT(ISNUMBER(E2730)),"ERROR: VALOR debe ser numérico",IF(E2730=0,"AVISO: valor cero (no se carga)",IF(J2730&lt;&gt;"ACTIVO","NO SE CARGA: CECO en estado "&amp;J2730,"OK"))))))))))</f>
        <v/>
      </c>
    </row>
    <row r="2731">
      <c r="A2731" s="5" t="n"/>
      <c r="B2731" s="6" t="n"/>
      <c r="C2731" s="5" t="n"/>
      <c r="D2731" s="6" t="n"/>
      <c r="E2731" s="7" t="n"/>
      <c r="F2731" s="6" t="n"/>
      <c r="G2731" s="8">
        <f>IF(B2731="","",IFERROR(VLOOKUP(--B2731,'CATALOGO CECO'!$A$2:$H$550,2,FALSE),"CECO NO EXISTE"))</f>
        <v/>
      </c>
      <c r="H2731" s="8">
        <f>IF(B2731="","",IFERROR(VLOOKUP(--B2731,'CATALOGO CECO'!$A$2:$H$550,3,FALSE),""))</f>
        <v/>
      </c>
      <c r="I2731" s="8">
        <f>IF(B2731="","",IFERROR(VLOOKUP(--B2731,'CATALOGO CECO'!$A$2:$H$550,5,FALSE),""))</f>
        <v/>
      </c>
      <c r="J2731" s="8">
        <f>IF(B2731="","",IFERROR(VLOOKUP(--B2731,'CATALOGO CECO'!$A$2:$H$550,8,FALSE),""))</f>
        <v/>
      </c>
      <c r="K2731" s="8">
        <f>IF(COUNTA(A2731:F2731)=0,"",IF(OR(LEN(A2731)&lt;&gt;7,MID(A2731,5,1)&lt;&gt;"-",ISERROR(--LEFT(A2731,4)),ISERROR(--RIGHT(A2731,2))),"ERROR: PERIODO debe ser AAAA-MM",IF(B2731="","ERROR: falta CODIGO CECO",IF(G2731="CECO NO EXISTE","ERROR: CECO no existe en el catálogo",IF(C2731="","ERROR: falta CUENTA",IF(ISERROR(--C2731),"ERROR: CUENTA debe tener solo dígitos",IF(ISERROR(FIND(LEFT(C2731,1),"567")),"ERROR: CUENTA fuera de las clases de costo",IF(NOT(ISNUMBER(E2731)),"ERROR: VALOR debe ser numérico",IF(E2731=0,"AVISO: valor cero (no se carga)",IF(J2731&lt;&gt;"ACTIVO","NO SE CARGA: CECO en estado "&amp;J2731,"OK"))))))))))</f>
        <v/>
      </c>
    </row>
    <row r="2732">
      <c r="A2732" s="5" t="n"/>
      <c r="B2732" s="6" t="n"/>
      <c r="C2732" s="5" t="n"/>
      <c r="D2732" s="6" t="n"/>
      <c r="E2732" s="7" t="n"/>
      <c r="F2732" s="6" t="n"/>
      <c r="G2732" s="8">
        <f>IF(B2732="","",IFERROR(VLOOKUP(--B2732,'CATALOGO CECO'!$A$2:$H$550,2,FALSE),"CECO NO EXISTE"))</f>
        <v/>
      </c>
      <c r="H2732" s="8">
        <f>IF(B2732="","",IFERROR(VLOOKUP(--B2732,'CATALOGO CECO'!$A$2:$H$550,3,FALSE),""))</f>
        <v/>
      </c>
      <c r="I2732" s="8">
        <f>IF(B2732="","",IFERROR(VLOOKUP(--B2732,'CATALOGO CECO'!$A$2:$H$550,5,FALSE),""))</f>
        <v/>
      </c>
      <c r="J2732" s="8">
        <f>IF(B2732="","",IFERROR(VLOOKUP(--B2732,'CATALOGO CECO'!$A$2:$H$550,8,FALSE),""))</f>
        <v/>
      </c>
      <c r="K2732" s="8">
        <f>IF(COUNTA(A2732:F2732)=0,"",IF(OR(LEN(A2732)&lt;&gt;7,MID(A2732,5,1)&lt;&gt;"-",ISERROR(--LEFT(A2732,4)),ISERROR(--RIGHT(A2732,2))),"ERROR: PERIODO debe ser AAAA-MM",IF(B2732="","ERROR: falta CODIGO CECO",IF(G2732="CECO NO EXISTE","ERROR: CECO no existe en el catálogo",IF(C2732="","ERROR: falta CUENTA",IF(ISERROR(--C2732),"ERROR: CUENTA debe tener solo dígitos",IF(ISERROR(FIND(LEFT(C2732,1),"567")),"ERROR: CUENTA fuera de las clases de costo",IF(NOT(ISNUMBER(E2732)),"ERROR: VALOR debe ser numérico",IF(E2732=0,"AVISO: valor cero (no se carga)",IF(J2732&lt;&gt;"ACTIVO","NO SE CARGA: CECO en estado "&amp;J2732,"OK"))))))))))</f>
        <v/>
      </c>
    </row>
    <row r="2733">
      <c r="A2733" s="5" t="n"/>
      <c r="B2733" s="6" t="n"/>
      <c r="C2733" s="5" t="n"/>
      <c r="D2733" s="6" t="n"/>
      <c r="E2733" s="7" t="n"/>
      <c r="F2733" s="6" t="n"/>
      <c r="G2733" s="8">
        <f>IF(B2733="","",IFERROR(VLOOKUP(--B2733,'CATALOGO CECO'!$A$2:$H$550,2,FALSE),"CECO NO EXISTE"))</f>
        <v/>
      </c>
      <c r="H2733" s="8">
        <f>IF(B2733="","",IFERROR(VLOOKUP(--B2733,'CATALOGO CECO'!$A$2:$H$550,3,FALSE),""))</f>
        <v/>
      </c>
      <c r="I2733" s="8">
        <f>IF(B2733="","",IFERROR(VLOOKUP(--B2733,'CATALOGO CECO'!$A$2:$H$550,5,FALSE),""))</f>
        <v/>
      </c>
      <c r="J2733" s="8">
        <f>IF(B2733="","",IFERROR(VLOOKUP(--B2733,'CATALOGO CECO'!$A$2:$H$550,8,FALSE),""))</f>
        <v/>
      </c>
      <c r="K2733" s="8">
        <f>IF(COUNTA(A2733:F2733)=0,"",IF(OR(LEN(A2733)&lt;&gt;7,MID(A2733,5,1)&lt;&gt;"-",ISERROR(--LEFT(A2733,4)),ISERROR(--RIGHT(A2733,2))),"ERROR: PERIODO debe ser AAAA-MM",IF(B2733="","ERROR: falta CODIGO CECO",IF(G2733="CECO NO EXISTE","ERROR: CECO no existe en el catálogo",IF(C2733="","ERROR: falta CUENTA",IF(ISERROR(--C2733),"ERROR: CUENTA debe tener solo dígitos",IF(ISERROR(FIND(LEFT(C2733,1),"567")),"ERROR: CUENTA fuera de las clases de costo",IF(NOT(ISNUMBER(E2733)),"ERROR: VALOR debe ser numérico",IF(E2733=0,"AVISO: valor cero (no se carga)",IF(J2733&lt;&gt;"ACTIVO","NO SE CARGA: CECO en estado "&amp;J2733,"OK"))))))))))</f>
        <v/>
      </c>
    </row>
    <row r="2734">
      <c r="A2734" s="5" t="n"/>
      <c r="B2734" s="6" t="n"/>
      <c r="C2734" s="5" t="n"/>
      <c r="D2734" s="6" t="n"/>
      <c r="E2734" s="7" t="n"/>
      <c r="F2734" s="6" t="n"/>
      <c r="G2734" s="8">
        <f>IF(B2734="","",IFERROR(VLOOKUP(--B2734,'CATALOGO CECO'!$A$2:$H$550,2,FALSE),"CECO NO EXISTE"))</f>
        <v/>
      </c>
      <c r="H2734" s="8">
        <f>IF(B2734="","",IFERROR(VLOOKUP(--B2734,'CATALOGO CECO'!$A$2:$H$550,3,FALSE),""))</f>
        <v/>
      </c>
      <c r="I2734" s="8">
        <f>IF(B2734="","",IFERROR(VLOOKUP(--B2734,'CATALOGO CECO'!$A$2:$H$550,5,FALSE),""))</f>
        <v/>
      </c>
      <c r="J2734" s="8">
        <f>IF(B2734="","",IFERROR(VLOOKUP(--B2734,'CATALOGO CECO'!$A$2:$H$550,8,FALSE),""))</f>
        <v/>
      </c>
      <c r="K2734" s="8">
        <f>IF(COUNTA(A2734:F2734)=0,"",IF(OR(LEN(A2734)&lt;&gt;7,MID(A2734,5,1)&lt;&gt;"-",ISERROR(--LEFT(A2734,4)),ISERROR(--RIGHT(A2734,2))),"ERROR: PERIODO debe ser AAAA-MM",IF(B2734="","ERROR: falta CODIGO CECO",IF(G2734="CECO NO EXISTE","ERROR: CECO no existe en el catálogo",IF(C2734="","ERROR: falta CUENTA",IF(ISERROR(--C2734),"ERROR: CUENTA debe tener solo dígitos",IF(ISERROR(FIND(LEFT(C2734,1),"567")),"ERROR: CUENTA fuera de las clases de costo",IF(NOT(ISNUMBER(E2734)),"ERROR: VALOR debe ser numérico",IF(E2734=0,"AVISO: valor cero (no se carga)",IF(J2734&lt;&gt;"ACTIVO","NO SE CARGA: CECO en estado "&amp;J2734,"OK"))))))))))</f>
        <v/>
      </c>
    </row>
    <row r="2735">
      <c r="A2735" s="5" t="n"/>
      <c r="B2735" s="6" t="n"/>
      <c r="C2735" s="5" t="n"/>
      <c r="D2735" s="6" t="n"/>
      <c r="E2735" s="7" t="n"/>
      <c r="F2735" s="6" t="n"/>
      <c r="G2735" s="8">
        <f>IF(B2735="","",IFERROR(VLOOKUP(--B2735,'CATALOGO CECO'!$A$2:$H$550,2,FALSE),"CECO NO EXISTE"))</f>
        <v/>
      </c>
      <c r="H2735" s="8">
        <f>IF(B2735="","",IFERROR(VLOOKUP(--B2735,'CATALOGO CECO'!$A$2:$H$550,3,FALSE),""))</f>
        <v/>
      </c>
      <c r="I2735" s="8">
        <f>IF(B2735="","",IFERROR(VLOOKUP(--B2735,'CATALOGO CECO'!$A$2:$H$550,5,FALSE),""))</f>
        <v/>
      </c>
      <c r="J2735" s="8">
        <f>IF(B2735="","",IFERROR(VLOOKUP(--B2735,'CATALOGO CECO'!$A$2:$H$550,8,FALSE),""))</f>
        <v/>
      </c>
      <c r="K2735" s="8">
        <f>IF(COUNTA(A2735:F2735)=0,"",IF(OR(LEN(A2735)&lt;&gt;7,MID(A2735,5,1)&lt;&gt;"-",ISERROR(--LEFT(A2735,4)),ISERROR(--RIGHT(A2735,2))),"ERROR: PERIODO debe ser AAAA-MM",IF(B2735="","ERROR: falta CODIGO CECO",IF(G2735="CECO NO EXISTE","ERROR: CECO no existe en el catálogo",IF(C2735="","ERROR: falta CUENTA",IF(ISERROR(--C2735),"ERROR: CUENTA debe tener solo dígitos",IF(ISERROR(FIND(LEFT(C2735,1),"567")),"ERROR: CUENTA fuera de las clases de costo",IF(NOT(ISNUMBER(E2735)),"ERROR: VALOR debe ser numérico",IF(E2735=0,"AVISO: valor cero (no se carga)",IF(J2735&lt;&gt;"ACTIVO","NO SE CARGA: CECO en estado "&amp;J2735,"OK"))))))))))</f>
        <v/>
      </c>
    </row>
    <row r="2736">
      <c r="A2736" s="5" t="n"/>
      <c r="B2736" s="6" t="n"/>
      <c r="C2736" s="5" t="n"/>
      <c r="D2736" s="6" t="n"/>
      <c r="E2736" s="7" t="n"/>
      <c r="F2736" s="6" t="n"/>
      <c r="G2736" s="8">
        <f>IF(B2736="","",IFERROR(VLOOKUP(--B2736,'CATALOGO CECO'!$A$2:$H$550,2,FALSE),"CECO NO EXISTE"))</f>
        <v/>
      </c>
      <c r="H2736" s="8">
        <f>IF(B2736="","",IFERROR(VLOOKUP(--B2736,'CATALOGO CECO'!$A$2:$H$550,3,FALSE),""))</f>
        <v/>
      </c>
      <c r="I2736" s="8">
        <f>IF(B2736="","",IFERROR(VLOOKUP(--B2736,'CATALOGO CECO'!$A$2:$H$550,5,FALSE),""))</f>
        <v/>
      </c>
      <c r="J2736" s="8">
        <f>IF(B2736="","",IFERROR(VLOOKUP(--B2736,'CATALOGO CECO'!$A$2:$H$550,8,FALSE),""))</f>
        <v/>
      </c>
      <c r="K2736" s="8">
        <f>IF(COUNTA(A2736:F2736)=0,"",IF(OR(LEN(A2736)&lt;&gt;7,MID(A2736,5,1)&lt;&gt;"-",ISERROR(--LEFT(A2736,4)),ISERROR(--RIGHT(A2736,2))),"ERROR: PERIODO debe ser AAAA-MM",IF(B2736="","ERROR: falta CODIGO CECO",IF(G2736="CECO NO EXISTE","ERROR: CECO no existe en el catálogo",IF(C2736="","ERROR: falta CUENTA",IF(ISERROR(--C2736),"ERROR: CUENTA debe tener solo dígitos",IF(ISERROR(FIND(LEFT(C2736,1),"567")),"ERROR: CUENTA fuera de las clases de costo",IF(NOT(ISNUMBER(E2736)),"ERROR: VALOR debe ser numérico",IF(E2736=0,"AVISO: valor cero (no se carga)",IF(J2736&lt;&gt;"ACTIVO","NO SE CARGA: CECO en estado "&amp;J2736,"OK"))))))))))</f>
        <v/>
      </c>
    </row>
    <row r="2737">
      <c r="A2737" s="5" t="n"/>
      <c r="B2737" s="6" t="n"/>
      <c r="C2737" s="5" t="n"/>
      <c r="D2737" s="6" t="n"/>
      <c r="E2737" s="7" t="n"/>
      <c r="F2737" s="6" t="n"/>
      <c r="G2737" s="8">
        <f>IF(B2737="","",IFERROR(VLOOKUP(--B2737,'CATALOGO CECO'!$A$2:$H$550,2,FALSE),"CECO NO EXISTE"))</f>
        <v/>
      </c>
      <c r="H2737" s="8">
        <f>IF(B2737="","",IFERROR(VLOOKUP(--B2737,'CATALOGO CECO'!$A$2:$H$550,3,FALSE),""))</f>
        <v/>
      </c>
      <c r="I2737" s="8">
        <f>IF(B2737="","",IFERROR(VLOOKUP(--B2737,'CATALOGO CECO'!$A$2:$H$550,5,FALSE),""))</f>
        <v/>
      </c>
      <c r="J2737" s="8">
        <f>IF(B2737="","",IFERROR(VLOOKUP(--B2737,'CATALOGO CECO'!$A$2:$H$550,8,FALSE),""))</f>
        <v/>
      </c>
      <c r="K2737" s="8">
        <f>IF(COUNTA(A2737:F2737)=0,"",IF(OR(LEN(A2737)&lt;&gt;7,MID(A2737,5,1)&lt;&gt;"-",ISERROR(--LEFT(A2737,4)),ISERROR(--RIGHT(A2737,2))),"ERROR: PERIODO debe ser AAAA-MM",IF(B2737="","ERROR: falta CODIGO CECO",IF(G2737="CECO NO EXISTE","ERROR: CECO no existe en el catálogo",IF(C2737="","ERROR: falta CUENTA",IF(ISERROR(--C2737),"ERROR: CUENTA debe tener solo dígitos",IF(ISERROR(FIND(LEFT(C2737,1),"567")),"ERROR: CUENTA fuera de las clases de costo",IF(NOT(ISNUMBER(E2737)),"ERROR: VALOR debe ser numérico",IF(E2737=0,"AVISO: valor cero (no se carga)",IF(J2737&lt;&gt;"ACTIVO","NO SE CARGA: CECO en estado "&amp;J2737,"OK"))))))))))</f>
        <v/>
      </c>
    </row>
    <row r="2738">
      <c r="A2738" s="5" t="n"/>
      <c r="B2738" s="6" t="n"/>
      <c r="C2738" s="5" t="n"/>
      <c r="D2738" s="6" t="n"/>
      <c r="E2738" s="7" t="n"/>
      <c r="F2738" s="6" t="n"/>
      <c r="G2738" s="8">
        <f>IF(B2738="","",IFERROR(VLOOKUP(--B2738,'CATALOGO CECO'!$A$2:$H$550,2,FALSE),"CECO NO EXISTE"))</f>
        <v/>
      </c>
      <c r="H2738" s="8">
        <f>IF(B2738="","",IFERROR(VLOOKUP(--B2738,'CATALOGO CECO'!$A$2:$H$550,3,FALSE),""))</f>
        <v/>
      </c>
      <c r="I2738" s="8">
        <f>IF(B2738="","",IFERROR(VLOOKUP(--B2738,'CATALOGO CECO'!$A$2:$H$550,5,FALSE),""))</f>
        <v/>
      </c>
      <c r="J2738" s="8">
        <f>IF(B2738="","",IFERROR(VLOOKUP(--B2738,'CATALOGO CECO'!$A$2:$H$550,8,FALSE),""))</f>
        <v/>
      </c>
      <c r="K2738" s="8">
        <f>IF(COUNTA(A2738:F2738)=0,"",IF(OR(LEN(A2738)&lt;&gt;7,MID(A2738,5,1)&lt;&gt;"-",ISERROR(--LEFT(A2738,4)),ISERROR(--RIGHT(A2738,2))),"ERROR: PERIODO debe ser AAAA-MM",IF(B2738="","ERROR: falta CODIGO CECO",IF(G2738="CECO NO EXISTE","ERROR: CECO no existe en el catálogo",IF(C2738="","ERROR: falta CUENTA",IF(ISERROR(--C2738),"ERROR: CUENTA debe tener solo dígitos",IF(ISERROR(FIND(LEFT(C2738,1),"567")),"ERROR: CUENTA fuera de las clases de costo",IF(NOT(ISNUMBER(E2738)),"ERROR: VALOR debe ser numérico",IF(E2738=0,"AVISO: valor cero (no se carga)",IF(J2738&lt;&gt;"ACTIVO","NO SE CARGA: CECO en estado "&amp;J2738,"OK"))))))))))</f>
        <v/>
      </c>
    </row>
    <row r="2739">
      <c r="A2739" s="5" t="n"/>
      <c r="B2739" s="6" t="n"/>
      <c r="C2739" s="5" t="n"/>
      <c r="D2739" s="6" t="n"/>
      <c r="E2739" s="7" t="n"/>
      <c r="F2739" s="6" t="n"/>
      <c r="G2739" s="8">
        <f>IF(B2739="","",IFERROR(VLOOKUP(--B2739,'CATALOGO CECO'!$A$2:$H$550,2,FALSE),"CECO NO EXISTE"))</f>
        <v/>
      </c>
      <c r="H2739" s="8">
        <f>IF(B2739="","",IFERROR(VLOOKUP(--B2739,'CATALOGO CECO'!$A$2:$H$550,3,FALSE),""))</f>
        <v/>
      </c>
      <c r="I2739" s="8">
        <f>IF(B2739="","",IFERROR(VLOOKUP(--B2739,'CATALOGO CECO'!$A$2:$H$550,5,FALSE),""))</f>
        <v/>
      </c>
      <c r="J2739" s="8">
        <f>IF(B2739="","",IFERROR(VLOOKUP(--B2739,'CATALOGO CECO'!$A$2:$H$550,8,FALSE),""))</f>
        <v/>
      </c>
      <c r="K2739" s="8">
        <f>IF(COUNTA(A2739:F2739)=0,"",IF(OR(LEN(A2739)&lt;&gt;7,MID(A2739,5,1)&lt;&gt;"-",ISERROR(--LEFT(A2739,4)),ISERROR(--RIGHT(A2739,2))),"ERROR: PERIODO debe ser AAAA-MM",IF(B2739="","ERROR: falta CODIGO CECO",IF(G2739="CECO NO EXISTE","ERROR: CECO no existe en el catálogo",IF(C2739="","ERROR: falta CUENTA",IF(ISERROR(--C2739),"ERROR: CUENTA debe tener solo dígitos",IF(ISERROR(FIND(LEFT(C2739,1),"567")),"ERROR: CUENTA fuera de las clases de costo",IF(NOT(ISNUMBER(E2739)),"ERROR: VALOR debe ser numérico",IF(E2739=0,"AVISO: valor cero (no se carga)",IF(J2739&lt;&gt;"ACTIVO","NO SE CARGA: CECO en estado "&amp;J2739,"OK"))))))))))</f>
        <v/>
      </c>
    </row>
    <row r="2740">
      <c r="A2740" s="5" t="n"/>
      <c r="B2740" s="6" t="n"/>
      <c r="C2740" s="5" t="n"/>
      <c r="D2740" s="6" t="n"/>
      <c r="E2740" s="7" t="n"/>
      <c r="F2740" s="6" t="n"/>
      <c r="G2740" s="8">
        <f>IF(B2740="","",IFERROR(VLOOKUP(--B2740,'CATALOGO CECO'!$A$2:$H$550,2,FALSE),"CECO NO EXISTE"))</f>
        <v/>
      </c>
      <c r="H2740" s="8">
        <f>IF(B2740="","",IFERROR(VLOOKUP(--B2740,'CATALOGO CECO'!$A$2:$H$550,3,FALSE),""))</f>
        <v/>
      </c>
      <c r="I2740" s="8">
        <f>IF(B2740="","",IFERROR(VLOOKUP(--B2740,'CATALOGO CECO'!$A$2:$H$550,5,FALSE),""))</f>
        <v/>
      </c>
      <c r="J2740" s="8">
        <f>IF(B2740="","",IFERROR(VLOOKUP(--B2740,'CATALOGO CECO'!$A$2:$H$550,8,FALSE),""))</f>
        <v/>
      </c>
      <c r="K2740" s="8">
        <f>IF(COUNTA(A2740:F2740)=0,"",IF(OR(LEN(A2740)&lt;&gt;7,MID(A2740,5,1)&lt;&gt;"-",ISERROR(--LEFT(A2740,4)),ISERROR(--RIGHT(A2740,2))),"ERROR: PERIODO debe ser AAAA-MM",IF(B2740="","ERROR: falta CODIGO CECO",IF(G2740="CECO NO EXISTE","ERROR: CECO no existe en el catálogo",IF(C2740="","ERROR: falta CUENTA",IF(ISERROR(--C2740),"ERROR: CUENTA debe tener solo dígitos",IF(ISERROR(FIND(LEFT(C2740,1),"567")),"ERROR: CUENTA fuera de las clases de costo",IF(NOT(ISNUMBER(E2740)),"ERROR: VALOR debe ser numérico",IF(E2740=0,"AVISO: valor cero (no se carga)",IF(J2740&lt;&gt;"ACTIVO","NO SE CARGA: CECO en estado "&amp;J2740,"OK"))))))))))</f>
        <v/>
      </c>
    </row>
    <row r="2741">
      <c r="A2741" s="5" t="n"/>
      <c r="B2741" s="6" t="n"/>
      <c r="C2741" s="5" t="n"/>
      <c r="D2741" s="6" t="n"/>
      <c r="E2741" s="7" t="n"/>
      <c r="F2741" s="6" t="n"/>
      <c r="G2741" s="8">
        <f>IF(B2741="","",IFERROR(VLOOKUP(--B2741,'CATALOGO CECO'!$A$2:$H$550,2,FALSE),"CECO NO EXISTE"))</f>
        <v/>
      </c>
      <c r="H2741" s="8">
        <f>IF(B2741="","",IFERROR(VLOOKUP(--B2741,'CATALOGO CECO'!$A$2:$H$550,3,FALSE),""))</f>
        <v/>
      </c>
      <c r="I2741" s="8">
        <f>IF(B2741="","",IFERROR(VLOOKUP(--B2741,'CATALOGO CECO'!$A$2:$H$550,5,FALSE),""))</f>
        <v/>
      </c>
      <c r="J2741" s="8">
        <f>IF(B2741="","",IFERROR(VLOOKUP(--B2741,'CATALOGO CECO'!$A$2:$H$550,8,FALSE),""))</f>
        <v/>
      </c>
      <c r="K2741" s="8">
        <f>IF(COUNTA(A2741:F2741)=0,"",IF(OR(LEN(A2741)&lt;&gt;7,MID(A2741,5,1)&lt;&gt;"-",ISERROR(--LEFT(A2741,4)),ISERROR(--RIGHT(A2741,2))),"ERROR: PERIODO debe ser AAAA-MM",IF(B2741="","ERROR: falta CODIGO CECO",IF(G2741="CECO NO EXISTE","ERROR: CECO no existe en el catálogo",IF(C2741="","ERROR: falta CUENTA",IF(ISERROR(--C2741),"ERROR: CUENTA debe tener solo dígitos",IF(ISERROR(FIND(LEFT(C2741,1),"567")),"ERROR: CUENTA fuera de las clases de costo",IF(NOT(ISNUMBER(E2741)),"ERROR: VALOR debe ser numérico",IF(E2741=0,"AVISO: valor cero (no se carga)",IF(J2741&lt;&gt;"ACTIVO","NO SE CARGA: CECO en estado "&amp;J2741,"OK"))))))))))</f>
        <v/>
      </c>
    </row>
    <row r="2742">
      <c r="A2742" s="5" t="n"/>
      <c r="B2742" s="6" t="n"/>
      <c r="C2742" s="5" t="n"/>
      <c r="D2742" s="6" t="n"/>
      <c r="E2742" s="7" t="n"/>
      <c r="F2742" s="6" t="n"/>
      <c r="G2742" s="8">
        <f>IF(B2742="","",IFERROR(VLOOKUP(--B2742,'CATALOGO CECO'!$A$2:$H$550,2,FALSE),"CECO NO EXISTE"))</f>
        <v/>
      </c>
      <c r="H2742" s="8">
        <f>IF(B2742="","",IFERROR(VLOOKUP(--B2742,'CATALOGO CECO'!$A$2:$H$550,3,FALSE),""))</f>
        <v/>
      </c>
      <c r="I2742" s="8">
        <f>IF(B2742="","",IFERROR(VLOOKUP(--B2742,'CATALOGO CECO'!$A$2:$H$550,5,FALSE),""))</f>
        <v/>
      </c>
      <c r="J2742" s="8">
        <f>IF(B2742="","",IFERROR(VLOOKUP(--B2742,'CATALOGO CECO'!$A$2:$H$550,8,FALSE),""))</f>
        <v/>
      </c>
      <c r="K2742" s="8">
        <f>IF(COUNTA(A2742:F2742)=0,"",IF(OR(LEN(A2742)&lt;&gt;7,MID(A2742,5,1)&lt;&gt;"-",ISERROR(--LEFT(A2742,4)),ISERROR(--RIGHT(A2742,2))),"ERROR: PERIODO debe ser AAAA-MM",IF(B2742="","ERROR: falta CODIGO CECO",IF(G2742="CECO NO EXISTE","ERROR: CECO no existe en el catálogo",IF(C2742="","ERROR: falta CUENTA",IF(ISERROR(--C2742),"ERROR: CUENTA debe tener solo dígitos",IF(ISERROR(FIND(LEFT(C2742,1),"567")),"ERROR: CUENTA fuera de las clases de costo",IF(NOT(ISNUMBER(E2742)),"ERROR: VALOR debe ser numérico",IF(E2742=0,"AVISO: valor cero (no se carga)",IF(J2742&lt;&gt;"ACTIVO","NO SE CARGA: CECO en estado "&amp;J2742,"OK"))))))))))</f>
        <v/>
      </c>
    </row>
    <row r="2743">
      <c r="A2743" s="5" t="n"/>
      <c r="B2743" s="6" t="n"/>
      <c r="C2743" s="5" t="n"/>
      <c r="D2743" s="6" t="n"/>
      <c r="E2743" s="7" t="n"/>
      <c r="F2743" s="6" t="n"/>
      <c r="G2743" s="8">
        <f>IF(B2743="","",IFERROR(VLOOKUP(--B2743,'CATALOGO CECO'!$A$2:$H$550,2,FALSE),"CECO NO EXISTE"))</f>
        <v/>
      </c>
      <c r="H2743" s="8">
        <f>IF(B2743="","",IFERROR(VLOOKUP(--B2743,'CATALOGO CECO'!$A$2:$H$550,3,FALSE),""))</f>
        <v/>
      </c>
      <c r="I2743" s="8">
        <f>IF(B2743="","",IFERROR(VLOOKUP(--B2743,'CATALOGO CECO'!$A$2:$H$550,5,FALSE),""))</f>
        <v/>
      </c>
      <c r="J2743" s="8">
        <f>IF(B2743="","",IFERROR(VLOOKUP(--B2743,'CATALOGO CECO'!$A$2:$H$550,8,FALSE),""))</f>
        <v/>
      </c>
      <c r="K2743" s="8">
        <f>IF(COUNTA(A2743:F2743)=0,"",IF(OR(LEN(A2743)&lt;&gt;7,MID(A2743,5,1)&lt;&gt;"-",ISERROR(--LEFT(A2743,4)),ISERROR(--RIGHT(A2743,2))),"ERROR: PERIODO debe ser AAAA-MM",IF(B2743="","ERROR: falta CODIGO CECO",IF(G2743="CECO NO EXISTE","ERROR: CECO no existe en el catálogo",IF(C2743="","ERROR: falta CUENTA",IF(ISERROR(--C2743),"ERROR: CUENTA debe tener solo dígitos",IF(ISERROR(FIND(LEFT(C2743,1),"567")),"ERROR: CUENTA fuera de las clases de costo",IF(NOT(ISNUMBER(E2743)),"ERROR: VALOR debe ser numérico",IF(E2743=0,"AVISO: valor cero (no se carga)",IF(J2743&lt;&gt;"ACTIVO","NO SE CARGA: CECO en estado "&amp;J2743,"OK"))))))))))</f>
        <v/>
      </c>
    </row>
    <row r="2744">
      <c r="A2744" s="5" t="n"/>
      <c r="B2744" s="6" t="n"/>
      <c r="C2744" s="5" t="n"/>
      <c r="D2744" s="6" t="n"/>
      <c r="E2744" s="7" t="n"/>
      <c r="F2744" s="6" t="n"/>
      <c r="G2744" s="8">
        <f>IF(B2744="","",IFERROR(VLOOKUP(--B2744,'CATALOGO CECO'!$A$2:$H$550,2,FALSE),"CECO NO EXISTE"))</f>
        <v/>
      </c>
      <c r="H2744" s="8">
        <f>IF(B2744="","",IFERROR(VLOOKUP(--B2744,'CATALOGO CECO'!$A$2:$H$550,3,FALSE),""))</f>
        <v/>
      </c>
      <c r="I2744" s="8">
        <f>IF(B2744="","",IFERROR(VLOOKUP(--B2744,'CATALOGO CECO'!$A$2:$H$550,5,FALSE),""))</f>
        <v/>
      </c>
      <c r="J2744" s="8">
        <f>IF(B2744="","",IFERROR(VLOOKUP(--B2744,'CATALOGO CECO'!$A$2:$H$550,8,FALSE),""))</f>
        <v/>
      </c>
      <c r="K2744" s="8">
        <f>IF(COUNTA(A2744:F2744)=0,"",IF(OR(LEN(A2744)&lt;&gt;7,MID(A2744,5,1)&lt;&gt;"-",ISERROR(--LEFT(A2744,4)),ISERROR(--RIGHT(A2744,2))),"ERROR: PERIODO debe ser AAAA-MM",IF(B2744="","ERROR: falta CODIGO CECO",IF(G2744="CECO NO EXISTE","ERROR: CECO no existe en el catálogo",IF(C2744="","ERROR: falta CUENTA",IF(ISERROR(--C2744),"ERROR: CUENTA debe tener solo dígitos",IF(ISERROR(FIND(LEFT(C2744,1),"567")),"ERROR: CUENTA fuera de las clases de costo",IF(NOT(ISNUMBER(E2744)),"ERROR: VALOR debe ser numérico",IF(E2744=0,"AVISO: valor cero (no se carga)",IF(J2744&lt;&gt;"ACTIVO","NO SE CARGA: CECO en estado "&amp;J2744,"OK"))))))))))</f>
        <v/>
      </c>
    </row>
    <row r="2745">
      <c r="A2745" s="5" t="n"/>
      <c r="B2745" s="6" t="n"/>
      <c r="C2745" s="5" t="n"/>
      <c r="D2745" s="6" t="n"/>
      <c r="E2745" s="7" t="n"/>
      <c r="F2745" s="6" t="n"/>
      <c r="G2745" s="8">
        <f>IF(B2745="","",IFERROR(VLOOKUP(--B2745,'CATALOGO CECO'!$A$2:$H$550,2,FALSE),"CECO NO EXISTE"))</f>
        <v/>
      </c>
      <c r="H2745" s="8">
        <f>IF(B2745="","",IFERROR(VLOOKUP(--B2745,'CATALOGO CECO'!$A$2:$H$550,3,FALSE),""))</f>
        <v/>
      </c>
      <c r="I2745" s="8">
        <f>IF(B2745="","",IFERROR(VLOOKUP(--B2745,'CATALOGO CECO'!$A$2:$H$550,5,FALSE),""))</f>
        <v/>
      </c>
      <c r="J2745" s="8">
        <f>IF(B2745="","",IFERROR(VLOOKUP(--B2745,'CATALOGO CECO'!$A$2:$H$550,8,FALSE),""))</f>
        <v/>
      </c>
      <c r="K2745" s="8">
        <f>IF(COUNTA(A2745:F2745)=0,"",IF(OR(LEN(A2745)&lt;&gt;7,MID(A2745,5,1)&lt;&gt;"-",ISERROR(--LEFT(A2745,4)),ISERROR(--RIGHT(A2745,2))),"ERROR: PERIODO debe ser AAAA-MM",IF(B2745="","ERROR: falta CODIGO CECO",IF(G2745="CECO NO EXISTE","ERROR: CECO no existe en el catálogo",IF(C2745="","ERROR: falta CUENTA",IF(ISERROR(--C2745),"ERROR: CUENTA debe tener solo dígitos",IF(ISERROR(FIND(LEFT(C2745,1),"567")),"ERROR: CUENTA fuera de las clases de costo",IF(NOT(ISNUMBER(E2745)),"ERROR: VALOR debe ser numérico",IF(E2745=0,"AVISO: valor cero (no se carga)",IF(J2745&lt;&gt;"ACTIVO","NO SE CARGA: CECO en estado "&amp;J2745,"OK"))))))))))</f>
        <v/>
      </c>
    </row>
    <row r="2746">
      <c r="A2746" s="5" t="n"/>
      <c r="B2746" s="6" t="n"/>
      <c r="C2746" s="5" t="n"/>
      <c r="D2746" s="6" t="n"/>
      <c r="E2746" s="7" t="n"/>
      <c r="F2746" s="6" t="n"/>
      <c r="G2746" s="8">
        <f>IF(B2746="","",IFERROR(VLOOKUP(--B2746,'CATALOGO CECO'!$A$2:$H$550,2,FALSE),"CECO NO EXISTE"))</f>
        <v/>
      </c>
      <c r="H2746" s="8">
        <f>IF(B2746="","",IFERROR(VLOOKUP(--B2746,'CATALOGO CECO'!$A$2:$H$550,3,FALSE),""))</f>
        <v/>
      </c>
      <c r="I2746" s="8">
        <f>IF(B2746="","",IFERROR(VLOOKUP(--B2746,'CATALOGO CECO'!$A$2:$H$550,5,FALSE),""))</f>
        <v/>
      </c>
      <c r="J2746" s="8">
        <f>IF(B2746="","",IFERROR(VLOOKUP(--B2746,'CATALOGO CECO'!$A$2:$H$550,8,FALSE),""))</f>
        <v/>
      </c>
      <c r="K2746" s="8">
        <f>IF(COUNTA(A2746:F2746)=0,"",IF(OR(LEN(A2746)&lt;&gt;7,MID(A2746,5,1)&lt;&gt;"-",ISERROR(--LEFT(A2746,4)),ISERROR(--RIGHT(A2746,2))),"ERROR: PERIODO debe ser AAAA-MM",IF(B2746="","ERROR: falta CODIGO CECO",IF(G2746="CECO NO EXISTE","ERROR: CECO no existe en el catálogo",IF(C2746="","ERROR: falta CUENTA",IF(ISERROR(--C2746),"ERROR: CUENTA debe tener solo dígitos",IF(ISERROR(FIND(LEFT(C2746,1),"567")),"ERROR: CUENTA fuera de las clases de costo",IF(NOT(ISNUMBER(E2746)),"ERROR: VALOR debe ser numérico",IF(E2746=0,"AVISO: valor cero (no se carga)",IF(J2746&lt;&gt;"ACTIVO","NO SE CARGA: CECO en estado "&amp;J2746,"OK"))))))))))</f>
        <v/>
      </c>
    </row>
    <row r="2747">
      <c r="A2747" s="5" t="n"/>
      <c r="B2747" s="6" t="n"/>
      <c r="C2747" s="5" t="n"/>
      <c r="D2747" s="6" t="n"/>
      <c r="E2747" s="7" t="n"/>
      <c r="F2747" s="6" t="n"/>
      <c r="G2747" s="8">
        <f>IF(B2747="","",IFERROR(VLOOKUP(--B2747,'CATALOGO CECO'!$A$2:$H$550,2,FALSE),"CECO NO EXISTE"))</f>
        <v/>
      </c>
      <c r="H2747" s="8">
        <f>IF(B2747="","",IFERROR(VLOOKUP(--B2747,'CATALOGO CECO'!$A$2:$H$550,3,FALSE),""))</f>
        <v/>
      </c>
      <c r="I2747" s="8">
        <f>IF(B2747="","",IFERROR(VLOOKUP(--B2747,'CATALOGO CECO'!$A$2:$H$550,5,FALSE),""))</f>
        <v/>
      </c>
      <c r="J2747" s="8">
        <f>IF(B2747="","",IFERROR(VLOOKUP(--B2747,'CATALOGO CECO'!$A$2:$H$550,8,FALSE),""))</f>
        <v/>
      </c>
      <c r="K2747" s="8">
        <f>IF(COUNTA(A2747:F2747)=0,"",IF(OR(LEN(A2747)&lt;&gt;7,MID(A2747,5,1)&lt;&gt;"-",ISERROR(--LEFT(A2747,4)),ISERROR(--RIGHT(A2747,2))),"ERROR: PERIODO debe ser AAAA-MM",IF(B2747="","ERROR: falta CODIGO CECO",IF(G2747="CECO NO EXISTE","ERROR: CECO no existe en el catálogo",IF(C2747="","ERROR: falta CUENTA",IF(ISERROR(--C2747),"ERROR: CUENTA debe tener solo dígitos",IF(ISERROR(FIND(LEFT(C2747,1),"567")),"ERROR: CUENTA fuera de las clases de costo",IF(NOT(ISNUMBER(E2747)),"ERROR: VALOR debe ser numérico",IF(E2747=0,"AVISO: valor cero (no se carga)",IF(J2747&lt;&gt;"ACTIVO","NO SE CARGA: CECO en estado "&amp;J2747,"OK"))))))))))</f>
        <v/>
      </c>
    </row>
    <row r="2748">
      <c r="A2748" s="5" t="n"/>
      <c r="B2748" s="6" t="n"/>
      <c r="C2748" s="5" t="n"/>
      <c r="D2748" s="6" t="n"/>
      <c r="E2748" s="7" t="n"/>
      <c r="F2748" s="6" t="n"/>
      <c r="G2748" s="8">
        <f>IF(B2748="","",IFERROR(VLOOKUP(--B2748,'CATALOGO CECO'!$A$2:$H$550,2,FALSE),"CECO NO EXISTE"))</f>
        <v/>
      </c>
      <c r="H2748" s="8">
        <f>IF(B2748="","",IFERROR(VLOOKUP(--B2748,'CATALOGO CECO'!$A$2:$H$550,3,FALSE),""))</f>
        <v/>
      </c>
      <c r="I2748" s="8">
        <f>IF(B2748="","",IFERROR(VLOOKUP(--B2748,'CATALOGO CECO'!$A$2:$H$550,5,FALSE),""))</f>
        <v/>
      </c>
      <c r="J2748" s="8">
        <f>IF(B2748="","",IFERROR(VLOOKUP(--B2748,'CATALOGO CECO'!$A$2:$H$550,8,FALSE),""))</f>
        <v/>
      </c>
      <c r="K2748" s="8">
        <f>IF(COUNTA(A2748:F2748)=0,"",IF(OR(LEN(A2748)&lt;&gt;7,MID(A2748,5,1)&lt;&gt;"-",ISERROR(--LEFT(A2748,4)),ISERROR(--RIGHT(A2748,2))),"ERROR: PERIODO debe ser AAAA-MM",IF(B2748="","ERROR: falta CODIGO CECO",IF(G2748="CECO NO EXISTE","ERROR: CECO no existe en el catálogo",IF(C2748="","ERROR: falta CUENTA",IF(ISERROR(--C2748),"ERROR: CUENTA debe tener solo dígitos",IF(ISERROR(FIND(LEFT(C2748,1),"567")),"ERROR: CUENTA fuera de las clases de costo",IF(NOT(ISNUMBER(E2748)),"ERROR: VALOR debe ser numérico",IF(E2748=0,"AVISO: valor cero (no se carga)",IF(J2748&lt;&gt;"ACTIVO","NO SE CARGA: CECO en estado "&amp;J2748,"OK"))))))))))</f>
        <v/>
      </c>
    </row>
    <row r="2749">
      <c r="A2749" s="5" t="n"/>
      <c r="B2749" s="6" t="n"/>
      <c r="C2749" s="5" t="n"/>
      <c r="D2749" s="6" t="n"/>
      <c r="E2749" s="7" t="n"/>
      <c r="F2749" s="6" t="n"/>
      <c r="G2749" s="8">
        <f>IF(B2749="","",IFERROR(VLOOKUP(--B2749,'CATALOGO CECO'!$A$2:$H$550,2,FALSE),"CECO NO EXISTE"))</f>
        <v/>
      </c>
      <c r="H2749" s="8">
        <f>IF(B2749="","",IFERROR(VLOOKUP(--B2749,'CATALOGO CECO'!$A$2:$H$550,3,FALSE),""))</f>
        <v/>
      </c>
      <c r="I2749" s="8">
        <f>IF(B2749="","",IFERROR(VLOOKUP(--B2749,'CATALOGO CECO'!$A$2:$H$550,5,FALSE),""))</f>
        <v/>
      </c>
      <c r="J2749" s="8">
        <f>IF(B2749="","",IFERROR(VLOOKUP(--B2749,'CATALOGO CECO'!$A$2:$H$550,8,FALSE),""))</f>
        <v/>
      </c>
      <c r="K2749" s="8">
        <f>IF(COUNTA(A2749:F2749)=0,"",IF(OR(LEN(A2749)&lt;&gt;7,MID(A2749,5,1)&lt;&gt;"-",ISERROR(--LEFT(A2749,4)),ISERROR(--RIGHT(A2749,2))),"ERROR: PERIODO debe ser AAAA-MM",IF(B2749="","ERROR: falta CODIGO CECO",IF(G2749="CECO NO EXISTE","ERROR: CECO no existe en el catálogo",IF(C2749="","ERROR: falta CUENTA",IF(ISERROR(--C2749),"ERROR: CUENTA debe tener solo dígitos",IF(ISERROR(FIND(LEFT(C2749,1),"567")),"ERROR: CUENTA fuera de las clases de costo",IF(NOT(ISNUMBER(E2749)),"ERROR: VALOR debe ser numérico",IF(E2749=0,"AVISO: valor cero (no se carga)",IF(J2749&lt;&gt;"ACTIVO","NO SE CARGA: CECO en estado "&amp;J2749,"OK"))))))))))</f>
        <v/>
      </c>
    </row>
    <row r="2750">
      <c r="A2750" s="5" t="n"/>
      <c r="B2750" s="6" t="n"/>
      <c r="C2750" s="5" t="n"/>
      <c r="D2750" s="6" t="n"/>
      <c r="E2750" s="7" t="n"/>
      <c r="F2750" s="6" t="n"/>
      <c r="G2750" s="8">
        <f>IF(B2750="","",IFERROR(VLOOKUP(--B2750,'CATALOGO CECO'!$A$2:$H$550,2,FALSE),"CECO NO EXISTE"))</f>
        <v/>
      </c>
      <c r="H2750" s="8">
        <f>IF(B2750="","",IFERROR(VLOOKUP(--B2750,'CATALOGO CECO'!$A$2:$H$550,3,FALSE),""))</f>
        <v/>
      </c>
      <c r="I2750" s="8">
        <f>IF(B2750="","",IFERROR(VLOOKUP(--B2750,'CATALOGO CECO'!$A$2:$H$550,5,FALSE),""))</f>
        <v/>
      </c>
      <c r="J2750" s="8">
        <f>IF(B2750="","",IFERROR(VLOOKUP(--B2750,'CATALOGO CECO'!$A$2:$H$550,8,FALSE),""))</f>
        <v/>
      </c>
      <c r="K2750" s="8">
        <f>IF(COUNTA(A2750:F2750)=0,"",IF(OR(LEN(A2750)&lt;&gt;7,MID(A2750,5,1)&lt;&gt;"-",ISERROR(--LEFT(A2750,4)),ISERROR(--RIGHT(A2750,2))),"ERROR: PERIODO debe ser AAAA-MM",IF(B2750="","ERROR: falta CODIGO CECO",IF(G2750="CECO NO EXISTE","ERROR: CECO no existe en el catálogo",IF(C2750="","ERROR: falta CUENTA",IF(ISERROR(--C2750),"ERROR: CUENTA debe tener solo dígitos",IF(ISERROR(FIND(LEFT(C2750,1),"567")),"ERROR: CUENTA fuera de las clases de costo",IF(NOT(ISNUMBER(E2750)),"ERROR: VALOR debe ser numérico",IF(E2750=0,"AVISO: valor cero (no se carga)",IF(J2750&lt;&gt;"ACTIVO","NO SE CARGA: CECO en estado "&amp;J2750,"OK"))))))))))</f>
        <v/>
      </c>
    </row>
    <row r="2751">
      <c r="A2751" s="5" t="n"/>
      <c r="B2751" s="6" t="n"/>
      <c r="C2751" s="5" t="n"/>
      <c r="D2751" s="6" t="n"/>
      <c r="E2751" s="7" t="n"/>
      <c r="F2751" s="6" t="n"/>
      <c r="G2751" s="8">
        <f>IF(B2751="","",IFERROR(VLOOKUP(--B2751,'CATALOGO CECO'!$A$2:$H$550,2,FALSE),"CECO NO EXISTE"))</f>
        <v/>
      </c>
      <c r="H2751" s="8">
        <f>IF(B2751="","",IFERROR(VLOOKUP(--B2751,'CATALOGO CECO'!$A$2:$H$550,3,FALSE),""))</f>
        <v/>
      </c>
      <c r="I2751" s="8">
        <f>IF(B2751="","",IFERROR(VLOOKUP(--B2751,'CATALOGO CECO'!$A$2:$H$550,5,FALSE),""))</f>
        <v/>
      </c>
      <c r="J2751" s="8">
        <f>IF(B2751="","",IFERROR(VLOOKUP(--B2751,'CATALOGO CECO'!$A$2:$H$550,8,FALSE),""))</f>
        <v/>
      </c>
      <c r="K2751" s="8">
        <f>IF(COUNTA(A2751:F2751)=0,"",IF(OR(LEN(A2751)&lt;&gt;7,MID(A2751,5,1)&lt;&gt;"-",ISERROR(--LEFT(A2751,4)),ISERROR(--RIGHT(A2751,2))),"ERROR: PERIODO debe ser AAAA-MM",IF(B2751="","ERROR: falta CODIGO CECO",IF(G2751="CECO NO EXISTE","ERROR: CECO no existe en el catálogo",IF(C2751="","ERROR: falta CUENTA",IF(ISERROR(--C2751),"ERROR: CUENTA debe tener solo dígitos",IF(ISERROR(FIND(LEFT(C2751,1),"567")),"ERROR: CUENTA fuera de las clases de costo",IF(NOT(ISNUMBER(E2751)),"ERROR: VALOR debe ser numérico",IF(E2751=0,"AVISO: valor cero (no se carga)",IF(J2751&lt;&gt;"ACTIVO","NO SE CARGA: CECO en estado "&amp;J2751,"OK"))))))))))</f>
        <v/>
      </c>
    </row>
    <row r="2752">
      <c r="A2752" s="5" t="n"/>
      <c r="B2752" s="6" t="n"/>
      <c r="C2752" s="5" t="n"/>
      <c r="D2752" s="6" t="n"/>
      <c r="E2752" s="7" t="n"/>
      <c r="F2752" s="6" t="n"/>
      <c r="G2752" s="8">
        <f>IF(B2752="","",IFERROR(VLOOKUP(--B2752,'CATALOGO CECO'!$A$2:$H$550,2,FALSE),"CECO NO EXISTE"))</f>
        <v/>
      </c>
      <c r="H2752" s="8">
        <f>IF(B2752="","",IFERROR(VLOOKUP(--B2752,'CATALOGO CECO'!$A$2:$H$550,3,FALSE),""))</f>
        <v/>
      </c>
      <c r="I2752" s="8">
        <f>IF(B2752="","",IFERROR(VLOOKUP(--B2752,'CATALOGO CECO'!$A$2:$H$550,5,FALSE),""))</f>
        <v/>
      </c>
      <c r="J2752" s="8">
        <f>IF(B2752="","",IFERROR(VLOOKUP(--B2752,'CATALOGO CECO'!$A$2:$H$550,8,FALSE),""))</f>
        <v/>
      </c>
      <c r="K2752" s="8">
        <f>IF(COUNTA(A2752:F2752)=0,"",IF(OR(LEN(A2752)&lt;&gt;7,MID(A2752,5,1)&lt;&gt;"-",ISERROR(--LEFT(A2752,4)),ISERROR(--RIGHT(A2752,2))),"ERROR: PERIODO debe ser AAAA-MM",IF(B2752="","ERROR: falta CODIGO CECO",IF(G2752="CECO NO EXISTE","ERROR: CECO no existe en el catálogo",IF(C2752="","ERROR: falta CUENTA",IF(ISERROR(--C2752),"ERROR: CUENTA debe tener solo dígitos",IF(ISERROR(FIND(LEFT(C2752,1),"567")),"ERROR: CUENTA fuera de las clases de costo",IF(NOT(ISNUMBER(E2752)),"ERROR: VALOR debe ser numérico",IF(E2752=0,"AVISO: valor cero (no se carga)",IF(J2752&lt;&gt;"ACTIVO","NO SE CARGA: CECO en estado "&amp;J2752,"OK"))))))))))</f>
        <v/>
      </c>
    </row>
    <row r="2753">
      <c r="A2753" s="5" t="n"/>
      <c r="B2753" s="6" t="n"/>
      <c r="C2753" s="5" t="n"/>
      <c r="D2753" s="6" t="n"/>
      <c r="E2753" s="7" t="n"/>
      <c r="F2753" s="6" t="n"/>
      <c r="G2753" s="8">
        <f>IF(B2753="","",IFERROR(VLOOKUP(--B2753,'CATALOGO CECO'!$A$2:$H$550,2,FALSE),"CECO NO EXISTE"))</f>
        <v/>
      </c>
      <c r="H2753" s="8">
        <f>IF(B2753="","",IFERROR(VLOOKUP(--B2753,'CATALOGO CECO'!$A$2:$H$550,3,FALSE),""))</f>
        <v/>
      </c>
      <c r="I2753" s="8">
        <f>IF(B2753="","",IFERROR(VLOOKUP(--B2753,'CATALOGO CECO'!$A$2:$H$550,5,FALSE),""))</f>
        <v/>
      </c>
      <c r="J2753" s="8">
        <f>IF(B2753="","",IFERROR(VLOOKUP(--B2753,'CATALOGO CECO'!$A$2:$H$550,8,FALSE),""))</f>
        <v/>
      </c>
      <c r="K2753" s="8">
        <f>IF(COUNTA(A2753:F2753)=0,"",IF(OR(LEN(A2753)&lt;&gt;7,MID(A2753,5,1)&lt;&gt;"-",ISERROR(--LEFT(A2753,4)),ISERROR(--RIGHT(A2753,2))),"ERROR: PERIODO debe ser AAAA-MM",IF(B2753="","ERROR: falta CODIGO CECO",IF(G2753="CECO NO EXISTE","ERROR: CECO no existe en el catálogo",IF(C2753="","ERROR: falta CUENTA",IF(ISERROR(--C2753),"ERROR: CUENTA debe tener solo dígitos",IF(ISERROR(FIND(LEFT(C2753,1),"567")),"ERROR: CUENTA fuera de las clases de costo",IF(NOT(ISNUMBER(E2753)),"ERROR: VALOR debe ser numérico",IF(E2753=0,"AVISO: valor cero (no se carga)",IF(J2753&lt;&gt;"ACTIVO","NO SE CARGA: CECO en estado "&amp;J2753,"OK"))))))))))</f>
        <v/>
      </c>
    </row>
    <row r="2754">
      <c r="A2754" s="5" t="n"/>
      <c r="B2754" s="6" t="n"/>
      <c r="C2754" s="5" t="n"/>
      <c r="D2754" s="6" t="n"/>
      <c r="E2754" s="7" t="n"/>
      <c r="F2754" s="6" t="n"/>
      <c r="G2754" s="8">
        <f>IF(B2754="","",IFERROR(VLOOKUP(--B2754,'CATALOGO CECO'!$A$2:$H$550,2,FALSE),"CECO NO EXISTE"))</f>
        <v/>
      </c>
      <c r="H2754" s="8">
        <f>IF(B2754="","",IFERROR(VLOOKUP(--B2754,'CATALOGO CECO'!$A$2:$H$550,3,FALSE),""))</f>
        <v/>
      </c>
      <c r="I2754" s="8">
        <f>IF(B2754="","",IFERROR(VLOOKUP(--B2754,'CATALOGO CECO'!$A$2:$H$550,5,FALSE),""))</f>
        <v/>
      </c>
      <c r="J2754" s="8">
        <f>IF(B2754="","",IFERROR(VLOOKUP(--B2754,'CATALOGO CECO'!$A$2:$H$550,8,FALSE),""))</f>
        <v/>
      </c>
      <c r="K2754" s="8">
        <f>IF(COUNTA(A2754:F2754)=0,"",IF(OR(LEN(A2754)&lt;&gt;7,MID(A2754,5,1)&lt;&gt;"-",ISERROR(--LEFT(A2754,4)),ISERROR(--RIGHT(A2754,2))),"ERROR: PERIODO debe ser AAAA-MM",IF(B2754="","ERROR: falta CODIGO CECO",IF(G2754="CECO NO EXISTE","ERROR: CECO no existe en el catálogo",IF(C2754="","ERROR: falta CUENTA",IF(ISERROR(--C2754),"ERROR: CUENTA debe tener solo dígitos",IF(ISERROR(FIND(LEFT(C2754,1),"567")),"ERROR: CUENTA fuera de las clases de costo",IF(NOT(ISNUMBER(E2754)),"ERROR: VALOR debe ser numérico",IF(E2754=0,"AVISO: valor cero (no se carga)",IF(J2754&lt;&gt;"ACTIVO","NO SE CARGA: CECO en estado "&amp;J2754,"OK"))))))))))</f>
        <v/>
      </c>
    </row>
    <row r="2755">
      <c r="A2755" s="5" t="n"/>
      <c r="B2755" s="6" t="n"/>
      <c r="C2755" s="5" t="n"/>
      <c r="D2755" s="6" t="n"/>
      <c r="E2755" s="7" t="n"/>
      <c r="F2755" s="6" t="n"/>
      <c r="G2755" s="8">
        <f>IF(B2755="","",IFERROR(VLOOKUP(--B2755,'CATALOGO CECO'!$A$2:$H$550,2,FALSE),"CECO NO EXISTE"))</f>
        <v/>
      </c>
      <c r="H2755" s="8">
        <f>IF(B2755="","",IFERROR(VLOOKUP(--B2755,'CATALOGO CECO'!$A$2:$H$550,3,FALSE),""))</f>
        <v/>
      </c>
      <c r="I2755" s="8">
        <f>IF(B2755="","",IFERROR(VLOOKUP(--B2755,'CATALOGO CECO'!$A$2:$H$550,5,FALSE),""))</f>
        <v/>
      </c>
      <c r="J2755" s="8">
        <f>IF(B2755="","",IFERROR(VLOOKUP(--B2755,'CATALOGO CECO'!$A$2:$H$550,8,FALSE),""))</f>
        <v/>
      </c>
      <c r="K2755" s="8">
        <f>IF(COUNTA(A2755:F2755)=0,"",IF(OR(LEN(A2755)&lt;&gt;7,MID(A2755,5,1)&lt;&gt;"-",ISERROR(--LEFT(A2755,4)),ISERROR(--RIGHT(A2755,2))),"ERROR: PERIODO debe ser AAAA-MM",IF(B2755="","ERROR: falta CODIGO CECO",IF(G2755="CECO NO EXISTE","ERROR: CECO no existe en el catálogo",IF(C2755="","ERROR: falta CUENTA",IF(ISERROR(--C2755),"ERROR: CUENTA debe tener solo dígitos",IF(ISERROR(FIND(LEFT(C2755,1),"567")),"ERROR: CUENTA fuera de las clases de costo",IF(NOT(ISNUMBER(E2755)),"ERROR: VALOR debe ser numérico",IF(E2755=0,"AVISO: valor cero (no se carga)",IF(J2755&lt;&gt;"ACTIVO","NO SE CARGA: CECO en estado "&amp;J2755,"OK"))))))))))</f>
        <v/>
      </c>
    </row>
    <row r="2756">
      <c r="A2756" s="5" t="n"/>
      <c r="B2756" s="6" t="n"/>
      <c r="C2756" s="5" t="n"/>
      <c r="D2756" s="6" t="n"/>
      <c r="E2756" s="7" t="n"/>
      <c r="F2756" s="6" t="n"/>
      <c r="G2756" s="8">
        <f>IF(B2756="","",IFERROR(VLOOKUP(--B2756,'CATALOGO CECO'!$A$2:$H$550,2,FALSE),"CECO NO EXISTE"))</f>
        <v/>
      </c>
      <c r="H2756" s="8">
        <f>IF(B2756="","",IFERROR(VLOOKUP(--B2756,'CATALOGO CECO'!$A$2:$H$550,3,FALSE),""))</f>
        <v/>
      </c>
      <c r="I2756" s="8">
        <f>IF(B2756="","",IFERROR(VLOOKUP(--B2756,'CATALOGO CECO'!$A$2:$H$550,5,FALSE),""))</f>
        <v/>
      </c>
      <c r="J2756" s="8">
        <f>IF(B2756="","",IFERROR(VLOOKUP(--B2756,'CATALOGO CECO'!$A$2:$H$550,8,FALSE),""))</f>
        <v/>
      </c>
      <c r="K2756" s="8">
        <f>IF(COUNTA(A2756:F2756)=0,"",IF(OR(LEN(A2756)&lt;&gt;7,MID(A2756,5,1)&lt;&gt;"-",ISERROR(--LEFT(A2756,4)),ISERROR(--RIGHT(A2756,2))),"ERROR: PERIODO debe ser AAAA-MM",IF(B2756="","ERROR: falta CODIGO CECO",IF(G2756="CECO NO EXISTE","ERROR: CECO no existe en el catálogo",IF(C2756="","ERROR: falta CUENTA",IF(ISERROR(--C2756),"ERROR: CUENTA debe tener solo dígitos",IF(ISERROR(FIND(LEFT(C2756,1),"567")),"ERROR: CUENTA fuera de las clases de costo",IF(NOT(ISNUMBER(E2756)),"ERROR: VALOR debe ser numérico",IF(E2756=0,"AVISO: valor cero (no se carga)",IF(J2756&lt;&gt;"ACTIVO","NO SE CARGA: CECO en estado "&amp;J2756,"OK"))))))))))</f>
        <v/>
      </c>
    </row>
    <row r="2757">
      <c r="A2757" s="5" t="n"/>
      <c r="B2757" s="6" t="n"/>
      <c r="C2757" s="5" t="n"/>
      <c r="D2757" s="6" t="n"/>
      <c r="E2757" s="7" t="n"/>
      <c r="F2757" s="6" t="n"/>
      <c r="G2757" s="8">
        <f>IF(B2757="","",IFERROR(VLOOKUP(--B2757,'CATALOGO CECO'!$A$2:$H$550,2,FALSE),"CECO NO EXISTE"))</f>
        <v/>
      </c>
      <c r="H2757" s="8">
        <f>IF(B2757="","",IFERROR(VLOOKUP(--B2757,'CATALOGO CECO'!$A$2:$H$550,3,FALSE),""))</f>
        <v/>
      </c>
      <c r="I2757" s="8">
        <f>IF(B2757="","",IFERROR(VLOOKUP(--B2757,'CATALOGO CECO'!$A$2:$H$550,5,FALSE),""))</f>
        <v/>
      </c>
      <c r="J2757" s="8">
        <f>IF(B2757="","",IFERROR(VLOOKUP(--B2757,'CATALOGO CECO'!$A$2:$H$550,8,FALSE),""))</f>
        <v/>
      </c>
      <c r="K2757" s="8">
        <f>IF(COUNTA(A2757:F2757)=0,"",IF(OR(LEN(A2757)&lt;&gt;7,MID(A2757,5,1)&lt;&gt;"-",ISERROR(--LEFT(A2757,4)),ISERROR(--RIGHT(A2757,2))),"ERROR: PERIODO debe ser AAAA-MM",IF(B2757="","ERROR: falta CODIGO CECO",IF(G2757="CECO NO EXISTE","ERROR: CECO no existe en el catálogo",IF(C2757="","ERROR: falta CUENTA",IF(ISERROR(--C2757),"ERROR: CUENTA debe tener solo dígitos",IF(ISERROR(FIND(LEFT(C2757,1),"567")),"ERROR: CUENTA fuera de las clases de costo",IF(NOT(ISNUMBER(E2757)),"ERROR: VALOR debe ser numérico",IF(E2757=0,"AVISO: valor cero (no se carga)",IF(J2757&lt;&gt;"ACTIVO","NO SE CARGA: CECO en estado "&amp;J2757,"OK"))))))))))</f>
        <v/>
      </c>
    </row>
    <row r="2758">
      <c r="A2758" s="5" t="n"/>
      <c r="B2758" s="6" t="n"/>
      <c r="C2758" s="5" t="n"/>
      <c r="D2758" s="6" t="n"/>
      <c r="E2758" s="7" t="n"/>
      <c r="F2758" s="6" t="n"/>
      <c r="G2758" s="8">
        <f>IF(B2758="","",IFERROR(VLOOKUP(--B2758,'CATALOGO CECO'!$A$2:$H$550,2,FALSE),"CECO NO EXISTE"))</f>
        <v/>
      </c>
      <c r="H2758" s="8">
        <f>IF(B2758="","",IFERROR(VLOOKUP(--B2758,'CATALOGO CECO'!$A$2:$H$550,3,FALSE),""))</f>
        <v/>
      </c>
      <c r="I2758" s="8">
        <f>IF(B2758="","",IFERROR(VLOOKUP(--B2758,'CATALOGO CECO'!$A$2:$H$550,5,FALSE),""))</f>
        <v/>
      </c>
      <c r="J2758" s="8">
        <f>IF(B2758="","",IFERROR(VLOOKUP(--B2758,'CATALOGO CECO'!$A$2:$H$550,8,FALSE),""))</f>
        <v/>
      </c>
      <c r="K2758" s="8">
        <f>IF(COUNTA(A2758:F2758)=0,"",IF(OR(LEN(A2758)&lt;&gt;7,MID(A2758,5,1)&lt;&gt;"-",ISERROR(--LEFT(A2758,4)),ISERROR(--RIGHT(A2758,2))),"ERROR: PERIODO debe ser AAAA-MM",IF(B2758="","ERROR: falta CODIGO CECO",IF(G2758="CECO NO EXISTE","ERROR: CECO no existe en el catálogo",IF(C2758="","ERROR: falta CUENTA",IF(ISERROR(--C2758),"ERROR: CUENTA debe tener solo dígitos",IF(ISERROR(FIND(LEFT(C2758,1),"567")),"ERROR: CUENTA fuera de las clases de costo",IF(NOT(ISNUMBER(E2758)),"ERROR: VALOR debe ser numérico",IF(E2758=0,"AVISO: valor cero (no se carga)",IF(J2758&lt;&gt;"ACTIVO","NO SE CARGA: CECO en estado "&amp;J2758,"OK"))))))))))</f>
        <v/>
      </c>
    </row>
    <row r="2759">
      <c r="A2759" s="5" t="n"/>
      <c r="B2759" s="6" t="n"/>
      <c r="C2759" s="5" t="n"/>
      <c r="D2759" s="6" t="n"/>
      <c r="E2759" s="7" t="n"/>
      <c r="F2759" s="6" t="n"/>
      <c r="G2759" s="8">
        <f>IF(B2759="","",IFERROR(VLOOKUP(--B2759,'CATALOGO CECO'!$A$2:$H$550,2,FALSE),"CECO NO EXISTE"))</f>
        <v/>
      </c>
      <c r="H2759" s="8">
        <f>IF(B2759="","",IFERROR(VLOOKUP(--B2759,'CATALOGO CECO'!$A$2:$H$550,3,FALSE),""))</f>
        <v/>
      </c>
      <c r="I2759" s="8">
        <f>IF(B2759="","",IFERROR(VLOOKUP(--B2759,'CATALOGO CECO'!$A$2:$H$550,5,FALSE),""))</f>
        <v/>
      </c>
      <c r="J2759" s="8">
        <f>IF(B2759="","",IFERROR(VLOOKUP(--B2759,'CATALOGO CECO'!$A$2:$H$550,8,FALSE),""))</f>
        <v/>
      </c>
      <c r="K2759" s="8">
        <f>IF(COUNTA(A2759:F2759)=0,"",IF(OR(LEN(A2759)&lt;&gt;7,MID(A2759,5,1)&lt;&gt;"-",ISERROR(--LEFT(A2759,4)),ISERROR(--RIGHT(A2759,2))),"ERROR: PERIODO debe ser AAAA-MM",IF(B2759="","ERROR: falta CODIGO CECO",IF(G2759="CECO NO EXISTE","ERROR: CECO no existe en el catálogo",IF(C2759="","ERROR: falta CUENTA",IF(ISERROR(--C2759),"ERROR: CUENTA debe tener solo dígitos",IF(ISERROR(FIND(LEFT(C2759,1),"567")),"ERROR: CUENTA fuera de las clases de costo",IF(NOT(ISNUMBER(E2759)),"ERROR: VALOR debe ser numérico",IF(E2759=0,"AVISO: valor cero (no se carga)",IF(J2759&lt;&gt;"ACTIVO","NO SE CARGA: CECO en estado "&amp;J2759,"OK"))))))))))</f>
        <v/>
      </c>
    </row>
    <row r="2760">
      <c r="A2760" s="5" t="n"/>
      <c r="B2760" s="6" t="n"/>
      <c r="C2760" s="5" t="n"/>
      <c r="D2760" s="6" t="n"/>
      <c r="E2760" s="7" t="n"/>
      <c r="F2760" s="6" t="n"/>
      <c r="G2760" s="8">
        <f>IF(B2760="","",IFERROR(VLOOKUP(--B2760,'CATALOGO CECO'!$A$2:$H$550,2,FALSE),"CECO NO EXISTE"))</f>
        <v/>
      </c>
      <c r="H2760" s="8">
        <f>IF(B2760="","",IFERROR(VLOOKUP(--B2760,'CATALOGO CECO'!$A$2:$H$550,3,FALSE),""))</f>
        <v/>
      </c>
      <c r="I2760" s="8">
        <f>IF(B2760="","",IFERROR(VLOOKUP(--B2760,'CATALOGO CECO'!$A$2:$H$550,5,FALSE),""))</f>
        <v/>
      </c>
      <c r="J2760" s="8">
        <f>IF(B2760="","",IFERROR(VLOOKUP(--B2760,'CATALOGO CECO'!$A$2:$H$550,8,FALSE),""))</f>
        <v/>
      </c>
      <c r="K2760" s="8">
        <f>IF(COUNTA(A2760:F2760)=0,"",IF(OR(LEN(A2760)&lt;&gt;7,MID(A2760,5,1)&lt;&gt;"-",ISERROR(--LEFT(A2760,4)),ISERROR(--RIGHT(A2760,2))),"ERROR: PERIODO debe ser AAAA-MM",IF(B2760="","ERROR: falta CODIGO CECO",IF(G2760="CECO NO EXISTE","ERROR: CECO no existe en el catálogo",IF(C2760="","ERROR: falta CUENTA",IF(ISERROR(--C2760),"ERROR: CUENTA debe tener solo dígitos",IF(ISERROR(FIND(LEFT(C2760,1),"567")),"ERROR: CUENTA fuera de las clases de costo",IF(NOT(ISNUMBER(E2760)),"ERROR: VALOR debe ser numérico",IF(E2760=0,"AVISO: valor cero (no se carga)",IF(J2760&lt;&gt;"ACTIVO","NO SE CARGA: CECO en estado "&amp;J2760,"OK"))))))))))</f>
        <v/>
      </c>
    </row>
    <row r="2761">
      <c r="A2761" s="5" t="n"/>
      <c r="B2761" s="6" t="n"/>
      <c r="C2761" s="5" t="n"/>
      <c r="D2761" s="6" t="n"/>
      <c r="E2761" s="7" t="n"/>
      <c r="F2761" s="6" t="n"/>
      <c r="G2761" s="8">
        <f>IF(B2761="","",IFERROR(VLOOKUP(--B2761,'CATALOGO CECO'!$A$2:$H$550,2,FALSE),"CECO NO EXISTE"))</f>
        <v/>
      </c>
      <c r="H2761" s="8">
        <f>IF(B2761="","",IFERROR(VLOOKUP(--B2761,'CATALOGO CECO'!$A$2:$H$550,3,FALSE),""))</f>
        <v/>
      </c>
      <c r="I2761" s="8">
        <f>IF(B2761="","",IFERROR(VLOOKUP(--B2761,'CATALOGO CECO'!$A$2:$H$550,5,FALSE),""))</f>
        <v/>
      </c>
      <c r="J2761" s="8">
        <f>IF(B2761="","",IFERROR(VLOOKUP(--B2761,'CATALOGO CECO'!$A$2:$H$550,8,FALSE),""))</f>
        <v/>
      </c>
      <c r="K2761" s="8">
        <f>IF(COUNTA(A2761:F2761)=0,"",IF(OR(LEN(A2761)&lt;&gt;7,MID(A2761,5,1)&lt;&gt;"-",ISERROR(--LEFT(A2761,4)),ISERROR(--RIGHT(A2761,2))),"ERROR: PERIODO debe ser AAAA-MM",IF(B2761="","ERROR: falta CODIGO CECO",IF(G2761="CECO NO EXISTE","ERROR: CECO no existe en el catálogo",IF(C2761="","ERROR: falta CUENTA",IF(ISERROR(--C2761),"ERROR: CUENTA debe tener solo dígitos",IF(ISERROR(FIND(LEFT(C2761,1),"567")),"ERROR: CUENTA fuera de las clases de costo",IF(NOT(ISNUMBER(E2761)),"ERROR: VALOR debe ser numérico",IF(E2761=0,"AVISO: valor cero (no se carga)",IF(J2761&lt;&gt;"ACTIVO","NO SE CARGA: CECO en estado "&amp;J2761,"OK"))))))))))</f>
        <v/>
      </c>
    </row>
    <row r="2762">
      <c r="A2762" s="5" t="n"/>
      <c r="B2762" s="6" t="n"/>
      <c r="C2762" s="5" t="n"/>
      <c r="D2762" s="6" t="n"/>
      <c r="E2762" s="7" t="n"/>
      <c r="F2762" s="6" t="n"/>
      <c r="G2762" s="8">
        <f>IF(B2762="","",IFERROR(VLOOKUP(--B2762,'CATALOGO CECO'!$A$2:$H$550,2,FALSE),"CECO NO EXISTE"))</f>
        <v/>
      </c>
      <c r="H2762" s="8">
        <f>IF(B2762="","",IFERROR(VLOOKUP(--B2762,'CATALOGO CECO'!$A$2:$H$550,3,FALSE),""))</f>
        <v/>
      </c>
      <c r="I2762" s="8">
        <f>IF(B2762="","",IFERROR(VLOOKUP(--B2762,'CATALOGO CECO'!$A$2:$H$550,5,FALSE),""))</f>
        <v/>
      </c>
      <c r="J2762" s="8">
        <f>IF(B2762="","",IFERROR(VLOOKUP(--B2762,'CATALOGO CECO'!$A$2:$H$550,8,FALSE),""))</f>
        <v/>
      </c>
      <c r="K2762" s="8">
        <f>IF(COUNTA(A2762:F2762)=0,"",IF(OR(LEN(A2762)&lt;&gt;7,MID(A2762,5,1)&lt;&gt;"-",ISERROR(--LEFT(A2762,4)),ISERROR(--RIGHT(A2762,2))),"ERROR: PERIODO debe ser AAAA-MM",IF(B2762="","ERROR: falta CODIGO CECO",IF(G2762="CECO NO EXISTE","ERROR: CECO no existe en el catálogo",IF(C2762="","ERROR: falta CUENTA",IF(ISERROR(--C2762),"ERROR: CUENTA debe tener solo dígitos",IF(ISERROR(FIND(LEFT(C2762,1),"567")),"ERROR: CUENTA fuera de las clases de costo",IF(NOT(ISNUMBER(E2762)),"ERROR: VALOR debe ser numérico",IF(E2762=0,"AVISO: valor cero (no se carga)",IF(J2762&lt;&gt;"ACTIVO","NO SE CARGA: CECO en estado "&amp;J2762,"OK"))))))))))</f>
        <v/>
      </c>
    </row>
    <row r="2763">
      <c r="A2763" s="5" t="n"/>
      <c r="B2763" s="6" t="n"/>
      <c r="C2763" s="5" t="n"/>
      <c r="D2763" s="6" t="n"/>
      <c r="E2763" s="7" t="n"/>
      <c r="F2763" s="6" t="n"/>
      <c r="G2763" s="8">
        <f>IF(B2763="","",IFERROR(VLOOKUP(--B2763,'CATALOGO CECO'!$A$2:$H$550,2,FALSE),"CECO NO EXISTE"))</f>
        <v/>
      </c>
      <c r="H2763" s="8">
        <f>IF(B2763="","",IFERROR(VLOOKUP(--B2763,'CATALOGO CECO'!$A$2:$H$550,3,FALSE),""))</f>
        <v/>
      </c>
      <c r="I2763" s="8">
        <f>IF(B2763="","",IFERROR(VLOOKUP(--B2763,'CATALOGO CECO'!$A$2:$H$550,5,FALSE),""))</f>
        <v/>
      </c>
      <c r="J2763" s="8">
        <f>IF(B2763="","",IFERROR(VLOOKUP(--B2763,'CATALOGO CECO'!$A$2:$H$550,8,FALSE),""))</f>
        <v/>
      </c>
      <c r="K2763" s="8">
        <f>IF(COUNTA(A2763:F2763)=0,"",IF(OR(LEN(A2763)&lt;&gt;7,MID(A2763,5,1)&lt;&gt;"-",ISERROR(--LEFT(A2763,4)),ISERROR(--RIGHT(A2763,2))),"ERROR: PERIODO debe ser AAAA-MM",IF(B2763="","ERROR: falta CODIGO CECO",IF(G2763="CECO NO EXISTE","ERROR: CECO no existe en el catálogo",IF(C2763="","ERROR: falta CUENTA",IF(ISERROR(--C2763),"ERROR: CUENTA debe tener solo dígitos",IF(ISERROR(FIND(LEFT(C2763,1),"567")),"ERROR: CUENTA fuera de las clases de costo",IF(NOT(ISNUMBER(E2763)),"ERROR: VALOR debe ser numérico",IF(E2763=0,"AVISO: valor cero (no se carga)",IF(J2763&lt;&gt;"ACTIVO","NO SE CARGA: CECO en estado "&amp;J2763,"OK"))))))))))</f>
        <v/>
      </c>
    </row>
    <row r="2764">
      <c r="A2764" s="5" t="n"/>
      <c r="B2764" s="6" t="n"/>
      <c r="C2764" s="5" t="n"/>
      <c r="D2764" s="6" t="n"/>
      <c r="E2764" s="7" t="n"/>
      <c r="F2764" s="6" t="n"/>
      <c r="G2764" s="8">
        <f>IF(B2764="","",IFERROR(VLOOKUP(--B2764,'CATALOGO CECO'!$A$2:$H$550,2,FALSE),"CECO NO EXISTE"))</f>
        <v/>
      </c>
      <c r="H2764" s="8">
        <f>IF(B2764="","",IFERROR(VLOOKUP(--B2764,'CATALOGO CECO'!$A$2:$H$550,3,FALSE),""))</f>
        <v/>
      </c>
      <c r="I2764" s="8">
        <f>IF(B2764="","",IFERROR(VLOOKUP(--B2764,'CATALOGO CECO'!$A$2:$H$550,5,FALSE),""))</f>
        <v/>
      </c>
      <c r="J2764" s="8">
        <f>IF(B2764="","",IFERROR(VLOOKUP(--B2764,'CATALOGO CECO'!$A$2:$H$550,8,FALSE),""))</f>
        <v/>
      </c>
      <c r="K2764" s="8">
        <f>IF(COUNTA(A2764:F2764)=0,"",IF(OR(LEN(A2764)&lt;&gt;7,MID(A2764,5,1)&lt;&gt;"-",ISERROR(--LEFT(A2764,4)),ISERROR(--RIGHT(A2764,2))),"ERROR: PERIODO debe ser AAAA-MM",IF(B2764="","ERROR: falta CODIGO CECO",IF(G2764="CECO NO EXISTE","ERROR: CECO no existe en el catálogo",IF(C2764="","ERROR: falta CUENTA",IF(ISERROR(--C2764),"ERROR: CUENTA debe tener solo dígitos",IF(ISERROR(FIND(LEFT(C2764,1),"567")),"ERROR: CUENTA fuera de las clases de costo",IF(NOT(ISNUMBER(E2764)),"ERROR: VALOR debe ser numérico",IF(E2764=0,"AVISO: valor cero (no se carga)",IF(J2764&lt;&gt;"ACTIVO","NO SE CARGA: CECO en estado "&amp;J2764,"OK"))))))))))</f>
        <v/>
      </c>
    </row>
    <row r="2765">
      <c r="A2765" s="5" t="n"/>
      <c r="B2765" s="6" t="n"/>
      <c r="C2765" s="5" t="n"/>
      <c r="D2765" s="6" t="n"/>
      <c r="E2765" s="7" t="n"/>
      <c r="F2765" s="6" t="n"/>
      <c r="G2765" s="8">
        <f>IF(B2765="","",IFERROR(VLOOKUP(--B2765,'CATALOGO CECO'!$A$2:$H$550,2,FALSE),"CECO NO EXISTE"))</f>
        <v/>
      </c>
      <c r="H2765" s="8">
        <f>IF(B2765="","",IFERROR(VLOOKUP(--B2765,'CATALOGO CECO'!$A$2:$H$550,3,FALSE),""))</f>
        <v/>
      </c>
      <c r="I2765" s="8">
        <f>IF(B2765="","",IFERROR(VLOOKUP(--B2765,'CATALOGO CECO'!$A$2:$H$550,5,FALSE),""))</f>
        <v/>
      </c>
      <c r="J2765" s="8">
        <f>IF(B2765="","",IFERROR(VLOOKUP(--B2765,'CATALOGO CECO'!$A$2:$H$550,8,FALSE),""))</f>
        <v/>
      </c>
      <c r="K2765" s="8">
        <f>IF(COUNTA(A2765:F2765)=0,"",IF(OR(LEN(A2765)&lt;&gt;7,MID(A2765,5,1)&lt;&gt;"-",ISERROR(--LEFT(A2765,4)),ISERROR(--RIGHT(A2765,2))),"ERROR: PERIODO debe ser AAAA-MM",IF(B2765="","ERROR: falta CODIGO CECO",IF(G2765="CECO NO EXISTE","ERROR: CECO no existe en el catálogo",IF(C2765="","ERROR: falta CUENTA",IF(ISERROR(--C2765),"ERROR: CUENTA debe tener solo dígitos",IF(ISERROR(FIND(LEFT(C2765,1),"567")),"ERROR: CUENTA fuera de las clases de costo",IF(NOT(ISNUMBER(E2765)),"ERROR: VALOR debe ser numérico",IF(E2765=0,"AVISO: valor cero (no se carga)",IF(J2765&lt;&gt;"ACTIVO","NO SE CARGA: CECO en estado "&amp;J2765,"OK"))))))))))</f>
        <v/>
      </c>
    </row>
    <row r="2766">
      <c r="A2766" s="5" t="n"/>
      <c r="B2766" s="6" t="n"/>
      <c r="C2766" s="5" t="n"/>
      <c r="D2766" s="6" t="n"/>
      <c r="E2766" s="7" t="n"/>
      <c r="F2766" s="6" t="n"/>
      <c r="G2766" s="8">
        <f>IF(B2766="","",IFERROR(VLOOKUP(--B2766,'CATALOGO CECO'!$A$2:$H$550,2,FALSE),"CECO NO EXISTE"))</f>
        <v/>
      </c>
      <c r="H2766" s="8">
        <f>IF(B2766="","",IFERROR(VLOOKUP(--B2766,'CATALOGO CECO'!$A$2:$H$550,3,FALSE),""))</f>
        <v/>
      </c>
      <c r="I2766" s="8">
        <f>IF(B2766="","",IFERROR(VLOOKUP(--B2766,'CATALOGO CECO'!$A$2:$H$550,5,FALSE),""))</f>
        <v/>
      </c>
      <c r="J2766" s="8">
        <f>IF(B2766="","",IFERROR(VLOOKUP(--B2766,'CATALOGO CECO'!$A$2:$H$550,8,FALSE),""))</f>
        <v/>
      </c>
      <c r="K2766" s="8">
        <f>IF(COUNTA(A2766:F2766)=0,"",IF(OR(LEN(A2766)&lt;&gt;7,MID(A2766,5,1)&lt;&gt;"-",ISERROR(--LEFT(A2766,4)),ISERROR(--RIGHT(A2766,2))),"ERROR: PERIODO debe ser AAAA-MM",IF(B2766="","ERROR: falta CODIGO CECO",IF(G2766="CECO NO EXISTE","ERROR: CECO no existe en el catálogo",IF(C2766="","ERROR: falta CUENTA",IF(ISERROR(--C2766),"ERROR: CUENTA debe tener solo dígitos",IF(ISERROR(FIND(LEFT(C2766,1),"567")),"ERROR: CUENTA fuera de las clases de costo",IF(NOT(ISNUMBER(E2766)),"ERROR: VALOR debe ser numérico",IF(E2766=0,"AVISO: valor cero (no se carga)",IF(J2766&lt;&gt;"ACTIVO","NO SE CARGA: CECO en estado "&amp;J2766,"OK"))))))))))</f>
        <v/>
      </c>
    </row>
    <row r="2767">
      <c r="A2767" s="5" t="n"/>
      <c r="B2767" s="6" t="n"/>
      <c r="C2767" s="5" t="n"/>
      <c r="D2767" s="6" t="n"/>
      <c r="E2767" s="7" t="n"/>
      <c r="F2767" s="6" t="n"/>
      <c r="G2767" s="8">
        <f>IF(B2767="","",IFERROR(VLOOKUP(--B2767,'CATALOGO CECO'!$A$2:$H$550,2,FALSE),"CECO NO EXISTE"))</f>
        <v/>
      </c>
      <c r="H2767" s="8">
        <f>IF(B2767="","",IFERROR(VLOOKUP(--B2767,'CATALOGO CECO'!$A$2:$H$550,3,FALSE),""))</f>
        <v/>
      </c>
      <c r="I2767" s="8">
        <f>IF(B2767="","",IFERROR(VLOOKUP(--B2767,'CATALOGO CECO'!$A$2:$H$550,5,FALSE),""))</f>
        <v/>
      </c>
      <c r="J2767" s="8">
        <f>IF(B2767="","",IFERROR(VLOOKUP(--B2767,'CATALOGO CECO'!$A$2:$H$550,8,FALSE),""))</f>
        <v/>
      </c>
      <c r="K2767" s="8">
        <f>IF(COUNTA(A2767:F2767)=0,"",IF(OR(LEN(A2767)&lt;&gt;7,MID(A2767,5,1)&lt;&gt;"-",ISERROR(--LEFT(A2767,4)),ISERROR(--RIGHT(A2767,2))),"ERROR: PERIODO debe ser AAAA-MM",IF(B2767="","ERROR: falta CODIGO CECO",IF(G2767="CECO NO EXISTE","ERROR: CECO no existe en el catálogo",IF(C2767="","ERROR: falta CUENTA",IF(ISERROR(--C2767),"ERROR: CUENTA debe tener solo dígitos",IF(ISERROR(FIND(LEFT(C2767,1),"567")),"ERROR: CUENTA fuera de las clases de costo",IF(NOT(ISNUMBER(E2767)),"ERROR: VALOR debe ser numérico",IF(E2767=0,"AVISO: valor cero (no se carga)",IF(J2767&lt;&gt;"ACTIVO","NO SE CARGA: CECO en estado "&amp;J2767,"OK"))))))))))</f>
        <v/>
      </c>
    </row>
    <row r="2768">
      <c r="A2768" s="5" t="n"/>
      <c r="B2768" s="6" t="n"/>
      <c r="C2768" s="5" t="n"/>
      <c r="D2768" s="6" t="n"/>
      <c r="E2768" s="7" t="n"/>
      <c r="F2768" s="6" t="n"/>
      <c r="G2768" s="8">
        <f>IF(B2768="","",IFERROR(VLOOKUP(--B2768,'CATALOGO CECO'!$A$2:$H$550,2,FALSE),"CECO NO EXISTE"))</f>
        <v/>
      </c>
      <c r="H2768" s="8">
        <f>IF(B2768="","",IFERROR(VLOOKUP(--B2768,'CATALOGO CECO'!$A$2:$H$550,3,FALSE),""))</f>
        <v/>
      </c>
      <c r="I2768" s="8">
        <f>IF(B2768="","",IFERROR(VLOOKUP(--B2768,'CATALOGO CECO'!$A$2:$H$550,5,FALSE),""))</f>
        <v/>
      </c>
      <c r="J2768" s="8">
        <f>IF(B2768="","",IFERROR(VLOOKUP(--B2768,'CATALOGO CECO'!$A$2:$H$550,8,FALSE),""))</f>
        <v/>
      </c>
      <c r="K2768" s="8">
        <f>IF(COUNTA(A2768:F2768)=0,"",IF(OR(LEN(A2768)&lt;&gt;7,MID(A2768,5,1)&lt;&gt;"-",ISERROR(--LEFT(A2768,4)),ISERROR(--RIGHT(A2768,2))),"ERROR: PERIODO debe ser AAAA-MM",IF(B2768="","ERROR: falta CODIGO CECO",IF(G2768="CECO NO EXISTE","ERROR: CECO no existe en el catálogo",IF(C2768="","ERROR: falta CUENTA",IF(ISERROR(--C2768),"ERROR: CUENTA debe tener solo dígitos",IF(ISERROR(FIND(LEFT(C2768,1),"567")),"ERROR: CUENTA fuera de las clases de costo",IF(NOT(ISNUMBER(E2768)),"ERROR: VALOR debe ser numérico",IF(E2768=0,"AVISO: valor cero (no se carga)",IF(J2768&lt;&gt;"ACTIVO","NO SE CARGA: CECO en estado "&amp;J2768,"OK"))))))))))</f>
        <v/>
      </c>
    </row>
    <row r="2769">
      <c r="A2769" s="5" t="n"/>
      <c r="B2769" s="6" t="n"/>
      <c r="C2769" s="5" t="n"/>
      <c r="D2769" s="6" t="n"/>
      <c r="E2769" s="7" t="n"/>
      <c r="F2769" s="6" t="n"/>
      <c r="G2769" s="8">
        <f>IF(B2769="","",IFERROR(VLOOKUP(--B2769,'CATALOGO CECO'!$A$2:$H$550,2,FALSE),"CECO NO EXISTE"))</f>
        <v/>
      </c>
      <c r="H2769" s="8">
        <f>IF(B2769="","",IFERROR(VLOOKUP(--B2769,'CATALOGO CECO'!$A$2:$H$550,3,FALSE),""))</f>
        <v/>
      </c>
      <c r="I2769" s="8">
        <f>IF(B2769="","",IFERROR(VLOOKUP(--B2769,'CATALOGO CECO'!$A$2:$H$550,5,FALSE),""))</f>
        <v/>
      </c>
      <c r="J2769" s="8">
        <f>IF(B2769="","",IFERROR(VLOOKUP(--B2769,'CATALOGO CECO'!$A$2:$H$550,8,FALSE),""))</f>
        <v/>
      </c>
      <c r="K2769" s="8">
        <f>IF(COUNTA(A2769:F2769)=0,"",IF(OR(LEN(A2769)&lt;&gt;7,MID(A2769,5,1)&lt;&gt;"-",ISERROR(--LEFT(A2769,4)),ISERROR(--RIGHT(A2769,2))),"ERROR: PERIODO debe ser AAAA-MM",IF(B2769="","ERROR: falta CODIGO CECO",IF(G2769="CECO NO EXISTE","ERROR: CECO no existe en el catálogo",IF(C2769="","ERROR: falta CUENTA",IF(ISERROR(--C2769),"ERROR: CUENTA debe tener solo dígitos",IF(ISERROR(FIND(LEFT(C2769,1),"567")),"ERROR: CUENTA fuera de las clases de costo",IF(NOT(ISNUMBER(E2769)),"ERROR: VALOR debe ser numérico",IF(E2769=0,"AVISO: valor cero (no se carga)",IF(J2769&lt;&gt;"ACTIVO","NO SE CARGA: CECO en estado "&amp;J2769,"OK"))))))))))</f>
        <v/>
      </c>
    </row>
    <row r="2770">
      <c r="A2770" s="5" t="n"/>
      <c r="B2770" s="6" t="n"/>
      <c r="C2770" s="5" t="n"/>
      <c r="D2770" s="6" t="n"/>
      <c r="E2770" s="7" t="n"/>
      <c r="F2770" s="6" t="n"/>
      <c r="G2770" s="8">
        <f>IF(B2770="","",IFERROR(VLOOKUP(--B2770,'CATALOGO CECO'!$A$2:$H$550,2,FALSE),"CECO NO EXISTE"))</f>
        <v/>
      </c>
      <c r="H2770" s="8">
        <f>IF(B2770="","",IFERROR(VLOOKUP(--B2770,'CATALOGO CECO'!$A$2:$H$550,3,FALSE),""))</f>
        <v/>
      </c>
      <c r="I2770" s="8">
        <f>IF(B2770="","",IFERROR(VLOOKUP(--B2770,'CATALOGO CECO'!$A$2:$H$550,5,FALSE),""))</f>
        <v/>
      </c>
      <c r="J2770" s="8">
        <f>IF(B2770="","",IFERROR(VLOOKUP(--B2770,'CATALOGO CECO'!$A$2:$H$550,8,FALSE),""))</f>
        <v/>
      </c>
      <c r="K2770" s="8">
        <f>IF(COUNTA(A2770:F2770)=0,"",IF(OR(LEN(A2770)&lt;&gt;7,MID(A2770,5,1)&lt;&gt;"-",ISERROR(--LEFT(A2770,4)),ISERROR(--RIGHT(A2770,2))),"ERROR: PERIODO debe ser AAAA-MM",IF(B2770="","ERROR: falta CODIGO CECO",IF(G2770="CECO NO EXISTE","ERROR: CECO no existe en el catálogo",IF(C2770="","ERROR: falta CUENTA",IF(ISERROR(--C2770),"ERROR: CUENTA debe tener solo dígitos",IF(ISERROR(FIND(LEFT(C2770,1),"567")),"ERROR: CUENTA fuera de las clases de costo",IF(NOT(ISNUMBER(E2770)),"ERROR: VALOR debe ser numérico",IF(E2770=0,"AVISO: valor cero (no se carga)",IF(J2770&lt;&gt;"ACTIVO","NO SE CARGA: CECO en estado "&amp;J2770,"OK"))))))))))</f>
        <v/>
      </c>
    </row>
    <row r="2771">
      <c r="A2771" s="5" t="n"/>
      <c r="B2771" s="6" t="n"/>
      <c r="C2771" s="5" t="n"/>
      <c r="D2771" s="6" t="n"/>
      <c r="E2771" s="7" t="n"/>
      <c r="F2771" s="6" t="n"/>
      <c r="G2771" s="8">
        <f>IF(B2771="","",IFERROR(VLOOKUP(--B2771,'CATALOGO CECO'!$A$2:$H$550,2,FALSE),"CECO NO EXISTE"))</f>
        <v/>
      </c>
      <c r="H2771" s="8">
        <f>IF(B2771="","",IFERROR(VLOOKUP(--B2771,'CATALOGO CECO'!$A$2:$H$550,3,FALSE),""))</f>
        <v/>
      </c>
      <c r="I2771" s="8">
        <f>IF(B2771="","",IFERROR(VLOOKUP(--B2771,'CATALOGO CECO'!$A$2:$H$550,5,FALSE),""))</f>
        <v/>
      </c>
      <c r="J2771" s="8">
        <f>IF(B2771="","",IFERROR(VLOOKUP(--B2771,'CATALOGO CECO'!$A$2:$H$550,8,FALSE),""))</f>
        <v/>
      </c>
      <c r="K2771" s="8">
        <f>IF(COUNTA(A2771:F2771)=0,"",IF(OR(LEN(A2771)&lt;&gt;7,MID(A2771,5,1)&lt;&gt;"-",ISERROR(--LEFT(A2771,4)),ISERROR(--RIGHT(A2771,2))),"ERROR: PERIODO debe ser AAAA-MM",IF(B2771="","ERROR: falta CODIGO CECO",IF(G2771="CECO NO EXISTE","ERROR: CECO no existe en el catálogo",IF(C2771="","ERROR: falta CUENTA",IF(ISERROR(--C2771),"ERROR: CUENTA debe tener solo dígitos",IF(ISERROR(FIND(LEFT(C2771,1),"567")),"ERROR: CUENTA fuera de las clases de costo",IF(NOT(ISNUMBER(E2771)),"ERROR: VALOR debe ser numérico",IF(E2771=0,"AVISO: valor cero (no se carga)",IF(J2771&lt;&gt;"ACTIVO","NO SE CARGA: CECO en estado "&amp;J2771,"OK"))))))))))</f>
        <v/>
      </c>
    </row>
    <row r="2772">
      <c r="A2772" s="5" t="n"/>
      <c r="B2772" s="6" t="n"/>
      <c r="C2772" s="5" t="n"/>
      <c r="D2772" s="6" t="n"/>
      <c r="E2772" s="7" t="n"/>
      <c r="F2772" s="6" t="n"/>
      <c r="G2772" s="8">
        <f>IF(B2772="","",IFERROR(VLOOKUP(--B2772,'CATALOGO CECO'!$A$2:$H$550,2,FALSE),"CECO NO EXISTE"))</f>
        <v/>
      </c>
      <c r="H2772" s="8">
        <f>IF(B2772="","",IFERROR(VLOOKUP(--B2772,'CATALOGO CECO'!$A$2:$H$550,3,FALSE),""))</f>
        <v/>
      </c>
      <c r="I2772" s="8">
        <f>IF(B2772="","",IFERROR(VLOOKUP(--B2772,'CATALOGO CECO'!$A$2:$H$550,5,FALSE),""))</f>
        <v/>
      </c>
      <c r="J2772" s="8">
        <f>IF(B2772="","",IFERROR(VLOOKUP(--B2772,'CATALOGO CECO'!$A$2:$H$550,8,FALSE),""))</f>
        <v/>
      </c>
      <c r="K2772" s="8">
        <f>IF(COUNTA(A2772:F2772)=0,"",IF(OR(LEN(A2772)&lt;&gt;7,MID(A2772,5,1)&lt;&gt;"-",ISERROR(--LEFT(A2772,4)),ISERROR(--RIGHT(A2772,2))),"ERROR: PERIODO debe ser AAAA-MM",IF(B2772="","ERROR: falta CODIGO CECO",IF(G2772="CECO NO EXISTE","ERROR: CECO no existe en el catálogo",IF(C2772="","ERROR: falta CUENTA",IF(ISERROR(--C2772),"ERROR: CUENTA debe tener solo dígitos",IF(ISERROR(FIND(LEFT(C2772,1),"567")),"ERROR: CUENTA fuera de las clases de costo",IF(NOT(ISNUMBER(E2772)),"ERROR: VALOR debe ser numérico",IF(E2772=0,"AVISO: valor cero (no se carga)",IF(J2772&lt;&gt;"ACTIVO","NO SE CARGA: CECO en estado "&amp;J2772,"OK"))))))))))</f>
        <v/>
      </c>
    </row>
    <row r="2773">
      <c r="A2773" s="5" t="n"/>
      <c r="B2773" s="6" t="n"/>
      <c r="C2773" s="5" t="n"/>
      <c r="D2773" s="6" t="n"/>
      <c r="E2773" s="7" t="n"/>
      <c r="F2773" s="6" t="n"/>
      <c r="G2773" s="8">
        <f>IF(B2773="","",IFERROR(VLOOKUP(--B2773,'CATALOGO CECO'!$A$2:$H$550,2,FALSE),"CECO NO EXISTE"))</f>
        <v/>
      </c>
      <c r="H2773" s="8">
        <f>IF(B2773="","",IFERROR(VLOOKUP(--B2773,'CATALOGO CECO'!$A$2:$H$550,3,FALSE),""))</f>
        <v/>
      </c>
      <c r="I2773" s="8">
        <f>IF(B2773="","",IFERROR(VLOOKUP(--B2773,'CATALOGO CECO'!$A$2:$H$550,5,FALSE),""))</f>
        <v/>
      </c>
      <c r="J2773" s="8">
        <f>IF(B2773="","",IFERROR(VLOOKUP(--B2773,'CATALOGO CECO'!$A$2:$H$550,8,FALSE),""))</f>
        <v/>
      </c>
      <c r="K2773" s="8">
        <f>IF(COUNTA(A2773:F2773)=0,"",IF(OR(LEN(A2773)&lt;&gt;7,MID(A2773,5,1)&lt;&gt;"-",ISERROR(--LEFT(A2773,4)),ISERROR(--RIGHT(A2773,2))),"ERROR: PERIODO debe ser AAAA-MM",IF(B2773="","ERROR: falta CODIGO CECO",IF(G2773="CECO NO EXISTE","ERROR: CECO no existe en el catálogo",IF(C2773="","ERROR: falta CUENTA",IF(ISERROR(--C2773),"ERROR: CUENTA debe tener solo dígitos",IF(ISERROR(FIND(LEFT(C2773,1),"567")),"ERROR: CUENTA fuera de las clases de costo",IF(NOT(ISNUMBER(E2773)),"ERROR: VALOR debe ser numérico",IF(E2773=0,"AVISO: valor cero (no se carga)",IF(J2773&lt;&gt;"ACTIVO","NO SE CARGA: CECO en estado "&amp;J2773,"OK"))))))))))</f>
        <v/>
      </c>
    </row>
    <row r="2774">
      <c r="A2774" s="5" t="n"/>
      <c r="B2774" s="6" t="n"/>
      <c r="C2774" s="5" t="n"/>
      <c r="D2774" s="6" t="n"/>
      <c r="E2774" s="7" t="n"/>
      <c r="F2774" s="6" t="n"/>
      <c r="G2774" s="8">
        <f>IF(B2774="","",IFERROR(VLOOKUP(--B2774,'CATALOGO CECO'!$A$2:$H$550,2,FALSE),"CECO NO EXISTE"))</f>
        <v/>
      </c>
      <c r="H2774" s="8">
        <f>IF(B2774="","",IFERROR(VLOOKUP(--B2774,'CATALOGO CECO'!$A$2:$H$550,3,FALSE),""))</f>
        <v/>
      </c>
      <c r="I2774" s="8">
        <f>IF(B2774="","",IFERROR(VLOOKUP(--B2774,'CATALOGO CECO'!$A$2:$H$550,5,FALSE),""))</f>
        <v/>
      </c>
      <c r="J2774" s="8">
        <f>IF(B2774="","",IFERROR(VLOOKUP(--B2774,'CATALOGO CECO'!$A$2:$H$550,8,FALSE),""))</f>
        <v/>
      </c>
      <c r="K2774" s="8">
        <f>IF(COUNTA(A2774:F2774)=0,"",IF(OR(LEN(A2774)&lt;&gt;7,MID(A2774,5,1)&lt;&gt;"-",ISERROR(--LEFT(A2774,4)),ISERROR(--RIGHT(A2774,2))),"ERROR: PERIODO debe ser AAAA-MM",IF(B2774="","ERROR: falta CODIGO CECO",IF(G2774="CECO NO EXISTE","ERROR: CECO no existe en el catálogo",IF(C2774="","ERROR: falta CUENTA",IF(ISERROR(--C2774),"ERROR: CUENTA debe tener solo dígitos",IF(ISERROR(FIND(LEFT(C2774,1),"567")),"ERROR: CUENTA fuera de las clases de costo",IF(NOT(ISNUMBER(E2774)),"ERROR: VALOR debe ser numérico",IF(E2774=0,"AVISO: valor cero (no se carga)",IF(J2774&lt;&gt;"ACTIVO","NO SE CARGA: CECO en estado "&amp;J2774,"OK"))))))))))</f>
        <v/>
      </c>
    </row>
    <row r="2775">
      <c r="A2775" s="5" t="n"/>
      <c r="B2775" s="6" t="n"/>
      <c r="C2775" s="5" t="n"/>
      <c r="D2775" s="6" t="n"/>
      <c r="E2775" s="7" t="n"/>
      <c r="F2775" s="6" t="n"/>
      <c r="G2775" s="8">
        <f>IF(B2775="","",IFERROR(VLOOKUP(--B2775,'CATALOGO CECO'!$A$2:$H$550,2,FALSE),"CECO NO EXISTE"))</f>
        <v/>
      </c>
      <c r="H2775" s="8">
        <f>IF(B2775="","",IFERROR(VLOOKUP(--B2775,'CATALOGO CECO'!$A$2:$H$550,3,FALSE),""))</f>
        <v/>
      </c>
      <c r="I2775" s="8">
        <f>IF(B2775="","",IFERROR(VLOOKUP(--B2775,'CATALOGO CECO'!$A$2:$H$550,5,FALSE),""))</f>
        <v/>
      </c>
      <c r="J2775" s="8">
        <f>IF(B2775="","",IFERROR(VLOOKUP(--B2775,'CATALOGO CECO'!$A$2:$H$550,8,FALSE),""))</f>
        <v/>
      </c>
      <c r="K2775" s="8">
        <f>IF(COUNTA(A2775:F2775)=0,"",IF(OR(LEN(A2775)&lt;&gt;7,MID(A2775,5,1)&lt;&gt;"-",ISERROR(--LEFT(A2775,4)),ISERROR(--RIGHT(A2775,2))),"ERROR: PERIODO debe ser AAAA-MM",IF(B2775="","ERROR: falta CODIGO CECO",IF(G2775="CECO NO EXISTE","ERROR: CECO no existe en el catálogo",IF(C2775="","ERROR: falta CUENTA",IF(ISERROR(--C2775),"ERROR: CUENTA debe tener solo dígitos",IF(ISERROR(FIND(LEFT(C2775,1),"567")),"ERROR: CUENTA fuera de las clases de costo",IF(NOT(ISNUMBER(E2775)),"ERROR: VALOR debe ser numérico",IF(E2775=0,"AVISO: valor cero (no se carga)",IF(J2775&lt;&gt;"ACTIVO","NO SE CARGA: CECO en estado "&amp;J2775,"OK"))))))))))</f>
        <v/>
      </c>
    </row>
    <row r="2776">
      <c r="A2776" s="5" t="n"/>
      <c r="B2776" s="6" t="n"/>
      <c r="C2776" s="5" t="n"/>
      <c r="D2776" s="6" t="n"/>
      <c r="E2776" s="7" t="n"/>
      <c r="F2776" s="6" t="n"/>
      <c r="G2776" s="8">
        <f>IF(B2776="","",IFERROR(VLOOKUP(--B2776,'CATALOGO CECO'!$A$2:$H$550,2,FALSE),"CECO NO EXISTE"))</f>
        <v/>
      </c>
      <c r="H2776" s="8">
        <f>IF(B2776="","",IFERROR(VLOOKUP(--B2776,'CATALOGO CECO'!$A$2:$H$550,3,FALSE),""))</f>
        <v/>
      </c>
      <c r="I2776" s="8">
        <f>IF(B2776="","",IFERROR(VLOOKUP(--B2776,'CATALOGO CECO'!$A$2:$H$550,5,FALSE),""))</f>
        <v/>
      </c>
      <c r="J2776" s="8">
        <f>IF(B2776="","",IFERROR(VLOOKUP(--B2776,'CATALOGO CECO'!$A$2:$H$550,8,FALSE),""))</f>
        <v/>
      </c>
      <c r="K2776" s="8">
        <f>IF(COUNTA(A2776:F2776)=0,"",IF(OR(LEN(A2776)&lt;&gt;7,MID(A2776,5,1)&lt;&gt;"-",ISERROR(--LEFT(A2776,4)),ISERROR(--RIGHT(A2776,2))),"ERROR: PERIODO debe ser AAAA-MM",IF(B2776="","ERROR: falta CODIGO CECO",IF(G2776="CECO NO EXISTE","ERROR: CECO no existe en el catálogo",IF(C2776="","ERROR: falta CUENTA",IF(ISERROR(--C2776),"ERROR: CUENTA debe tener solo dígitos",IF(ISERROR(FIND(LEFT(C2776,1),"567")),"ERROR: CUENTA fuera de las clases de costo",IF(NOT(ISNUMBER(E2776)),"ERROR: VALOR debe ser numérico",IF(E2776=0,"AVISO: valor cero (no se carga)",IF(J2776&lt;&gt;"ACTIVO","NO SE CARGA: CECO en estado "&amp;J2776,"OK"))))))))))</f>
        <v/>
      </c>
    </row>
    <row r="2777">
      <c r="A2777" s="5" t="n"/>
      <c r="B2777" s="6" t="n"/>
      <c r="C2777" s="5" t="n"/>
      <c r="D2777" s="6" t="n"/>
      <c r="E2777" s="7" t="n"/>
      <c r="F2777" s="6" t="n"/>
      <c r="G2777" s="8">
        <f>IF(B2777="","",IFERROR(VLOOKUP(--B2777,'CATALOGO CECO'!$A$2:$H$550,2,FALSE),"CECO NO EXISTE"))</f>
        <v/>
      </c>
      <c r="H2777" s="8">
        <f>IF(B2777="","",IFERROR(VLOOKUP(--B2777,'CATALOGO CECO'!$A$2:$H$550,3,FALSE),""))</f>
        <v/>
      </c>
      <c r="I2777" s="8">
        <f>IF(B2777="","",IFERROR(VLOOKUP(--B2777,'CATALOGO CECO'!$A$2:$H$550,5,FALSE),""))</f>
        <v/>
      </c>
      <c r="J2777" s="8">
        <f>IF(B2777="","",IFERROR(VLOOKUP(--B2777,'CATALOGO CECO'!$A$2:$H$550,8,FALSE),""))</f>
        <v/>
      </c>
      <c r="K2777" s="8">
        <f>IF(COUNTA(A2777:F2777)=0,"",IF(OR(LEN(A2777)&lt;&gt;7,MID(A2777,5,1)&lt;&gt;"-",ISERROR(--LEFT(A2777,4)),ISERROR(--RIGHT(A2777,2))),"ERROR: PERIODO debe ser AAAA-MM",IF(B2777="","ERROR: falta CODIGO CECO",IF(G2777="CECO NO EXISTE","ERROR: CECO no existe en el catálogo",IF(C2777="","ERROR: falta CUENTA",IF(ISERROR(--C2777),"ERROR: CUENTA debe tener solo dígitos",IF(ISERROR(FIND(LEFT(C2777,1),"567")),"ERROR: CUENTA fuera de las clases de costo",IF(NOT(ISNUMBER(E2777)),"ERROR: VALOR debe ser numérico",IF(E2777=0,"AVISO: valor cero (no se carga)",IF(J2777&lt;&gt;"ACTIVO","NO SE CARGA: CECO en estado "&amp;J2777,"OK"))))))))))</f>
        <v/>
      </c>
    </row>
    <row r="2778">
      <c r="A2778" s="5" t="n"/>
      <c r="B2778" s="6" t="n"/>
      <c r="C2778" s="5" t="n"/>
      <c r="D2778" s="6" t="n"/>
      <c r="E2778" s="7" t="n"/>
      <c r="F2778" s="6" t="n"/>
      <c r="G2778" s="8">
        <f>IF(B2778="","",IFERROR(VLOOKUP(--B2778,'CATALOGO CECO'!$A$2:$H$550,2,FALSE),"CECO NO EXISTE"))</f>
        <v/>
      </c>
      <c r="H2778" s="8">
        <f>IF(B2778="","",IFERROR(VLOOKUP(--B2778,'CATALOGO CECO'!$A$2:$H$550,3,FALSE),""))</f>
        <v/>
      </c>
      <c r="I2778" s="8">
        <f>IF(B2778="","",IFERROR(VLOOKUP(--B2778,'CATALOGO CECO'!$A$2:$H$550,5,FALSE),""))</f>
        <v/>
      </c>
      <c r="J2778" s="8">
        <f>IF(B2778="","",IFERROR(VLOOKUP(--B2778,'CATALOGO CECO'!$A$2:$H$550,8,FALSE),""))</f>
        <v/>
      </c>
      <c r="K2778" s="8">
        <f>IF(COUNTA(A2778:F2778)=0,"",IF(OR(LEN(A2778)&lt;&gt;7,MID(A2778,5,1)&lt;&gt;"-",ISERROR(--LEFT(A2778,4)),ISERROR(--RIGHT(A2778,2))),"ERROR: PERIODO debe ser AAAA-MM",IF(B2778="","ERROR: falta CODIGO CECO",IF(G2778="CECO NO EXISTE","ERROR: CECO no existe en el catálogo",IF(C2778="","ERROR: falta CUENTA",IF(ISERROR(--C2778),"ERROR: CUENTA debe tener solo dígitos",IF(ISERROR(FIND(LEFT(C2778,1),"567")),"ERROR: CUENTA fuera de las clases de costo",IF(NOT(ISNUMBER(E2778)),"ERROR: VALOR debe ser numérico",IF(E2778=0,"AVISO: valor cero (no se carga)",IF(J2778&lt;&gt;"ACTIVO","NO SE CARGA: CECO en estado "&amp;J2778,"OK"))))))))))</f>
        <v/>
      </c>
    </row>
    <row r="2779">
      <c r="A2779" s="5" t="n"/>
      <c r="B2779" s="6" t="n"/>
      <c r="C2779" s="5" t="n"/>
      <c r="D2779" s="6" t="n"/>
      <c r="E2779" s="7" t="n"/>
      <c r="F2779" s="6" t="n"/>
      <c r="G2779" s="8">
        <f>IF(B2779="","",IFERROR(VLOOKUP(--B2779,'CATALOGO CECO'!$A$2:$H$550,2,FALSE),"CECO NO EXISTE"))</f>
        <v/>
      </c>
      <c r="H2779" s="8">
        <f>IF(B2779="","",IFERROR(VLOOKUP(--B2779,'CATALOGO CECO'!$A$2:$H$550,3,FALSE),""))</f>
        <v/>
      </c>
      <c r="I2779" s="8">
        <f>IF(B2779="","",IFERROR(VLOOKUP(--B2779,'CATALOGO CECO'!$A$2:$H$550,5,FALSE),""))</f>
        <v/>
      </c>
      <c r="J2779" s="8">
        <f>IF(B2779="","",IFERROR(VLOOKUP(--B2779,'CATALOGO CECO'!$A$2:$H$550,8,FALSE),""))</f>
        <v/>
      </c>
      <c r="K2779" s="8">
        <f>IF(COUNTA(A2779:F2779)=0,"",IF(OR(LEN(A2779)&lt;&gt;7,MID(A2779,5,1)&lt;&gt;"-",ISERROR(--LEFT(A2779,4)),ISERROR(--RIGHT(A2779,2))),"ERROR: PERIODO debe ser AAAA-MM",IF(B2779="","ERROR: falta CODIGO CECO",IF(G2779="CECO NO EXISTE","ERROR: CECO no existe en el catálogo",IF(C2779="","ERROR: falta CUENTA",IF(ISERROR(--C2779),"ERROR: CUENTA debe tener solo dígitos",IF(ISERROR(FIND(LEFT(C2779,1),"567")),"ERROR: CUENTA fuera de las clases de costo",IF(NOT(ISNUMBER(E2779)),"ERROR: VALOR debe ser numérico",IF(E2779=0,"AVISO: valor cero (no se carga)",IF(J2779&lt;&gt;"ACTIVO","NO SE CARGA: CECO en estado "&amp;J2779,"OK"))))))))))</f>
        <v/>
      </c>
    </row>
    <row r="2780">
      <c r="A2780" s="5" t="n"/>
      <c r="B2780" s="6" t="n"/>
      <c r="C2780" s="5" t="n"/>
      <c r="D2780" s="6" t="n"/>
      <c r="E2780" s="7" t="n"/>
      <c r="F2780" s="6" t="n"/>
      <c r="G2780" s="8">
        <f>IF(B2780="","",IFERROR(VLOOKUP(--B2780,'CATALOGO CECO'!$A$2:$H$550,2,FALSE),"CECO NO EXISTE"))</f>
        <v/>
      </c>
      <c r="H2780" s="8">
        <f>IF(B2780="","",IFERROR(VLOOKUP(--B2780,'CATALOGO CECO'!$A$2:$H$550,3,FALSE),""))</f>
        <v/>
      </c>
      <c r="I2780" s="8">
        <f>IF(B2780="","",IFERROR(VLOOKUP(--B2780,'CATALOGO CECO'!$A$2:$H$550,5,FALSE),""))</f>
        <v/>
      </c>
      <c r="J2780" s="8">
        <f>IF(B2780="","",IFERROR(VLOOKUP(--B2780,'CATALOGO CECO'!$A$2:$H$550,8,FALSE),""))</f>
        <v/>
      </c>
      <c r="K2780" s="8">
        <f>IF(COUNTA(A2780:F2780)=0,"",IF(OR(LEN(A2780)&lt;&gt;7,MID(A2780,5,1)&lt;&gt;"-",ISERROR(--LEFT(A2780,4)),ISERROR(--RIGHT(A2780,2))),"ERROR: PERIODO debe ser AAAA-MM",IF(B2780="","ERROR: falta CODIGO CECO",IF(G2780="CECO NO EXISTE","ERROR: CECO no existe en el catálogo",IF(C2780="","ERROR: falta CUENTA",IF(ISERROR(--C2780),"ERROR: CUENTA debe tener solo dígitos",IF(ISERROR(FIND(LEFT(C2780,1),"567")),"ERROR: CUENTA fuera de las clases de costo",IF(NOT(ISNUMBER(E2780)),"ERROR: VALOR debe ser numérico",IF(E2780=0,"AVISO: valor cero (no se carga)",IF(J2780&lt;&gt;"ACTIVO","NO SE CARGA: CECO en estado "&amp;J2780,"OK"))))))))))</f>
        <v/>
      </c>
    </row>
    <row r="2781">
      <c r="A2781" s="5" t="n"/>
      <c r="B2781" s="6" t="n"/>
      <c r="C2781" s="5" t="n"/>
      <c r="D2781" s="6" t="n"/>
      <c r="E2781" s="7" t="n"/>
      <c r="F2781" s="6" t="n"/>
      <c r="G2781" s="8">
        <f>IF(B2781="","",IFERROR(VLOOKUP(--B2781,'CATALOGO CECO'!$A$2:$H$550,2,FALSE),"CECO NO EXISTE"))</f>
        <v/>
      </c>
      <c r="H2781" s="8">
        <f>IF(B2781="","",IFERROR(VLOOKUP(--B2781,'CATALOGO CECO'!$A$2:$H$550,3,FALSE),""))</f>
        <v/>
      </c>
      <c r="I2781" s="8">
        <f>IF(B2781="","",IFERROR(VLOOKUP(--B2781,'CATALOGO CECO'!$A$2:$H$550,5,FALSE),""))</f>
        <v/>
      </c>
      <c r="J2781" s="8">
        <f>IF(B2781="","",IFERROR(VLOOKUP(--B2781,'CATALOGO CECO'!$A$2:$H$550,8,FALSE),""))</f>
        <v/>
      </c>
      <c r="K2781" s="8">
        <f>IF(COUNTA(A2781:F2781)=0,"",IF(OR(LEN(A2781)&lt;&gt;7,MID(A2781,5,1)&lt;&gt;"-",ISERROR(--LEFT(A2781,4)),ISERROR(--RIGHT(A2781,2))),"ERROR: PERIODO debe ser AAAA-MM",IF(B2781="","ERROR: falta CODIGO CECO",IF(G2781="CECO NO EXISTE","ERROR: CECO no existe en el catálogo",IF(C2781="","ERROR: falta CUENTA",IF(ISERROR(--C2781),"ERROR: CUENTA debe tener solo dígitos",IF(ISERROR(FIND(LEFT(C2781,1),"567")),"ERROR: CUENTA fuera de las clases de costo",IF(NOT(ISNUMBER(E2781)),"ERROR: VALOR debe ser numérico",IF(E2781=0,"AVISO: valor cero (no se carga)",IF(J2781&lt;&gt;"ACTIVO","NO SE CARGA: CECO en estado "&amp;J2781,"OK"))))))))))</f>
        <v/>
      </c>
    </row>
    <row r="2782">
      <c r="A2782" s="5" t="n"/>
      <c r="B2782" s="6" t="n"/>
      <c r="C2782" s="5" t="n"/>
      <c r="D2782" s="6" t="n"/>
      <c r="E2782" s="7" t="n"/>
      <c r="F2782" s="6" t="n"/>
      <c r="G2782" s="8">
        <f>IF(B2782="","",IFERROR(VLOOKUP(--B2782,'CATALOGO CECO'!$A$2:$H$550,2,FALSE),"CECO NO EXISTE"))</f>
        <v/>
      </c>
      <c r="H2782" s="8">
        <f>IF(B2782="","",IFERROR(VLOOKUP(--B2782,'CATALOGO CECO'!$A$2:$H$550,3,FALSE),""))</f>
        <v/>
      </c>
      <c r="I2782" s="8">
        <f>IF(B2782="","",IFERROR(VLOOKUP(--B2782,'CATALOGO CECO'!$A$2:$H$550,5,FALSE),""))</f>
        <v/>
      </c>
      <c r="J2782" s="8">
        <f>IF(B2782="","",IFERROR(VLOOKUP(--B2782,'CATALOGO CECO'!$A$2:$H$550,8,FALSE),""))</f>
        <v/>
      </c>
      <c r="K2782" s="8">
        <f>IF(COUNTA(A2782:F2782)=0,"",IF(OR(LEN(A2782)&lt;&gt;7,MID(A2782,5,1)&lt;&gt;"-",ISERROR(--LEFT(A2782,4)),ISERROR(--RIGHT(A2782,2))),"ERROR: PERIODO debe ser AAAA-MM",IF(B2782="","ERROR: falta CODIGO CECO",IF(G2782="CECO NO EXISTE","ERROR: CECO no existe en el catálogo",IF(C2782="","ERROR: falta CUENTA",IF(ISERROR(--C2782),"ERROR: CUENTA debe tener solo dígitos",IF(ISERROR(FIND(LEFT(C2782,1),"567")),"ERROR: CUENTA fuera de las clases de costo",IF(NOT(ISNUMBER(E2782)),"ERROR: VALOR debe ser numérico",IF(E2782=0,"AVISO: valor cero (no se carga)",IF(J2782&lt;&gt;"ACTIVO","NO SE CARGA: CECO en estado "&amp;J2782,"OK"))))))))))</f>
        <v/>
      </c>
    </row>
    <row r="2783">
      <c r="A2783" s="5" t="n"/>
      <c r="B2783" s="6" t="n"/>
      <c r="C2783" s="5" t="n"/>
      <c r="D2783" s="6" t="n"/>
      <c r="E2783" s="7" t="n"/>
      <c r="F2783" s="6" t="n"/>
      <c r="G2783" s="8">
        <f>IF(B2783="","",IFERROR(VLOOKUP(--B2783,'CATALOGO CECO'!$A$2:$H$550,2,FALSE),"CECO NO EXISTE"))</f>
        <v/>
      </c>
      <c r="H2783" s="8">
        <f>IF(B2783="","",IFERROR(VLOOKUP(--B2783,'CATALOGO CECO'!$A$2:$H$550,3,FALSE),""))</f>
        <v/>
      </c>
      <c r="I2783" s="8">
        <f>IF(B2783="","",IFERROR(VLOOKUP(--B2783,'CATALOGO CECO'!$A$2:$H$550,5,FALSE),""))</f>
        <v/>
      </c>
      <c r="J2783" s="8">
        <f>IF(B2783="","",IFERROR(VLOOKUP(--B2783,'CATALOGO CECO'!$A$2:$H$550,8,FALSE),""))</f>
        <v/>
      </c>
      <c r="K2783" s="8">
        <f>IF(COUNTA(A2783:F2783)=0,"",IF(OR(LEN(A2783)&lt;&gt;7,MID(A2783,5,1)&lt;&gt;"-",ISERROR(--LEFT(A2783,4)),ISERROR(--RIGHT(A2783,2))),"ERROR: PERIODO debe ser AAAA-MM",IF(B2783="","ERROR: falta CODIGO CECO",IF(G2783="CECO NO EXISTE","ERROR: CECO no existe en el catálogo",IF(C2783="","ERROR: falta CUENTA",IF(ISERROR(--C2783),"ERROR: CUENTA debe tener solo dígitos",IF(ISERROR(FIND(LEFT(C2783,1),"567")),"ERROR: CUENTA fuera de las clases de costo",IF(NOT(ISNUMBER(E2783)),"ERROR: VALOR debe ser numérico",IF(E2783=0,"AVISO: valor cero (no se carga)",IF(J2783&lt;&gt;"ACTIVO","NO SE CARGA: CECO en estado "&amp;J2783,"OK"))))))))))</f>
        <v/>
      </c>
    </row>
    <row r="2784">
      <c r="A2784" s="5" t="n"/>
      <c r="B2784" s="6" t="n"/>
      <c r="C2784" s="5" t="n"/>
      <c r="D2784" s="6" t="n"/>
      <c r="E2784" s="7" t="n"/>
      <c r="F2784" s="6" t="n"/>
      <c r="G2784" s="8">
        <f>IF(B2784="","",IFERROR(VLOOKUP(--B2784,'CATALOGO CECO'!$A$2:$H$550,2,FALSE),"CECO NO EXISTE"))</f>
        <v/>
      </c>
      <c r="H2784" s="8">
        <f>IF(B2784="","",IFERROR(VLOOKUP(--B2784,'CATALOGO CECO'!$A$2:$H$550,3,FALSE),""))</f>
        <v/>
      </c>
      <c r="I2784" s="8">
        <f>IF(B2784="","",IFERROR(VLOOKUP(--B2784,'CATALOGO CECO'!$A$2:$H$550,5,FALSE),""))</f>
        <v/>
      </c>
      <c r="J2784" s="8">
        <f>IF(B2784="","",IFERROR(VLOOKUP(--B2784,'CATALOGO CECO'!$A$2:$H$550,8,FALSE),""))</f>
        <v/>
      </c>
      <c r="K2784" s="8">
        <f>IF(COUNTA(A2784:F2784)=0,"",IF(OR(LEN(A2784)&lt;&gt;7,MID(A2784,5,1)&lt;&gt;"-",ISERROR(--LEFT(A2784,4)),ISERROR(--RIGHT(A2784,2))),"ERROR: PERIODO debe ser AAAA-MM",IF(B2784="","ERROR: falta CODIGO CECO",IF(G2784="CECO NO EXISTE","ERROR: CECO no existe en el catálogo",IF(C2784="","ERROR: falta CUENTA",IF(ISERROR(--C2784),"ERROR: CUENTA debe tener solo dígitos",IF(ISERROR(FIND(LEFT(C2784,1),"567")),"ERROR: CUENTA fuera de las clases de costo",IF(NOT(ISNUMBER(E2784)),"ERROR: VALOR debe ser numérico",IF(E2784=0,"AVISO: valor cero (no se carga)",IF(J2784&lt;&gt;"ACTIVO","NO SE CARGA: CECO en estado "&amp;J2784,"OK"))))))))))</f>
        <v/>
      </c>
    </row>
    <row r="2785">
      <c r="A2785" s="5" t="n"/>
      <c r="B2785" s="6" t="n"/>
      <c r="C2785" s="5" t="n"/>
      <c r="D2785" s="6" t="n"/>
      <c r="E2785" s="7" t="n"/>
      <c r="F2785" s="6" t="n"/>
      <c r="G2785" s="8">
        <f>IF(B2785="","",IFERROR(VLOOKUP(--B2785,'CATALOGO CECO'!$A$2:$H$550,2,FALSE),"CECO NO EXISTE"))</f>
        <v/>
      </c>
      <c r="H2785" s="8">
        <f>IF(B2785="","",IFERROR(VLOOKUP(--B2785,'CATALOGO CECO'!$A$2:$H$550,3,FALSE),""))</f>
        <v/>
      </c>
      <c r="I2785" s="8">
        <f>IF(B2785="","",IFERROR(VLOOKUP(--B2785,'CATALOGO CECO'!$A$2:$H$550,5,FALSE),""))</f>
        <v/>
      </c>
      <c r="J2785" s="8">
        <f>IF(B2785="","",IFERROR(VLOOKUP(--B2785,'CATALOGO CECO'!$A$2:$H$550,8,FALSE),""))</f>
        <v/>
      </c>
      <c r="K2785" s="8">
        <f>IF(COUNTA(A2785:F2785)=0,"",IF(OR(LEN(A2785)&lt;&gt;7,MID(A2785,5,1)&lt;&gt;"-",ISERROR(--LEFT(A2785,4)),ISERROR(--RIGHT(A2785,2))),"ERROR: PERIODO debe ser AAAA-MM",IF(B2785="","ERROR: falta CODIGO CECO",IF(G2785="CECO NO EXISTE","ERROR: CECO no existe en el catálogo",IF(C2785="","ERROR: falta CUENTA",IF(ISERROR(--C2785),"ERROR: CUENTA debe tener solo dígitos",IF(ISERROR(FIND(LEFT(C2785,1),"567")),"ERROR: CUENTA fuera de las clases de costo",IF(NOT(ISNUMBER(E2785)),"ERROR: VALOR debe ser numérico",IF(E2785=0,"AVISO: valor cero (no se carga)",IF(J2785&lt;&gt;"ACTIVO","NO SE CARGA: CECO en estado "&amp;J2785,"OK"))))))))))</f>
        <v/>
      </c>
    </row>
    <row r="2786">
      <c r="A2786" s="5" t="n"/>
      <c r="B2786" s="6" t="n"/>
      <c r="C2786" s="5" t="n"/>
      <c r="D2786" s="6" t="n"/>
      <c r="E2786" s="7" t="n"/>
      <c r="F2786" s="6" t="n"/>
      <c r="G2786" s="8">
        <f>IF(B2786="","",IFERROR(VLOOKUP(--B2786,'CATALOGO CECO'!$A$2:$H$550,2,FALSE),"CECO NO EXISTE"))</f>
        <v/>
      </c>
      <c r="H2786" s="8">
        <f>IF(B2786="","",IFERROR(VLOOKUP(--B2786,'CATALOGO CECO'!$A$2:$H$550,3,FALSE),""))</f>
        <v/>
      </c>
      <c r="I2786" s="8">
        <f>IF(B2786="","",IFERROR(VLOOKUP(--B2786,'CATALOGO CECO'!$A$2:$H$550,5,FALSE),""))</f>
        <v/>
      </c>
      <c r="J2786" s="8">
        <f>IF(B2786="","",IFERROR(VLOOKUP(--B2786,'CATALOGO CECO'!$A$2:$H$550,8,FALSE),""))</f>
        <v/>
      </c>
      <c r="K2786" s="8">
        <f>IF(COUNTA(A2786:F2786)=0,"",IF(OR(LEN(A2786)&lt;&gt;7,MID(A2786,5,1)&lt;&gt;"-",ISERROR(--LEFT(A2786,4)),ISERROR(--RIGHT(A2786,2))),"ERROR: PERIODO debe ser AAAA-MM",IF(B2786="","ERROR: falta CODIGO CECO",IF(G2786="CECO NO EXISTE","ERROR: CECO no existe en el catálogo",IF(C2786="","ERROR: falta CUENTA",IF(ISERROR(--C2786),"ERROR: CUENTA debe tener solo dígitos",IF(ISERROR(FIND(LEFT(C2786,1),"567")),"ERROR: CUENTA fuera de las clases de costo",IF(NOT(ISNUMBER(E2786)),"ERROR: VALOR debe ser numérico",IF(E2786=0,"AVISO: valor cero (no se carga)",IF(J2786&lt;&gt;"ACTIVO","NO SE CARGA: CECO en estado "&amp;J2786,"OK"))))))))))</f>
        <v/>
      </c>
    </row>
    <row r="2787">
      <c r="A2787" s="5" t="n"/>
      <c r="B2787" s="6" t="n"/>
      <c r="C2787" s="5" t="n"/>
      <c r="D2787" s="6" t="n"/>
      <c r="E2787" s="7" t="n"/>
      <c r="F2787" s="6" t="n"/>
      <c r="G2787" s="8">
        <f>IF(B2787="","",IFERROR(VLOOKUP(--B2787,'CATALOGO CECO'!$A$2:$H$550,2,FALSE),"CECO NO EXISTE"))</f>
        <v/>
      </c>
      <c r="H2787" s="8">
        <f>IF(B2787="","",IFERROR(VLOOKUP(--B2787,'CATALOGO CECO'!$A$2:$H$550,3,FALSE),""))</f>
        <v/>
      </c>
      <c r="I2787" s="8">
        <f>IF(B2787="","",IFERROR(VLOOKUP(--B2787,'CATALOGO CECO'!$A$2:$H$550,5,FALSE),""))</f>
        <v/>
      </c>
      <c r="J2787" s="8">
        <f>IF(B2787="","",IFERROR(VLOOKUP(--B2787,'CATALOGO CECO'!$A$2:$H$550,8,FALSE),""))</f>
        <v/>
      </c>
      <c r="K2787" s="8">
        <f>IF(COUNTA(A2787:F2787)=0,"",IF(OR(LEN(A2787)&lt;&gt;7,MID(A2787,5,1)&lt;&gt;"-",ISERROR(--LEFT(A2787,4)),ISERROR(--RIGHT(A2787,2))),"ERROR: PERIODO debe ser AAAA-MM",IF(B2787="","ERROR: falta CODIGO CECO",IF(G2787="CECO NO EXISTE","ERROR: CECO no existe en el catálogo",IF(C2787="","ERROR: falta CUENTA",IF(ISERROR(--C2787),"ERROR: CUENTA debe tener solo dígitos",IF(ISERROR(FIND(LEFT(C2787,1),"567")),"ERROR: CUENTA fuera de las clases de costo",IF(NOT(ISNUMBER(E2787)),"ERROR: VALOR debe ser numérico",IF(E2787=0,"AVISO: valor cero (no se carga)",IF(J2787&lt;&gt;"ACTIVO","NO SE CARGA: CECO en estado "&amp;J2787,"OK"))))))))))</f>
        <v/>
      </c>
    </row>
    <row r="2788">
      <c r="A2788" s="5" t="n"/>
      <c r="B2788" s="6" t="n"/>
      <c r="C2788" s="5" t="n"/>
      <c r="D2788" s="6" t="n"/>
      <c r="E2788" s="7" t="n"/>
      <c r="F2788" s="6" t="n"/>
      <c r="G2788" s="8">
        <f>IF(B2788="","",IFERROR(VLOOKUP(--B2788,'CATALOGO CECO'!$A$2:$H$550,2,FALSE),"CECO NO EXISTE"))</f>
        <v/>
      </c>
      <c r="H2788" s="8">
        <f>IF(B2788="","",IFERROR(VLOOKUP(--B2788,'CATALOGO CECO'!$A$2:$H$550,3,FALSE),""))</f>
        <v/>
      </c>
      <c r="I2788" s="8">
        <f>IF(B2788="","",IFERROR(VLOOKUP(--B2788,'CATALOGO CECO'!$A$2:$H$550,5,FALSE),""))</f>
        <v/>
      </c>
      <c r="J2788" s="8">
        <f>IF(B2788="","",IFERROR(VLOOKUP(--B2788,'CATALOGO CECO'!$A$2:$H$550,8,FALSE),""))</f>
        <v/>
      </c>
      <c r="K2788" s="8">
        <f>IF(COUNTA(A2788:F2788)=0,"",IF(OR(LEN(A2788)&lt;&gt;7,MID(A2788,5,1)&lt;&gt;"-",ISERROR(--LEFT(A2788,4)),ISERROR(--RIGHT(A2788,2))),"ERROR: PERIODO debe ser AAAA-MM",IF(B2788="","ERROR: falta CODIGO CECO",IF(G2788="CECO NO EXISTE","ERROR: CECO no existe en el catálogo",IF(C2788="","ERROR: falta CUENTA",IF(ISERROR(--C2788),"ERROR: CUENTA debe tener solo dígitos",IF(ISERROR(FIND(LEFT(C2788,1),"567")),"ERROR: CUENTA fuera de las clases de costo",IF(NOT(ISNUMBER(E2788)),"ERROR: VALOR debe ser numérico",IF(E2788=0,"AVISO: valor cero (no se carga)",IF(J2788&lt;&gt;"ACTIVO","NO SE CARGA: CECO en estado "&amp;J2788,"OK"))))))))))</f>
        <v/>
      </c>
    </row>
    <row r="2789">
      <c r="A2789" s="5" t="n"/>
      <c r="B2789" s="6" t="n"/>
      <c r="C2789" s="5" t="n"/>
      <c r="D2789" s="6" t="n"/>
      <c r="E2789" s="7" t="n"/>
      <c r="F2789" s="6" t="n"/>
      <c r="G2789" s="8">
        <f>IF(B2789="","",IFERROR(VLOOKUP(--B2789,'CATALOGO CECO'!$A$2:$H$550,2,FALSE),"CECO NO EXISTE"))</f>
        <v/>
      </c>
      <c r="H2789" s="8">
        <f>IF(B2789="","",IFERROR(VLOOKUP(--B2789,'CATALOGO CECO'!$A$2:$H$550,3,FALSE),""))</f>
        <v/>
      </c>
      <c r="I2789" s="8">
        <f>IF(B2789="","",IFERROR(VLOOKUP(--B2789,'CATALOGO CECO'!$A$2:$H$550,5,FALSE),""))</f>
        <v/>
      </c>
      <c r="J2789" s="8">
        <f>IF(B2789="","",IFERROR(VLOOKUP(--B2789,'CATALOGO CECO'!$A$2:$H$550,8,FALSE),""))</f>
        <v/>
      </c>
      <c r="K2789" s="8">
        <f>IF(COUNTA(A2789:F2789)=0,"",IF(OR(LEN(A2789)&lt;&gt;7,MID(A2789,5,1)&lt;&gt;"-",ISERROR(--LEFT(A2789,4)),ISERROR(--RIGHT(A2789,2))),"ERROR: PERIODO debe ser AAAA-MM",IF(B2789="","ERROR: falta CODIGO CECO",IF(G2789="CECO NO EXISTE","ERROR: CECO no existe en el catálogo",IF(C2789="","ERROR: falta CUENTA",IF(ISERROR(--C2789),"ERROR: CUENTA debe tener solo dígitos",IF(ISERROR(FIND(LEFT(C2789,1),"567")),"ERROR: CUENTA fuera de las clases de costo",IF(NOT(ISNUMBER(E2789)),"ERROR: VALOR debe ser numérico",IF(E2789=0,"AVISO: valor cero (no se carga)",IF(J2789&lt;&gt;"ACTIVO","NO SE CARGA: CECO en estado "&amp;J2789,"OK"))))))))))</f>
        <v/>
      </c>
    </row>
    <row r="2790">
      <c r="A2790" s="5" t="n"/>
      <c r="B2790" s="6" t="n"/>
      <c r="C2790" s="5" t="n"/>
      <c r="D2790" s="6" t="n"/>
      <c r="E2790" s="7" t="n"/>
      <c r="F2790" s="6" t="n"/>
      <c r="G2790" s="8">
        <f>IF(B2790="","",IFERROR(VLOOKUP(--B2790,'CATALOGO CECO'!$A$2:$H$550,2,FALSE),"CECO NO EXISTE"))</f>
        <v/>
      </c>
      <c r="H2790" s="8">
        <f>IF(B2790="","",IFERROR(VLOOKUP(--B2790,'CATALOGO CECO'!$A$2:$H$550,3,FALSE),""))</f>
        <v/>
      </c>
      <c r="I2790" s="8">
        <f>IF(B2790="","",IFERROR(VLOOKUP(--B2790,'CATALOGO CECO'!$A$2:$H$550,5,FALSE),""))</f>
        <v/>
      </c>
      <c r="J2790" s="8">
        <f>IF(B2790="","",IFERROR(VLOOKUP(--B2790,'CATALOGO CECO'!$A$2:$H$550,8,FALSE),""))</f>
        <v/>
      </c>
      <c r="K2790" s="8">
        <f>IF(COUNTA(A2790:F2790)=0,"",IF(OR(LEN(A2790)&lt;&gt;7,MID(A2790,5,1)&lt;&gt;"-",ISERROR(--LEFT(A2790,4)),ISERROR(--RIGHT(A2790,2))),"ERROR: PERIODO debe ser AAAA-MM",IF(B2790="","ERROR: falta CODIGO CECO",IF(G2790="CECO NO EXISTE","ERROR: CECO no existe en el catálogo",IF(C2790="","ERROR: falta CUENTA",IF(ISERROR(--C2790),"ERROR: CUENTA debe tener solo dígitos",IF(ISERROR(FIND(LEFT(C2790,1),"567")),"ERROR: CUENTA fuera de las clases de costo",IF(NOT(ISNUMBER(E2790)),"ERROR: VALOR debe ser numérico",IF(E2790=0,"AVISO: valor cero (no se carga)",IF(J2790&lt;&gt;"ACTIVO","NO SE CARGA: CECO en estado "&amp;J2790,"OK"))))))))))</f>
        <v/>
      </c>
    </row>
    <row r="2791">
      <c r="A2791" s="5" t="n"/>
      <c r="B2791" s="6" t="n"/>
      <c r="C2791" s="5" t="n"/>
      <c r="D2791" s="6" t="n"/>
      <c r="E2791" s="7" t="n"/>
      <c r="F2791" s="6" t="n"/>
      <c r="G2791" s="8">
        <f>IF(B2791="","",IFERROR(VLOOKUP(--B2791,'CATALOGO CECO'!$A$2:$H$550,2,FALSE),"CECO NO EXISTE"))</f>
        <v/>
      </c>
      <c r="H2791" s="8">
        <f>IF(B2791="","",IFERROR(VLOOKUP(--B2791,'CATALOGO CECO'!$A$2:$H$550,3,FALSE),""))</f>
        <v/>
      </c>
      <c r="I2791" s="8">
        <f>IF(B2791="","",IFERROR(VLOOKUP(--B2791,'CATALOGO CECO'!$A$2:$H$550,5,FALSE),""))</f>
        <v/>
      </c>
      <c r="J2791" s="8">
        <f>IF(B2791="","",IFERROR(VLOOKUP(--B2791,'CATALOGO CECO'!$A$2:$H$550,8,FALSE),""))</f>
        <v/>
      </c>
      <c r="K2791" s="8">
        <f>IF(COUNTA(A2791:F2791)=0,"",IF(OR(LEN(A2791)&lt;&gt;7,MID(A2791,5,1)&lt;&gt;"-",ISERROR(--LEFT(A2791,4)),ISERROR(--RIGHT(A2791,2))),"ERROR: PERIODO debe ser AAAA-MM",IF(B2791="","ERROR: falta CODIGO CECO",IF(G2791="CECO NO EXISTE","ERROR: CECO no existe en el catálogo",IF(C2791="","ERROR: falta CUENTA",IF(ISERROR(--C2791),"ERROR: CUENTA debe tener solo dígitos",IF(ISERROR(FIND(LEFT(C2791,1),"567")),"ERROR: CUENTA fuera de las clases de costo",IF(NOT(ISNUMBER(E2791)),"ERROR: VALOR debe ser numérico",IF(E2791=0,"AVISO: valor cero (no se carga)",IF(J2791&lt;&gt;"ACTIVO","NO SE CARGA: CECO en estado "&amp;J2791,"OK"))))))))))</f>
        <v/>
      </c>
    </row>
    <row r="2792">
      <c r="A2792" s="5" t="n"/>
      <c r="B2792" s="6" t="n"/>
      <c r="C2792" s="5" t="n"/>
      <c r="D2792" s="6" t="n"/>
      <c r="E2792" s="7" t="n"/>
      <c r="F2792" s="6" t="n"/>
      <c r="G2792" s="8">
        <f>IF(B2792="","",IFERROR(VLOOKUP(--B2792,'CATALOGO CECO'!$A$2:$H$550,2,FALSE),"CECO NO EXISTE"))</f>
        <v/>
      </c>
      <c r="H2792" s="8">
        <f>IF(B2792="","",IFERROR(VLOOKUP(--B2792,'CATALOGO CECO'!$A$2:$H$550,3,FALSE),""))</f>
        <v/>
      </c>
      <c r="I2792" s="8">
        <f>IF(B2792="","",IFERROR(VLOOKUP(--B2792,'CATALOGO CECO'!$A$2:$H$550,5,FALSE),""))</f>
        <v/>
      </c>
      <c r="J2792" s="8">
        <f>IF(B2792="","",IFERROR(VLOOKUP(--B2792,'CATALOGO CECO'!$A$2:$H$550,8,FALSE),""))</f>
        <v/>
      </c>
      <c r="K2792" s="8">
        <f>IF(COUNTA(A2792:F2792)=0,"",IF(OR(LEN(A2792)&lt;&gt;7,MID(A2792,5,1)&lt;&gt;"-",ISERROR(--LEFT(A2792,4)),ISERROR(--RIGHT(A2792,2))),"ERROR: PERIODO debe ser AAAA-MM",IF(B2792="","ERROR: falta CODIGO CECO",IF(G2792="CECO NO EXISTE","ERROR: CECO no existe en el catálogo",IF(C2792="","ERROR: falta CUENTA",IF(ISERROR(--C2792),"ERROR: CUENTA debe tener solo dígitos",IF(ISERROR(FIND(LEFT(C2792,1),"567")),"ERROR: CUENTA fuera de las clases de costo",IF(NOT(ISNUMBER(E2792)),"ERROR: VALOR debe ser numérico",IF(E2792=0,"AVISO: valor cero (no se carga)",IF(J2792&lt;&gt;"ACTIVO","NO SE CARGA: CECO en estado "&amp;J2792,"OK"))))))))))</f>
        <v/>
      </c>
    </row>
    <row r="2793">
      <c r="A2793" s="5" t="n"/>
      <c r="B2793" s="6" t="n"/>
      <c r="C2793" s="5" t="n"/>
      <c r="D2793" s="6" t="n"/>
      <c r="E2793" s="7" t="n"/>
      <c r="F2793" s="6" t="n"/>
      <c r="G2793" s="8">
        <f>IF(B2793="","",IFERROR(VLOOKUP(--B2793,'CATALOGO CECO'!$A$2:$H$550,2,FALSE),"CECO NO EXISTE"))</f>
        <v/>
      </c>
      <c r="H2793" s="8">
        <f>IF(B2793="","",IFERROR(VLOOKUP(--B2793,'CATALOGO CECO'!$A$2:$H$550,3,FALSE),""))</f>
        <v/>
      </c>
      <c r="I2793" s="8">
        <f>IF(B2793="","",IFERROR(VLOOKUP(--B2793,'CATALOGO CECO'!$A$2:$H$550,5,FALSE),""))</f>
        <v/>
      </c>
      <c r="J2793" s="8">
        <f>IF(B2793="","",IFERROR(VLOOKUP(--B2793,'CATALOGO CECO'!$A$2:$H$550,8,FALSE),""))</f>
        <v/>
      </c>
      <c r="K2793" s="8">
        <f>IF(COUNTA(A2793:F2793)=0,"",IF(OR(LEN(A2793)&lt;&gt;7,MID(A2793,5,1)&lt;&gt;"-",ISERROR(--LEFT(A2793,4)),ISERROR(--RIGHT(A2793,2))),"ERROR: PERIODO debe ser AAAA-MM",IF(B2793="","ERROR: falta CODIGO CECO",IF(G2793="CECO NO EXISTE","ERROR: CECO no existe en el catálogo",IF(C2793="","ERROR: falta CUENTA",IF(ISERROR(--C2793),"ERROR: CUENTA debe tener solo dígitos",IF(ISERROR(FIND(LEFT(C2793,1),"567")),"ERROR: CUENTA fuera de las clases de costo",IF(NOT(ISNUMBER(E2793)),"ERROR: VALOR debe ser numérico",IF(E2793=0,"AVISO: valor cero (no se carga)",IF(J2793&lt;&gt;"ACTIVO","NO SE CARGA: CECO en estado "&amp;J2793,"OK"))))))))))</f>
        <v/>
      </c>
    </row>
    <row r="2794">
      <c r="A2794" s="5" t="n"/>
      <c r="B2794" s="6" t="n"/>
      <c r="C2794" s="5" t="n"/>
      <c r="D2794" s="6" t="n"/>
      <c r="E2794" s="7" t="n"/>
      <c r="F2794" s="6" t="n"/>
      <c r="G2794" s="8">
        <f>IF(B2794="","",IFERROR(VLOOKUP(--B2794,'CATALOGO CECO'!$A$2:$H$550,2,FALSE),"CECO NO EXISTE"))</f>
        <v/>
      </c>
      <c r="H2794" s="8">
        <f>IF(B2794="","",IFERROR(VLOOKUP(--B2794,'CATALOGO CECO'!$A$2:$H$550,3,FALSE),""))</f>
        <v/>
      </c>
      <c r="I2794" s="8">
        <f>IF(B2794="","",IFERROR(VLOOKUP(--B2794,'CATALOGO CECO'!$A$2:$H$550,5,FALSE),""))</f>
        <v/>
      </c>
      <c r="J2794" s="8">
        <f>IF(B2794="","",IFERROR(VLOOKUP(--B2794,'CATALOGO CECO'!$A$2:$H$550,8,FALSE),""))</f>
        <v/>
      </c>
      <c r="K2794" s="8">
        <f>IF(COUNTA(A2794:F2794)=0,"",IF(OR(LEN(A2794)&lt;&gt;7,MID(A2794,5,1)&lt;&gt;"-",ISERROR(--LEFT(A2794,4)),ISERROR(--RIGHT(A2794,2))),"ERROR: PERIODO debe ser AAAA-MM",IF(B2794="","ERROR: falta CODIGO CECO",IF(G2794="CECO NO EXISTE","ERROR: CECO no existe en el catálogo",IF(C2794="","ERROR: falta CUENTA",IF(ISERROR(--C2794),"ERROR: CUENTA debe tener solo dígitos",IF(ISERROR(FIND(LEFT(C2794,1),"567")),"ERROR: CUENTA fuera de las clases de costo",IF(NOT(ISNUMBER(E2794)),"ERROR: VALOR debe ser numérico",IF(E2794=0,"AVISO: valor cero (no se carga)",IF(J2794&lt;&gt;"ACTIVO","NO SE CARGA: CECO en estado "&amp;J2794,"OK"))))))))))</f>
        <v/>
      </c>
    </row>
    <row r="2795">
      <c r="A2795" s="5" t="n"/>
      <c r="B2795" s="6" t="n"/>
      <c r="C2795" s="5" t="n"/>
      <c r="D2795" s="6" t="n"/>
      <c r="E2795" s="7" t="n"/>
      <c r="F2795" s="6" t="n"/>
      <c r="G2795" s="8">
        <f>IF(B2795="","",IFERROR(VLOOKUP(--B2795,'CATALOGO CECO'!$A$2:$H$550,2,FALSE),"CECO NO EXISTE"))</f>
        <v/>
      </c>
      <c r="H2795" s="8">
        <f>IF(B2795="","",IFERROR(VLOOKUP(--B2795,'CATALOGO CECO'!$A$2:$H$550,3,FALSE),""))</f>
        <v/>
      </c>
      <c r="I2795" s="8">
        <f>IF(B2795="","",IFERROR(VLOOKUP(--B2795,'CATALOGO CECO'!$A$2:$H$550,5,FALSE),""))</f>
        <v/>
      </c>
      <c r="J2795" s="8">
        <f>IF(B2795="","",IFERROR(VLOOKUP(--B2795,'CATALOGO CECO'!$A$2:$H$550,8,FALSE),""))</f>
        <v/>
      </c>
      <c r="K2795" s="8">
        <f>IF(COUNTA(A2795:F2795)=0,"",IF(OR(LEN(A2795)&lt;&gt;7,MID(A2795,5,1)&lt;&gt;"-",ISERROR(--LEFT(A2795,4)),ISERROR(--RIGHT(A2795,2))),"ERROR: PERIODO debe ser AAAA-MM",IF(B2795="","ERROR: falta CODIGO CECO",IF(G2795="CECO NO EXISTE","ERROR: CECO no existe en el catálogo",IF(C2795="","ERROR: falta CUENTA",IF(ISERROR(--C2795),"ERROR: CUENTA debe tener solo dígitos",IF(ISERROR(FIND(LEFT(C2795,1),"567")),"ERROR: CUENTA fuera de las clases de costo",IF(NOT(ISNUMBER(E2795)),"ERROR: VALOR debe ser numérico",IF(E2795=0,"AVISO: valor cero (no se carga)",IF(J2795&lt;&gt;"ACTIVO","NO SE CARGA: CECO en estado "&amp;J2795,"OK"))))))))))</f>
        <v/>
      </c>
    </row>
    <row r="2796">
      <c r="A2796" s="5" t="n"/>
      <c r="B2796" s="6" t="n"/>
      <c r="C2796" s="5" t="n"/>
      <c r="D2796" s="6" t="n"/>
      <c r="E2796" s="7" t="n"/>
      <c r="F2796" s="6" t="n"/>
      <c r="G2796" s="8">
        <f>IF(B2796="","",IFERROR(VLOOKUP(--B2796,'CATALOGO CECO'!$A$2:$H$550,2,FALSE),"CECO NO EXISTE"))</f>
        <v/>
      </c>
      <c r="H2796" s="8">
        <f>IF(B2796="","",IFERROR(VLOOKUP(--B2796,'CATALOGO CECO'!$A$2:$H$550,3,FALSE),""))</f>
        <v/>
      </c>
      <c r="I2796" s="8">
        <f>IF(B2796="","",IFERROR(VLOOKUP(--B2796,'CATALOGO CECO'!$A$2:$H$550,5,FALSE),""))</f>
        <v/>
      </c>
      <c r="J2796" s="8">
        <f>IF(B2796="","",IFERROR(VLOOKUP(--B2796,'CATALOGO CECO'!$A$2:$H$550,8,FALSE),""))</f>
        <v/>
      </c>
      <c r="K2796" s="8">
        <f>IF(COUNTA(A2796:F2796)=0,"",IF(OR(LEN(A2796)&lt;&gt;7,MID(A2796,5,1)&lt;&gt;"-",ISERROR(--LEFT(A2796,4)),ISERROR(--RIGHT(A2796,2))),"ERROR: PERIODO debe ser AAAA-MM",IF(B2796="","ERROR: falta CODIGO CECO",IF(G2796="CECO NO EXISTE","ERROR: CECO no existe en el catálogo",IF(C2796="","ERROR: falta CUENTA",IF(ISERROR(--C2796),"ERROR: CUENTA debe tener solo dígitos",IF(ISERROR(FIND(LEFT(C2796,1),"567")),"ERROR: CUENTA fuera de las clases de costo",IF(NOT(ISNUMBER(E2796)),"ERROR: VALOR debe ser numérico",IF(E2796=0,"AVISO: valor cero (no se carga)",IF(J2796&lt;&gt;"ACTIVO","NO SE CARGA: CECO en estado "&amp;J2796,"OK"))))))))))</f>
        <v/>
      </c>
    </row>
    <row r="2797">
      <c r="A2797" s="5" t="n"/>
      <c r="B2797" s="6" t="n"/>
      <c r="C2797" s="5" t="n"/>
      <c r="D2797" s="6" t="n"/>
      <c r="E2797" s="7" t="n"/>
      <c r="F2797" s="6" t="n"/>
      <c r="G2797" s="8">
        <f>IF(B2797="","",IFERROR(VLOOKUP(--B2797,'CATALOGO CECO'!$A$2:$H$550,2,FALSE),"CECO NO EXISTE"))</f>
        <v/>
      </c>
      <c r="H2797" s="8">
        <f>IF(B2797="","",IFERROR(VLOOKUP(--B2797,'CATALOGO CECO'!$A$2:$H$550,3,FALSE),""))</f>
        <v/>
      </c>
      <c r="I2797" s="8">
        <f>IF(B2797="","",IFERROR(VLOOKUP(--B2797,'CATALOGO CECO'!$A$2:$H$550,5,FALSE),""))</f>
        <v/>
      </c>
      <c r="J2797" s="8">
        <f>IF(B2797="","",IFERROR(VLOOKUP(--B2797,'CATALOGO CECO'!$A$2:$H$550,8,FALSE),""))</f>
        <v/>
      </c>
      <c r="K2797" s="8">
        <f>IF(COUNTA(A2797:F2797)=0,"",IF(OR(LEN(A2797)&lt;&gt;7,MID(A2797,5,1)&lt;&gt;"-",ISERROR(--LEFT(A2797,4)),ISERROR(--RIGHT(A2797,2))),"ERROR: PERIODO debe ser AAAA-MM",IF(B2797="","ERROR: falta CODIGO CECO",IF(G2797="CECO NO EXISTE","ERROR: CECO no existe en el catálogo",IF(C2797="","ERROR: falta CUENTA",IF(ISERROR(--C2797),"ERROR: CUENTA debe tener solo dígitos",IF(ISERROR(FIND(LEFT(C2797,1),"567")),"ERROR: CUENTA fuera de las clases de costo",IF(NOT(ISNUMBER(E2797)),"ERROR: VALOR debe ser numérico",IF(E2797=0,"AVISO: valor cero (no se carga)",IF(J2797&lt;&gt;"ACTIVO","NO SE CARGA: CECO en estado "&amp;J2797,"OK"))))))))))</f>
        <v/>
      </c>
    </row>
    <row r="2798">
      <c r="A2798" s="5" t="n"/>
      <c r="B2798" s="6" t="n"/>
      <c r="C2798" s="5" t="n"/>
      <c r="D2798" s="6" t="n"/>
      <c r="E2798" s="7" t="n"/>
      <c r="F2798" s="6" t="n"/>
      <c r="G2798" s="8">
        <f>IF(B2798="","",IFERROR(VLOOKUP(--B2798,'CATALOGO CECO'!$A$2:$H$550,2,FALSE),"CECO NO EXISTE"))</f>
        <v/>
      </c>
      <c r="H2798" s="8">
        <f>IF(B2798="","",IFERROR(VLOOKUP(--B2798,'CATALOGO CECO'!$A$2:$H$550,3,FALSE),""))</f>
        <v/>
      </c>
      <c r="I2798" s="8">
        <f>IF(B2798="","",IFERROR(VLOOKUP(--B2798,'CATALOGO CECO'!$A$2:$H$550,5,FALSE),""))</f>
        <v/>
      </c>
      <c r="J2798" s="8">
        <f>IF(B2798="","",IFERROR(VLOOKUP(--B2798,'CATALOGO CECO'!$A$2:$H$550,8,FALSE),""))</f>
        <v/>
      </c>
      <c r="K2798" s="8">
        <f>IF(COUNTA(A2798:F2798)=0,"",IF(OR(LEN(A2798)&lt;&gt;7,MID(A2798,5,1)&lt;&gt;"-",ISERROR(--LEFT(A2798,4)),ISERROR(--RIGHT(A2798,2))),"ERROR: PERIODO debe ser AAAA-MM",IF(B2798="","ERROR: falta CODIGO CECO",IF(G2798="CECO NO EXISTE","ERROR: CECO no existe en el catálogo",IF(C2798="","ERROR: falta CUENTA",IF(ISERROR(--C2798),"ERROR: CUENTA debe tener solo dígitos",IF(ISERROR(FIND(LEFT(C2798,1),"567")),"ERROR: CUENTA fuera de las clases de costo",IF(NOT(ISNUMBER(E2798)),"ERROR: VALOR debe ser numérico",IF(E2798=0,"AVISO: valor cero (no se carga)",IF(J2798&lt;&gt;"ACTIVO","NO SE CARGA: CECO en estado "&amp;J2798,"OK"))))))))))</f>
        <v/>
      </c>
    </row>
    <row r="2799">
      <c r="A2799" s="5" t="n"/>
      <c r="B2799" s="6" t="n"/>
      <c r="C2799" s="5" t="n"/>
      <c r="D2799" s="6" t="n"/>
      <c r="E2799" s="7" t="n"/>
      <c r="F2799" s="6" t="n"/>
      <c r="G2799" s="8">
        <f>IF(B2799="","",IFERROR(VLOOKUP(--B2799,'CATALOGO CECO'!$A$2:$H$550,2,FALSE),"CECO NO EXISTE"))</f>
        <v/>
      </c>
      <c r="H2799" s="8">
        <f>IF(B2799="","",IFERROR(VLOOKUP(--B2799,'CATALOGO CECO'!$A$2:$H$550,3,FALSE),""))</f>
        <v/>
      </c>
      <c r="I2799" s="8">
        <f>IF(B2799="","",IFERROR(VLOOKUP(--B2799,'CATALOGO CECO'!$A$2:$H$550,5,FALSE),""))</f>
        <v/>
      </c>
      <c r="J2799" s="8">
        <f>IF(B2799="","",IFERROR(VLOOKUP(--B2799,'CATALOGO CECO'!$A$2:$H$550,8,FALSE),""))</f>
        <v/>
      </c>
      <c r="K2799" s="8">
        <f>IF(COUNTA(A2799:F2799)=0,"",IF(OR(LEN(A2799)&lt;&gt;7,MID(A2799,5,1)&lt;&gt;"-",ISERROR(--LEFT(A2799,4)),ISERROR(--RIGHT(A2799,2))),"ERROR: PERIODO debe ser AAAA-MM",IF(B2799="","ERROR: falta CODIGO CECO",IF(G2799="CECO NO EXISTE","ERROR: CECO no existe en el catálogo",IF(C2799="","ERROR: falta CUENTA",IF(ISERROR(--C2799),"ERROR: CUENTA debe tener solo dígitos",IF(ISERROR(FIND(LEFT(C2799,1),"567")),"ERROR: CUENTA fuera de las clases de costo",IF(NOT(ISNUMBER(E2799)),"ERROR: VALOR debe ser numérico",IF(E2799=0,"AVISO: valor cero (no se carga)",IF(J2799&lt;&gt;"ACTIVO","NO SE CARGA: CECO en estado "&amp;J2799,"OK"))))))))))</f>
        <v/>
      </c>
    </row>
    <row r="2800">
      <c r="A2800" s="5" t="n"/>
      <c r="B2800" s="6" t="n"/>
      <c r="C2800" s="5" t="n"/>
      <c r="D2800" s="6" t="n"/>
      <c r="E2800" s="7" t="n"/>
      <c r="F2800" s="6" t="n"/>
      <c r="G2800" s="8">
        <f>IF(B2800="","",IFERROR(VLOOKUP(--B2800,'CATALOGO CECO'!$A$2:$H$550,2,FALSE),"CECO NO EXISTE"))</f>
        <v/>
      </c>
      <c r="H2800" s="8">
        <f>IF(B2800="","",IFERROR(VLOOKUP(--B2800,'CATALOGO CECO'!$A$2:$H$550,3,FALSE),""))</f>
        <v/>
      </c>
      <c r="I2800" s="8">
        <f>IF(B2800="","",IFERROR(VLOOKUP(--B2800,'CATALOGO CECO'!$A$2:$H$550,5,FALSE),""))</f>
        <v/>
      </c>
      <c r="J2800" s="8">
        <f>IF(B2800="","",IFERROR(VLOOKUP(--B2800,'CATALOGO CECO'!$A$2:$H$550,8,FALSE),""))</f>
        <v/>
      </c>
      <c r="K2800" s="8">
        <f>IF(COUNTA(A2800:F2800)=0,"",IF(OR(LEN(A2800)&lt;&gt;7,MID(A2800,5,1)&lt;&gt;"-",ISERROR(--LEFT(A2800,4)),ISERROR(--RIGHT(A2800,2))),"ERROR: PERIODO debe ser AAAA-MM",IF(B2800="","ERROR: falta CODIGO CECO",IF(G2800="CECO NO EXISTE","ERROR: CECO no existe en el catálogo",IF(C2800="","ERROR: falta CUENTA",IF(ISERROR(--C2800),"ERROR: CUENTA debe tener solo dígitos",IF(ISERROR(FIND(LEFT(C2800,1),"567")),"ERROR: CUENTA fuera de las clases de costo",IF(NOT(ISNUMBER(E2800)),"ERROR: VALOR debe ser numérico",IF(E2800=0,"AVISO: valor cero (no se carga)",IF(J2800&lt;&gt;"ACTIVO","NO SE CARGA: CECO en estado "&amp;J2800,"OK"))))))))))</f>
        <v/>
      </c>
    </row>
    <row r="2801">
      <c r="A2801" s="5" t="n"/>
      <c r="B2801" s="6" t="n"/>
      <c r="C2801" s="5" t="n"/>
      <c r="D2801" s="6" t="n"/>
      <c r="E2801" s="7" t="n"/>
      <c r="F2801" s="6" t="n"/>
      <c r="G2801" s="8">
        <f>IF(B2801="","",IFERROR(VLOOKUP(--B2801,'CATALOGO CECO'!$A$2:$H$550,2,FALSE),"CECO NO EXISTE"))</f>
        <v/>
      </c>
      <c r="H2801" s="8">
        <f>IF(B2801="","",IFERROR(VLOOKUP(--B2801,'CATALOGO CECO'!$A$2:$H$550,3,FALSE),""))</f>
        <v/>
      </c>
      <c r="I2801" s="8">
        <f>IF(B2801="","",IFERROR(VLOOKUP(--B2801,'CATALOGO CECO'!$A$2:$H$550,5,FALSE),""))</f>
        <v/>
      </c>
      <c r="J2801" s="8">
        <f>IF(B2801="","",IFERROR(VLOOKUP(--B2801,'CATALOGO CECO'!$A$2:$H$550,8,FALSE),""))</f>
        <v/>
      </c>
      <c r="K2801" s="8">
        <f>IF(COUNTA(A2801:F2801)=0,"",IF(OR(LEN(A2801)&lt;&gt;7,MID(A2801,5,1)&lt;&gt;"-",ISERROR(--LEFT(A2801,4)),ISERROR(--RIGHT(A2801,2))),"ERROR: PERIODO debe ser AAAA-MM",IF(B2801="","ERROR: falta CODIGO CECO",IF(G2801="CECO NO EXISTE","ERROR: CECO no existe en el catálogo",IF(C2801="","ERROR: falta CUENTA",IF(ISERROR(--C2801),"ERROR: CUENTA debe tener solo dígitos",IF(ISERROR(FIND(LEFT(C2801,1),"567")),"ERROR: CUENTA fuera de las clases de costo",IF(NOT(ISNUMBER(E2801)),"ERROR: VALOR debe ser numérico",IF(E2801=0,"AVISO: valor cero (no se carga)",IF(J2801&lt;&gt;"ACTIVO","NO SE CARGA: CECO en estado "&amp;J2801,"OK"))))))))))</f>
        <v/>
      </c>
    </row>
    <row r="2802">
      <c r="A2802" s="5" t="n"/>
      <c r="B2802" s="6" t="n"/>
      <c r="C2802" s="5" t="n"/>
      <c r="D2802" s="6" t="n"/>
      <c r="E2802" s="7" t="n"/>
      <c r="F2802" s="6" t="n"/>
      <c r="G2802" s="8">
        <f>IF(B2802="","",IFERROR(VLOOKUP(--B2802,'CATALOGO CECO'!$A$2:$H$550,2,FALSE),"CECO NO EXISTE"))</f>
        <v/>
      </c>
      <c r="H2802" s="8">
        <f>IF(B2802="","",IFERROR(VLOOKUP(--B2802,'CATALOGO CECO'!$A$2:$H$550,3,FALSE),""))</f>
        <v/>
      </c>
      <c r="I2802" s="8">
        <f>IF(B2802="","",IFERROR(VLOOKUP(--B2802,'CATALOGO CECO'!$A$2:$H$550,5,FALSE),""))</f>
        <v/>
      </c>
      <c r="J2802" s="8">
        <f>IF(B2802="","",IFERROR(VLOOKUP(--B2802,'CATALOGO CECO'!$A$2:$H$550,8,FALSE),""))</f>
        <v/>
      </c>
      <c r="K2802" s="8">
        <f>IF(COUNTA(A2802:F2802)=0,"",IF(OR(LEN(A2802)&lt;&gt;7,MID(A2802,5,1)&lt;&gt;"-",ISERROR(--LEFT(A2802,4)),ISERROR(--RIGHT(A2802,2))),"ERROR: PERIODO debe ser AAAA-MM",IF(B2802="","ERROR: falta CODIGO CECO",IF(G2802="CECO NO EXISTE","ERROR: CECO no existe en el catálogo",IF(C2802="","ERROR: falta CUENTA",IF(ISERROR(--C2802),"ERROR: CUENTA debe tener solo dígitos",IF(ISERROR(FIND(LEFT(C2802,1),"567")),"ERROR: CUENTA fuera de las clases de costo",IF(NOT(ISNUMBER(E2802)),"ERROR: VALOR debe ser numérico",IF(E2802=0,"AVISO: valor cero (no se carga)",IF(J2802&lt;&gt;"ACTIVO","NO SE CARGA: CECO en estado "&amp;J2802,"OK"))))))))))</f>
        <v/>
      </c>
    </row>
    <row r="2803">
      <c r="A2803" s="5" t="n"/>
      <c r="B2803" s="6" t="n"/>
      <c r="C2803" s="5" t="n"/>
      <c r="D2803" s="6" t="n"/>
      <c r="E2803" s="7" t="n"/>
      <c r="F2803" s="6" t="n"/>
      <c r="G2803" s="8">
        <f>IF(B2803="","",IFERROR(VLOOKUP(--B2803,'CATALOGO CECO'!$A$2:$H$550,2,FALSE),"CECO NO EXISTE"))</f>
        <v/>
      </c>
      <c r="H2803" s="8">
        <f>IF(B2803="","",IFERROR(VLOOKUP(--B2803,'CATALOGO CECO'!$A$2:$H$550,3,FALSE),""))</f>
        <v/>
      </c>
      <c r="I2803" s="8">
        <f>IF(B2803="","",IFERROR(VLOOKUP(--B2803,'CATALOGO CECO'!$A$2:$H$550,5,FALSE),""))</f>
        <v/>
      </c>
      <c r="J2803" s="8">
        <f>IF(B2803="","",IFERROR(VLOOKUP(--B2803,'CATALOGO CECO'!$A$2:$H$550,8,FALSE),""))</f>
        <v/>
      </c>
      <c r="K2803" s="8">
        <f>IF(COUNTA(A2803:F2803)=0,"",IF(OR(LEN(A2803)&lt;&gt;7,MID(A2803,5,1)&lt;&gt;"-",ISERROR(--LEFT(A2803,4)),ISERROR(--RIGHT(A2803,2))),"ERROR: PERIODO debe ser AAAA-MM",IF(B2803="","ERROR: falta CODIGO CECO",IF(G2803="CECO NO EXISTE","ERROR: CECO no existe en el catálogo",IF(C2803="","ERROR: falta CUENTA",IF(ISERROR(--C2803),"ERROR: CUENTA debe tener solo dígitos",IF(ISERROR(FIND(LEFT(C2803,1),"567")),"ERROR: CUENTA fuera de las clases de costo",IF(NOT(ISNUMBER(E2803)),"ERROR: VALOR debe ser numérico",IF(E2803=0,"AVISO: valor cero (no se carga)",IF(J2803&lt;&gt;"ACTIVO","NO SE CARGA: CECO en estado "&amp;J2803,"OK"))))))))))</f>
        <v/>
      </c>
    </row>
    <row r="2804">
      <c r="A2804" s="5" t="n"/>
      <c r="B2804" s="6" t="n"/>
      <c r="C2804" s="5" t="n"/>
      <c r="D2804" s="6" t="n"/>
      <c r="E2804" s="7" t="n"/>
      <c r="F2804" s="6" t="n"/>
      <c r="G2804" s="8">
        <f>IF(B2804="","",IFERROR(VLOOKUP(--B2804,'CATALOGO CECO'!$A$2:$H$550,2,FALSE),"CECO NO EXISTE"))</f>
        <v/>
      </c>
      <c r="H2804" s="8">
        <f>IF(B2804="","",IFERROR(VLOOKUP(--B2804,'CATALOGO CECO'!$A$2:$H$550,3,FALSE),""))</f>
        <v/>
      </c>
      <c r="I2804" s="8">
        <f>IF(B2804="","",IFERROR(VLOOKUP(--B2804,'CATALOGO CECO'!$A$2:$H$550,5,FALSE),""))</f>
        <v/>
      </c>
      <c r="J2804" s="8">
        <f>IF(B2804="","",IFERROR(VLOOKUP(--B2804,'CATALOGO CECO'!$A$2:$H$550,8,FALSE),""))</f>
        <v/>
      </c>
      <c r="K2804" s="8">
        <f>IF(COUNTA(A2804:F2804)=0,"",IF(OR(LEN(A2804)&lt;&gt;7,MID(A2804,5,1)&lt;&gt;"-",ISERROR(--LEFT(A2804,4)),ISERROR(--RIGHT(A2804,2))),"ERROR: PERIODO debe ser AAAA-MM",IF(B2804="","ERROR: falta CODIGO CECO",IF(G2804="CECO NO EXISTE","ERROR: CECO no existe en el catálogo",IF(C2804="","ERROR: falta CUENTA",IF(ISERROR(--C2804),"ERROR: CUENTA debe tener solo dígitos",IF(ISERROR(FIND(LEFT(C2804,1),"567")),"ERROR: CUENTA fuera de las clases de costo",IF(NOT(ISNUMBER(E2804)),"ERROR: VALOR debe ser numérico",IF(E2804=0,"AVISO: valor cero (no se carga)",IF(J2804&lt;&gt;"ACTIVO","NO SE CARGA: CECO en estado "&amp;J2804,"OK"))))))))))</f>
        <v/>
      </c>
    </row>
    <row r="2805">
      <c r="A2805" s="5" t="n"/>
      <c r="B2805" s="6" t="n"/>
      <c r="C2805" s="5" t="n"/>
      <c r="D2805" s="6" t="n"/>
      <c r="E2805" s="7" t="n"/>
      <c r="F2805" s="6" t="n"/>
      <c r="G2805" s="8">
        <f>IF(B2805="","",IFERROR(VLOOKUP(--B2805,'CATALOGO CECO'!$A$2:$H$550,2,FALSE),"CECO NO EXISTE"))</f>
        <v/>
      </c>
      <c r="H2805" s="8">
        <f>IF(B2805="","",IFERROR(VLOOKUP(--B2805,'CATALOGO CECO'!$A$2:$H$550,3,FALSE),""))</f>
        <v/>
      </c>
      <c r="I2805" s="8">
        <f>IF(B2805="","",IFERROR(VLOOKUP(--B2805,'CATALOGO CECO'!$A$2:$H$550,5,FALSE),""))</f>
        <v/>
      </c>
      <c r="J2805" s="8">
        <f>IF(B2805="","",IFERROR(VLOOKUP(--B2805,'CATALOGO CECO'!$A$2:$H$550,8,FALSE),""))</f>
        <v/>
      </c>
      <c r="K2805" s="8">
        <f>IF(COUNTA(A2805:F2805)=0,"",IF(OR(LEN(A2805)&lt;&gt;7,MID(A2805,5,1)&lt;&gt;"-",ISERROR(--LEFT(A2805,4)),ISERROR(--RIGHT(A2805,2))),"ERROR: PERIODO debe ser AAAA-MM",IF(B2805="","ERROR: falta CODIGO CECO",IF(G2805="CECO NO EXISTE","ERROR: CECO no existe en el catálogo",IF(C2805="","ERROR: falta CUENTA",IF(ISERROR(--C2805),"ERROR: CUENTA debe tener solo dígitos",IF(ISERROR(FIND(LEFT(C2805,1),"567")),"ERROR: CUENTA fuera de las clases de costo",IF(NOT(ISNUMBER(E2805)),"ERROR: VALOR debe ser numérico",IF(E2805=0,"AVISO: valor cero (no se carga)",IF(J2805&lt;&gt;"ACTIVO","NO SE CARGA: CECO en estado "&amp;J2805,"OK"))))))))))</f>
        <v/>
      </c>
    </row>
    <row r="2806">
      <c r="A2806" s="5" t="n"/>
      <c r="B2806" s="6" t="n"/>
      <c r="C2806" s="5" t="n"/>
      <c r="D2806" s="6" t="n"/>
      <c r="E2806" s="7" t="n"/>
      <c r="F2806" s="6" t="n"/>
      <c r="G2806" s="8">
        <f>IF(B2806="","",IFERROR(VLOOKUP(--B2806,'CATALOGO CECO'!$A$2:$H$550,2,FALSE),"CECO NO EXISTE"))</f>
        <v/>
      </c>
      <c r="H2806" s="8">
        <f>IF(B2806="","",IFERROR(VLOOKUP(--B2806,'CATALOGO CECO'!$A$2:$H$550,3,FALSE),""))</f>
        <v/>
      </c>
      <c r="I2806" s="8">
        <f>IF(B2806="","",IFERROR(VLOOKUP(--B2806,'CATALOGO CECO'!$A$2:$H$550,5,FALSE),""))</f>
        <v/>
      </c>
      <c r="J2806" s="8">
        <f>IF(B2806="","",IFERROR(VLOOKUP(--B2806,'CATALOGO CECO'!$A$2:$H$550,8,FALSE),""))</f>
        <v/>
      </c>
      <c r="K2806" s="8">
        <f>IF(COUNTA(A2806:F2806)=0,"",IF(OR(LEN(A2806)&lt;&gt;7,MID(A2806,5,1)&lt;&gt;"-",ISERROR(--LEFT(A2806,4)),ISERROR(--RIGHT(A2806,2))),"ERROR: PERIODO debe ser AAAA-MM",IF(B2806="","ERROR: falta CODIGO CECO",IF(G2806="CECO NO EXISTE","ERROR: CECO no existe en el catálogo",IF(C2806="","ERROR: falta CUENTA",IF(ISERROR(--C2806),"ERROR: CUENTA debe tener solo dígitos",IF(ISERROR(FIND(LEFT(C2806,1),"567")),"ERROR: CUENTA fuera de las clases de costo",IF(NOT(ISNUMBER(E2806)),"ERROR: VALOR debe ser numérico",IF(E2806=0,"AVISO: valor cero (no se carga)",IF(J2806&lt;&gt;"ACTIVO","NO SE CARGA: CECO en estado "&amp;J2806,"OK"))))))))))</f>
        <v/>
      </c>
    </row>
    <row r="2807">
      <c r="A2807" s="5" t="n"/>
      <c r="B2807" s="6" t="n"/>
      <c r="C2807" s="5" t="n"/>
      <c r="D2807" s="6" t="n"/>
      <c r="E2807" s="7" t="n"/>
      <c r="F2807" s="6" t="n"/>
      <c r="G2807" s="8">
        <f>IF(B2807="","",IFERROR(VLOOKUP(--B2807,'CATALOGO CECO'!$A$2:$H$550,2,FALSE),"CECO NO EXISTE"))</f>
        <v/>
      </c>
      <c r="H2807" s="8">
        <f>IF(B2807="","",IFERROR(VLOOKUP(--B2807,'CATALOGO CECO'!$A$2:$H$550,3,FALSE),""))</f>
        <v/>
      </c>
      <c r="I2807" s="8">
        <f>IF(B2807="","",IFERROR(VLOOKUP(--B2807,'CATALOGO CECO'!$A$2:$H$550,5,FALSE),""))</f>
        <v/>
      </c>
      <c r="J2807" s="8">
        <f>IF(B2807="","",IFERROR(VLOOKUP(--B2807,'CATALOGO CECO'!$A$2:$H$550,8,FALSE),""))</f>
        <v/>
      </c>
      <c r="K2807" s="8">
        <f>IF(COUNTA(A2807:F2807)=0,"",IF(OR(LEN(A2807)&lt;&gt;7,MID(A2807,5,1)&lt;&gt;"-",ISERROR(--LEFT(A2807,4)),ISERROR(--RIGHT(A2807,2))),"ERROR: PERIODO debe ser AAAA-MM",IF(B2807="","ERROR: falta CODIGO CECO",IF(G2807="CECO NO EXISTE","ERROR: CECO no existe en el catálogo",IF(C2807="","ERROR: falta CUENTA",IF(ISERROR(--C2807),"ERROR: CUENTA debe tener solo dígitos",IF(ISERROR(FIND(LEFT(C2807,1),"567")),"ERROR: CUENTA fuera de las clases de costo",IF(NOT(ISNUMBER(E2807)),"ERROR: VALOR debe ser numérico",IF(E2807=0,"AVISO: valor cero (no se carga)",IF(J2807&lt;&gt;"ACTIVO","NO SE CARGA: CECO en estado "&amp;J2807,"OK"))))))))))</f>
        <v/>
      </c>
    </row>
    <row r="2808">
      <c r="A2808" s="5" t="n"/>
      <c r="B2808" s="6" t="n"/>
      <c r="C2808" s="5" t="n"/>
      <c r="D2808" s="6" t="n"/>
      <c r="E2808" s="7" t="n"/>
      <c r="F2808" s="6" t="n"/>
      <c r="G2808" s="8">
        <f>IF(B2808="","",IFERROR(VLOOKUP(--B2808,'CATALOGO CECO'!$A$2:$H$550,2,FALSE),"CECO NO EXISTE"))</f>
        <v/>
      </c>
      <c r="H2808" s="8">
        <f>IF(B2808="","",IFERROR(VLOOKUP(--B2808,'CATALOGO CECO'!$A$2:$H$550,3,FALSE),""))</f>
        <v/>
      </c>
      <c r="I2808" s="8">
        <f>IF(B2808="","",IFERROR(VLOOKUP(--B2808,'CATALOGO CECO'!$A$2:$H$550,5,FALSE),""))</f>
        <v/>
      </c>
      <c r="J2808" s="8">
        <f>IF(B2808="","",IFERROR(VLOOKUP(--B2808,'CATALOGO CECO'!$A$2:$H$550,8,FALSE),""))</f>
        <v/>
      </c>
      <c r="K2808" s="8">
        <f>IF(COUNTA(A2808:F2808)=0,"",IF(OR(LEN(A2808)&lt;&gt;7,MID(A2808,5,1)&lt;&gt;"-",ISERROR(--LEFT(A2808,4)),ISERROR(--RIGHT(A2808,2))),"ERROR: PERIODO debe ser AAAA-MM",IF(B2808="","ERROR: falta CODIGO CECO",IF(G2808="CECO NO EXISTE","ERROR: CECO no existe en el catálogo",IF(C2808="","ERROR: falta CUENTA",IF(ISERROR(--C2808),"ERROR: CUENTA debe tener solo dígitos",IF(ISERROR(FIND(LEFT(C2808,1),"567")),"ERROR: CUENTA fuera de las clases de costo",IF(NOT(ISNUMBER(E2808)),"ERROR: VALOR debe ser numérico",IF(E2808=0,"AVISO: valor cero (no se carga)",IF(J2808&lt;&gt;"ACTIVO","NO SE CARGA: CECO en estado "&amp;J2808,"OK"))))))))))</f>
        <v/>
      </c>
    </row>
    <row r="2809">
      <c r="A2809" s="5" t="n"/>
      <c r="B2809" s="6" t="n"/>
      <c r="C2809" s="5" t="n"/>
      <c r="D2809" s="6" t="n"/>
      <c r="E2809" s="7" t="n"/>
      <c r="F2809" s="6" t="n"/>
      <c r="G2809" s="8">
        <f>IF(B2809="","",IFERROR(VLOOKUP(--B2809,'CATALOGO CECO'!$A$2:$H$550,2,FALSE),"CECO NO EXISTE"))</f>
        <v/>
      </c>
      <c r="H2809" s="8">
        <f>IF(B2809="","",IFERROR(VLOOKUP(--B2809,'CATALOGO CECO'!$A$2:$H$550,3,FALSE),""))</f>
        <v/>
      </c>
      <c r="I2809" s="8">
        <f>IF(B2809="","",IFERROR(VLOOKUP(--B2809,'CATALOGO CECO'!$A$2:$H$550,5,FALSE),""))</f>
        <v/>
      </c>
      <c r="J2809" s="8">
        <f>IF(B2809="","",IFERROR(VLOOKUP(--B2809,'CATALOGO CECO'!$A$2:$H$550,8,FALSE),""))</f>
        <v/>
      </c>
      <c r="K2809" s="8">
        <f>IF(COUNTA(A2809:F2809)=0,"",IF(OR(LEN(A2809)&lt;&gt;7,MID(A2809,5,1)&lt;&gt;"-",ISERROR(--LEFT(A2809,4)),ISERROR(--RIGHT(A2809,2))),"ERROR: PERIODO debe ser AAAA-MM",IF(B2809="","ERROR: falta CODIGO CECO",IF(G2809="CECO NO EXISTE","ERROR: CECO no existe en el catálogo",IF(C2809="","ERROR: falta CUENTA",IF(ISERROR(--C2809),"ERROR: CUENTA debe tener solo dígitos",IF(ISERROR(FIND(LEFT(C2809,1),"567")),"ERROR: CUENTA fuera de las clases de costo",IF(NOT(ISNUMBER(E2809)),"ERROR: VALOR debe ser numérico",IF(E2809=0,"AVISO: valor cero (no se carga)",IF(J2809&lt;&gt;"ACTIVO","NO SE CARGA: CECO en estado "&amp;J2809,"OK"))))))))))</f>
        <v/>
      </c>
    </row>
    <row r="2810">
      <c r="A2810" s="5" t="n"/>
      <c r="B2810" s="6" t="n"/>
      <c r="C2810" s="5" t="n"/>
      <c r="D2810" s="6" t="n"/>
      <c r="E2810" s="7" t="n"/>
      <c r="F2810" s="6" t="n"/>
      <c r="G2810" s="8">
        <f>IF(B2810="","",IFERROR(VLOOKUP(--B2810,'CATALOGO CECO'!$A$2:$H$550,2,FALSE),"CECO NO EXISTE"))</f>
        <v/>
      </c>
      <c r="H2810" s="8">
        <f>IF(B2810="","",IFERROR(VLOOKUP(--B2810,'CATALOGO CECO'!$A$2:$H$550,3,FALSE),""))</f>
        <v/>
      </c>
      <c r="I2810" s="8">
        <f>IF(B2810="","",IFERROR(VLOOKUP(--B2810,'CATALOGO CECO'!$A$2:$H$550,5,FALSE),""))</f>
        <v/>
      </c>
      <c r="J2810" s="8">
        <f>IF(B2810="","",IFERROR(VLOOKUP(--B2810,'CATALOGO CECO'!$A$2:$H$550,8,FALSE),""))</f>
        <v/>
      </c>
      <c r="K2810" s="8">
        <f>IF(COUNTA(A2810:F2810)=0,"",IF(OR(LEN(A2810)&lt;&gt;7,MID(A2810,5,1)&lt;&gt;"-",ISERROR(--LEFT(A2810,4)),ISERROR(--RIGHT(A2810,2))),"ERROR: PERIODO debe ser AAAA-MM",IF(B2810="","ERROR: falta CODIGO CECO",IF(G2810="CECO NO EXISTE","ERROR: CECO no existe en el catálogo",IF(C2810="","ERROR: falta CUENTA",IF(ISERROR(--C2810),"ERROR: CUENTA debe tener solo dígitos",IF(ISERROR(FIND(LEFT(C2810,1),"567")),"ERROR: CUENTA fuera de las clases de costo",IF(NOT(ISNUMBER(E2810)),"ERROR: VALOR debe ser numérico",IF(E2810=0,"AVISO: valor cero (no se carga)",IF(J2810&lt;&gt;"ACTIVO","NO SE CARGA: CECO en estado "&amp;J2810,"OK"))))))))))</f>
        <v/>
      </c>
    </row>
    <row r="2811">
      <c r="A2811" s="5" t="n"/>
      <c r="B2811" s="6" t="n"/>
      <c r="C2811" s="5" t="n"/>
      <c r="D2811" s="6" t="n"/>
      <c r="E2811" s="7" t="n"/>
      <c r="F2811" s="6" t="n"/>
      <c r="G2811" s="8">
        <f>IF(B2811="","",IFERROR(VLOOKUP(--B2811,'CATALOGO CECO'!$A$2:$H$550,2,FALSE),"CECO NO EXISTE"))</f>
        <v/>
      </c>
      <c r="H2811" s="8">
        <f>IF(B2811="","",IFERROR(VLOOKUP(--B2811,'CATALOGO CECO'!$A$2:$H$550,3,FALSE),""))</f>
        <v/>
      </c>
      <c r="I2811" s="8">
        <f>IF(B2811="","",IFERROR(VLOOKUP(--B2811,'CATALOGO CECO'!$A$2:$H$550,5,FALSE),""))</f>
        <v/>
      </c>
      <c r="J2811" s="8">
        <f>IF(B2811="","",IFERROR(VLOOKUP(--B2811,'CATALOGO CECO'!$A$2:$H$550,8,FALSE),""))</f>
        <v/>
      </c>
      <c r="K2811" s="8">
        <f>IF(COUNTA(A2811:F2811)=0,"",IF(OR(LEN(A2811)&lt;&gt;7,MID(A2811,5,1)&lt;&gt;"-",ISERROR(--LEFT(A2811,4)),ISERROR(--RIGHT(A2811,2))),"ERROR: PERIODO debe ser AAAA-MM",IF(B2811="","ERROR: falta CODIGO CECO",IF(G2811="CECO NO EXISTE","ERROR: CECO no existe en el catálogo",IF(C2811="","ERROR: falta CUENTA",IF(ISERROR(--C2811),"ERROR: CUENTA debe tener solo dígitos",IF(ISERROR(FIND(LEFT(C2811,1),"567")),"ERROR: CUENTA fuera de las clases de costo",IF(NOT(ISNUMBER(E2811)),"ERROR: VALOR debe ser numérico",IF(E2811=0,"AVISO: valor cero (no se carga)",IF(J2811&lt;&gt;"ACTIVO","NO SE CARGA: CECO en estado "&amp;J2811,"OK"))))))))))</f>
        <v/>
      </c>
    </row>
    <row r="2812">
      <c r="A2812" s="5" t="n"/>
      <c r="B2812" s="6" t="n"/>
      <c r="C2812" s="5" t="n"/>
      <c r="D2812" s="6" t="n"/>
      <c r="E2812" s="7" t="n"/>
      <c r="F2812" s="6" t="n"/>
      <c r="G2812" s="8">
        <f>IF(B2812="","",IFERROR(VLOOKUP(--B2812,'CATALOGO CECO'!$A$2:$H$550,2,FALSE),"CECO NO EXISTE"))</f>
        <v/>
      </c>
      <c r="H2812" s="8">
        <f>IF(B2812="","",IFERROR(VLOOKUP(--B2812,'CATALOGO CECO'!$A$2:$H$550,3,FALSE),""))</f>
        <v/>
      </c>
      <c r="I2812" s="8">
        <f>IF(B2812="","",IFERROR(VLOOKUP(--B2812,'CATALOGO CECO'!$A$2:$H$550,5,FALSE),""))</f>
        <v/>
      </c>
      <c r="J2812" s="8">
        <f>IF(B2812="","",IFERROR(VLOOKUP(--B2812,'CATALOGO CECO'!$A$2:$H$550,8,FALSE),""))</f>
        <v/>
      </c>
      <c r="K2812" s="8">
        <f>IF(COUNTA(A2812:F2812)=0,"",IF(OR(LEN(A2812)&lt;&gt;7,MID(A2812,5,1)&lt;&gt;"-",ISERROR(--LEFT(A2812,4)),ISERROR(--RIGHT(A2812,2))),"ERROR: PERIODO debe ser AAAA-MM",IF(B2812="","ERROR: falta CODIGO CECO",IF(G2812="CECO NO EXISTE","ERROR: CECO no existe en el catálogo",IF(C2812="","ERROR: falta CUENTA",IF(ISERROR(--C2812),"ERROR: CUENTA debe tener solo dígitos",IF(ISERROR(FIND(LEFT(C2812,1),"567")),"ERROR: CUENTA fuera de las clases de costo",IF(NOT(ISNUMBER(E2812)),"ERROR: VALOR debe ser numérico",IF(E2812=0,"AVISO: valor cero (no se carga)",IF(J2812&lt;&gt;"ACTIVO","NO SE CARGA: CECO en estado "&amp;J2812,"OK"))))))))))</f>
        <v/>
      </c>
    </row>
    <row r="2813">
      <c r="A2813" s="5" t="n"/>
      <c r="B2813" s="6" t="n"/>
      <c r="C2813" s="5" t="n"/>
      <c r="D2813" s="6" t="n"/>
      <c r="E2813" s="7" t="n"/>
      <c r="F2813" s="6" t="n"/>
      <c r="G2813" s="8">
        <f>IF(B2813="","",IFERROR(VLOOKUP(--B2813,'CATALOGO CECO'!$A$2:$H$550,2,FALSE),"CECO NO EXISTE"))</f>
        <v/>
      </c>
      <c r="H2813" s="8">
        <f>IF(B2813="","",IFERROR(VLOOKUP(--B2813,'CATALOGO CECO'!$A$2:$H$550,3,FALSE),""))</f>
        <v/>
      </c>
      <c r="I2813" s="8">
        <f>IF(B2813="","",IFERROR(VLOOKUP(--B2813,'CATALOGO CECO'!$A$2:$H$550,5,FALSE),""))</f>
        <v/>
      </c>
      <c r="J2813" s="8">
        <f>IF(B2813="","",IFERROR(VLOOKUP(--B2813,'CATALOGO CECO'!$A$2:$H$550,8,FALSE),""))</f>
        <v/>
      </c>
      <c r="K2813" s="8">
        <f>IF(COUNTA(A2813:F2813)=0,"",IF(OR(LEN(A2813)&lt;&gt;7,MID(A2813,5,1)&lt;&gt;"-",ISERROR(--LEFT(A2813,4)),ISERROR(--RIGHT(A2813,2))),"ERROR: PERIODO debe ser AAAA-MM",IF(B2813="","ERROR: falta CODIGO CECO",IF(G2813="CECO NO EXISTE","ERROR: CECO no existe en el catálogo",IF(C2813="","ERROR: falta CUENTA",IF(ISERROR(--C2813),"ERROR: CUENTA debe tener solo dígitos",IF(ISERROR(FIND(LEFT(C2813,1),"567")),"ERROR: CUENTA fuera de las clases de costo",IF(NOT(ISNUMBER(E2813)),"ERROR: VALOR debe ser numérico",IF(E2813=0,"AVISO: valor cero (no se carga)",IF(J2813&lt;&gt;"ACTIVO","NO SE CARGA: CECO en estado "&amp;J2813,"OK"))))))))))</f>
        <v/>
      </c>
    </row>
    <row r="2814">
      <c r="A2814" s="5" t="n"/>
      <c r="B2814" s="6" t="n"/>
      <c r="C2814" s="5" t="n"/>
      <c r="D2814" s="6" t="n"/>
      <c r="E2814" s="7" t="n"/>
      <c r="F2814" s="6" t="n"/>
      <c r="G2814" s="8">
        <f>IF(B2814="","",IFERROR(VLOOKUP(--B2814,'CATALOGO CECO'!$A$2:$H$550,2,FALSE),"CECO NO EXISTE"))</f>
        <v/>
      </c>
      <c r="H2814" s="8">
        <f>IF(B2814="","",IFERROR(VLOOKUP(--B2814,'CATALOGO CECO'!$A$2:$H$550,3,FALSE),""))</f>
        <v/>
      </c>
      <c r="I2814" s="8">
        <f>IF(B2814="","",IFERROR(VLOOKUP(--B2814,'CATALOGO CECO'!$A$2:$H$550,5,FALSE),""))</f>
        <v/>
      </c>
      <c r="J2814" s="8">
        <f>IF(B2814="","",IFERROR(VLOOKUP(--B2814,'CATALOGO CECO'!$A$2:$H$550,8,FALSE),""))</f>
        <v/>
      </c>
      <c r="K2814" s="8">
        <f>IF(COUNTA(A2814:F2814)=0,"",IF(OR(LEN(A2814)&lt;&gt;7,MID(A2814,5,1)&lt;&gt;"-",ISERROR(--LEFT(A2814,4)),ISERROR(--RIGHT(A2814,2))),"ERROR: PERIODO debe ser AAAA-MM",IF(B2814="","ERROR: falta CODIGO CECO",IF(G2814="CECO NO EXISTE","ERROR: CECO no existe en el catálogo",IF(C2814="","ERROR: falta CUENTA",IF(ISERROR(--C2814),"ERROR: CUENTA debe tener solo dígitos",IF(ISERROR(FIND(LEFT(C2814,1),"567")),"ERROR: CUENTA fuera de las clases de costo",IF(NOT(ISNUMBER(E2814)),"ERROR: VALOR debe ser numérico",IF(E2814=0,"AVISO: valor cero (no se carga)",IF(J2814&lt;&gt;"ACTIVO","NO SE CARGA: CECO en estado "&amp;J2814,"OK"))))))))))</f>
        <v/>
      </c>
    </row>
    <row r="2815">
      <c r="A2815" s="5" t="n"/>
      <c r="B2815" s="6" t="n"/>
      <c r="C2815" s="5" t="n"/>
      <c r="D2815" s="6" t="n"/>
      <c r="E2815" s="7" t="n"/>
      <c r="F2815" s="6" t="n"/>
      <c r="G2815" s="8">
        <f>IF(B2815="","",IFERROR(VLOOKUP(--B2815,'CATALOGO CECO'!$A$2:$H$550,2,FALSE),"CECO NO EXISTE"))</f>
        <v/>
      </c>
      <c r="H2815" s="8">
        <f>IF(B2815="","",IFERROR(VLOOKUP(--B2815,'CATALOGO CECO'!$A$2:$H$550,3,FALSE),""))</f>
        <v/>
      </c>
      <c r="I2815" s="8">
        <f>IF(B2815="","",IFERROR(VLOOKUP(--B2815,'CATALOGO CECO'!$A$2:$H$550,5,FALSE),""))</f>
        <v/>
      </c>
      <c r="J2815" s="8">
        <f>IF(B2815="","",IFERROR(VLOOKUP(--B2815,'CATALOGO CECO'!$A$2:$H$550,8,FALSE),""))</f>
        <v/>
      </c>
      <c r="K2815" s="8">
        <f>IF(COUNTA(A2815:F2815)=0,"",IF(OR(LEN(A2815)&lt;&gt;7,MID(A2815,5,1)&lt;&gt;"-",ISERROR(--LEFT(A2815,4)),ISERROR(--RIGHT(A2815,2))),"ERROR: PERIODO debe ser AAAA-MM",IF(B2815="","ERROR: falta CODIGO CECO",IF(G2815="CECO NO EXISTE","ERROR: CECO no existe en el catálogo",IF(C2815="","ERROR: falta CUENTA",IF(ISERROR(--C2815),"ERROR: CUENTA debe tener solo dígitos",IF(ISERROR(FIND(LEFT(C2815,1),"567")),"ERROR: CUENTA fuera de las clases de costo",IF(NOT(ISNUMBER(E2815)),"ERROR: VALOR debe ser numérico",IF(E2815=0,"AVISO: valor cero (no se carga)",IF(J2815&lt;&gt;"ACTIVO","NO SE CARGA: CECO en estado "&amp;J2815,"OK"))))))))))</f>
        <v/>
      </c>
    </row>
    <row r="2816">
      <c r="A2816" s="5" t="n"/>
      <c r="B2816" s="6" t="n"/>
      <c r="C2816" s="5" t="n"/>
      <c r="D2816" s="6" t="n"/>
      <c r="E2816" s="7" t="n"/>
      <c r="F2816" s="6" t="n"/>
      <c r="G2816" s="8">
        <f>IF(B2816="","",IFERROR(VLOOKUP(--B2816,'CATALOGO CECO'!$A$2:$H$550,2,FALSE),"CECO NO EXISTE"))</f>
        <v/>
      </c>
      <c r="H2816" s="8">
        <f>IF(B2816="","",IFERROR(VLOOKUP(--B2816,'CATALOGO CECO'!$A$2:$H$550,3,FALSE),""))</f>
        <v/>
      </c>
      <c r="I2816" s="8">
        <f>IF(B2816="","",IFERROR(VLOOKUP(--B2816,'CATALOGO CECO'!$A$2:$H$550,5,FALSE),""))</f>
        <v/>
      </c>
      <c r="J2816" s="8">
        <f>IF(B2816="","",IFERROR(VLOOKUP(--B2816,'CATALOGO CECO'!$A$2:$H$550,8,FALSE),""))</f>
        <v/>
      </c>
      <c r="K2816" s="8">
        <f>IF(COUNTA(A2816:F2816)=0,"",IF(OR(LEN(A2816)&lt;&gt;7,MID(A2816,5,1)&lt;&gt;"-",ISERROR(--LEFT(A2816,4)),ISERROR(--RIGHT(A2816,2))),"ERROR: PERIODO debe ser AAAA-MM",IF(B2816="","ERROR: falta CODIGO CECO",IF(G2816="CECO NO EXISTE","ERROR: CECO no existe en el catálogo",IF(C2816="","ERROR: falta CUENTA",IF(ISERROR(--C2816),"ERROR: CUENTA debe tener solo dígitos",IF(ISERROR(FIND(LEFT(C2816,1),"567")),"ERROR: CUENTA fuera de las clases de costo",IF(NOT(ISNUMBER(E2816)),"ERROR: VALOR debe ser numérico",IF(E2816=0,"AVISO: valor cero (no se carga)",IF(J2816&lt;&gt;"ACTIVO","NO SE CARGA: CECO en estado "&amp;J2816,"OK"))))))))))</f>
        <v/>
      </c>
    </row>
    <row r="2817">
      <c r="A2817" s="5" t="n"/>
      <c r="B2817" s="6" t="n"/>
      <c r="C2817" s="5" t="n"/>
      <c r="D2817" s="6" t="n"/>
      <c r="E2817" s="7" t="n"/>
      <c r="F2817" s="6" t="n"/>
      <c r="G2817" s="8">
        <f>IF(B2817="","",IFERROR(VLOOKUP(--B2817,'CATALOGO CECO'!$A$2:$H$550,2,FALSE),"CECO NO EXISTE"))</f>
        <v/>
      </c>
      <c r="H2817" s="8">
        <f>IF(B2817="","",IFERROR(VLOOKUP(--B2817,'CATALOGO CECO'!$A$2:$H$550,3,FALSE),""))</f>
        <v/>
      </c>
      <c r="I2817" s="8">
        <f>IF(B2817="","",IFERROR(VLOOKUP(--B2817,'CATALOGO CECO'!$A$2:$H$550,5,FALSE),""))</f>
        <v/>
      </c>
      <c r="J2817" s="8">
        <f>IF(B2817="","",IFERROR(VLOOKUP(--B2817,'CATALOGO CECO'!$A$2:$H$550,8,FALSE),""))</f>
        <v/>
      </c>
      <c r="K2817" s="8">
        <f>IF(COUNTA(A2817:F2817)=0,"",IF(OR(LEN(A2817)&lt;&gt;7,MID(A2817,5,1)&lt;&gt;"-",ISERROR(--LEFT(A2817,4)),ISERROR(--RIGHT(A2817,2))),"ERROR: PERIODO debe ser AAAA-MM",IF(B2817="","ERROR: falta CODIGO CECO",IF(G2817="CECO NO EXISTE","ERROR: CECO no existe en el catálogo",IF(C2817="","ERROR: falta CUENTA",IF(ISERROR(--C2817),"ERROR: CUENTA debe tener solo dígitos",IF(ISERROR(FIND(LEFT(C2817,1),"567")),"ERROR: CUENTA fuera de las clases de costo",IF(NOT(ISNUMBER(E2817)),"ERROR: VALOR debe ser numérico",IF(E2817=0,"AVISO: valor cero (no se carga)",IF(J2817&lt;&gt;"ACTIVO","NO SE CARGA: CECO en estado "&amp;J2817,"OK"))))))))))</f>
        <v/>
      </c>
    </row>
    <row r="2818">
      <c r="A2818" s="5" t="n"/>
      <c r="B2818" s="6" t="n"/>
      <c r="C2818" s="5" t="n"/>
      <c r="D2818" s="6" t="n"/>
      <c r="E2818" s="7" t="n"/>
      <c r="F2818" s="6" t="n"/>
      <c r="G2818" s="8">
        <f>IF(B2818="","",IFERROR(VLOOKUP(--B2818,'CATALOGO CECO'!$A$2:$H$550,2,FALSE),"CECO NO EXISTE"))</f>
        <v/>
      </c>
      <c r="H2818" s="8">
        <f>IF(B2818="","",IFERROR(VLOOKUP(--B2818,'CATALOGO CECO'!$A$2:$H$550,3,FALSE),""))</f>
        <v/>
      </c>
      <c r="I2818" s="8">
        <f>IF(B2818="","",IFERROR(VLOOKUP(--B2818,'CATALOGO CECO'!$A$2:$H$550,5,FALSE),""))</f>
        <v/>
      </c>
      <c r="J2818" s="8">
        <f>IF(B2818="","",IFERROR(VLOOKUP(--B2818,'CATALOGO CECO'!$A$2:$H$550,8,FALSE),""))</f>
        <v/>
      </c>
      <c r="K2818" s="8">
        <f>IF(COUNTA(A2818:F2818)=0,"",IF(OR(LEN(A2818)&lt;&gt;7,MID(A2818,5,1)&lt;&gt;"-",ISERROR(--LEFT(A2818,4)),ISERROR(--RIGHT(A2818,2))),"ERROR: PERIODO debe ser AAAA-MM",IF(B2818="","ERROR: falta CODIGO CECO",IF(G2818="CECO NO EXISTE","ERROR: CECO no existe en el catálogo",IF(C2818="","ERROR: falta CUENTA",IF(ISERROR(--C2818),"ERROR: CUENTA debe tener solo dígitos",IF(ISERROR(FIND(LEFT(C2818,1),"567")),"ERROR: CUENTA fuera de las clases de costo",IF(NOT(ISNUMBER(E2818)),"ERROR: VALOR debe ser numérico",IF(E2818=0,"AVISO: valor cero (no se carga)",IF(J2818&lt;&gt;"ACTIVO","NO SE CARGA: CECO en estado "&amp;J2818,"OK"))))))))))</f>
        <v/>
      </c>
    </row>
    <row r="2819">
      <c r="A2819" s="5" t="n"/>
      <c r="B2819" s="6" t="n"/>
      <c r="C2819" s="5" t="n"/>
      <c r="D2819" s="6" t="n"/>
      <c r="E2819" s="7" t="n"/>
      <c r="F2819" s="6" t="n"/>
      <c r="G2819" s="8">
        <f>IF(B2819="","",IFERROR(VLOOKUP(--B2819,'CATALOGO CECO'!$A$2:$H$550,2,FALSE),"CECO NO EXISTE"))</f>
        <v/>
      </c>
      <c r="H2819" s="8">
        <f>IF(B2819="","",IFERROR(VLOOKUP(--B2819,'CATALOGO CECO'!$A$2:$H$550,3,FALSE),""))</f>
        <v/>
      </c>
      <c r="I2819" s="8">
        <f>IF(B2819="","",IFERROR(VLOOKUP(--B2819,'CATALOGO CECO'!$A$2:$H$550,5,FALSE),""))</f>
        <v/>
      </c>
      <c r="J2819" s="8">
        <f>IF(B2819="","",IFERROR(VLOOKUP(--B2819,'CATALOGO CECO'!$A$2:$H$550,8,FALSE),""))</f>
        <v/>
      </c>
      <c r="K2819" s="8">
        <f>IF(COUNTA(A2819:F2819)=0,"",IF(OR(LEN(A2819)&lt;&gt;7,MID(A2819,5,1)&lt;&gt;"-",ISERROR(--LEFT(A2819,4)),ISERROR(--RIGHT(A2819,2))),"ERROR: PERIODO debe ser AAAA-MM",IF(B2819="","ERROR: falta CODIGO CECO",IF(G2819="CECO NO EXISTE","ERROR: CECO no existe en el catálogo",IF(C2819="","ERROR: falta CUENTA",IF(ISERROR(--C2819),"ERROR: CUENTA debe tener solo dígitos",IF(ISERROR(FIND(LEFT(C2819,1),"567")),"ERROR: CUENTA fuera de las clases de costo",IF(NOT(ISNUMBER(E2819)),"ERROR: VALOR debe ser numérico",IF(E2819=0,"AVISO: valor cero (no se carga)",IF(J2819&lt;&gt;"ACTIVO","NO SE CARGA: CECO en estado "&amp;J2819,"OK"))))))))))</f>
        <v/>
      </c>
    </row>
    <row r="2820">
      <c r="A2820" s="5" t="n"/>
      <c r="B2820" s="6" t="n"/>
      <c r="C2820" s="5" t="n"/>
      <c r="D2820" s="6" t="n"/>
      <c r="E2820" s="7" t="n"/>
      <c r="F2820" s="6" t="n"/>
      <c r="G2820" s="8">
        <f>IF(B2820="","",IFERROR(VLOOKUP(--B2820,'CATALOGO CECO'!$A$2:$H$550,2,FALSE),"CECO NO EXISTE"))</f>
        <v/>
      </c>
      <c r="H2820" s="8">
        <f>IF(B2820="","",IFERROR(VLOOKUP(--B2820,'CATALOGO CECO'!$A$2:$H$550,3,FALSE),""))</f>
        <v/>
      </c>
      <c r="I2820" s="8">
        <f>IF(B2820="","",IFERROR(VLOOKUP(--B2820,'CATALOGO CECO'!$A$2:$H$550,5,FALSE),""))</f>
        <v/>
      </c>
      <c r="J2820" s="8">
        <f>IF(B2820="","",IFERROR(VLOOKUP(--B2820,'CATALOGO CECO'!$A$2:$H$550,8,FALSE),""))</f>
        <v/>
      </c>
      <c r="K2820" s="8">
        <f>IF(COUNTA(A2820:F2820)=0,"",IF(OR(LEN(A2820)&lt;&gt;7,MID(A2820,5,1)&lt;&gt;"-",ISERROR(--LEFT(A2820,4)),ISERROR(--RIGHT(A2820,2))),"ERROR: PERIODO debe ser AAAA-MM",IF(B2820="","ERROR: falta CODIGO CECO",IF(G2820="CECO NO EXISTE","ERROR: CECO no existe en el catálogo",IF(C2820="","ERROR: falta CUENTA",IF(ISERROR(--C2820),"ERROR: CUENTA debe tener solo dígitos",IF(ISERROR(FIND(LEFT(C2820,1),"567")),"ERROR: CUENTA fuera de las clases de costo",IF(NOT(ISNUMBER(E2820)),"ERROR: VALOR debe ser numérico",IF(E2820=0,"AVISO: valor cero (no se carga)",IF(J2820&lt;&gt;"ACTIVO","NO SE CARGA: CECO en estado "&amp;J2820,"OK"))))))))))</f>
        <v/>
      </c>
    </row>
    <row r="2821">
      <c r="A2821" s="5" t="n"/>
      <c r="B2821" s="6" t="n"/>
      <c r="C2821" s="5" t="n"/>
      <c r="D2821" s="6" t="n"/>
      <c r="E2821" s="7" t="n"/>
      <c r="F2821" s="6" t="n"/>
      <c r="G2821" s="8">
        <f>IF(B2821="","",IFERROR(VLOOKUP(--B2821,'CATALOGO CECO'!$A$2:$H$550,2,FALSE),"CECO NO EXISTE"))</f>
        <v/>
      </c>
      <c r="H2821" s="8">
        <f>IF(B2821="","",IFERROR(VLOOKUP(--B2821,'CATALOGO CECO'!$A$2:$H$550,3,FALSE),""))</f>
        <v/>
      </c>
      <c r="I2821" s="8">
        <f>IF(B2821="","",IFERROR(VLOOKUP(--B2821,'CATALOGO CECO'!$A$2:$H$550,5,FALSE),""))</f>
        <v/>
      </c>
      <c r="J2821" s="8">
        <f>IF(B2821="","",IFERROR(VLOOKUP(--B2821,'CATALOGO CECO'!$A$2:$H$550,8,FALSE),""))</f>
        <v/>
      </c>
      <c r="K2821" s="8">
        <f>IF(COUNTA(A2821:F2821)=0,"",IF(OR(LEN(A2821)&lt;&gt;7,MID(A2821,5,1)&lt;&gt;"-",ISERROR(--LEFT(A2821,4)),ISERROR(--RIGHT(A2821,2))),"ERROR: PERIODO debe ser AAAA-MM",IF(B2821="","ERROR: falta CODIGO CECO",IF(G2821="CECO NO EXISTE","ERROR: CECO no existe en el catálogo",IF(C2821="","ERROR: falta CUENTA",IF(ISERROR(--C2821),"ERROR: CUENTA debe tener solo dígitos",IF(ISERROR(FIND(LEFT(C2821,1),"567")),"ERROR: CUENTA fuera de las clases de costo",IF(NOT(ISNUMBER(E2821)),"ERROR: VALOR debe ser numérico",IF(E2821=0,"AVISO: valor cero (no se carga)",IF(J2821&lt;&gt;"ACTIVO","NO SE CARGA: CECO en estado "&amp;J2821,"OK"))))))))))</f>
        <v/>
      </c>
    </row>
    <row r="2822">
      <c r="A2822" s="5" t="n"/>
      <c r="B2822" s="6" t="n"/>
      <c r="C2822" s="5" t="n"/>
      <c r="D2822" s="6" t="n"/>
      <c r="E2822" s="7" t="n"/>
      <c r="F2822" s="6" t="n"/>
      <c r="G2822" s="8">
        <f>IF(B2822="","",IFERROR(VLOOKUP(--B2822,'CATALOGO CECO'!$A$2:$H$550,2,FALSE),"CECO NO EXISTE"))</f>
        <v/>
      </c>
      <c r="H2822" s="8">
        <f>IF(B2822="","",IFERROR(VLOOKUP(--B2822,'CATALOGO CECO'!$A$2:$H$550,3,FALSE),""))</f>
        <v/>
      </c>
      <c r="I2822" s="8">
        <f>IF(B2822="","",IFERROR(VLOOKUP(--B2822,'CATALOGO CECO'!$A$2:$H$550,5,FALSE),""))</f>
        <v/>
      </c>
      <c r="J2822" s="8">
        <f>IF(B2822="","",IFERROR(VLOOKUP(--B2822,'CATALOGO CECO'!$A$2:$H$550,8,FALSE),""))</f>
        <v/>
      </c>
      <c r="K2822" s="8">
        <f>IF(COUNTA(A2822:F2822)=0,"",IF(OR(LEN(A2822)&lt;&gt;7,MID(A2822,5,1)&lt;&gt;"-",ISERROR(--LEFT(A2822,4)),ISERROR(--RIGHT(A2822,2))),"ERROR: PERIODO debe ser AAAA-MM",IF(B2822="","ERROR: falta CODIGO CECO",IF(G2822="CECO NO EXISTE","ERROR: CECO no existe en el catálogo",IF(C2822="","ERROR: falta CUENTA",IF(ISERROR(--C2822),"ERROR: CUENTA debe tener solo dígitos",IF(ISERROR(FIND(LEFT(C2822,1),"567")),"ERROR: CUENTA fuera de las clases de costo",IF(NOT(ISNUMBER(E2822)),"ERROR: VALOR debe ser numérico",IF(E2822=0,"AVISO: valor cero (no se carga)",IF(J2822&lt;&gt;"ACTIVO","NO SE CARGA: CECO en estado "&amp;J2822,"OK"))))))))))</f>
        <v/>
      </c>
    </row>
    <row r="2823">
      <c r="A2823" s="5" t="n"/>
      <c r="B2823" s="6" t="n"/>
      <c r="C2823" s="5" t="n"/>
      <c r="D2823" s="6" t="n"/>
      <c r="E2823" s="7" t="n"/>
      <c r="F2823" s="6" t="n"/>
      <c r="G2823" s="8">
        <f>IF(B2823="","",IFERROR(VLOOKUP(--B2823,'CATALOGO CECO'!$A$2:$H$550,2,FALSE),"CECO NO EXISTE"))</f>
        <v/>
      </c>
      <c r="H2823" s="8">
        <f>IF(B2823="","",IFERROR(VLOOKUP(--B2823,'CATALOGO CECO'!$A$2:$H$550,3,FALSE),""))</f>
        <v/>
      </c>
      <c r="I2823" s="8">
        <f>IF(B2823="","",IFERROR(VLOOKUP(--B2823,'CATALOGO CECO'!$A$2:$H$550,5,FALSE),""))</f>
        <v/>
      </c>
      <c r="J2823" s="8">
        <f>IF(B2823="","",IFERROR(VLOOKUP(--B2823,'CATALOGO CECO'!$A$2:$H$550,8,FALSE),""))</f>
        <v/>
      </c>
      <c r="K2823" s="8">
        <f>IF(COUNTA(A2823:F2823)=0,"",IF(OR(LEN(A2823)&lt;&gt;7,MID(A2823,5,1)&lt;&gt;"-",ISERROR(--LEFT(A2823,4)),ISERROR(--RIGHT(A2823,2))),"ERROR: PERIODO debe ser AAAA-MM",IF(B2823="","ERROR: falta CODIGO CECO",IF(G2823="CECO NO EXISTE","ERROR: CECO no existe en el catálogo",IF(C2823="","ERROR: falta CUENTA",IF(ISERROR(--C2823),"ERROR: CUENTA debe tener solo dígitos",IF(ISERROR(FIND(LEFT(C2823,1),"567")),"ERROR: CUENTA fuera de las clases de costo",IF(NOT(ISNUMBER(E2823)),"ERROR: VALOR debe ser numérico",IF(E2823=0,"AVISO: valor cero (no se carga)",IF(J2823&lt;&gt;"ACTIVO","NO SE CARGA: CECO en estado "&amp;J2823,"OK"))))))))))</f>
        <v/>
      </c>
    </row>
    <row r="2824">
      <c r="A2824" s="5" t="n"/>
      <c r="B2824" s="6" t="n"/>
      <c r="C2824" s="5" t="n"/>
      <c r="D2824" s="6" t="n"/>
      <c r="E2824" s="7" t="n"/>
      <c r="F2824" s="6" t="n"/>
      <c r="G2824" s="8">
        <f>IF(B2824="","",IFERROR(VLOOKUP(--B2824,'CATALOGO CECO'!$A$2:$H$550,2,FALSE),"CECO NO EXISTE"))</f>
        <v/>
      </c>
      <c r="H2824" s="8">
        <f>IF(B2824="","",IFERROR(VLOOKUP(--B2824,'CATALOGO CECO'!$A$2:$H$550,3,FALSE),""))</f>
        <v/>
      </c>
      <c r="I2824" s="8">
        <f>IF(B2824="","",IFERROR(VLOOKUP(--B2824,'CATALOGO CECO'!$A$2:$H$550,5,FALSE),""))</f>
        <v/>
      </c>
      <c r="J2824" s="8">
        <f>IF(B2824="","",IFERROR(VLOOKUP(--B2824,'CATALOGO CECO'!$A$2:$H$550,8,FALSE),""))</f>
        <v/>
      </c>
      <c r="K2824" s="8">
        <f>IF(COUNTA(A2824:F2824)=0,"",IF(OR(LEN(A2824)&lt;&gt;7,MID(A2824,5,1)&lt;&gt;"-",ISERROR(--LEFT(A2824,4)),ISERROR(--RIGHT(A2824,2))),"ERROR: PERIODO debe ser AAAA-MM",IF(B2824="","ERROR: falta CODIGO CECO",IF(G2824="CECO NO EXISTE","ERROR: CECO no existe en el catálogo",IF(C2824="","ERROR: falta CUENTA",IF(ISERROR(--C2824),"ERROR: CUENTA debe tener solo dígitos",IF(ISERROR(FIND(LEFT(C2824,1),"567")),"ERROR: CUENTA fuera de las clases de costo",IF(NOT(ISNUMBER(E2824)),"ERROR: VALOR debe ser numérico",IF(E2824=0,"AVISO: valor cero (no se carga)",IF(J2824&lt;&gt;"ACTIVO","NO SE CARGA: CECO en estado "&amp;J2824,"OK"))))))))))</f>
        <v/>
      </c>
    </row>
    <row r="2825">
      <c r="A2825" s="5" t="n"/>
      <c r="B2825" s="6" t="n"/>
      <c r="C2825" s="5" t="n"/>
      <c r="D2825" s="6" t="n"/>
      <c r="E2825" s="7" t="n"/>
      <c r="F2825" s="6" t="n"/>
      <c r="G2825" s="8">
        <f>IF(B2825="","",IFERROR(VLOOKUP(--B2825,'CATALOGO CECO'!$A$2:$H$550,2,FALSE),"CECO NO EXISTE"))</f>
        <v/>
      </c>
      <c r="H2825" s="8">
        <f>IF(B2825="","",IFERROR(VLOOKUP(--B2825,'CATALOGO CECO'!$A$2:$H$550,3,FALSE),""))</f>
        <v/>
      </c>
      <c r="I2825" s="8">
        <f>IF(B2825="","",IFERROR(VLOOKUP(--B2825,'CATALOGO CECO'!$A$2:$H$550,5,FALSE),""))</f>
        <v/>
      </c>
      <c r="J2825" s="8">
        <f>IF(B2825="","",IFERROR(VLOOKUP(--B2825,'CATALOGO CECO'!$A$2:$H$550,8,FALSE),""))</f>
        <v/>
      </c>
      <c r="K2825" s="8">
        <f>IF(COUNTA(A2825:F2825)=0,"",IF(OR(LEN(A2825)&lt;&gt;7,MID(A2825,5,1)&lt;&gt;"-",ISERROR(--LEFT(A2825,4)),ISERROR(--RIGHT(A2825,2))),"ERROR: PERIODO debe ser AAAA-MM",IF(B2825="","ERROR: falta CODIGO CECO",IF(G2825="CECO NO EXISTE","ERROR: CECO no existe en el catálogo",IF(C2825="","ERROR: falta CUENTA",IF(ISERROR(--C2825),"ERROR: CUENTA debe tener solo dígitos",IF(ISERROR(FIND(LEFT(C2825,1),"567")),"ERROR: CUENTA fuera de las clases de costo",IF(NOT(ISNUMBER(E2825)),"ERROR: VALOR debe ser numérico",IF(E2825=0,"AVISO: valor cero (no se carga)",IF(J2825&lt;&gt;"ACTIVO","NO SE CARGA: CECO en estado "&amp;J2825,"OK"))))))))))</f>
        <v/>
      </c>
    </row>
    <row r="2826">
      <c r="A2826" s="5" t="n"/>
      <c r="B2826" s="6" t="n"/>
      <c r="C2826" s="5" t="n"/>
      <c r="D2826" s="6" t="n"/>
      <c r="E2826" s="7" t="n"/>
      <c r="F2826" s="6" t="n"/>
      <c r="G2826" s="8">
        <f>IF(B2826="","",IFERROR(VLOOKUP(--B2826,'CATALOGO CECO'!$A$2:$H$550,2,FALSE),"CECO NO EXISTE"))</f>
        <v/>
      </c>
      <c r="H2826" s="8">
        <f>IF(B2826="","",IFERROR(VLOOKUP(--B2826,'CATALOGO CECO'!$A$2:$H$550,3,FALSE),""))</f>
        <v/>
      </c>
      <c r="I2826" s="8">
        <f>IF(B2826="","",IFERROR(VLOOKUP(--B2826,'CATALOGO CECO'!$A$2:$H$550,5,FALSE),""))</f>
        <v/>
      </c>
      <c r="J2826" s="8">
        <f>IF(B2826="","",IFERROR(VLOOKUP(--B2826,'CATALOGO CECO'!$A$2:$H$550,8,FALSE),""))</f>
        <v/>
      </c>
      <c r="K2826" s="8">
        <f>IF(COUNTA(A2826:F2826)=0,"",IF(OR(LEN(A2826)&lt;&gt;7,MID(A2826,5,1)&lt;&gt;"-",ISERROR(--LEFT(A2826,4)),ISERROR(--RIGHT(A2826,2))),"ERROR: PERIODO debe ser AAAA-MM",IF(B2826="","ERROR: falta CODIGO CECO",IF(G2826="CECO NO EXISTE","ERROR: CECO no existe en el catálogo",IF(C2826="","ERROR: falta CUENTA",IF(ISERROR(--C2826),"ERROR: CUENTA debe tener solo dígitos",IF(ISERROR(FIND(LEFT(C2826,1),"567")),"ERROR: CUENTA fuera de las clases de costo",IF(NOT(ISNUMBER(E2826)),"ERROR: VALOR debe ser numérico",IF(E2826=0,"AVISO: valor cero (no se carga)",IF(J2826&lt;&gt;"ACTIVO","NO SE CARGA: CECO en estado "&amp;J2826,"OK"))))))))))</f>
        <v/>
      </c>
    </row>
    <row r="2827">
      <c r="A2827" s="5" t="n"/>
      <c r="B2827" s="6" t="n"/>
      <c r="C2827" s="5" t="n"/>
      <c r="D2827" s="6" t="n"/>
      <c r="E2827" s="7" t="n"/>
      <c r="F2827" s="6" t="n"/>
      <c r="G2827" s="8">
        <f>IF(B2827="","",IFERROR(VLOOKUP(--B2827,'CATALOGO CECO'!$A$2:$H$550,2,FALSE),"CECO NO EXISTE"))</f>
        <v/>
      </c>
      <c r="H2827" s="8">
        <f>IF(B2827="","",IFERROR(VLOOKUP(--B2827,'CATALOGO CECO'!$A$2:$H$550,3,FALSE),""))</f>
        <v/>
      </c>
      <c r="I2827" s="8">
        <f>IF(B2827="","",IFERROR(VLOOKUP(--B2827,'CATALOGO CECO'!$A$2:$H$550,5,FALSE),""))</f>
        <v/>
      </c>
      <c r="J2827" s="8">
        <f>IF(B2827="","",IFERROR(VLOOKUP(--B2827,'CATALOGO CECO'!$A$2:$H$550,8,FALSE),""))</f>
        <v/>
      </c>
      <c r="K2827" s="8">
        <f>IF(COUNTA(A2827:F2827)=0,"",IF(OR(LEN(A2827)&lt;&gt;7,MID(A2827,5,1)&lt;&gt;"-",ISERROR(--LEFT(A2827,4)),ISERROR(--RIGHT(A2827,2))),"ERROR: PERIODO debe ser AAAA-MM",IF(B2827="","ERROR: falta CODIGO CECO",IF(G2827="CECO NO EXISTE","ERROR: CECO no existe en el catálogo",IF(C2827="","ERROR: falta CUENTA",IF(ISERROR(--C2827),"ERROR: CUENTA debe tener solo dígitos",IF(ISERROR(FIND(LEFT(C2827,1),"567")),"ERROR: CUENTA fuera de las clases de costo",IF(NOT(ISNUMBER(E2827)),"ERROR: VALOR debe ser numérico",IF(E2827=0,"AVISO: valor cero (no se carga)",IF(J2827&lt;&gt;"ACTIVO","NO SE CARGA: CECO en estado "&amp;J2827,"OK"))))))))))</f>
        <v/>
      </c>
    </row>
    <row r="2828">
      <c r="A2828" s="5" t="n"/>
      <c r="B2828" s="6" t="n"/>
      <c r="C2828" s="5" t="n"/>
      <c r="D2828" s="6" t="n"/>
      <c r="E2828" s="7" t="n"/>
      <c r="F2828" s="6" t="n"/>
      <c r="G2828" s="8">
        <f>IF(B2828="","",IFERROR(VLOOKUP(--B2828,'CATALOGO CECO'!$A$2:$H$550,2,FALSE),"CECO NO EXISTE"))</f>
        <v/>
      </c>
      <c r="H2828" s="8">
        <f>IF(B2828="","",IFERROR(VLOOKUP(--B2828,'CATALOGO CECO'!$A$2:$H$550,3,FALSE),""))</f>
        <v/>
      </c>
      <c r="I2828" s="8">
        <f>IF(B2828="","",IFERROR(VLOOKUP(--B2828,'CATALOGO CECO'!$A$2:$H$550,5,FALSE),""))</f>
        <v/>
      </c>
      <c r="J2828" s="8">
        <f>IF(B2828="","",IFERROR(VLOOKUP(--B2828,'CATALOGO CECO'!$A$2:$H$550,8,FALSE),""))</f>
        <v/>
      </c>
      <c r="K2828" s="8">
        <f>IF(COUNTA(A2828:F2828)=0,"",IF(OR(LEN(A2828)&lt;&gt;7,MID(A2828,5,1)&lt;&gt;"-",ISERROR(--LEFT(A2828,4)),ISERROR(--RIGHT(A2828,2))),"ERROR: PERIODO debe ser AAAA-MM",IF(B2828="","ERROR: falta CODIGO CECO",IF(G2828="CECO NO EXISTE","ERROR: CECO no existe en el catálogo",IF(C2828="","ERROR: falta CUENTA",IF(ISERROR(--C2828),"ERROR: CUENTA debe tener solo dígitos",IF(ISERROR(FIND(LEFT(C2828,1),"567")),"ERROR: CUENTA fuera de las clases de costo",IF(NOT(ISNUMBER(E2828)),"ERROR: VALOR debe ser numérico",IF(E2828=0,"AVISO: valor cero (no se carga)",IF(J2828&lt;&gt;"ACTIVO","NO SE CARGA: CECO en estado "&amp;J2828,"OK"))))))))))</f>
        <v/>
      </c>
    </row>
    <row r="2829">
      <c r="A2829" s="5" t="n"/>
      <c r="B2829" s="6" t="n"/>
      <c r="C2829" s="5" t="n"/>
      <c r="D2829" s="6" t="n"/>
      <c r="E2829" s="7" t="n"/>
      <c r="F2829" s="6" t="n"/>
      <c r="G2829" s="8">
        <f>IF(B2829="","",IFERROR(VLOOKUP(--B2829,'CATALOGO CECO'!$A$2:$H$550,2,FALSE),"CECO NO EXISTE"))</f>
        <v/>
      </c>
      <c r="H2829" s="8">
        <f>IF(B2829="","",IFERROR(VLOOKUP(--B2829,'CATALOGO CECO'!$A$2:$H$550,3,FALSE),""))</f>
        <v/>
      </c>
      <c r="I2829" s="8">
        <f>IF(B2829="","",IFERROR(VLOOKUP(--B2829,'CATALOGO CECO'!$A$2:$H$550,5,FALSE),""))</f>
        <v/>
      </c>
      <c r="J2829" s="8">
        <f>IF(B2829="","",IFERROR(VLOOKUP(--B2829,'CATALOGO CECO'!$A$2:$H$550,8,FALSE),""))</f>
        <v/>
      </c>
      <c r="K2829" s="8">
        <f>IF(COUNTA(A2829:F2829)=0,"",IF(OR(LEN(A2829)&lt;&gt;7,MID(A2829,5,1)&lt;&gt;"-",ISERROR(--LEFT(A2829,4)),ISERROR(--RIGHT(A2829,2))),"ERROR: PERIODO debe ser AAAA-MM",IF(B2829="","ERROR: falta CODIGO CECO",IF(G2829="CECO NO EXISTE","ERROR: CECO no existe en el catálogo",IF(C2829="","ERROR: falta CUENTA",IF(ISERROR(--C2829),"ERROR: CUENTA debe tener solo dígitos",IF(ISERROR(FIND(LEFT(C2829,1),"567")),"ERROR: CUENTA fuera de las clases de costo",IF(NOT(ISNUMBER(E2829)),"ERROR: VALOR debe ser numérico",IF(E2829=0,"AVISO: valor cero (no se carga)",IF(J2829&lt;&gt;"ACTIVO","NO SE CARGA: CECO en estado "&amp;J2829,"OK"))))))))))</f>
        <v/>
      </c>
    </row>
    <row r="2830">
      <c r="A2830" s="5" t="n"/>
      <c r="B2830" s="6" t="n"/>
      <c r="C2830" s="5" t="n"/>
      <c r="D2830" s="6" t="n"/>
      <c r="E2830" s="7" t="n"/>
      <c r="F2830" s="6" t="n"/>
      <c r="G2830" s="8">
        <f>IF(B2830="","",IFERROR(VLOOKUP(--B2830,'CATALOGO CECO'!$A$2:$H$550,2,FALSE),"CECO NO EXISTE"))</f>
        <v/>
      </c>
      <c r="H2830" s="8">
        <f>IF(B2830="","",IFERROR(VLOOKUP(--B2830,'CATALOGO CECO'!$A$2:$H$550,3,FALSE),""))</f>
        <v/>
      </c>
      <c r="I2830" s="8">
        <f>IF(B2830="","",IFERROR(VLOOKUP(--B2830,'CATALOGO CECO'!$A$2:$H$550,5,FALSE),""))</f>
        <v/>
      </c>
      <c r="J2830" s="8">
        <f>IF(B2830="","",IFERROR(VLOOKUP(--B2830,'CATALOGO CECO'!$A$2:$H$550,8,FALSE),""))</f>
        <v/>
      </c>
      <c r="K2830" s="8">
        <f>IF(COUNTA(A2830:F2830)=0,"",IF(OR(LEN(A2830)&lt;&gt;7,MID(A2830,5,1)&lt;&gt;"-",ISERROR(--LEFT(A2830,4)),ISERROR(--RIGHT(A2830,2))),"ERROR: PERIODO debe ser AAAA-MM",IF(B2830="","ERROR: falta CODIGO CECO",IF(G2830="CECO NO EXISTE","ERROR: CECO no existe en el catálogo",IF(C2830="","ERROR: falta CUENTA",IF(ISERROR(--C2830),"ERROR: CUENTA debe tener solo dígitos",IF(ISERROR(FIND(LEFT(C2830,1),"567")),"ERROR: CUENTA fuera de las clases de costo",IF(NOT(ISNUMBER(E2830)),"ERROR: VALOR debe ser numérico",IF(E2830=0,"AVISO: valor cero (no se carga)",IF(J2830&lt;&gt;"ACTIVO","NO SE CARGA: CECO en estado "&amp;J2830,"OK"))))))))))</f>
        <v/>
      </c>
    </row>
    <row r="2831">
      <c r="A2831" s="5" t="n"/>
      <c r="B2831" s="6" t="n"/>
      <c r="C2831" s="5" t="n"/>
      <c r="D2831" s="6" t="n"/>
      <c r="E2831" s="7" t="n"/>
      <c r="F2831" s="6" t="n"/>
      <c r="G2831" s="8">
        <f>IF(B2831="","",IFERROR(VLOOKUP(--B2831,'CATALOGO CECO'!$A$2:$H$550,2,FALSE),"CECO NO EXISTE"))</f>
        <v/>
      </c>
      <c r="H2831" s="8">
        <f>IF(B2831="","",IFERROR(VLOOKUP(--B2831,'CATALOGO CECO'!$A$2:$H$550,3,FALSE),""))</f>
        <v/>
      </c>
      <c r="I2831" s="8">
        <f>IF(B2831="","",IFERROR(VLOOKUP(--B2831,'CATALOGO CECO'!$A$2:$H$550,5,FALSE),""))</f>
        <v/>
      </c>
      <c r="J2831" s="8">
        <f>IF(B2831="","",IFERROR(VLOOKUP(--B2831,'CATALOGO CECO'!$A$2:$H$550,8,FALSE),""))</f>
        <v/>
      </c>
      <c r="K2831" s="8">
        <f>IF(COUNTA(A2831:F2831)=0,"",IF(OR(LEN(A2831)&lt;&gt;7,MID(A2831,5,1)&lt;&gt;"-",ISERROR(--LEFT(A2831,4)),ISERROR(--RIGHT(A2831,2))),"ERROR: PERIODO debe ser AAAA-MM",IF(B2831="","ERROR: falta CODIGO CECO",IF(G2831="CECO NO EXISTE","ERROR: CECO no existe en el catálogo",IF(C2831="","ERROR: falta CUENTA",IF(ISERROR(--C2831),"ERROR: CUENTA debe tener solo dígitos",IF(ISERROR(FIND(LEFT(C2831,1),"567")),"ERROR: CUENTA fuera de las clases de costo",IF(NOT(ISNUMBER(E2831)),"ERROR: VALOR debe ser numérico",IF(E2831=0,"AVISO: valor cero (no se carga)",IF(J2831&lt;&gt;"ACTIVO","NO SE CARGA: CECO en estado "&amp;J2831,"OK"))))))))))</f>
        <v/>
      </c>
    </row>
    <row r="2832">
      <c r="A2832" s="5" t="n"/>
      <c r="B2832" s="6" t="n"/>
      <c r="C2832" s="5" t="n"/>
      <c r="D2832" s="6" t="n"/>
      <c r="E2832" s="7" t="n"/>
      <c r="F2832" s="6" t="n"/>
      <c r="G2832" s="8">
        <f>IF(B2832="","",IFERROR(VLOOKUP(--B2832,'CATALOGO CECO'!$A$2:$H$550,2,FALSE),"CECO NO EXISTE"))</f>
        <v/>
      </c>
      <c r="H2832" s="8">
        <f>IF(B2832="","",IFERROR(VLOOKUP(--B2832,'CATALOGO CECO'!$A$2:$H$550,3,FALSE),""))</f>
        <v/>
      </c>
      <c r="I2832" s="8">
        <f>IF(B2832="","",IFERROR(VLOOKUP(--B2832,'CATALOGO CECO'!$A$2:$H$550,5,FALSE),""))</f>
        <v/>
      </c>
      <c r="J2832" s="8">
        <f>IF(B2832="","",IFERROR(VLOOKUP(--B2832,'CATALOGO CECO'!$A$2:$H$550,8,FALSE),""))</f>
        <v/>
      </c>
      <c r="K2832" s="8">
        <f>IF(COUNTA(A2832:F2832)=0,"",IF(OR(LEN(A2832)&lt;&gt;7,MID(A2832,5,1)&lt;&gt;"-",ISERROR(--LEFT(A2832,4)),ISERROR(--RIGHT(A2832,2))),"ERROR: PERIODO debe ser AAAA-MM",IF(B2832="","ERROR: falta CODIGO CECO",IF(G2832="CECO NO EXISTE","ERROR: CECO no existe en el catálogo",IF(C2832="","ERROR: falta CUENTA",IF(ISERROR(--C2832),"ERROR: CUENTA debe tener solo dígitos",IF(ISERROR(FIND(LEFT(C2832,1),"567")),"ERROR: CUENTA fuera de las clases de costo",IF(NOT(ISNUMBER(E2832)),"ERROR: VALOR debe ser numérico",IF(E2832=0,"AVISO: valor cero (no se carga)",IF(J2832&lt;&gt;"ACTIVO","NO SE CARGA: CECO en estado "&amp;J2832,"OK"))))))))))</f>
        <v/>
      </c>
    </row>
    <row r="2833">
      <c r="A2833" s="5" t="n"/>
      <c r="B2833" s="6" t="n"/>
      <c r="C2833" s="5" t="n"/>
      <c r="D2833" s="6" t="n"/>
      <c r="E2833" s="7" t="n"/>
      <c r="F2833" s="6" t="n"/>
      <c r="G2833" s="8">
        <f>IF(B2833="","",IFERROR(VLOOKUP(--B2833,'CATALOGO CECO'!$A$2:$H$550,2,FALSE),"CECO NO EXISTE"))</f>
        <v/>
      </c>
      <c r="H2833" s="8">
        <f>IF(B2833="","",IFERROR(VLOOKUP(--B2833,'CATALOGO CECO'!$A$2:$H$550,3,FALSE),""))</f>
        <v/>
      </c>
      <c r="I2833" s="8">
        <f>IF(B2833="","",IFERROR(VLOOKUP(--B2833,'CATALOGO CECO'!$A$2:$H$550,5,FALSE),""))</f>
        <v/>
      </c>
      <c r="J2833" s="8">
        <f>IF(B2833="","",IFERROR(VLOOKUP(--B2833,'CATALOGO CECO'!$A$2:$H$550,8,FALSE),""))</f>
        <v/>
      </c>
      <c r="K2833" s="8">
        <f>IF(COUNTA(A2833:F2833)=0,"",IF(OR(LEN(A2833)&lt;&gt;7,MID(A2833,5,1)&lt;&gt;"-",ISERROR(--LEFT(A2833,4)),ISERROR(--RIGHT(A2833,2))),"ERROR: PERIODO debe ser AAAA-MM",IF(B2833="","ERROR: falta CODIGO CECO",IF(G2833="CECO NO EXISTE","ERROR: CECO no existe en el catálogo",IF(C2833="","ERROR: falta CUENTA",IF(ISERROR(--C2833),"ERROR: CUENTA debe tener solo dígitos",IF(ISERROR(FIND(LEFT(C2833,1),"567")),"ERROR: CUENTA fuera de las clases de costo",IF(NOT(ISNUMBER(E2833)),"ERROR: VALOR debe ser numérico",IF(E2833=0,"AVISO: valor cero (no se carga)",IF(J2833&lt;&gt;"ACTIVO","NO SE CARGA: CECO en estado "&amp;J2833,"OK"))))))))))</f>
        <v/>
      </c>
    </row>
    <row r="2834">
      <c r="A2834" s="5" t="n"/>
      <c r="B2834" s="6" t="n"/>
      <c r="C2834" s="5" t="n"/>
      <c r="D2834" s="6" t="n"/>
      <c r="E2834" s="7" t="n"/>
      <c r="F2834" s="6" t="n"/>
      <c r="G2834" s="8">
        <f>IF(B2834="","",IFERROR(VLOOKUP(--B2834,'CATALOGO CECO'!$A$2:$H$550,2,FALSE),"CECO NO EXISTE"))</f>
        <v/>
      </c>
      <c r="H2834" s="8">
        <f>IF(B2834="","",IFERROR(VLOOKUP(--B2834,'CATALOGO CECO'!$A$2:$H$550,3,FALSE),""))</f>
        <v/>
      </c>
      <c r="I2834" s="8">
        <f>IF(B2834="","",IFERROR(VLOOKUP(--B2834,'CATALOGO CECO'!$A$2:$H$550,5,FALSE),""))</f>
        <v/>
      </c>
      <c r="J2834" s="8">
        <f>IF(B2834="","",IFERROR(VLOOKUP(--B2834,'CATALOGO CECO'!$A$2:$H$550,8,FALSE),""))</f>
        <v/>
      </c>
      <c r="K2834" s="8">
        <f>IF(COUNTA(A2834:F2834)=0,"",IF(OR(LEN(A2834)&lt;&gt;7,MID(A2834,5,1)&lt;&gt;"-",ISERROR(--LEFT(A2834,4)),ISERROR(--RIGHT(A2834,2))),"ERROR: PERIODO debe ser AAAA-MM",IF(B2834="","ERROR: falta CODIGO CECO",IF(G2834="CECO NO EXISTE","ERROR: CECO no existe en el catálogo",IF(C2834="","ERROR: falta CUENTA",IF(ISERROR(--C2834),"ERROR: CUENTA debe tener solo dígitos",IF(ISERROR(FIND(LEFT(C2834,1),"567")),"ERROR: CUENTA fuera de las clases de costo",IF(NOT(ISNUMBER(E2834)),"ERROR: VALOR debe ser numérico",IF(E2834=0,"AVISO: valor cero (no se carga)",IF(J2834&lt;&gt;"ACTIVO","NO SE CARGA: CECO en estado "&amp;J2834,"OK"))))))))))</f>
        <v/>
      </c>
    </row>
    <row r="2835">
      <c r="A2835" s="5" t="n"/>
      <c r="B2835" s="6" t="n"/>
      <c r="C2835" s="5" t="n"/>
      <c r="D2835" s="6" t="n"/>
      <c r="E2835" s="7" t="n"/>
      <c r="F2835" s="6" t="n"/>
      <c r="G2835" s="8">
        <f>IF(B2835="","",IFERROR(VLOOKUP(--B2835,'CATALOGO CECO'!$A$2:$H$550,2,FALSE),"CECO NO EXISTE"))</f>
        <v/>
      </c>
      <c r="H2835" s="8">
        <f>IF(B2835="","",IFERROR(VLOOKUP(--B2835,'CATALOGO CECO'!$A$2:$H$550,3,FALSE),""))</f>
        <v/>
      </c>
      <c r="I2835" s="8">
        <f>IF(B2835="","",IFERROR(VLOOKUP(--B2835,'CATALOGO CECO'!$A$2:$H$550,5,FALSE),""))</f>
        <v/>
      </c>
      <c r="J2835" s="8">
        <f>IF(B2835="","",IFERROR(VLOOKUP(--B2835,'CATALOGO CECO'!$A$2:$H$550,8,FALSE),""))</f>
        <v/>
      </c>
      <c r="K2835" s="8">
        <f>IF(COUNTA(A2835:F2835)=0,"",IF(OR(LEN(A2835)&lt;&gt;7,MID(A2835,5,1)&lt;&gt;"-",ISERROR(--LEFT(A2835,4)),ISERROR(--RIGHT(A2835,2))),"ERROR: PERIODO debe ser AAAA-MM",IF(B2835="","ERROR: falta CODIGO CECO",IF(G2835="CECO NO EXISTE","ERROR: CECO no existe en el catálogo",IF(C2835="","ERROR: falta CUENTA",IF(ISERROR(--C2835),"ERROR: CUENTA debe tener solo dígitos",IF(ISERROR(FIND(LEFT(C2835,1),"567")),"ERROR: CUENTA fuera de las clases de costo",IF(NOT(ISNUMBER(E2835)),"ERROR: VALOR debe ser numérico",IF(E2835=0,"AVISO: valor cero (no se carga)",IF(J2835&lt;&gt;"ACTIVO","NO SE CARGA: CECO en estado "&amp;J2835,"OK"))))))))))</f>
        <v/>
      </c>
    </row>
    <row r="2836">
      <c r="A2836" s="5" t="n"/>
      <c r="B2836" s="6" t="n"/>
      <c r="C2836" s="5" t="n"/>
      <c r="D2836" s="6" t="n"/>
      <c r="E2836" s="7" t="n"/>
      <c r="F2836" s="6" t="n"/>
      <c r="G2836" s="8">
        <f>IF(B2836="","",IFERROR(VLOOKUP(--B2836,'CATALOGO CECO'!$A$2:$H$550,2,FALSE),"CECO NO EXISTE"))</f>
        <v/>
      </c>
      <c r="H2836" s="8">
        <f>IF(B2836="","",IFERROR(VLOOKUP(--B2836,'CATALOGO CECO'!$A$2:$H$550,3,FALSE),""))</f>
        <v/>
      </c>
      <c r="I2836" s="8">
        <f>IF(B2836="","",IFERROR(VLOOKUP(--B2836,'CATALOGO CECO'!$A$2:$H$550,5,FALSE),""))</f>
        <v/>
      </c>
      <c r="J2836" s="8">
        <f>IF(B2836="","",IFERROR(VLOOKUP(--B2836,'CATALOGO CECO'!$A$2:$H$550,8,FALSE),""))</f>
        <v/>
      </c>
      <c r="K2836" s="8">
        <f>IF(COUNTA(A2836:F2836)=0,"",IF(OR(LEN(A2836)&lt;&gt;7,MID(A2836,5,1)&lt;&gt;"-",ISERROR(--LEFT(A2836,4)),ISERROR(--RIGHT(A2836,2))),"ERROR: PERIODO debe ser AAAA-MM",IF(B2836="","ERROR: falta CODIGO CECO",IF(G2836="CECO NO EXISTE","ERROR: CECO no existe en el catálogo",IF(C2836="","ERROR: falta CUENTA",IF(ISERROR(--C2836),"ERROR: CUENTA debe tener solo dígitos",IF(ISERROR(FIND(LEFT(C2836,1),"567")),"ERROR: CUENTA fuera de las clases de costo",IF(NOT(ISNUMBER(E2836)),"ERROR: VALOR debe ser numérico",IF(E2836=0,"AVISO: valor cero (no se carga)",IF(J2836&lt;&gt;"ACTIVO","NO SE CARGA: CECO en estado "&amp;J2836,"OK"))))))))))</f>
        <v/>
      </c>
    </row>
    <row r="2837">
      <c r="A2837" s="5" t="n"/>
      <c r="B2837" s="6" t="n"/>
      <c r="C2837" s="5" t="n"/>
      <c r="D2837" s="6" t="n"/>
      <c r="E2837" s="7" t="n"/>
      <c r="F2837" s="6" t="n"/>
      <c r="G2837" s="8">
        <f>IF(B2837="","",IFERROR(VLOOKUP(--B2837,'CATALOGO CECO'!$A$2:$H$550,2,FALSE),"CECO NO EXISTE"))</f>
        <v/>
      </c>
      <c r="H2837" s="8">
        <f>IF(B2837="","",IFERROR(VLOOKUP(--B2837,'CATALOGO CECO'!$A$2:$H$550,3,FALSE),""))</f>
        <v/>
      </c>
      <c r="I2837" s="8">
        <f>IF(B2837="","",IFERROR(VLOOKUP(--B2837,'CATALOGO CECO'!$A$2:$H$550,5,FALSE),""))</f>
        <v/>
      </c>
      <c r="J2837" s="8">
        <f>IF(B2837="","",IFERROR(VLOOKUP(--B2837,'CATALOGO CECO'!$A$2:$H$550,8,FALSE),""))</f>
        <v/>
      </c>
      <c r="K2837" s="8">
        <f>IF(COUNTA(A2837:F2837)=0,"",IF(OR(LEN(A2837)&lt;&gt;7,MID(A2837,5,1)&lt;&gt;"-",ISERROR(--LEFT(A2837,4)),ISERROR(--RIGHT(A2837,2))),"ERROR: PERIODO debe ser AAAA-MM",IF(B2837="","ERROR: falta CODIGO CECO",IF(G2837="CECO NO EXISTE","ERROR: CECO no existe en el catálogo",IF(C2837="","ERROR: falta CUENTA",IF(ISERROR(--C2837),"ERROR: CUENTA debe tener solo dígitos",IF(ISERROR(FIND(LEFT(C2837,1),"567")),"ERROR: CUENTA fuera de las clases de costo",IF(NOT(ISNUMBER(E2837)),"ERROR: VALOR debe ser numérico",IF(E2837=0,"AVISO: valor cero (no se carga)",IF(J2837&lt;&gt;"ACTIVO","NO SE CARGA: CECO en estado "&amp;J2837,"OK"))))))))))</f>
        <v/>
      </c>
    </row>
    <row r="2838">
      <c r="A2838" s="5" t="n"/>
      <c r="B2838" s="6" t="n"/>
      <c r="C2838" s="5" t="n"/>
      <c r="D2838" s="6" t="n"/>
      <c r="E2838" s="7" t="n"/>
      <c r="F2838" s="6" t="n"/>
      <c r="G2838" s="8">
        <f>IF(B2838="","",IFERROR(VLOOKUP(--B2838,'CATALOGO CECO'!$A$2:$H$550,2,FALSE),"CECO NO EXISTE"))</f>
        <v/>
      </c>
      <c r="H2838" s="8">
        <f>IF(B2838="","",IFERROR(VLOOKUP(--B2838,'CATALOGO CECO'!$A$2:$H$550,3,FALSE),""))</f>
        <v/>
      </c>
      <c r="I2838" s="8">
        <f>IF(B2838="","",IFERROR(VLOOKUP(--B2838,'CATALOGO CECO'!$A$2:$H$550,5,FALSE),""))</f>
        <v/>
      </c>
      <c r="J2838" s="8">
        <f>IF(B2838="","",IFERROR(VLOOKUP(--B2838,'CATALOGO CECO'!$A$2:$H$550,8,FALSE),""))</f>
        <v/>
      </c>
      <c r="K2838" s="8">
        <f>IF(COUNTA(A2838:F2838)=0,"",IF(OR(LEN(A2838)&lt;&gt;7,MID(A2838,5,1)&lt;&gt;"-",ISERROR(--LEFT(A2838,4)),ISERROR(--RIGHT(A2838,2))),"ERROR: PERIODO debe ser AAAA-MM",IF(B2838="","ERROR: falta CODIGO CECO",IF(G2838="CECO NO EXISTE","ERROR: CECO no existe en el catálogo",IF(C2838="","ERROR: falta CUENTA",IF(ISERROR(--C2838),"ERROR: CUENTA debe tener solo dígitos",IF(ISERROR(FIND(LEFT(C2838,1),"567")),"ERROR: CUENTA fuera de las clases de costo",IF(NOT(ISNUMBER(E2838)),"ERROR: VALOR debe ser numérico",IF(E2838=0,"AVISO: valor cero (no se carga)",IF(J2838&lt;&gt;"ACTIVO","NO SE CARGA: CECO en estado "&amp;J2838,"OK"))))))))))</f>
        <v/>
      </c>
    </row>
    <row r="2839">
      <c r="A2839" s="5" t="n"/>
      <c r="B2839" s="6" t="n"/>
      <c r="C2839" s="5" t="n"/>
      <c r="D2839" s="6" t="n"/>
      <c r="E2839" s="7" t="n"/>
      <c r="F2839" s="6" t="n"/>
      <c r="G2839" s="8">
        <f>IF(B2839="","",IFERROR(VLOOKUP(--B2839,'CATALOGO CECO'!$A$2:$H$550,2,FALSE),"CECO NO EXISTE"))</f>
        <v/>
      </c>
      <c r="H2839" s="8">
        <f>IF(B2839="","",IFERROR(VLOOKUP(--B2839,'CATALOGO CECO'!$A$2:$H$550,3,FALSE),""))</f>
        <v/>
      </c>
      <c r="I2839" s="8">
        <f>IF(B2839="","",IFERROR(VLOOKUP(--B2839,'CATALOGO CECO'!$A$2:$H$550,5,FALSE),""))</f>
        <v/>
      </c>
      <c r="J2839" s="8">
        <f>IF(B2839="","",IFERROR(VLOOKUP(--B2839,'CATALOGO CECO'!$A$2:$H$550,8,FALSE),""))</f>
        <v/>
      </c>
      <c r="K2839" s="8">
        <f>IF(COUNTA(A2839:F2839)=0,"",IF(OR(LEN(A2839)&lt;&gt;7,MID(A2839,5,1)&lt;&gt;"-",ISERROR(--LEFT(A2839,4)),ISERROR(--RIGHT(A2839,2))),"ERROR: PERIODO debe ser AAAA-MM",IF(B2839="","ERROR: falta CODIGO CECO",IF(G2839="CECO NO EXISTE","ERROR: CECO no existe en el catálogo",IF(C2839="","ERROR: falta CUENTA",IF(ISERROR(--C2839),"ERROR: CUENTA debe tener solo dígitos",IF(ISERROR(FIND(LEFT(C2839,1),"567")),"ERROR: CUENTA fuera de las clases de costo",IF(NOT(ISNUMBER(E2839)),"ERROR: VALOR debe ser numérico",IF(E2839=0,"AVISO: valor cero (no se carga)",IF(J2839&lt;&gt;"ACTIVO","NO SE CARGA: CECO en estado "&amp;J2839,"OK"))))))))))</f>
        <v/>
      </c>
    </row>
    <row r="2840">
      <c r="A2840" s="5" t="n"/>
      <c r="B2840" s="6" t="n"/>
      <c r="C2840" s="5" t="n"/>
      <c r="D2840" s="6" t="n"/>
      <c r="E2840" s="7" t="n"/>
      <c r="F2840" s="6" t="n"/>
      <c r="G2840" s="8">
        <f>IF(B2840="","",IFERROR(VLOOKUP(--B2840,'CATALOGO CECO'!$A$2:$H$550,2,FALSE),"CECO NO EXISTE"))</f>
        <v/>
      </c>
      <c r="H2840" s="8">
        <f>IF(B2840="","",IFERROR(VLOOKUP(--B2840,'CATALOGO CECO'!$A$2:$H$550,3,FALSE),""))</f>
        <v/>
      </c>
      <c r="I2840" s="8">
        <f>IF(B2840="","",IFERROR(VLOOKUP(--B2840,'CATALOGO CECO'!$A$2:$H$550,5,FALSE),""))</f>
        <v/>
      </c>
      <c r="J2840" s="8">
        <f>IF(B2840="","",IFERROR(VLOOKUP(--B2840,'CATALOGO CECO'!$A$2:$H$550,8,FALSE),""))</f>
        <v/>
      </c>
      <c r="K2840" s="8">
        <f>IF(COUNTA(A2840:F2840)=0,"",IF(OR(LEN(A2840)&lt;&gt;7,MID(A2840,5,1)&lt;&gt;"-",ISERROR(--LEFT(A2840,4)),ISERROR(--RIGHT(A2840,2))),"ERROR: PERIODO debe ser AAAA-MM",IF(B2840="","ERROR: falta CODIGO CECO",IF(G2840="CECO NO EXISTE","ERROR: CECO no existe en el catálogo",IF(C2840="","ERROR: falta CUENTA",IF(ISERROR(--C2840),"ERROR: CUENTA debe tener solo dígitos",IF(ISERROR(FIND(LEFT(C2840,1),"567")),"ERROR: CUENTA fuera de las clases de costo",IF(NOT(ISNUMBER(E2840)),"ERROR: VALOR debe ser numérico",IF(E2840=0,"AVISO: valor cero (no se carga)",IF(J2840&lt;&gt;"ACTIVO","NO SE CARGA: CECO en estado "&amp;J2840,"OK"))))))))))</f>
        <v/>
      </c>
    </row>
    <row r="2841">
      <c r="A2841" s="5" t="n"/>
      <c r="B2841" s="6" t="n"/>
      <c r="C2841" s="5" t="n"/>
      <c r="D2841" s="6" t="n"/>
      <c r="E2841" s="7" t="n"/>
      <c r="F2841" s="6" t="n"/>
      <c r="G2841" s="8">
        <f>IF(B2841="","",IFERROR(VLOOKUP(--B2841,'CATALOGO CECO'!$A$2:$H$550,2,FALSE),"CECO NO EXISTE"))</f>
        <v/>
      </c>
      <c r="H2841" s="8">
        <f>IF(B2841="","",IFERROR(VLOOKUP(--B2841,'CATALOGO CECO'!$A$2:$H$550,3,FALSE),""))</f>
        <v/>
      </c>
      <c r="I2841" s="8">
        <f>IF(B2841="","",IFERROR(VLOOKUP(--B2841,'CATALOGO CECO'!$A$2:$H$550,5,FALSE),""))</f>
        <v/>
      </c>
      <c r="J2841" s="8">
        <f>IF(B2841="","",IFERROR(VLOOKUP(--B2841,'CATALOGO CECO'!$A$2:$H$550,8,FALSE),""))</f>
        <v/>
      </c>
      <c r="K2841" s="8">
        <f>IF(COUNTA(A2841:F2841)=0,"",IF(OR(LEN(A2841)&lt;&gt;7,MID(A2841,5,1)&lt;&gt;"-",ISERROR(--LEFT(A2841,4)),ISERROR(--RIGHT(A2841,2))),"ERROR: PERIODO debe ser AAAA-MM",IF(B2841="","ERROR: falta CODIGO CECO",IF(G2841="CECO NO EXISTE","ERROR: CECO no existe en el catálogo",IF(C2841="","ERROR: falta CUENTA",IF(ISERROR(--C2841),"ERROR: CUENTA debe tener solo dígitos",IF(ISERROR(FIND(LEFT(C2841,1),"567")),"ERROR: CUENTA fuera de las clases de costo",IF(NOT(ISNUMBER(E2841)),"ERROR: VALOR debe ser numérico",IF(E2841=0,"AVISO: valor cero (no se carga)",IF(J2841&lt;&gt;"ACTIVO","NO SE CARGA: CECO en estado "&amp;J2841,"OK"))))))))))</f>
        <v/>
      </c>
    </row>
    <row r="2842">
      <c r="A2842" s="5" t="n"/>
      <c r="B2842" s="6" t="n"/>
      <c r="C2842" s="5" t="n"/>
      <c r="D2842" s="6" t="n"/>
      <c r="E2842" s="7" t="n"/>
      <c r="F2842" s="6" t="n"/>
      <c r="G2842" s="8">
        <f>IF(B2842="","",IFERROR(VLOOKUP(--B2842,'CATALOGO CECO'!$A$2:$H$550,2,FALSE),"CECO NO EXISTE"))</f>
        <v/>
      </c>
      <c r="H2842" s="8">
        <f>IF(B2842="","",IFERROR(VLOOKUP(--B2842,'CATALOGO CECO'!$A$2:$H$550,3,FALSE),""))</f>
        <v/>
      </c>
      <c r="I2842" s="8">
        <f>IF(B2842="","",IFERROR(VLOOKUP(--B2842,'CATALOGO CECO'!$A$2:$H$550,5,FALSE),""))</f>
        <v/>
      </c>
      <c r="J2842" s="8">
        <f>IF(B2842="","",IFERROR(VLOOKUP(--B2842,'CATALOGO CECO'!$A$2:$H$550,8,FALSE),""))</f>
        <v/>
      </c>
      <c r="K2842" s="8">
        <f>IF(COUNTA(A2842:F2842)=0,"",IF(OR(LEN(A2842)&lt;&gt;7,MID(A2842,5,1)&lt;&gt;"-",ISERROR(--LEFT(A2842,4)),ISERROR(--RIGHT(A2842,2))),"ERROR: PERIODO debe ser AAAA-MM",IF(B2842="","ERROR: falta CODIGO CECO",IF(G2842="CECO NO EXISTE","ERROR: CECO no existe en el catálogo",IF(C2842="","ERROR: falta CUENTA",IF(ISERROR(--C2842),"ERROR: CUENTA debe tener solo dígitos",IF(ISERROR(FIND(LEFT(C2842,1),"567")),"ERROR: CUENTA fuera de las clases de costo",IF(NOT(ISNUMBER(E2842)),"ERROR: VALOR debe ser numérico",IF(E2842=0,"AVISO: valor cero (no se carga)",IF(J2842&lt;&gt;"ACTIVO","NO SE CARGA: CECO en estado "&amp;J2842,"OK"))))))))))</f>
        <v/>
      </c>
    </row>
    <row r="2843">
      <c r="A2843" s="5" t="n"/>
      <c r="B2843" s="6" t="n"/>
      <c r="C2843" s="5" t="n"/>
      <c r="D2843" s="6" t="n"/>
      <c r="E2843" s="7" t="n"/>
      <c r="F2843" s="6" t="n"/>
      <c r="G2843" s="8">
        <f>IF(B2843="","",IFERROR(VLOOKUP(--B2843,'CATALOGO CECO'!$A$2:$H$550,2,FALSE),"CECO NO EXISTE"))</f>
        <v/>
      </c>
      <c r="H2843" s="8">
        <f>IF(B2843="","",IFERROR(VLOOKUP(--B2843,'CATALOGO CECO'!$A$2:$H$550,3,FALSE),""))</f>
        <v/>
      </c>
      <c r="I2843" s="8">
        <f>IF(B2843="","",IFERROR(VLOOKUP(--B2843,'CATALOGO CECO'!$A$2:$H$550,5,FALSE),""))</f>
        <v/>
      </c>
      <c r="J2843" s="8">
        <f>IF(B2843="","",IFERROR(VLOOKUP(--B2843,'CATALOGO CECO'!$A$2:$H$550,8,FALSE),""))</f>
        <v/>
      </c>
      <c r="K2843" s="8">
        <f>IF(COUNTA(A2843:F2843)=0,"",IF(OR(LEN(A2843)&lt;&gt;7,MID(A2843,5,1)&lt;&gt;"-",ISERROR(--LEFT(A2843,4)),ISERROR(--RIGHT(A2843,2))),"ERROR: PERIODO debe ser AAAA-MM",IF(B2843="","ERROR: falta CODIGO CECO",IF(G2843="CECO NO EXISTE","ERROR: CECO no existe en el catálogo",IF(C2843="","ERROR: falta CUENTA",IF(ISERROR(--C2843),"ERROR: CUENTA debe tener solo dígitos",IF(ISERROR(FIND(LEFT(C2843,1),"567")),"ERROR: CUENTA fuera de las clases de costo",IF(NOT(ISNUMBER(E2843)),"ERROR: VALOR debe ser numérico",IF(E2843=0,"AVISO: valor cero (no se carga)",IF(J2843&lt;&gt;"ACTIVO","NO SE CARGA: CECO en estado "&amp;J2843,"OK"))))))))))</f>
        <v/>
      </c>
    </row>
    <row r="2844">
      <c r="A2844" s="5" t="n"/>
      <c r="B2844" s="6" t="n"/>
      <c r="C2844" s="5" t="n"/>
      <c r="D2844" s="6" t="n"/>
      <c r="E2844" s="7" t="n"/>
      <c r="F2844" s="6" t="n"/>
      <c r="G2844" s="8">
        <f>IF(B2844="","",IFERROR(VLOOKUP(--B2844,'CATALOGO CECO'!$A$2:$H$550,2,FALSE),"CECO NO EXISTE"))</f>
        <v/>
      </c>
      <c r="H2844" s="8">
        <f>IF(B2844="","",IFERROR(VLOOKUP(--B2844,'CATALOGO CECO'!$A$2:$H$550,3,FALSE),""))</f>
        <v/>
      </c>
      <c r="I2844" s="8">
        <f>IF(B2844="","",IFERROR(VLOOKUP(--B2844,'CATALOGO CECO'!$A$2:$H$550,5,FALSE),""))</f>
        <v/>
      </c>
      <c r="J2844" s="8">
        <f>IF(B2844="","",IFERROR(VLOOKUP(--B2844,'CATALOGO CECO'!$A$2:$H$550,8,FALSE),""))</f>
        <v/>
      </c>
      <c r="K2844" s="8">
        <f>IF(COUNTA(A2844:F2844)=0,"",IF(OR(LEN(A2844)&lt;&gt;7,MID(A2844,5,1)&lt;&gt;"-",ISERROR(--LEFT(A2844,4)),ISERROR(--RIGHT(A2844,2))),"ERROR: PERIODO debe ser AAAA-MM",IF(B2844="","ERROR: falta CODIGO CECO",IF(G2844="CECO NO EXISTE","ERROR: CECO no existe en el catálogo",IF(C2844="","ERROR: falta CUENTA",IF(ISERROR(--C2844),"ERROR: CUENTA debe tener solo dígitos",IF(ISERROR(FIND(LEFT(C2844,1),"567")),"ERROR: CUENTA fuera de las clases de costo",IF(NOT(ISNUMBER(E2844)),"ERROR: VALOR debe ser numérico",IF(E2844=0,"AVISO: valor cero (no se carga)",IF(J2844&lt;&gt;"ACTIVO","NO SE CARGA: CECO en estado "&amp;J2844,"OK"))))))))))</f>
        <v/>
      </c>
    </row>
    <row r="2845">
      <c r="A2845" s="5" t="n"/>
      <c r="B2845" s="6" t="n"/>
      <c r="C2845" s="5" t="n"/>
      <c r="D2845" s="6" t="n"/>
      <c r="E2845" s="7" t="n"/>
      <c r="F2845" s="6" t="n"/>
      <c r="G2845" s="8">
        <f>IF(B2845="","",IFERROR(VLOOKUP(--B2845,'CATALOGO CECO'!$A$2:$H$550,2,FALSE),"CECO NO EXISTE"))</f>
        <v/>
      </c>
      <c r="H2845" s="8">
        <f>IF(B2845="","",IFERROR(VLOOKUP(--B2845,'CATALOGO CECO'!$A$2:$H$550,3,FALSE),""))</f>
        <v/>
      </c>
      <c r="I2845" s="8">
        <f>IF(B2845="","",IFERROR(VLOOKUP(--B2845,'CATALOGO CECO'!$A$2:$H$550,5,FALSE),""))</f>
        <v/>
      </c>
      <c r="J2845" s="8">
        <f>IF(B2845="","",IFERROR(VLOOKUP(--B2845,'CATALOGO CECO'!$A$2:$H$550,8,FALSE),""))</f>
        <v/>
      </c>
      <c r="K2845" s="8">
        <f>IF(COUNTA(A2845:F2845)=0,"",IF(OR(LEN(A2845)&lt;&gt;7,MID(A2845,5,1)&lt;&gt;"-",ISERROR(--LEFT(A2845,4)),ISERROR(--RIGHT(A2845,2))),"ERROR: PERIODO debe ser AAAA-MM",IF(B2845="","ERROR: falta CODIGO CECO",IF(G2845="CECO NO EXISTE","ERROR: CECO no existe en el catálogo",IF(C2845="","ERROR: falta CUENTA",IF(ISERROR(--C2845),"ERROR: CUENTA debe tener solo dígitos",IF(ISERROR(FIND(LEFT(C2845,1),"567")),"ERROR: CUENTA fuera de las clases de costo",IF(NOT(ISNUMBER(E2845)),"ERROR: VALOR debe ser numérico",IF(E2845=0,"AVISO: valor cero (no se carga)",IF(J2845&lt;&gt;"ACTIVO","NO SE CARGA: CECO en estado "&amp;J2845,"OK"))))))))))</f>
        <v/>
      </c>
    </row>
    <row r="2846">
      <c r="A2846" s="5" t="n"/>
      <c r="B2846" s="6" t="n"/>
      <c r="C2846" s="5" t="n"/>
      <c r="D2846" s="6" t="n"/>
      <c r="E2846" s="7" t="n"/>
      <c r="F2846" s="6" t="n"/>
      <c r="G2846" s="8">
        <f>IF(B2846="","",IFERROR(VLOOKUP(--B2846,'CATALOGO CECO'!$A$2:$H$550,2,FALSE),"CECO NO EXISTE"))</f>
        <v/>
      </c>
      <c r="H2846" s="8">
        <f>IF(B2846="","",IFERROR(VLOOKUP(--B2846,'CATALOGO CECO'!$A$2:$H$550,3,FALSE),""))</f>
        <v/>
      </c>
      <c r="I2846" s="8">
        <f>IF(B2846="","",IFERROR(VLOOKUP(--B2846,'CATALOGO CECO'!$A$2:$H$550,5,FALSE),""))</f>
        <v/>
      </c>
      <c r="J2846" s="8">
        <f>IF(B2846="","",IFERROR(VLOOKUP(--B2846,'CATALOGO CECO'!$A$2:$H$550,8,FALSE),""))</f>
        <v/>
      </c>
      <c r="K2846" s="8">
        <f>IF(COUNTA(A2846:F2846)=0,"",IF(OR(LEN(A2846)&lt;&gt;7,MID(A2846,5,1)&lt;&gt;"-",ISERROR(--LEFT(A2846,4)),ISERROR(--RIGHT(A2846,2))),"ERROR: PERIODO debe ser AAAA-MM",IF(B2846="","ERROR: falta CODIGO CECO",IF(G2846="CECO NO EXISTE","ERROR: CECO no existe en el catálogo",IF(C2846="","ERROR: falta CUENTA",IF(ISERROR(--C2846),"ERROR: CUENTA debe tener solo dígitos",IF(ISERROR(FIND(LEFT(C2846,1),"567")),"ERROR: CUENTA fuera de las clases de costo",IF(NOT(ISNUMBER(E2846)),"ERROR: VALOR debe ser numérico",IF(E2846=0,"AVISO: valor cero (no se carga)",IF(J2846&lt;&gt;"ACTIVO","NO SE CARGA: CECO en estado "&amp;J2846,"OK"))))))))))</f>
        <v/>
      </c>
    </row>
    <row r="2847">
      <c r="A2847" s="5" t="n"/>
      <c r="B2847" s="6" t="n"/>
      <c r="C2847" s="5" t="n"/>
      <c r="D2847" s="6" t="n"/>
      <c r="E2847" s="7" t="n"/>
      <c r="F2847" s="6" t="n"/>
      <c r="G2847" s="8">
        <f>IF(B2847="","",IFERROR(VLOOKUP(--B2847,'CATALOGO CECO'!$A$2:$H$550,2,FALSE),"CECO NO EXISTE"))</f>
        <v/>
      </c>
      <c r="H2847" s="8">
        <f>IF(B2847="","",IFERROR(VLOOKUP(--B2847,'CATALOGO CECO'!$A$2:$H$550,3,FALSE),""))</f>
        <v/>
      </c>
      <c r="I2847" s="8">
        <f>IF(B2847="","",IFERROR(VLOOKUP(--B2847,'CATALOGO CECO'!$A$2:$H$550,5,FALSE),""))</f>
        <v/>
      </c>
      <c r="J2847" s="8">
        <f>IF(B2847="","",IFERROR(VLOOKUP(--B2847,'CATALOGO CECO'!$A$2:$H$550,8,FALSE),""))</f>
        <v/>
      </c>
      <c r="K2847" s="8">
        <f>IF(COUNTA(A2847:F2847)=0,"",IF(OR(LEN(A2847)&lt;&gt;7,MID(A2847,5,1)&lt;&gt;"-",ISERROR(--LEFT(A2847,4)),ISERROR(--RIGHT(A2847,2))),"ERROR: PERIODO debe ser AAAA-MM",IF(B2847="","ERROR: falta CODIGO CECO",IF(G2847="CECO NO EXISTE","ERROR: CECO no existe en el catálogo",IF(C2847="","ERROR: falta CUENTA",IF(ISERROR(--C2847),"ERROR: CUENTA debe tener solo dígitos",IF(ISERROR(FIND(LEFT(C2847,1),"567")),"ERROR: CUENTA fuera de las clases de costo",IF(NOT(ISNUMBER(E2847)),"ERROR: VALOR debe ser numérico",IF(E2847=0,"AVISO: valor cero (no se carga)",IF(J2847&lt;&gt;"ACTIVO","NO SE CARGA: CECO en estado "&amp;J2847,"OK"))))))))))</f>
        <v/>
      </c>
    </row>
    <row r="2848">
      <c r="A2848" s="5" t="n"/>
      <c r="B2848" s="6" t="n"/>
      <c r="C2848" s="5" t="n"/>
      <c r="D2848" s="6" t="n"/>
      <c r="E2848" s="7" t="n"/>
      <c r="F2848" s="6" t="n"/>
      <c r="G2848" s="8">
        <f>IF(B2848="","",IFERROR(VLOOKUP(--B2848,'CATALOGO CECO'!$A$2:$H$550,2,FALSE),"CECO NO EXISTE"))</f>
        <v/>
      </c>
      <c r="H2848" s="8">
        <f>IF(B2848="","",IFERROR(VLOOKUP(--B2848,'CATALOGO CECO'!$A$2:$H$550,3,FALSE),""))</f>
        <v/>
      </c>
      <c r="I2848" s="8">
        <f>IF(B2848="","",IFERROR(VLOOKUP(--B2848,'CATALOGO CECO'!$A$2:$H$550,5,FALSE),""))</f>
        <v/>
      </c>
      <c r="J2848" s="8">
        <f>IF(B2848="","",IFERROR(VLOOKUP(--B2848,'CATALOGO CECO'!$A$2:$H$550,8,FALSE),""))</f>
        <v/>
      </c>
      <c r="K2848" s="8">
        <f>IF(COUNTA(A2848:F2848)=0,"",IF(OR(LEN(A2848)&lt;&gt;7,MID(A2848,5,1)&lt;&gt;"-",ISERROR(--LEFT(A2848,4)),ISERROR(--RIGHT(A2848,2))),"ERROR: PERIODO debe ser AAAA-MM",IF(B2848="","ERROR: falta CODIGO CECO",IF(G2848="CECO NO EXISTE","ERROR: CECO no existe en el catálogo",IF(C2848="","ERROR: falta CUENTA",IF(ISERROR(--C2848),"ERROR: CUENTA debe tener solo dígitos",IF(ISERROR(FIND(LEFT(C2848,1),"567")),"ERROR: CUENTA fuera de las clases de costo",IF(NOT(ISNUMBER(E2848)),"ERROR: VALOR debe ser numérico",IF(E2848=0,"AVISO: valor cero (no se carga)",IF(J2848&lt;&gt;"ACTIVO","NO SE CARGA: CECO en estado "&amp;J2848,"OK"))))))))))</f>
        <v/>
      </c>
    </row>
    <row r="2849">
      <c r="A2849" s="5" t="n"/>
      <c r="B2849" s="6" t="n"/>
      <c r="C2849" s="5" t="n"/>
      <c r="D2849" s="6" t="n"/>
      <c r="E2849" s="7" t="n"/>
      <c r="F2849" s="6" t="n"/>
      <c r="G2849" s="8">
        <f>IF(B2849="","",IFERROR(VLOOKUP(--B2849,'CATALOGO CECO'!$A$2:$H$550,2,FALSE),"CECO NO EXISTE"))</f>
        <v/>
      </c>
      <c r="H2849" s="8">
        <f>IF(B2849="","",IFERROR(VLOOKUP(--B2849,'CATALOGO CECO'!$A$2:$H$550,3,FALSE),""))</f>
        <v/>
      </c>
      <c r="I2849" s="8">
        <f>IF(B2849="","",IFERROR(VLOOKUP(--B2849,'CATALOGO CECO'!$A$2:$H$550,5,FALSE),""))</f>
        <v/>
      </c>
      <c r="J2849" s="8">
        <f>IF(B2849="","",IFERROR(VLOOKUP(--B2849,'CATALOGO CECO'!$A$2:$H$550,8,FALSE),""))</f>
        <v/>
      </c>
      <c r="K2849" s="8">
        <f>IF(COUNTA(A2849:F2849)=0,"",IF(OR(LEN(A2849)&lt;&gt;7,MID(A2849,5,1)&lt;&gt;"-",ISERROR(--LEFT(A2849,4)),ISERROR(--RIGHT(A2849,2))),"ERROR: PERIODO debe ser AAAA-MM",IF(B2849="","ERROR: falta CODIGO CECO",IF(G2849="CECO NO EXISTE","ERROR: CECO no existe en el catálogo",IF(C2849="","ERROR: falta CUENTA",IF(ISERROR(--C2849),"ERROR: CUENTA debe tener solo dígitos",IF(ISERROR(FIND(LEFT(C2849,1),"567")),"ERROR: CUENTA fuera de las clases de costo",IF(NOT(ISNUMBER(E2849)),"ERROR: VALOR debe ser numérico",IF(E2849=0,"AVISO: valor cero (no se carga)",IF(J2849&lt;&gt;"ACTIVO","NO SE CARGA: CECO en estado "&amp;J2849,"OK"))))))))))</f>
        <v/>
      </c>
    </row>
    <row r="2850">
      <c r="A2850" s="5" t="n"/>
      <c r="B2850" s="6" t="n"/>
      <c r="C2850" s="5" t="n"/>
      <c r="D2850" s="6" t="n"/>
      <c r="E2850" s="7" t="n"/>
      <c r="F2850" s="6" t="n"/>
      <c r="G2850" s="8">
        <f>IF(B2850="","",IFERROR(VLOOKUP(--B2850,'CATALOGO CECO'!$A$2:$H$550,2,FALSE),"CECO NO EXISTE"))</f>
        <v/>
      </c>
      <c r="H2850" s="8">
        <f>IF(B2850="","",IFERROR(VLOOKUP(--B2850,'CATALOGO CECO'!$A$2:$H$550,3,FALSE),""))</f>
        <v/>
      </c>
      <c r="I2850" s="8">
        <f>IF(B2850="","",IFERROR(VLOOKUP(--B2850,'CATALOGO CECO'!$A$2:$H$550,5,FALSE),""))</f>
        <v/>
      </c>
      <c r="J2850" s="8">
        <f>IF(B2850="","",IFERROR(VLOOKUP(--B2850,'CATALOGO CECO'!$A$2:$H$550,8,FALSE),""))</f>
        <v/>
      </c>
      <c r="K2850" s="8">
        <f>IF(COUNTA(A2850:F2850)=0,"",IF(OR(LEN(A2850)&lt;&gt;7,MID(A2850,5,1)&lt;&gt;"-",ISERROR(--LEFT(A2850,4)),ISERROR(--RIGHT(A2850,2))),"ERROR: PERIODO debe ser AAAA-MM",IF(B2850="","ERROR: falta CODIGO CECO",IF(G2850="CECO NO EXISTE","ERROR: CECO no existe en el catálogo",IF(C2850="","ERROR: falta CUENTA",IF(ISERROR(--C2850),"ERROR: CUENTA debe tener solo dígitos",IF(ISERROR(FIND(LEFT(C2850,1),"567")),"ERROR: CUENTA fuera de las clases de costo",IF(NOT(ISNUMBER(E2850)),"ERROR: VALOR debe ser numérico",IF(E2850=0,"AVISO: valor cero (no se carga)",IF(J2850&lt;&gt;"ACTIVO","NO SE CARGA: CECO en estado "&amp;J2850,"OK"))))))))))</f>
        <v/>
      </c>
    </row>
    <row r="2851">
      <c r="A2851" s="5" t="n"/>
      <c r="B2851" s="6" t="n"/>
      <c r="C2851" s="5" t="n"/>
      <c r="D2851" s="6" t="n"/>
      <c r="E2851" s="7" t="n"/>
      <c r="F2851" s="6" t="n"/>
      <c r="G2851" s="8">
        <f>IF(B2851="","",IFERROR(VLOOKUP(--B2851,'CATALOGO CECO'!$A$2:$H$550,2,FALSE),"CECO NO EXISTE"))</f>
        <v/>
      </c>
      <c r="H2851" s="8">
        <f>IF(B2851="","",IFERROR(VLOOKUP(--B2851,'CATALOGO CECO'!$A$2:$H$550,3,FALSE),""))</f>
        <v/>
      </c>
      <c r="I2851" s="8">
        <f>IF(B2851="","",IFERROR(VLOOKUP(--B2851,'CATALOGO CECO'!$A$2:$H$550,5,FALSE),""))</f>
        <v/>
      </c>
      <c r="J2851" s="8">
        <f>IF(B2851="","",IFERROR(VLOOKUP(--B2851,'CATALOGO CECO'!$A$2:$H$550,8,FALSE),""))</f>
        <v/>
      </c>
      <c r="K2851" s="8">
        <f>IF(COUNTA(A2851:F2851)=0,"",IF(OR(LEN(A2851)&lt;&gt;7,MID(A2851,5,1)&lt;&gt;"-",ISERROR(--LEFT(A2851,4)),ISERROR(--RIGHT(A2851,2))),"ERROR: PERIODO debe ser AAAA-MM",IF(B2851="","ERROR: falta CODIGO CECO",IF(G2851="CECO NO EXISTE","ERROR: CECO no existe en el catálogo",IF(C2851="","ERROR: falta CUENTA",IF(ISERROR(--C2851),"ERROR: CUENTA debe tener solo dígitos",IF(ISERROR(FIND(LEFT(C2851,1),"567")),"ERROR: CUENTA fuera de las clases de costo",IF(NOT(ISNUMBER(E2851)),"ERROR: VALOR debe ser numérico",IF(E2851=0,"AVISO: valor cero (no se carga)",IF(J2851&lt;&gt;"ACTIVO","NO SE CARGA: CECO en estado "&amp;J2851,"OK"))))))))))</f>
        <v/>
      </c>
    </row>
    <row r="2852">
      <c r="A2852" s="5" t="n"/>
      <c r="B2852" s="6" t="n"/>
      <c r="C2852" s="5" t="n"/>
      <c r="D2852" s="6" t="n"/>
      <c r="E2852" s="7" t="n"/>
      <c r="F2852" s="6" t="n"/>
      <c r="G2852" s="8">
        <f>IF(B2852="","",IFERROR(VLOOKUP(--B2852,'CATALOGO CECO'!$A$2:$H$550,2,FALSE),"CECO NO EXISTE"))</f>
        <v/>
      </c>
      <c r="H2852" s="8">
        <f>IF(B2852="","",IFERROR(VLOOKUP(--B2852,'CATALOGO CECO'!$A$2:$H$550,3,FALSE),""))</f>
        <v/>
      </c>
      <c r="I2852" s="8">
        <f>IF(B2852="","",IFERROR(VLOOKUP(--B2852,'CATALOGO CECO'!$A$2:$H$550,5,FALSE),""))</f>
        <v/>
      </c>
      <c r="J2852" s="8">
        <f>IF(B2852="","",IFERROR(VLOOKUP(--B2852,'CATALOGO CECO'!$A$2:$H$550,8,FALSE),""))</f>
        <v/>
      </c>
      <c r="K2852" s="8">
        <f>IF(COUNTA(A2852:F2852)=0,"",IF(OR(LEN(A2852)&lt;&gt;7,MID(A2852,5,1)&lt;&gt;"-",ISERROR(--LEFT(A2852,4)),ISERROR(--RIGHT(A2852,2))),"ERROR: PERIODO debe ser AAAA-MM",IF(B2852="","ERROR: falta CODIGO CECO",IF(G2852="CECO NO EXISTE","ERROR: CECO no existe en el catálogo",IF(C2852="","ERROR: falta CUENTA",IF(ISERROR(--C2852),"ERROR: CUENTA debe tener solo dígitos",IF(ISERROR(FIND(LEFT(C2852,1),"567")),"ERROR: CUENTA fuera de las clases de costo",IF(NOT(ISNUMBER(E2852)),"ERROR: VALOR debe ser numérico",IF(E2852=0,"AVISO: valor cero (no se carga)",IF(J2852&lt;&gt;"ACTIVO","NO SE CARGA: CECO en estado "&amp;J2852,"OK"))))))))))</f>
        <v/>
      </c>
    </row>
    <row r="2853">
      <c r="A2853" s="5" t="n"/>
      <c r="B2853" s="6" t="n"/>
      <c r="C2853" s="5" t="n"/>
      <c r="D2853" s="6" t="n"/>
      <c r="E2853" s="7" t="n"/>
      <c r="F2853" s="6" t="n"/>
      <c r="G2853" s="8">
        <f>IF(B2853="","",IFERROR(VLOOKUP(--B2853,'CATALOGO CECO'!$A$2:$H$550,2,FALSE),"CECO NO EXISTE"))</f>
        <v/>
      </c>
      <c r="H2853" s="8">
        <f>IF(B2853="","",IFERROR(VLOOKUP(--B2853,'CATALOGO CECO'!$A$2:$H$550,3,FALSE),""))</f>
        <v/>
      </c>
      <c r="I2853" s="8">
        <f>IF(B2853="","",IFERROR(VLOOKUP(--B2853,'CATALOGO CECO'!$A$2:$H$550,5,FALSE),""))</f>
        <v/>
      </c>
      <c r="J2853" s="8">
        <f>IF(B2853="","",IFERROR(VLOOKUP(--B2853,'CATALOGO CECO'!$A$2:$H$550,8,FALSE),""))</f>
        <v/>
      </c>
      <c r="K2853" s="8">
        <f>IF(COUNTA(A2853:F2853)=0,"",IF(OR(LEN(A2853)&lt;&gt;7,MID(A2853,5,1)&lt;&gt;"-",ISERROR(--LEFT(A2853,4)),ISERROR(--RIGHT(A2853,2))),"ERROR: PERIODO debe ser AAAA-MM",IF(B2853="","ERROR: falta CODIGO CECO",IF(G2853="CECO NO EXISTE","ERROR: CECO no existe en el catálogo",IF(C2853="","ERROR: falta CUENTA",IF(ISERROR(--C2853),"ERROR: CUENTA debe tener solo dígitos",IF(ISERROR(FIND(LEFT(C2853,1),"567")),"ERROR: CUENTA fuera de las clases de costo",IF(NOT(ISNUMBER(E2853)),"ERROR: VALOR debe ser numérico",IF(E2853=0,"AVISO: valor cero (no se carga)",IF(J2853&lt;&gt;"ACTIVO","NO SE CARGA: CECO en estado "&amp;J2853,"OK"))))))))))</f>
        <v/>
      </c>
    </row>
    <row r="2854">
      <c r="A2854" s="5" t="n"/>
      <c r="B2854" s="6" t="n"/>
      <c r="C2854" s="5" t="n"/>
      <c r="D2854" s="6" t="n"/>
      <c r="E2854" s="7" t="n"/>
      <c r="F2854" s="6" t="n"/>
      <c r="G2854" s="8">
        <f>IF(B2854="","",IFERROR(VLOOKUP(--B2854,'CATALOGO CECO'!$A$2:$H$550,2,FALSE),"CECO NO EXISTE"))</f>
        <v/>
      </c>
      <c r="H2854" s="8">
        <f>IF(B2854="","",IFERROR(VLOOKUP(--B2854,'CATALOGO CECO'!$A$2:$H$550,3,FALSE),""))</f>
        <v/>
      </c>
      <c r="I2854" s="8">
        <f>IF(B2854="","",IFERROR(VLOOKUP(--B2854,'CATALOGO CECO'!$A$2:$H$550,5,FALSE),""))</f>
        <v/>
      </c>
      <c r="J2854" s="8">
        <f>IF(B2854="","",IFERROR(VLOOKUP(--B2854,'CATALOGO CECO'!$A$2:$H$550,8,FALSE),""))</f>
        <v/>
      </c>
      <c r="K2854" s="8">
        <f>IF(COUNTA(A2854:F2854)=0,"",IF(OR(LEN(A2854)&lt;&gt;7,MID(A2854,5,1)&lt;&gt;"-",ISERROR(--LEFT(A2854,4)),ISERROR(--RIGHT(A2854,2))),"ERROR: PERIODO debe ser AAAA-MM",IF(B2854="","ERROR: falta CODIGO CECO",IF(G2854="CECO NO EXISTE","ERROR: CECO no existe en el catálogo",IF(C2854="","ERROR: falta CUENTA",IF(ISERROR(--C2854),"ERROR: CUENTA debe tener solo dígitos",IF(ISERROR(FIND(LEFT(C2854,1),"567")),"ERROR: CUENTA fuera de las clases de costo",IF(NOT(ISNUMBER(E2854)),"ERROR: VALOR debe ser numérico",IF(E2854=0,"AVISO: valor cero (no se carga)",IF(J2854&lt;&gt;"ACTIVO","NO SE CARGA: CECO en estado "&amp;J2854,"OK"))))))))))</f>
        <v/>
      </c>
    </row>
    <row r="2855">
      <c r="A2855" s="5" t="n"/>
      <c r="B2855" s="6" t="n"/>
      <c r="C2855" s="5" t="n"/>
      <c r="D2855" s="6" t="n"/>
      <c r="E2855" s="7" t="n"/>
      <c r="F2855" s="6" t="n"/>
      <c r="G2855" s="8">
        <f>IF(B2855="","",IFERROR(VLOOKUP(--B2855,'CATALOGO CECO'!$A$2:$H$550,2,FALSE),"CECO NO EXISTE"))</f>
        <v/>
      </c>
      <c r="H2855" s="8">
        <f>IF(B2855="","",IFERROR(VLOOKUP(--B2855,'CATALOGO CECO'!$A$2:$H$550,3,FALSE),""))</f>
        <v/>
      </c>
      <c r="I2855" s="8">
        <f>IF(B2855="","",IFERROR(VLOOKUP(--B2855,'CATALOGO CECO'!$A$2:$H$550,5,FALSE),""))</f>
        <v/>
      </c>
      <c r="J2855" s="8">
        <f>IF(B2855="","",IFERROR(VLOOKUP(--B2855,'CATALOGO CECO'!$A$2:$H$550,8,FALSE),""))</f>
        <v/>
      </c>
      <c r="K2855" s="8">
        <f>IF(COUNTA(A2855:F2855)=0,"",IF(OR(LEN(A2855)&lt;&gt;7,MID(A2855,5,1)&lt;&gt;"-",ISERROR(--LEFT(A2855,4)),ISERROR(--RIGHT(A2855,2))),"ERROR: PERIODO debe ser AAAA-MM",IF(B2855="","ERROR: falta CODIGO CECO",IF(G2855="CECO NO EXISTE","ERROR: CECO no existe en el catálogo",IF(C2855="","ERROR: falta CUENTA",IF(ISERROR(--C2855),"ERROR: CUENTA debe tener solo dígitos",IF(ISERROR(FIND(LEFT(C2855,1),"567")),"ERROR: CUENTA fuera de las clases de costo",IF(NOT(ISNUMBER(E2855)),"ERROR: VALOR debe ser numérico",IF(E2855=0,"AVISO: valor cero (no se carga)",IF(J2855&lt;&gt;"ACTIVO","NO SE CARGA: CECO en estado "&amp;J2855,"OK"))))))))))</f>
        <v/>
      </c>
    </row>
    <row r="2856">
      <c r="A2856" s="5" t="n"/>
      <c r="B2856" s="6" t="n"/>
      <c r="C2856" s="5" t="n"/>
      <c r="D2856" s="6" t="n"/>
      <c r="E2856" s="7" t="n"/>
      <c r="F2856" s="6" t="n"/>
      <c r="G2856" s="8">
        <f>IF(B2856="","",IFERROR(VLOOKUP(--B2856,'CATALOGO CECO'!$A$2:$H$550,2,FALSE),"CECO NO EXISTE"))</f>
        <v/>
      </c>
      <c r="H2856" s="8">
        <f>IF(B2856="","",IFERROR(VLOOKUP(--B2856,'CATALOGO CECO'!$A$2:$H$550,3,FALSE),""))</f>
        <v/>
      </c>
      <c r="I2856" s="8">
        <f>IF(B2856="","",IFERROR(VLOOKUP(--B2856,'CATALOGO CECO'!$A$2:$H$550,5,FALSE),""))</f>
        <v/>
      </c>
      <c r="J2856" s="8">
        <f>IF(B2856="","",IFERROR(VLOOKUP(--B2856,'CATALOGO CECO'!$A$2:$H$550,8,FALSE),""))</f>
        <v/>
      </c>
      <c r="K2856" s="8">
        <f>IF(COUNTA(A2856:F2856)=0,"",IF(OR(LEN(A2856)&lt;&gt;7,MID(A2856,5,1)&lt;&gt;"-",ISERROR(--LEFT(A2856,4)),ISERROR(--RIGHT(A2856,2))),"ERROR: PERIODO debe ser AAAA-MM",IF(B2856="","ERROR: falta CODIGO CECO",IF(G2856="CECO NO EXISTE","ERROR: CECO no existe en el catálogo",IF(C2856="","ERROR: falta CUENTA",IF(ISERROR(--C2856),"ERROR: CUENTA debe tener solo dígitos",IF(ISERROR(FIND(LEFT(C2856,1),"567")),"ERROR: CUENTA fuera de las clases de costo",IF(NOT(ISNUMBER(E2856)),"ERROR: VALOR debe ser numérico",IF(E2856=0,"AVISO: valor cero (no se carga)",IF(J2856&lt;&gt;"ACTIVO","NO SE CARGA: CECO en estado "&amp;J2856,"OK"))))))))))</f>
        <v/>
      </c>
    </row>
    <row r="2857">
      <c r="A2857" s="5" t="n"/>
      <c r="B2857" s="6" t="n"/>
      <c r="C2857" s="5" t="n"/>
      <c r="D2857" s="6" t="n"/>
      <c r="E2857" s="7" t="n"/>
      <c r="F2857" s="6" t="n"/>
      <c r="G2857" s="8">
        <f>IF(B2857="","",IFERROR(VLOOKUP(--B2857,'CATALOGO CECO'!$A$2:$H$550,2,FALSE),"CECO NO EXISTE"))</f>
        <v/>
      </c>
      <c r="H2857" s="8">
        <f>IF(B2857="","",IFERROR(VLOOKUP(--B2857,'CATALOGO CECO'!$A$2:$H$550,3,FALSE),""))</f>
        <v/>
      </c>
      <c r="I2857" s="8">
        <f>IF(B2857="","",IFERROR(VLOOKUP(--B2857,'CATALOGO CECO'!$A$2:$H$550,5,FALSE),""))</f>
        <v/>
      </c>
      <c r="J2857" s="8">
        <f>IF(B2857="","",IFERROR(VLOOKUP(--B2857,'CATALOGO CECO'!$A$2:$H$550,8,FALSE),""))</f>
        <v/>
      </c>
      <c r="K2857" s="8">
        <f>IF(COUNTA(A2857:F2857)=0,"",IF(OR(LEN(A2857)&lt;&gt;7,MID(A2857,5,1)&lt;&gt;"-",ISERROR(--LEFT(A2857,4)),ISERROR(--RIGHT(A2857,2))),"ERROR: PERIODO debe ser AAAA-MM",IF(B2857="","ERROR: falta CODIGO CECO",IF(G2857="CECO NO EXISTE","ERROR: CECO no existe en el catálogo",IF(C2857="","ERROR: falta CUENTA",IF(ISERROR(--C2857),"ERROR: CUENTA debe tener solo dígitos",IF(ISERROR(FIND(LEFT(C2857,1),"567")),"ERROR: CUENTA fuera de las clases de costo",IF(NOT(ISNUMBER(E2857)),"ERROR: VALOR debe ser numérico",IF(E2857=0,"AVISO: valor cero (no se carga)",IF(J2857&lt;&gt;"ACTIVO","NO SE CARGA: CECO en estado "&amp;J2857,"OK"))))))))))</f>
        <v/>
      </c>
    </row>
    <row r="2858">
      <c r="A2858" s="5" t="n"/>
      <c r="B2858" s="6" t="n"/>
      <c r="C2858" s="5" t="n"/>
      <c r="D2858" s="6" t="n"/>
      <c r="E2858" s="7" t="n"/>
      <c r="F2858" s="6" t="n"/>
      <c r="G2858" s="8">
        <f>IF(B2858="","",IFERROR(VLOOKUP(--B2858,'CATALOGO CECO'!$A$2:$H$550,2,FALSE),"CECO NO EXISTE"))</f>
        <v/>
      </c>
      <c r="H2858" s="8">
        <f>IF(B2858="","",IFERROR(VLOOKUP(--B2858,'CATALOGO CECO'!$A$2:$H$550,3,FALSE),""))</f>
        <v/>
      </c>
      <c r="I2858" s="8">
        <f>IF(B2858="","",IFERROR(VLOOKUP(--B2858,'CATALOGO CECO'!$A$2:$H$550,5,FALSE),""))</f>
        <v/>
      </c>
      <c r="J2858" s="8">
        <f>IF(B2858="","",IFERROR(VLOOKUP(--B2858,'CATALOGO CECO'!$A$2:$H$550,8,FALSE),""))</f>
        <v/>
      </c>
      <c r="K2858" s="8">
        <f>IF(COUNTA(A2858:F2858)=0,"",IF(OR(LEN(A2858)&lt;&gt;7,MID(A2858,5,1)&lt;&gt;"-",ISERROR(--LEFT(A2858,4)),ISERROR(--RIGHT(A2858,2))),"ERROR: PERIODO debe ser AAAA-MM",IF(B2858="","ERROR: falta CODIGO CECO",IF(G2858="CECO NO EXISTE","ERROR: CECO no existe en el catálogo",IF(C2858="","ERROR: falta CUENTA",IF(ISERROR(--C2858),"ERROR: CUENTA debe tener solo dígitos",IF(ISERROR(FIND(LEFT(C2858,1),"567")),"ERROR: CUENTA fuera de las clases de costo",IF(NOT(ISNUMBER(E2858)),"ERROR: VALOR debe ser numérico",IF(E2858=0,"AVISO: valor cero (no se carga)",IF(J2858&lt;&gt;"ACTIVO","NO SE CARGA: CECO en estado "&amp;J2858,"OK"))))))))))</f>
        <v/>
      </c>
    </row>
    <row r="2859">
      <c r="A2859" s="5" t="n"/>
      <c r="B2859" s="6" t="n"/>
      <c r="C2859" s="5" t="n"/>
      <c r="D2859" s="6" t="n"/>
      <c r="E2859" s="7" t="n"/>
      <c r="F2859" s="6" t="n"/>
      <c r="G2859" s="8">
        <f>IF(B2859="","",IFERROR(VLOOKUP(--B2859,'CATALOGO CECO'!$A$2:$H$550,2,FALSE),"CECO NO EXISTE"))</f>
        <v/>
      </c>
      <c r="H2859" s="8">
        <f>IF(B2859="","",IFERROR(VLOOKUP(--B2859,'CATALOGO CECO'!$A$2:$H$550,3,FALSE),""))</f>
        <v/>
      </c>
      <c r="I2859" s="8">
        <f>IF(B2859="","",IFERROR(VLOOKUP(--B2859,'CATALOGO CECO'!$A$2:$H$550,5,FALSE),""))</f>
        <v/>
      </c>
      <c r="J2859" s="8">
        <f>IF(B2859="","",IFERROR(VLOOKUP(--B2859,'CATALOGO CECO'!$A$2:$H$550,8,FALSE),""))</f>
        <v/>
      </c>
      <c r="K2859" s="8">
        <f>IF(COUNTA(A2859:F2859)=0,"",IF(OR(LEN(A2859)&lt;&gt;7,MID(A2859,5,1)&lt;&gt;"-",ISERROR(--LEFT(A2859,4)),ISERROR(--RIGHT(A2859,2))),"ERROR: PERIODO debe ser AAAA-MM",IF(B2859="","ERROR: falta CODIGO CECO",IF(G2859="CECO NO EXISTE","ERROR: CECO no existe en el catálogo",IF(C2859="","ERROR: falta CUENTA",IF(ISERROR(--C2859),"ERROR: CUENTA debe tener solo dígitos",IF(ISERROR(FIND(LEFT(C2859,1),"567")),"ERROR: CUENTA fuera de las clases de costo",IF(NOT(ISNUMBER(E2859)),"ERROR: VALOR debe ser numérico",IF(E2859=0,"AVISO: valor cero (no se carga)",IF(J2859&lt;&gt;"ACTIVO","NO SE CARGA: CECO en estado "&amp;J2859,"OK"))))))))))</f>
        <v/>
      </c>
    </row>
    <row r="2860">
      <c r="A2860" s="5" t="n"/>
      <c r="B2860" s="6" t="n"/>
      <c r="C2860" s="5" t="n"/>
      <c r="D2860" s="6" t="n"/>
      <c r="E2860" s="7" t="n"/>
      <c r="F2860" s="6" t="n"/>
      <c r="G2860" s="8">
        <f>IF(B2860="","",IFERROR(VLOOKUP(--B2860,'CATALOGO CECO'!$A$2:$H$550,2,FALSE),"CECO NO EXISTE"))</f>
        <v/>
      </c>
      <c r="H2860" s="8">
        <f>IF(B2860="","",IFERROR(VLOOKUP(--B2860,'CATALOGO CECO'!$A$2:$H$550,3,FALSE),""))</f>
        <v/>
      </c>
      <c r="I2860" s="8">
        <f>IF(B2860="","",IFERROR(VLOOKUP(--B2860,'CATALOGO CECO'!$A$2:$H$550,5,FALSE),""))</f>
        <v/>
      </c>
      <c r="J2860" s="8">
        <f>IF(B2860="","",IFERROR(VLOOKUP(--B2860,'CATALOGO CECO'!$A$2:$H$550,8,FALSE),""))</f>
        <v/>
      </c>
      <c r="K2860" s="8">
        <f>IF(COUNTA(A2860:F2860)=0,"",IF(OR(LEN(A2860)&lt;&gt;7,MID(A2860,5,1)&lt;&gt;"-",ISERROR(--LEFT(A2860,4)),ISERROR(--RIGHT(A2860,2))),"ERROR: PERIODO debe ser AAAA-MM",IF(B2860="","ERROR: falta CODIGO CECO",IF(G2860="CECO NO EXISTE","ERROR: CECO no existe en el catálogo",IF(C2860="","ERROR: falta CUENTA",IF(ISERROR(--C2860),"ERROR: CUENTA debe tener solo dígitos",IF(ISERROR(FIND(LEFT(C2860,1),"567")),"ERROR: CUENTA fuera de las clases de costo",IF(NOT(ISNUMBER(E2860)),"ERROR: VALOR debe ser numérico",IF(E2860=0,"AVISO: valor cero (no se carga)",IF(J2860&lt;&gt;"ACTIVO","NO SE CARGA: CECO en estado "&amp;J2860,"OK"))))))))))</f>
        <v/>
      </c>
    </row>
    <row r="2861">
      <c r="A2861" s="5" t="n"/>
      <c r="B2861" s="6" t="n"/>
      <c r="C2861" s="5" t="n"/>
      <c r="D2861" s="6" t="n"/>
      <c r="E2861" s="7" t="n"/>
      <c r="F2861" s="6" t="n"/>
      <c r="G2861" s="8">
        <f>IF(B2861="","",IFERROR(VLOOKUP(--B2861,'CATALOGO CECO'!$A$2:$H$550,2,FALSE),"CECO NO EXISTE"))</f>
        <v/>
      </c>
      <c r="H2861" s="8">
        <f>IF(B2861="","",IFERROR(VLOOKUP(--B2861,'CATALOGO CECO'!$A$2:$H$550,3,FALSE),""))</f>
        <v/>
      </c>
      <c r="I2861" s="8">
        <f>IF(B2861="","",IFERROR(VLOOKUP(--B2861,'CATALOGO CECO'!$A$2:$H$550,5,FALSE),""))</f>
        <v/>
      </c>
      <c r="J2861" s="8">
        <f>IF(B2861="","",IFERROR(VLOOKUP(--B2861,'CATALOGO CECO'!$A$2:$H$550,8,FALSE),""))</f>
        <v/>
      </c>
      <c r="K2861" s="8">
        <f>IF(COUNTA(A2861:F2861)=0,"",IF(OR(LEN(A2861)&lt;&gt;7,MID(A2861,5,1)&lt;&gt;"-",ISERROR(--LEFT(A2861,4)),ISERROR(--RIGHT(A2861,2))),"ERROR: PERIODO debe ser AAAA-MM",IF(B2861="","ERROR: falta CODIGO CECO",IF(G2861="CECO NO EXISTE","ERROR: CECO no existe en el catálogo",IF(C2861="","ERROR: falta CUENTA",IF(ISERROR(--C2861),"ERROR: CUENTA debe tener solo dígitos",IF(ISERROR(FIND(LEFT(C2861,1),"567")),"ERROR: CUENTA fuera de las clases de costo",IF(NOT(ISNUMBER(E2861)),"ERROR: VALOR debe ser numérico",IF(E2861=0,"AVISO: valor cero (no se carga)",IF(J2861&lt;&gt;"ACTIVO","NO SE CARGA: CECO en estado "&amp;J2861,"OK"))))))))))</f>
        <v/>
      </c>
    </row>
    <row r="2862">
      <c r="A2862" s="5" t="n"/>
      <c r="B2862" s="6" t="n"/>
      <c r="C2862" s="5" t="n"/>
      <c r="D2862" s="6" t="n"/>
      <c r="E2862" s="7" t="n"/>
      <c r="F2862" s="6" t="n"/>
      <c r="G2862" s="8">
        <f>IF(B2862="","",IFERROR(VLOOKUP(--B2862,'CATALOGO CECO'!$A$2:$H$550,2,FALSE),"CECO NO EXISTE"))</f>
        <v/>
      </c>
      <c r="H2862" s="8">
        <f>IF(B2862="","",IFERROR(VLOOKUP(--B2862,'CATALOGO CECO'!$A$2:$H$550,3,FALSE),""))</f>
        <v/>
      </c>
      <c r="I2862" s="8">
        <f>IF(B2862="","",IFERROR(VLOOKUP(--B2862,'CATALOGO CECO'!$A$2:$H$550,5,FALSE),""))</f>
        <v/>
      </c>
      <c r="J2862" s="8">
        <f>IF(B2862="","",IFERROR(VLOOKUP(--B2862,'CATALOGO CECO'!$A$2:$H$550,8,FALSE),""))</f>
        <v/>
      </c>
      <c r="K2862" s="8">
        <f>IF(COUNTA(A2862:F2862)=0,"",IF(OR(LEN(A2862)&lt;&gt;7,MID(A2862,5,1)&lt;&gt;"-",ISERROR(--LEFT(A2862,4)),ISERROR(--RIGHT(A2862,2))),"ERROR: PERIODO debe ser AAAA-MM",IF(B2862="","ERROR: falta CODIGO CECO",IF(G2862="CECO NO EXISTE","ERROR: CECO no existe en el catálogo",IF(C2862="","ERROR: falta CUENTA",IF(ISERROR(--C2862),"ERROR: CUENTA debe tener solo dígitos",IF(ISERROR(FIND(LEFT(C2862,1),"567")),"ERROR: CUENTA fuera de las clases de costo",IF(NOT(ISNUMBER(E2862)),"ERROR: VALOR debe ser numérico",IF(E2862=0,"AVISO: valor cero (no se carga)",IF(J2862&lt;&gt;"ACTIVO","NO SE CARGA: CECO en estado "&amp;J2862,"OK"))))))))))</f>
        <v/>
      </c>
    </row>
    <row r="2863">
      <c r="A2863" s="5" t="n"/>
      <c r="B2863" s="6" t="n"/>
      <c r="C2863" s="5" t="n"/>
      <c r="D2863" s="6" t="n"/>
      <c r="E2863" s="7" t="n"/>
      <c r="F2863" s="6" t="n"/>
      <c r="G2863" s="8">
        <f>IF(B2863="","",IFERROR(VLOOKUP(--B2863,'CATALOGO CECO'!$A$2:$H$550,2,FALSE),"CECO NO EXISTE"))</f>
        <v/>
      </c>
      <c r="H2863" s="8">
        <f>IF(B2863="","",IFERROR(VLOOKUP(--B2863,'CATALOGO CECO'!$A$2:$H$550,3,FALSE),""))</f>
        <v/>
      </c>
      <c r="I2863" s="8">
        <f>IF(B2863="","",IFERROR(VLOOKUP(--B2863,'CATALOGO CECO'!$A$2:$H$550,5,FALSE),""))</f>
        <v/>
      </c>
      <c r="J2863" s="8">
        <f>IF(B2863="","",IFERROR(VLOOKUP(--B2863,'CATALOGO CECO'!$A$2:$H$550,8,FALSE),""))</f>
        <v/>
      </c>
      <c r="K2863" s="8">
        <f>IF(COUNTA(A2863:F2863)=0,"",IF(OR(LEN(A2863)&lt;&gt;7,MID(A2863,5,1)&lt;&gt;"-",ISERROR(--LEFT(A2863,4)),ISERROR(--RIGHT(A2863,2))),"ERROR: PERIODO debe ser AAAA-MM",IF(B2863="","ERROR: falta CODIGO CECO",IF(G2863="CECO NO EXISTE","ERROR: CECO no existe en el catálogo",IF(C2863="","ERROR: falta CUENTA",IF(ISERROR(--C2863),"ERROR: CUENTA debe tener solo dígitos",IF(ISERROR(FIND(LEFT(C2863,1),"567")),"ERROR: CUENTA fuera de las clases de costo",IF(NOT(ISNUMBER(E2863)),"ERROR: VALOR debe ser numérico",IF(E2863=0,"AVISO: valor cero (no se carga)",IF(J2863&lt;&gt;"ACTIVO","NO SE CARGA: CECO en estado "&amp;J2863,"OK"))))))))))</f>
        <v/>
      </c>
    </row>
    <row r="2864">
      <c r="A2864" s="5" t="n"/>
      <c r="B2864" s="6" t="n"/>
      <c r="C2864" s="5" t="n"/>
      <c r="D2864" s="6" t="n"/>
      <c r="E2864" s="7" t="n"/>
      <c r="F2864" s="6" t="n"/>
      <c r="G2864" s="8">
        <f>IF(B2864="","",IFERROR(VLOOKUP(--B2864,'CATALOGO CECO'!$A$2:$H$550,2,FALSE),"CECO NO EXISTE"))</f>
        <v/>
      </c>
      <c r="H2864" s="8">
        <f>IF(B2864="","",IFERROR(VLOOKUP(--B2864,'CATALOGO CECO'!$A$2:$H$550,3,FALSE),""))</f>
        <v/>
      </c>
      <c r="I2864" s="8">
        <f>IF(B2864="","",IFERROR(VLOOKUP(--B2864,'CATALOGO CECO'!$A$2:$H$550,5,FALSE),""))</f>
        <v/>
      </c>
      <c r="J2864" s="8">
        <f>IF(B2864="","",IFERROR(VLOOKUP(--B2864,'CATALOGO CECO'!$A$2:$H$550,8,FALSE),""))</f>
        <v/>
      </c>
      <c r="K2864" s="8">
        <f>IF(COUNTA(A2864:F2864)=0,"",IF(OR(LEN(A2864)&lt;&gt;7,MID(A2864,5,1)&lt;&gt;"-",ISERROR(--LEFT(A2864,4)),ISERROR(--RIGHT(A2864,2))),"ERROR: PERIODO debe ser AAAA-MM",IF(B2864="","ERROR: falta CODIGO CECO",IF(G2864="CECO NO EXISTE","ERROR: CECO no existe en el catálogo",IF(C2864="","ERROR: falta CUENTA",IF(ISERROR(--C2864),"ERROR: CUENTA debe tener solo dígitos",IF(ISERROR(FIND(LEFT(C2864,1),"567")),"ERROR: CUENTA fuera de las clases de costo",IF(NOT(ISNUMBER(E2864)),"ERROR: VALOR debe ser numérico",IF(E2864=0,"AVISO: valor cero (no se carga)",IF(J2864&lt;&gt;"ACTIVO","NO SE CARGA: CECO en estado "&amp;J2864,"OK"))))))))))</f>
        <v/>
      </c>
    </row>
    <row r="2865">
      <c r="A2865" s="5" t="n"/>
      <c r="B2865" s="6" t="n"/>
      <c r="C2865" s="5" t="n"/>
      <c r="D2865" s="6" t="n"/>
      <c r="E2865" s="7" t="n"/>
      <c r="F2865" s="6" t="n"/>
      <c r="G2865" s="8">
        <f>IF(B2865="","",IFERROR(VLOOKUP(--B2865,'CATALOGO CECO'!$A$2:$H$550,2,FALSE),"CECO NO EXISTE"))</f>
        <v/>
      </c>
      <c r="H2865" s="8">
        <f>IF(B2865="","",IFERROR(VLOOKUP(--B2865,'CATALOGO CECO'!$A$2:$H$550,3,FALSE),""))</f>
        <v/>
      </c>
      <c r="I2865" s="8">
        <f>IF(B2865="","",IFERROR(VLOOKUP(--B2865,'CATALOGO CECO'!$A$2:$H$550,5,FALSE),""))</f>
        <v/>
      </c>
      <c r="J2865" s="8">
        <f>IF(B2865="","",IFERROR(VLOOKUP(--B2865,'CATALOGO CECO'!$A$2:$H$550,8,FALSE),""))</f>
        <v/>
      </c>
      <c r="K2865" s="8">
        <f>IF(COUNTA(A2865:F2865)=0,"",IF(OR(LEN(A2865)&lt;&gt;7,MID(A2865,5,1)&lt;&gt;"-",ISERROR(--LEFT(A2865,4)),ISERROR(--RIGHT(A2865,2))),"ERROR: PERIODO debe ser AAAA-MM",IF(B2865="","ERROR: falta CODIGO CECO",IF(G2865="CECO NO EXISTE","ERROR: CECO no existe en el catálogo",IF(C2865="","ERROR: falta CUENTA",IF(ISERROR(--C2865),"ERROR: CUENTA debe tener solo dígitos",IF(ISERROR(FIND(LEFT(C2865,1),"567")),"ERROR: CUENTA fuera de las clases de costo",IF(NOT(ISNUMBER(E2865)),"ERROR: VALOR debe ser numérico",IF(E2865=0,"AVISO: valor cero (no se carga)",IF(J2865&lt;&gt;"ACTIVO","NO SE CARGA: CECO en estado "&amp;J2865,"OK"))))))))))</f>
        <v/>
      </c>
    </row>
    <row r="2866">
      <c r="A2866" s="5" t="n"/>
      <c r="B2866" s="6" t="n"/>
      <c r="C2866" s="5" t="n"/>
      <c r="D2866" s="6" t="n"/>
      <c r="E2866" s="7" t="n"/>
      <c r="F2866" s="6" t="n"/>
      <c r="G2866" s="8">
        <f>IF(B2866="","",IFERROR(VLOOKUP(--B2866,'CATALOGO CECO'!$A$2:$H$550,2,FALSE),"CECO NO EXISTE"))</f>
        <v/>
      </c>
      <c r="H2866" s="8">
        <f>IF(B2866="","",IFERROR(VLOOKUP(--B2866,'CATALOGO CECO'!$A$2:$H$550,3,FALSE),""))</f>
        <v/>
      </c>
      <c r="I2866" s="8">
        <f>IF(B2866="","",IFERROR(VLOOKUP(--B2866,'CATALOGO CECO'!$A$2:$H$550,5,FALSE),""))</f>
        <v/>
      </c>
      <c r="J2866" s="8">
        <f>IF(B2866="","",IFERROR(VLOOKUP(--B2866,'CATALOGO CECO'!$A$2:$H$550,8,FALSE),""))</f>
        <v/>
      </c>
      <c r="K2866" s="8">
        <f>IF(COUNTA(A2866:F2866)=0,"",IF(OR(LEN(A2866)&lt;&gt;7,MID(A2866,5,1)&lt;&gt;"-",ISERROR(--LEFT(A2866,4)),ISERROR(--RIGHT(A2866,2))),"ERROR: PERIODO debe ser AAAA-MM",IF(B2866="","ERROR: falta CODIGO CECO",IF(G2866="CECO NO EXISTE","ERROR: CECO no existe en el catálogo",IF(C2866="","ERROR: falta CUENTA",IF(ISERROR(--C2866),"ERROR: CUENTA debe tener solo dígitos",IF(ISERROR(FIND(LEFT(C2866,1),"567")),"ERROR: CUENTA fuera de las clases de costo",IF(NOT(ISNUMBER(E2866)),"ERROR: VALOR debe ser numérico",IF(E2866=0,"AVISO: valor cero (no se carga)",IF(J2866&lt;&gt;"ACTIVO","NO SE CARGA: CECO en estado "&amp;J2866,"OK"))))))))))</f>
        <v/>
      </c>
    </row>
    <row r="2867">
      <c r="A2867" s="5" t="n"/>
      <c r="B2867" s="6" t="n"/>
      <c r="C2867" s="5" t="n"/>
      <c r="D2867" s="6" t="n"/>
      <c r="E2867" s="7" t="n"/>
      <c r="F2867" s="6" t="n"/>
      <c r="G2867" s="8">
        <f>IF(B2867="","",IFERROR(VLOOKUP(--B2867,'CATALOGO CECO'!$A$2:$H$550,2,FALSE),"CECO NO EXISTE"))</f>
        <v/>
      </c>
      <c r="H2867" s="8">
        <f>IF(B2867="","",IFERROR(VLOOKUP(--B2867,'CATALOGO CECO'!$A$2:$H$550,3,FALSE),""))</f>
        <v/>
      </c>
      <c r="I2867" s="8">
        <f>IF(B2867="","",IFERROR(VLOOKUP(--B2867,'CATALOGO CECO'!$A$2:$H$550,5,FALSE),""))</f>
        <v/>
      </c>
      <c r="J2867" s="8">
        <f>IF(B2867="","",IFERROR(VLOOKUP(--B2867,'CATALOGO CECO'!$A$2:$H$550,8,FALSE),""))</f>
        <v/>
      </c>
      <c r="K2867" s="8">
        <f>IF(COUNTA(A2867:F2867)=0,"",IF(OR(LEN(A2867)&lt;&gt;7,MID(A2867,5,1)&lt;&gt;"-",ISERROR(--LEFT(A2867,4)),ISERROR(--RIGHT(A2867,2))),"ERROR: PERIODO debe ser AAAA-MM",IF(B2867="","ERROR: falta CODIGO CECO",IF(G2867="CECO NO EXISTE","ERROR: CECO no existe en el catálogo",IF(C2867="","ERROR: falta CUENTA",IF(ISERROR(--C2867),"ERROR: CUENTA debe tener solo dígitos",IF(ISERROR(FIND(LEFT(C2867,1),"567")),"ERROR: CUENTA fuera de las clases de costo",IF(NOT(ISNUMBER(E2867)),"ERROR: VALOR debe ser numérico",IF(E2867=0,"AVISO: valor cero (no se carga)",IF(J2867&lt;&gt;"ACTIVO","NO SE CARGA: CECO en estado "&amp;J2867,"OK"))))))))))</f>
        <v/>
      </c>
    </row>
    <row r="2868">
      <c r="A2868" s="5" t="n"/>
      <c r="B2868" s="6" t="n"/>
      <c r="C2868" s="5" t="n"/>
      <c r="D2868" s="6" t="n"/>
      <c r="E2868" s="7" t="n"/>
      <c r="F2868" s="6" t="n"/>
      <c r="G2868" s="8">
        <f>IF(B2868="","",IFERROR(VLOOKUP(--B2868,'CATALOGO CECO'!$A$2:$H$550,2,FALSE),"CECO NO EXISTE"))</f>
        <v/>
      </c>
      <c r="H2868" s="8">
        <f>IF(B2868="","",IFERROR(VLOOKUP(--B2868,'CATALOGO CECO'!$A$2:$H$550,3,FALSE),""))</f>
        <v/>
      </c>
      <c r="I2868" s="8">
        <f>IF(B2868="","",IFERROR(VLOOKUP(--B2868,'CATALOGO CECO'!$A$2:$H$550,5,FALSE),""))</f>
        <v/>
      </c>
      <c r="J2868" s="8">
        <f>IF(B2868="","",IFERROR(VLOOKUP(--B2868,'CATALOGO CECO'!$A$2:$H$550,8,FALSE),""))</f>
        <v/>
      </c>
      <c r="K2868" s="8">
        <f>IF(COUNTA(A2868:F2868)=0,"",IF(OR(LEN(A2868)&lt;&gt;7,MID(A2868,5,1)&lt;&gt;"-",ISERROR(--LEFT(A2868,4)),ISERROR(--RIGHT(A2868,2))),"ERROR: PERIODO debe ser AAAA-MM",IF(B2868="","ERROR: falta CODIGO CECO",IF(G2868="CECO NO EXISTE","ERROR: CECO no existe en el catálogo",IF(C2868="","ERROR: falta CUENTA",IF(ISERROR(--C2868),"ERROR: CUENTA debe tener solo dígitos",IF(ISERROR(FIND(LEFT(C2868,1),"567")),"ERROR: CUENTA fuera de las clases de costo",IF(NOT(ISNUMBER(E2868)),"ERROR: VALOR debe ser numérico",IF(E2868=0,"AVISO: valor cero (no se carga)",IF(J2868&lt;&gt;"ACTIVO","NO SE CARGA: CECO en estado "&amp;J2868,"OK"))))))))))</f>
        <v/>
      </c>
    </row>
    <row r="2869">
      <c r="A2869" s="5" t="n"/>
      <c r="B2869" s="6" t="n"/>
      <c r="C2869" s="5" t="n"/>
      <c r="D2869" s="6" t="n"/>
      <c r="E2869" s="7" t="n"/>
      <c r="F2869" s="6" t="n"/>
      <c r="G2869" s="8">
        <f>IF(B2869="","",IFERROR(VLOOKUP(--B2869,'CATALOGO CECO'!$A$2:$H$550,2,FALSE),"CECO NO EXISTE"))</f>
        <v/>
      </c>
      <c r="H2869" s="8">
        <f>IF(B2869="","",IFERROR(VLOOKUP(--B2869,'CATALOGO CECO'!$A$2:$H$550,3,FALSE),""))</f>
        <v/>
      </c>
      <c r="I2869" s="8">
        <f>IF(B2869="","",IFERROR(VLOOKUP(--B2869,'CATALOGO CECO'!$A$2:$H$550,5,FALSE),""))</f>
        <v/>
      </c>
      <c r="J2869" s="8">
        <f>IF(B2869="","",IFERROR(VLOOKUP(--B2869,'CATALOGO CECO'!$A$2:$H$550,8,FALSE),""))</f>
        <v/>
      </c>
      <c r="K2869" s="8">
        <f>IF(COUNTA(A2869:F2869)=0,"",IF(OR(LEN(A2869)&lt;&gt;7,MID(A2869,5,1)&lt;&gt;"-",ISERROR(--LEFT(A2869,4)),ISERROR(--RIGHT(A2869,2))),"ERROR: PERIODO debe ser AAAA-MM",IF(B2869="","ERROR: falta CODIGO CECO",IF(G2869="CECO NO EXISTE","ERROR: CECO no existe en el catálogo",IF(C2869="","ERROR: falta CUENTA",IF(ISERROR(--C2869),"ERROR: CUENTA debe tener solo dígitos",IF(ISERROR(FIND(LEFT(C2869,1),"567")),"ERROR: CUENTA fuera de las clases de costo",IF(NOT(ISNUMBER(E2869)),"ERROR: VALOR debe ser numérico",IF(E2869=0,"AVISO: valor cero (no se carga)",IF(J2869&lt;&gt;"ACTIVO","NO SE CARGA: CECO en estado "&amp;J2869,"OK"))))))))))</f>
        <v/>
      </c>
    </row>
    <row r="2870">
      <c r="A2870" s="5" t="n"/>
      <c r="B2870" s="6" t="n"/>
      <c r="C2870" s="5" t="n"/>
      <c r="D2870" s="6" t="n"/>
      <c r="E2870" s="7" t="n"/>
      <c r="F2870" s="6" t="n"/>
      <c r="G2870" s="8">
        <f>IF(B2870="","",IFERROR(VLOOKUP(--B2870,'CATALOGO CECO'!$A$2:$H$550,2,FALSE),"CECO NO EXISTE"))</f>
        <v/>
      </c>
      <c r="H2870" s="8">
        <f>IF(B2870="","",IFERROR(VLOOKUP(--B2870,'CATALOGO CECO'!$A$2:$H$550,3,FALSE),""))</f>
        <v/>
      </c>
      <c r="I2870" s="8">
        <f>IF(B2870="","",IFERROR(VLOOKUP(--B2870,'CATALOGO CECO'!$A$2:$H$550,5,FALSE),""))</f>
        <v/>
      </c>
      <c r="J2870" s="8">
        <f>IF(B2870="","",IFERROR(VLOOKUP(--B2870,'CATALOGO CECO'!$A$2:$H$550,8,FALSE),""))</f>
        <v/>
      </c>
      <c r="K2870" s="8">
        <f>IF(COUNTA(A2870:F2870)=0,"",IF(OR(LEN(A2870)&lt;&gt;7,MID(A2870,5,1)&lt;&gt;"-",ISERROR(--LEFT(A2870,4)),ISERROR(--RIGHT(A2870,2))),"ERROR: PERIODO debe ser AAAA-MM",IF(B2870="","ERROR: falta CODIGO CECO",IF(G2870="CECO NO EXISTE","ERROR: CECO no existe en el catálogo",IF(C2870="","ERROR: falta CUENTA",IF(ISERROR(--C2870),"ERROR: CUENTA debe tener solo dígitos",IF(ISERROR(FIND(LEFT(C2870,1),"567")),"ERROR: CUENTA fuera de las clases de costo",IF(NOT(ISNUMBER(E2870)),"ERROR: VALOR debe ser numérico",IF(E2870=0,"AVISO: valor cero (no se carga)",IF(J2870&lt;&gt;"ACTIVO","NO SE CARGA: CECO en estado "&amp;J2870,"OK"))))))))))</f>
        <v/>
      </c>
    </row>
    <row r="2871">
      <c r="A2871" s="5" t="n"/>
      <c r="B2871" s="6" t="n"/>
      <c r="C2871" s="5" t="n"/>
      <c r="D2871" s="6" t="n"/>
      <c r="E2871" s="7" t="n"/>
      <c r="F2871" s="6" t="n"/>
      <c r="G2871" s="8">
        <f>IF(B2871="","",IFERROR(VLOOKUP(--B2871,'CATALOGO CECO'!$A$2:$H$550,2,FALSE),"CECO NO EXISTE"))</f>
        <v/>
      </c>
      <c r="H2871" s="8">
        <f>IF(B2871="","",IFERROR(VLOOKUP(--B2871,'CATALOGO CECO'!$A$2:$H$550,3,FALSE),""))</f>
        <v/>
      </c>
      <c r="I2871" s="8">
        <f>IF(B2871="","",IFERROR(VLOOKUP(--B2871,'CATALOGO CECO'!$A$2:$H$550,5,FALSE),""))</f>
        <v/>
      </c>
      <c r="J2871" s="8">
        <f>IF(B2871="","",IFERROR(VLOOKUP(--B2871,'CATALOGO CECO'!$A$2:$H$550,8,FALSE),""))</f>
        <v/>
      </c>
      <c r="K2871" s="8">
        <f>IF(COUNTA(A2871:F2871)=0,"",IF(OR(LEN(A2871)&lt;&gt;7,MID(A2871,5,1)&lt;&gt;"-",ISERROR(--LEFT(A2871,4)),ISERROR(--RIGHT(A2871,2))),"ERROR: PERIODO debe ser AAAA-MM",IF(B2871="","ERROR: falta CODIGO CECO",IF(G2871="CECO NO EXISTE","ERROR: CECO no existe en el catálogo",IF(C2871="","ERROR: falta CUENTA",IF(ISERROR(--C2871),"ERROR: CUENTA debe tener solo dígitos",IF(ISERROR(FIND(LEFT(C2871,1),"567")),"ERROR: CUENTA fuera de las clases de costo",IF(NOT(ISNUMBER(E2871)),"ERROR: VALOR debe ser numérico",IF(E2871=0,"AVISO: valor cero (no se carga)",IF(J2871&lt;&gt;"ACTIVO","NO SE CARGA: CECO en estado "&amp;J2871,"OK"))))))))))</f>
        <v/>
      </c>
    </row>
    <row r="2872">
      <c r="A2872" s="5" t="n"/>
      <c r="B2872" s="6" t="n"/>
      <c r="C2872" s="5" t="n"/>
      <c r="D2872" s="6" t="n"/>
      <c r="E2872" s="7" t="n"/>
      <c r="F2872" s="6" t="n"/>
      <c r="G2872" s="8">
        <f>IF(B2872="","",IFERROR(VLOOKUP(--B2872,'CATALOGO CECO'!$A$2:$H$550,2,FALSE),"CECO NO EXISTE"))</f>
        <v/>
      </c>
      <c r="H2872" s="8">
        <f>IF(B2872="","",IFERROR(VLOOKUP(--B2872,'CATALOGO CECO'!$A$2:$H$550,3,FALSE),""))</f>
        <v/>
      </c>
      <c r="I2872" s="8">
        <f>IF(B2872="","",IFERROR(VLOOKUP(--B2872,'CATALOGO CECO'!$A$2:$H$550,5,FALSE),""))</f>
        <v/>
      </c>
      <c r="J2872" s="8">
        <f>IF(B2872="","",IFERROR(VLOOKUP(--B2872,'CATALOGO CECO'!$A$2:$H$550,8,FALSE),""))</f>
        <v/>
      </c>
      <c r="K2872" s="8">
        <f>IF(COUNTA(A2872:F2872)=0,"",IF(OR(LEN(A2872)&lt;&gt;7,MID(A2872,5,1)&lt;&gt;"-",ISERROR(--LEFT(A2872,4)),ISERROR(--RIGHT(A2872,2))),"ERROR: PERIODO debe ser AAAA-MM",IF(B2872="","ERROR: falta CODIGO CECO",IF(G2872="CECO NO EXISTE","ERROR: CECO no existe en el catálogo",IF(C2872="","ERROR: falta CUENTA",IF(ISERROR(--C2872),"ERROR: CUENTA debe tener solo dígitos",IF(ISERROR(FIND(LEFT(C2872,1),"567")),"ERROR: CUENTA fuera de las clases de costo",IF(NOT(ISNUMBER(E2872)),"ERROR: VALOR debe ser numérico",IF(E2872=0,"AVISO: valor cero (no se carga)",IF(J2872&lt;&gt;"ACTIVO","NO SE CARGA: CECO en estado "&amp;J2872,"OK"))))))))))</f>
        <v/>
      </c>
    </row>
    <row r="2873">
      <c r="A2873" s="5" t="n"/>
      <c r="B2873" s="6" t="n"/>
      <c r="C2873" s="5" t="n"/>
      <c r="D2873" s="6" t="n"/>
      <c r="E2873" s="7" t="n"/>
      <c r="F2873" s="6" t="n"/>
      <c r="G2873" s="8">
        <f>IF(B2873="","",IFERROR(VLOOKUP(--B2873,'CATALOGO CECO'!$A$2:$H$550,2,FALSE),"CECO NO EXISTE"))</f>
        <v/>
      </c>
      <c r="H2873" s="8">
        <f>IF(B2873="","",IFERROR(VLOOKUP(--B2873,'CATALOGO CECO'!$A$2:$H$550,3,FALSE),""))</f>
        <v/>
      </c>
      <c r="I2873" s="8">
        <f>IF(B2873="","",IFERROR(VLOOKUP(--B2873,'CATALOGO CECO'!$A$2:$H$550,5,FALSE),""))</f>
        <v/>
      </c>
      <c r="J2873" s="8">
        <f>IF(B2873="","",IFERROR(VLOOKUP(--B2873,'CATALOGO CECO'!$A$2:$H$550,8,FALSE),""))</f>
        <v/>
      </c>
      <c r="K2873" s="8">
        <f>IF(COUNTA(A2873:F2873)=0,"",IF(OR(LEN(A2873)&lt;&gt;7,MID(A2873,5,1)&lt;&gt;"-",ISERROR(--LEFT(A2873,4)),ISERROR(--RIGHT(A2873,2))),"ERROR: PERIODO debe ser AAAA-MM",IF(B2873="","ERROR: falta CODIGO CECO",IF(G2873="CECO NO EXISTE","ERROR: CECO no existe en el catálogo",IF(C2873="","ERROR: falta CUENTA",IF(ISERROR(--C2873),"ERROR: CUENTA debe tener solo dígitos",IF(ISERROR(FIND(LEFT(C2873,1),"567")),"ERROR: CUENTA fuera de las clases de costo",IF(NOT(ISNUMBER(E2873)),"ERROR: VALOR debe ser numérico",IF(E2873=0,"AVISO: valor cero (no se carga)",IF(J2873&lt;&gt;"ACTIVO","NO SE CARGA: CECO en estado "&amp;J2873,"OK"))))))))))</f>
        <v/>
      </c>
    </row>
    <row r="2874">
      <c r="A2874" s="5" t="n"/>
      <c r="B2874" s="6" t="n"/>
      <c r="C2874" s="5" t="n"/>
      <c r="D2874" s="6" t="n"/>
      <c r="E2874" s="7" t="n"/>
      <c r="F2874" s="6" t="n"/>
      <c r="G2874" s="8">
        <f>IF(B2874="","",IFERROR(VLOOKUP(--B2874,'CATALOGO CECO'!$A$2:$H$550,2,FALSE),"CECO NO EXISTE"))</f>
        <v/>
      </c>
      <c r="H2874" s="8">
        <f>IF(B2874="","",IFERROR(VLOOKUP(--B2874,'CATALOGO CECO'!$A$2:$H$550,3,FALSE),""))</f>
        <v/>
      </c>
      <c r="I2874" s="8">
        <f>IF(B2874="","",IFERROR(VLOOKUP(--B2874,'CATALOGO CECO'!$A$2:$H$550,5,FALSE),""))</f>
        <v/>
      </c>
      <c r="J2874" s="8">
        <f>IF(B2874="","",IFERROR(VLOOKUP(--B2874,'CATALOGO CECO'!$A$2:$H$550,8,FALSE),""))</f>
        <v/>
      </c>
      <c r="K2874" s="8">
        <f>IF(COUNTA(A2874:F2874)=0,"",IF(OR(LEN(A2874)&lt;&gt;7,MID(A2874,5,1)&lt;&gt;"-",ISERROR(--LEFT(A2874,4)),ISERROR(--RIGHT(A2874,2))),"ERROR: PERIODO debe ser AAAA-MM",IF(B2874="","ERROR: falta CODIGO CECO",IF(G2874="CECO NO EXISTE","ERROR: CECO no existe en el catálogo",IF(C2874="","ERROR: falta CUENTA",IF(ISERROR(--C2874),"ERROR: CUENTA debe tener solo dígitos",IF(ISERROR(FIND(LEFT(C2874,1),"567")),"ERROR: CUENTA fuera de las clases de costo",IF(NOT(ISNUMBER(E2874)),"ERROR: VALOR debe ser numérico",IF(E2874=0,"AVISO: valor cero (no se carga)",IF(J2874&lt;&gt;"ACTIVO","NO SE CARGA: CECO en estado "&amp;J2874,"OK"))))))))))</f>
        <v/>
      </c>
    </row>
    <row r="2875">
      <c r="A2875" s="5" t="n"/>
      <c r="B2875" s="6" t="n"/>
      <c r="C2875" s="5" t="n"/>
      <c r="D2875" s="6" t="n"/>
      <c r="E2875" s="7" t="n"/>
      <c r="F2875" s="6" t="n"/>
      <c r="G2875" s="8">
        <f>IF(B2875="","",IFERROR(VLOOKUP(--B2875,'CATALOGO CECO'!$A$2:$H$550,2,FALSE),"CECO NO EXISTE"))</f>
        <v/>
      </c>
      <c r="H2875" s="8">
        <f>IF(B2875="","",IFERROR(VLOOKUP(--B2875,'CATALOGO CECO'!$A$2:$H$550,3,FALSE),""))</f>
        <v/>
      </c>
      <c r="I2875" s="8">
        <f>IF(B2875="","",IFERROR(VLOOKUP(--B2875,'CATALOGO CECO'!$A$2:$H$550,5,FALSE),""))</f>
        <v/>
      </c>
      <c r="J2875" s="8">
        <f>IF(B2875="","",IFERROR(VLOOKUP(--B2875,'CATALOGO CECO'!$A$2:$H$550,8,FALSE),""))</f>
        <v/>
      </c>
      <c r="K2875" s="8">
        <f>IF(COUNTA(A2875:F2875)=0,"",IF(OR(LEN(A2875)&lt;&gt;7,MID(A2875,5,1)&lt;&gt;"-",ISERROR(--LEFT(A2875,4)),ISERROR(--RIGHT(A2875,2))),"ERROR: PERIODO debe ser AAAA-MM",IF(B2875="","ERROR: falta CODIGO CECO",IF(G2875="CECO NO EXISTE","ERROR: CECO no existe en el catálogo",IF(C2875="","ERROR: falta CUENTA",IF(ISERROR(--C2875),"ERROR: CUENTA debe tener solo dígitos",IF(ISERROR(FIND(LEFT(C2875,1),"567")),"ERROR: CUENTA fuera de las clases de costo",IF(NOT(ISNUMBER(E2875)),"ERROR: VALOR debe ser numérico",IF(E2875=0,"AVISO: valor cero (no se carga)",IF(J2875&lt;&gt;"ACTIVO","NO SE CARGA: CECO en estado "&amp;J2875,"OK"))))))))))</f>
        <v/>
      </c>
    </row>
    <row r="2876">
      <c r="A2876" s="5" t="n"/>
      <c r="B2876" s="6" t="n"/>
      <c r="C2876" s="5" t="n"/>
      <c r="D2876" s="6" t="n"/>
      <c r="E2876" s="7" t="n"/>
      <c r="F2876" s="6" t="n"/>
      <c r="G2876" s="8">
        <f>IF(B2876="","",IFERROR(VLOOKUP(--B2876,'CATALOGO CECO'!$A$2:$H$550,2,FALSE),"CECO NO EXISTE"))</f>
        <v/>
      </c>
      <c r="H2876" s="8">
        <f>IF(B2876="","",IFERROR(VLOOKUP(--B2876,'CATALOGO CECO'!$A$2:$H$550,3,FALSE),""))</f>
        <v/>
      </c>
      <c r="I2876" s="8">
        <f>IF(B2876="","",IFERROR(VLOOKUP(--B2876,'CATALOGO CECO'!$A$2:$H$550,5,FALSE),""))</f>
        <v/>
      </c>
      <c r="J2876" s="8">
        <f>IF(B2876="","",IFERROR(VLOOKUP(--B2876,'CATALOGO CECO'!$A$2:$H$550,8,FALSE),""))</f>
        <v/>
      </c>
      <c r="K2876" s="8">
        <f>IF(COUNTA(A2876:F2876)=0,"",IF(OR(LEN(A2876)&lt;&gt;7,MID(A2876,5,1)&lt;&gt;"-",ISERROR(--LEFT(A2876,4)),ISERROR(--RIGHT(A2876,2))),"ERROR: PERIODO debe ser AAAA-MM",IF(B2876="","ERROR: falta CODIGO CECO",IF(G2876="CECO NO EXISTE","ERROR: CECO no existe en el catálogo",IF(C2876="","ERROR: falta CUENTA",IF(ISERROR(--C2876),"ERROR: CUENTA debe tener solo dígitos",IF(ISERROR(FIND(LEFT(C2876,1),"567")),"ERROR: CUENTA fuera de las clases de costo",IF(NOT(ISNUMBER(E2876)),"ERROR: VALOR debe ser numérico",IF(E2876=0,"AVISO: valor cero (no se carga)",IF(J2876&lt;&gt;"ACTIVO","NO SE CARGA: CECO en estado "&amp;J2876,"OK"))))))))))</f>
        <v/>
      </c>
    </row>
    <row r="2877">
      <c r="A2877" s="5" t="n"/>
      <c r="B2877" s="6" t="n"/>
      <c r="C2877" s="5" t="n"/>
      <c r="D2877" s="6" t="n"/>
      <c r="E2877" s="7" t="n"/>
      <c r="F2877" s="6" t="n"/>
      <c r="G2877" s="8">
        <f>IF(B2877="","",IFERROR(VLOOKUP(--B2877,'CATALOGO CECO'!$A$2:$H$550,2,FALSE),"CECO NO EXISTE"))</f>
        <v/>
      </c>
      <c r="H2877" s="8">
        <f>IF(B2877="","",IFERROR(VLOOKUP(--B2877,'CATALOGO CECO'!$A$2:$H$550,3,FALSE),""))</f>
        <v/>
      </c>
      <c r="I2877" s="8">
        <f>IF(B2877="","",IFERROR(VLOOKUP(--B2877,'CATALOGO CECO'!$A$2:$H$550,5,FALSE),""))</f>
        <v/>
      </c>
      <c r="J2877" s="8">
        <f>IF(B2877="","",IFERROR(VLOOKUP(--B2877,'CATALOGO CECO'!$A$2:$H$550,8,FALSE),""))</f>
        <v/>
      </c>
      <c r="K2877" s="8">
        <f>IF(COUNTA(A2877:F2877)=0,"",IF(OR(LEN(A2877)&lt;&gt;7,MID(A2877,5,1)&lt;&gt;"-",ISERROR(--LEFT(A2877,4)),ISERROR(--RIGHT(A2877,2))),"ERROR: PERIODO debe ser AAAA-MM",IF(B2877="","ERROR: falta CODIGO CECO",IF(G2877="CECO NO EXISTE","ERROR: CECO no existe en el catálogo",IF(C2877="","ERROR: falta CUENTA",IF(ISERROR(--C2877),"ERROR: CUENTA debe tener solo dígitos",IF(ISERROR(FIND(LEFT(C2877,1),"567")),"ERROR: CUENTA fuera de las clases de costo",IF(NOT(ISNUMBER(E2877)),"ERROR: VALOR debe ser numérico",IF(E2877=0,"AVISO: valor cero (no se carga)",IF(J2877&lt;&gt;"ACTIVO","NO SE CARGA: CECO en estado "&amp;J2877,"OK"))))))))))</f>
        <v/>
      </c>
    </row>
    <row r="2878">
      <c r="A2878" s="5" t="n"/>
      <c r="B2878" s="6" t="n"/>
      <c r="C2878" s="5" t="n"/>
      <c r="D2878" s="6" t="n"/>
      <c r="E2878" s="7" t="n"/>
      <c r="F2878" s="6" t="n"/>
      <c r="G2878" s="8">
        <f>IF(B2878="","",IFERROR(VLOOKUP(--B2878,'CATALOGO CECO'!$A$2:$H$550,2,FALSE),"CECO NO EXISTE"))</f>
        <v/>
      </c>
      <c r="H2878" s="8">
        <f>IF(B2878="","",IFERROR(VLOOKUP(--B2878,'CATALOGO CECO'!$A$2:$H$550,3,FALSE),""))</f>
        <v/>
      </c>
      <c r="I2878" s="8">
        <f>IF(B2878="","",IFERROR(VLOOKUP(--B2878,'CATALOGO CECO'!$A$2:$H$550,5,FALSE),""))</f>
        <v/>
      </c>
      <c r="J2878" s="8">
        <f>IF(B2878="","",IFERROR(VLOOKUP(--B2878,'CATALOGO CECO'!$A$2:$H$550,8,FALSE),""))</f>
        <v/>
      </c>
      <c r="K2878" s="8">
        <f>IF(COUNTA(A2878:F2878)=0,"",IF(OR(LEN(A2878)&lt;&gt;7,MID(A2878,5,1)&lt;&gt;"-",ISERROR(--LEFT(A2878,4)),ISERROR(--RIGHT(A2878,2))),"ERROR: PERIODO debe ser AAAA-MM",IF(B2878="","ERROR: falta CODIGO CECO",IF(G2878="CECO NO EXISTE","ERROR: CECO no existe en el catálogo",IF(C2878="","ERROR: falta CUENTA",IF(ISERROR(--C2878),"ERROR: CUENTA debe tener solo dígitos",IF(ISERROR(FIND(LEFT(C2878,1),"567")),"ERROR: CUENTA fuera de las clases de costo",IF(NOT(ISNUMBER(E2878)),"ERROR: VALOR debe ser numérico",IF(E2878=0,"AVISO: valor cero (no se carga)",IF(J2878&lt;&gt;"ACTIVO","NO SE CARGA: CECO en estado "&amp;J2878,"OK"))))))))))</f>
        <v/>
      </c>
    </row>
    <row r="2879">
      <c r="A2879" s="5" t="n"/>
      <c r="B2879" s="6" t="n"/>
      <c r="C2879" s="5" t="n"/>
      <c r="D2879" s="6" t="n"/>
      <c r="E2879" s="7" t="n"/>
      <c r="F2879" s="6" t="n"/>
      <c r="G2879" s="8">
        <f>IF(B2879="","",IFERROR(VLOOKUP(--B2879,'CATALOGO CECO'!$A$2:$H$550,2,FALSE),"CECO NO EXISTE"))</f>
        <v/>
      </c>
      <c r="H2879" s="8">
        <f>IF(B2879="","",IFERROR(VLOOKUP(--B2879,'CATALOGO CECO'!$A$2:$H$550,3,FALSE),""))</f>
        <v/>
      </c>
      <c r="I2879" s="8">
        <f>IF(B2879="","",IFERROR(VLOOKUP(--B2879,'CATALOGO CECO'!$A$2:$H$550,5,FALSE),""))</f>
        <v/>
      </c>
      <c r="J2879" s="8">
        <f>IF(B2879="","",IFERROR(VLOOKUP(--B2879,'CATALOGO CECO'!$A$2:$H$550,8,FALSE),""))</f>
        <v/>
      </c>
      <c r="K2879" s="8">
        <f>IF(COUNTA(A2879:F2879)=0,"",IF(OR(LEN(A2879)&lt;&gt;7,MID(A2879,5,1)&lt;&gt;"-",ISERROR(--LEFT(A2879,4)),ISERROR(--RIGHT(A2879,2))),"ERROR: PERIODO debe ser AAAA-MM",IF(B2879="","ERROR: falta CODIGO CECO",IF(G2879="CECO NO EXISTE","ERROR: CECO no existe en el catálogo",IF(C2879="","ERROR: falta CUENTA",IF(ISERROR(--C2879),"ERROR: CUENTA debe tener solo dígitos",IF(ISERROR(FIND(LEFT(C2879,1),"567")),"ERROR: CUENTA fuera de las clases de costo",IF(NOT(ISNUMBER(E2879)),"ERROR: VALOR debe ser numérico",IF(E2879=0,"AVISO: valor cero (no se carga)",IF(J2879&lt;&gt;"ACTIVO","NO SE CARGA: CECO en estado "&amp;J2879,"OK"))))))))))</f>
        <v/>
      </c>
    </row>
    <row r="2880">
      <c r="A2880" s="5" t="n"/>
      <c r="B2880" s="6" t="n"/>
      <c r="C2880" s="5" t="n"/>
      <c r="D2880" s="6" t="n"/>
      <c r="E2880" s="7" t="n"/>
      <c r="F2880" s="6" t="n"/>
      <c r="G2880" s="8">
        <f>IF(B2880="","",IFERROR(VLOOKUP(--B2880,'CATALOGO CECO'!$A$2:$H$550,2,FALSE),"CECO NO EXISTE"))</f>
        <v/>
      </c>
      <c r="H2880" s="8">
        <f>IF(B2880="","",IFERROR(VLOOKUP(--B2880,'CATALOGO CECO'!$A$2:$H$550,3,FALSE),""))</f>
        <v/>
      </c>
      <c r="I2880" s="8">
        <f>IF(B2880="","",IFERROR(VLOOKUP(--B2880,'CATALOGO CECO'!$A$2:$H$550,5,FALSE),""))</f>
        <v/>
      </c>
      <c r="J2880" s="8">
        <f>IF(B2880="","",IFERROR(VLOOKUP(--B2880,'CATALOGO CECO'!$A$2:$H$550,8,FALSE),""))</f>
        <v/>
      </c>
      <c r="K2880" s="8">
        <f>IF(COUNTA(A2880:F2880)=0,"",IF(OR(LEN(A2880)&lt;&gt;7,MID(A2880,5,1)&lt;&gt;"-",ISERROR(--LEFT(A2880,4)),ISERROR(--RIGHT(A2880,2))),"ERROR: PERIODO debe ser AAAA-MM",IF(B2880="","ERROR: falta CODIGO CECO",IF(G2880="CECO NO EXISTE","ERROR: CECO no existe en el catálogo",IF(C2880="","ERROR: falta CUENTA",IF(ISERROR(--C2880),"ERROR: CUENTA debe tener solo dígitos",IF(ISERROR(FIND(LEFT(C2880,1),"567")),"ERROR: CUENTA fuera de las clases de costo",IF(NOT(ISNUMBER(E2880)),"ERROR: VALOR debe ser numérico",IF(E2880=0,"AVISO: valor cero (no se carga)",IF(J2880&lt;&gt;"ACTIVO","NO SE CARGA: CECO en estado "&amp;J2880,"OK"))))))))))</f>
        <v/>
      </c>
    </row>
    <row r="2881">
      <c r="A2881" s="5" t="n"/>
      <c r="B2881" s="6" t="n"/>
      <c r="C2881" s="5" t="n"/>
      <c r="D2881" s="6" t="n"/>
      <c r="E2881" s="7" t="n"/>
      <c r="F2881" s="6" t="n"/>
      <c r="G2881" s="8">
        <f>IF(B2881="","",IFERROR(VLOOKUP(--B2881,'CATALOGO CECO'!$A$2:$H$550,2,FALSE),"CECO NO EXISTE"))</f>
        <v/>
      </c>
      <c r="H2881" s="8">
        <f>IF(B2881="","",IFERROR(VLOOKUP(--B2881,'CATALOGO CECO'!$A$2:$H$550,3,FALSE),""))</f>
        <v/>
      </c>
      <c r="I2881" s="8">
        <f>IF(B2881="","",IFERROR(VLOOKUP(--B2881,'CATALOGO CECO'!$A$2:$H$550,5,FALSE),""))</f>
        <v/>
      </c>
      <c r="J2881" s="8">
        <f>IF(B2881="","",IFERROR(VLOOKUP(--B2881,'CATALOGO CECO'!$A$2:$H$550,8,FALSE),""))</f>
        <v/>
      </c>
      <c r="K2881" s="8">
        <f>IF(COUNTA(A2881:F2881)=0,"",IF(OR(LEN(A2881)&lt;&gt;7,MID(A2881,5,1)&lt;&gt;"-",ISERROR(--LEFT(A2881,4)),ISERROR(--RIGHT(A2881,2))),"ERROR: PERIODO debe ser AAAA-MM",IF(B2881="","ERROR: falta CODIGO CECO",IF(G2881="CECO NO EXISTE","ERROR: CECO no existe en el catálogo",IF(C2881="","ERROR: falta CUENTA",IF(ISERROR(--C2881),"ERROR: CUENTA debe tener solo dígitos",IF(ISERROR(FIND(LEFT(C2881,1),"567")),"ERROR: CUENTA fuera de las clases de costo",IF(NOT(ISNUMBER(E2881)),"ERROR: VALOR debe ser numérico",IF(E2881=0,"AVISO: valor cero (no se carga)",IF(J2881&lt;&gt;"ACTIVO","NO SE CARGA: CECO en estado "&amp;J2881,"OK"))))))))))</f>
        <v/>
      </c>
    </row>
    <row r="2882">
      <c r="A2882" s="5" t="n"/>
      <c r="B2882" s="6" t="n"/>
      <c r="C2882" s="5" t="n"/>
      <c r="D2882" s="6" t="n"/>
      <c r="E2882" s="7" t="n"/>
      <c r="F2882" s="6" t="n"/>
      <c r="G2882" s="8">
        <f>IF(B2882="","",IFERROR(VLOOKUP(--B2882,'CATALOGO CECO'!$A$2:$H$550,2,FALSE),"CECO NO EXISTE"))</f>
        <v/>
      </c>
      <c r="H2882" s="8">
        <f>IF(B2882="","",IFERROR(VLOOKUP(--B2882,'CATALOGO CECO'!$A$2:$H$550,3,FALSE),""))</f>
        <v/>
      </c>
      <c r="I2882" s="8">
        <f>IF(B2882="","",IFERROR(VLOOKUP(--B2882,'CATALOGO CECO'!$A$2:$H$550,5,FALSE),""))</f>
        <v/>
      </c>
      <c r="J2882" s="8">
        <f>IF(B2882="","",IFERROR(VLOOKUP(--B2882,'CATALOGO CECO'!$A$2:$H$550,8,FALSE),""))</f>
        <v/>
      </c>
      <c r="K2882" s="8">
        <f>IF(COUNTA(A2882:F2882)=0,"",IF(OR(LEN(A2882)&lt;&gt;7,MID(A2882,5,1)&lt;&gt;"-",ISERROR(--LEFT(A2882,4)),ISERROR(--RIGHT(A2882,2))),"ERROR: PERIODO debe ser AAAA-MM",IF(B2882="","ERROR: falta CODIGO CECO",IF(G2882="CECO NO EXISTE","ERROR: CECO no existe en el catálogo",IF(C2882="","ERROR: falta CUENTA",IF(ISERROR(--C2882),"ERROR: CUENTA debe tener solo dígitos",IF(ISERROR(FIND(LEFT(C2882,1),"567")),"ERROR: CUENTA fuera de las clases de costo",IF(NOT(ISNUMBER(E2882)),"ERROR: VALOR debe ser numérico",IF(E2882=0,"AVISO: valor cero (no se carga)",IF(J2882&lt;&gt;"ACTIVO","NO SE CARGA: CECO en estado "&amp;J2882,"OK"))))))))))</f>
        <v/>
      </c>
    </row>
    <row r="2883">
      <c r="A2883" s="5" t="n"/>
      <c r="B2883" s="6" t="n"/>
      <c r="C2883" s="5" t="n"/>
      <c r="D2883" s="6" t="n"/>
      <c r="E2883" s="7" t="n"/>
      <c r="F2883" s="6" t="n"/>
      <c r="G2883" s="8">
        <f>IF(B2883="","",IFERROR(VLOOKUP(--B2883,'CATALOGO CECO'!$A$2:$H$550,2,FALSE),"CECO NO EXISTE"))</f>
        <v/>
      </c>
      <c r="H2883" s="8">
        <f>IF(B2883="","",IFERROR(VLOOKUP(--B2883,'CATALOGO CECO'!$A$2:$H$550,3,FALSE),""))</f>
        <v/>
      </c>
      <c r="I2883" s="8">
        <f>IF(B2883="","",IFERROR(VLOOKUP(--B2883,'CATALOGO CECO'!$A$2:$H$550,5,FALSE),""))</f>
        <v/>
      </c>
      <c r="J2883" s="8">
        <f>IF(B2883="","",IFERROR(VLOOKUP(--B2883,'CATALOGO CECO'!$A$2:$H$550,8,FALSE),""))</f>
        <v/>
      </c>
      <c r="K2883" s="8">
        <f>IF(COUNTA(A2883:F2883)=0,"",IF(OR(LEN(A2883)&lt;&gt;7,MID(A2883,5,1)&lt;&gt;"-",ISERROR(--LEFT(A2883,4)),ISERROR(--RIGHT(A2883,2))),"ERROR: PERIODO debe ser AAAA-MM",IF(B2883="","ERROR: falta CODIGO CECO",IF(G2883="CECO NO EXISTE","ERROR: CECO no existe en el catálogo",IF(C2883="","ERROR: falta CUENTA",IF(ISERROR(--C2883),"ERROR: CUENTA debe tener solo dígitos",IF(ISERROR(FIND(LEFT(C2883,1),"567")),"ERROR: CUENTA fuera de las clases de costo",IF(NOT(ISNUMBER(E2883)),"ERROR: VALOR debe ser numérico",IF(E2883=0,"AVISO: valor cero (no se carga)",IF(J2883&lt;&gt;"ACTIVO","NO SE CARGA: CECO en estado "&amp;J2883,"OK"))))))))))</f>
        <v/>
      </c>
    </row>
    <row r="2884">
      <c r="A2884" s="5" t="n"/>
      <c r="B2884" s="6" t="n"/>
      <c r="C2884" s="5" t="n"/>
      <c r="D2884" s="6" t="n"/>
      <c r="E2884" s="7" t="n"/>
      <c r="F2884" s="6" t="n"/>
      <c r="G2884" s="8">
        <f>IF(B2884="","",IFERROR(VLOOKUP(--B2884,'CATALOGO CECO'!$A$2:$H$550,2,FALSE),"CECO NO EXISTE"))</f>
        <v/>
      </c>
      <c r="H2884" s="8">
        <f>IF(B2884="","",IFERROR(VLOOKUP(--B2884,'CATALOGO CECO'!$A$2:$H$550,3,FALSE),""))</f>
        <v/>
      </c>
      <c r="I2884" s="8">
        <f>IF(B2884="","",IFERROR(VLOOKUP(--B2884,'CATALOGO CECO'!$A$2:$H$550,5,FALSE),""))</f>
        <v/>
      </c>
      <c r="J2884" s="8">
        <f>IF(B2884="","",IFERROR(VLOOKUP(--B2884,'CATALOGO CECO'!$A$2:$H$550,8,FALSE),""))</f>
        <v/>
      </c>
      <c r="K2884" s="8">
        <f>IF(COUNTA(A2884:F2884)=0,"",IF(OR(LEN(A2884)&lt;&gt;7,MID(A2884,5,1)&lt;&gt;"-",ISERROR(--LEFT(A2884,4)),ISERROR(--RIGHT(A2884,2))),"ERROR: PERIODO debe ser AAAA-MM",IF(B2884="","ERROR: falta CODIGO CECO",IF(G2884="CECO NO EXISTE","ERROR: CECO no existe en el catálogo",IF(C2884="","ERROR: falta CUENTA",IF(ISERROR(--C2884),"ERROR: CUENTA debe tener solo dígitos",IF(ISERROR(FIND(LEFT(C2884,1),"567")),"ERROR: CUENTA fuera de las clases de costo",IF(NOT(ISNUMBER(E2884)),"ERROR: VALOR debe ser numérico",IF(E2884=0,"AVISO: valor cero (no se carga)",IF(J2884&lt;&gt;"ACTIVO","NO SE CARGA: CECO en estado "&amp;J2884,"OK"))))))))))</f>
        <v/>
      </c>
    </row>
    <row r="2885">
      <c r="A2885" s="5" t="n"/>
      <c r="B2885" s="6" t="n"/>
      <c r="C2885" s="5" t="n"/>
      <c r="D2885" s="6" t="n"/>
      <c r="E2885" s="7" t="n"/>
      <c r="F2885" s="6" t="n"/>
      <c r="G2885" s="8">
        <f>IF(B2885="","",IFERROR(VLOOKUP(--B2885,'CATALOGO CECO'!$A$2:$H$550,2,FALSE),"CECO NO EXISTE"))</f>
        <v/>
      </c>
      <c r="H2885" s="8">
        <f>IF(B2885="","",IFERROR(VLOOKUP(--B2885,'CATALOGO CECO'!$A$2:$H$550,3,FALSE),""))</f>
        <v/>
      </c>
      <c r="I2885" s="8">
        <f>IF(B2885="","",IFERROR(VLOOKUP(--B2885,'CATALOGO CECO'!$A$2:$H$550,5,FALSE),""))</f>
        <v/>
      </c>
      <c r="J2885" s="8">
        <f>IF(B2885="","",IFERROR(VLOOKUP(--B2885,'CATALOGO CECO'!$A$2:$H$550,8,FALSE),""))</f>
        <v/>
      </c>
      <c r="K2885" s="8">
        <f>IF(COUNTA(A2885:F2885)=0,"",IF(OR(LEN(A2885)&lt;&gt;7,MID(A2885,5,1)&lt;&gt;"-",ISERROR(--LEFT(A2885,4)),ISERROR(--RIGHT(A2885,2))),"ERROR: PERIODO debe ser AAAA-MM",IF(B2885="","ERROR: falta CODIGO CECO",IF(G2885="CECO NO EXISTE","ERROR: CECO no existe en el catálogo",IF(C2885="","ERROR: falta CUENTA",IF(ISERROR(--C2885),"ERROR: CUENTA debe tener solo dígitos",IF(ISERROR(FIND(LEFT(C2885,1),"567")),"ERROR: CUENTA fuera de las clases de costo",IF(NOT(ISNUMBER(E2885)),"ERROR: VALOR debe ser numérico",IF(E2885=0,"AVISO: valor cero (no se carga)",IF(J2885&lt;&gt;"ACTIVO","NO SE CARGA: CECO en estado "&amp;J2885,"OK"))))))))))</f>
        <v/>
      </c>
    </row>
    <row r="2886">
      <c r="A2886" s="5" t="n"/>
      <c r="B2886" s="6" t="n"/>
      <c r="C2886" s="5" t="n"/>
      <c r="D2886" s="6" t="n"/>
      <c r="E2886" s="7" t="n"/>
      <c r="F2886" s="6" t="n"/>
      <c r="G2886" s="8">
        <f>IF(B2886="","",IFERROR(VLOOKUP(--B2886,'CATALOGO CECO'!$A$2:$H$550,2,FALSE),"CECO NO EXISTE"))</f>
        <v/>
      </c>
      <c r="H2886" s="8">
        <f>IF(B2886="","",IFERROR(VLOOKUP(--B2886,'CATALOGO CECO'!$A$2:$H$550,3,FALSE),""))</f>
        <v/>
      </c>
      <c r="I2886" s="8">
        <f>IF(B2886="","",IFERROR(VLOOKUP(--B2886,'CATALOGO CECO'!$A$2:$H$550,5,FALSE),""))</f>
        <v/>
      </c>
      <c r="J2886" s="8">
        <f>IF(B2886="","",IFERROR(VLOOKUP(--B2886,'CATALOGO CECO'!$A$2:$H$550,8,FALSE),""))</f>
        <v/>
      </c>
      <c r="K2886" s="8">
        <f>IF(COUNTA(A2886:F2886)=0,"",IF(OR(LEN(A2886)&lt;&gt;7,MID(A2886,5,1)&lt;&gt;"-",ISERROR(--LEFT(A2886,4)),ISERROR(--RIGHT(A2886,2))),"ERROR: PERIODO debe ser AAAA-MM",IF(B2886="","ERROR: falta CODIGO CECO",IF(G2886="CECO NO EXISTE","ERROR: CECO no existe en el catálogo",IF(C2886="","ERROR: falta CUENTA",IF(ISERROR(--C2886),"ERROR: CUENTA debe tener solo dígitos",IF(ISERROR(FIND(LEFT(C2886,1),"567")),"ERROR: CUENTA fuera de las clases de costo",IF(NOT(ISNUMBER(E2886)),"ERROR: VALOR debe ser numérico",IF(E2886=0,"AVISO: valor cero (no se carga)",IF(J2886&lt;&gt;"ACTIVO","NO SE CARGA: CECO en estado "&amp;J2886,"OK"))))))))))</f>
        <v/>
      </c>
    </row>
    <row r="2887">
      <c r="A2887" s="5" t="n"/>
      <c r="B2887" s="6" t="n"/>
      <c r="C2887" s="5" t="n"/>
      <c r="D2887" s="6" t="n"/>
      <c r="E2887" s="7" t="n"/>
      <c r="F2887" s="6" t="n"/>
      <c r="G2887" s="8">
        <f>IF(B2887="","",IFERROR(VLOOKUP(--B2887,'CATALOGO CECO'!$A$2:$H$550,2,FALSE),"CECO NO EXISTE"))</f>
        <v/>
      </c>
      <c r="H2887" s="8">
        <f>IF(B2887="","",IFERROR(VLOOKUP(--B2887,'CATALOGO CECO'!$A$2:$H$550,3,FALSE),""))</f>
        <v/>
      </c>
      <c r="I2887" s="8">
        <f>IF(B2887="","",IFERROR(VLOOKUP(--B2887,'CATALOGO CECO'!$A$2:$H$550,5,FALSE),""))</f>
        <v/>
      </c>
      <c r="J2887" s="8">
        <f>IF(B2887="","",IFERROR(VLOOKUP(--B2887,'CATALOGO CECO'!$A$2:$H$550,8,FALSE),""))</f>
        <v/>
      </c>
      <c r="K2887" s="8">
        <f>IF(COUNTA(A2887:F2887)=0,"",IF(OR(LEN(A2887)&lt;&gt;7,MID(A2887,5,1)&lt;&gt;"-",ISERROR(--LEFT(A2887,4)),ISERROR(--RIGHT(A2887,2))),"ERROR: PERIODO debe ser AAAA-MM",IF(B2887="","ERROR: falta CODIGO CECO",IF(G2887="CECO NO EXISTE","ERROR: CECO no existe en el catálogo",IF(C2887="","ERROR: falta CUENTA",IF(ISERROR(--C2887),"ERROR: CUENTA debe tener solo dígitos",IF(ISERROR(FIND(LEFT(C2887,1),"567")),"ERROR: CUENTA fuera de las clases de costo",IF(NOT(ISNUMBER(E2887)),"ERROR: VALOR debe ser numérico",IF(E2887=0,"AVISO: valor cero (no se carga)",IF(J2887&lt;&gt;"ACTIVO","NO SE CARGA: CECO en estado "&amp;J2887,"OK"))))))))))</f>
        <v/>
      </c>
    </row>
    <row r="2888">
      <c r="A2888" s="5" t="n"/>
      <c r="B2888" s="6" t="n"/>
      <c r="C2888" s="5" t="n"/>
      <c r="D2888" s="6" t="n"/>
      <c r="E2888" s="7" t="n"/>
      <c r="F2888" s="6" t="n"/>
      <c r="G2888" s="8">
        <f>IF(B2888="","",IFERROR(VLOOKUP(--B2888,'CATALOGO CECO'!$A$2:$H$550,2,FALSE),"CECO NO EXISTE"))</f>
        <v/>
      </c>
      <c r="H2888" s="8">
        <f>IF(B2888="","",IFERROR(VLOOKUP(--B2888,'CATALOGO CECO'!$A$2:$H$550,3,FALSE),""))</f>
        <v/>
      </c>
      <c r="I2888" s="8">
        <f>IF(B2888="","",IFERROR(VLOOKUP(--B2888,'CATALOGO CECO'!$A$2:$H$550,5,FALSE),""))</f>
        <v/>
      </c>
      <c r="J2888" s="8">
        <f>IF(B2888="","",IFERROR(VLOOKUP(--B2888,'CATALOGO CECO'!$A$2:$H$550,8,FALSE),""))</f>
        <v/>
      </c>
      <c r="K2888" s="8">
        <f>IF(COUNTA(A2888:F2888)=0,"",IF(OR(LEN(A2888)&lt;&gt;7,MID(A2888,5,1)&lt;&gt;"-",ISERROR(--LEFT(A2888,4)),ISERROR(--RIGHT(A2888,2))),"ERROR: PERIODO debe ser AAAA-MM",IF(B2888="","ERROR: falta CODIGO CECO",IF(G2888="CECO NO EXISTE","ERROR: CECO no existe en el catálogo",IF(C2888="","ERROR: falta CUENTA",IF(ISERROR(--C2888),"ERROR: CUENTA debe tener solo dígitos",IF(ISERROR(FIND(LEFT(C2888,1),"567")),"ERROR: CUENTA fuera de las clases de costo",IF(NOT(ISNUMBER(E2888)),"ERROR: VALOR debe ser numérico",IF(E2888=0,"AVISO: valor cero (no se carga)",IF(J2888&lt;&gt;"ACTIVO","NO SE CARGA: CECO en estado "&amp;J2888,"OK"))))))))))</f>
        <v/>
      </c>
    </row>
    <row r="2889">
      <c r="A2889" s="5" t="n"/>
      <c r="B2889" s="6" t="n"/>
      <c r="C2889" s="5" t="n"/>
      <c r="D2889" s="6" t="n"/>
      <c r="E2889" s="7" t="n"/>
      <c r="F2889" s="6" t="n"/>
      <c r="G2889" s="8">
        <f>IF(B2889="","",IFERROR(VLOOKUP(--B2889,'CATALOGO CECO'!$A$2:$H$550,2,FALSE),"CECO NO EXISTE"))</f>
        <v/>
      </c>
      <c r="H2889" s="8">
        <f>IF(B2889="","",IFERROR(VLOOKUP(--B2889,'CATALOGO CECO'!$A$2:$H$550,3,FALSE),""))</f>
        <v/>
      </c>
      <c r="I2889" s="8">
        <f>IF(B2889="","",IFERROR(VLOOKUP(--B2889,'CATALOGO CECO'!$A$2:$H$550,5,FALSE),""))</f>
        <v/>
      </c>
      <c r="J2889" s="8">
        <f>IF(B2889="","",IFERROR(VLOOKUP(--B2889,'CATALOGO CECO'!$A$2:$H$550,8,FALSE),""))</f>
        <v/>
      </c>
      <c r="K2889" s="8">
        <f>IF(COUNTA(A2889:F2889)=0,"",IF(OR(LEN(A2889)&lt;&gt;7,MID(A2889,5,1)&lt;&gt;"-",ISERROR(--LEFT(A2889,4)),ISERROR(--RIGHT(A2889,2))),"ERROR: PERIODO debe ser AAAA-MM",IF(B2889="","ERROR: falta CODIGO CECO",IF(G2889="CECO NO EXISTE","ERROR: CECO no existe en el catálogo",IF(C2889="","ERROR: falta CUENTA",IF(ISERROR(--C2889),"ERROR: CUENTA debe tener solo dígitos",IF(ISERROR(FIND(LEFT(C2889,1),"567")),"ERROR: CUENTA fuera de las clases de costo",IF(NOT(ISNUMBER(E2889)),"ERROR: VALOR debe ser numérico",IF(E2889=0,"AVISO: valor cero (no se carga)",IF(J2889&lt;&gt;"ACTIVO","NO SE CARGA: CECO en estado "&amp;J2889,"OK"))))))))))</f>
        <v/>
      </c>
    </row>
    <row r="2890">
      <c r="A2890" s="5" t="n"/>
      <c r="B2890" s="6" t="n"/>
      <c r="C2890" s="5" t="n"/>
      <c r="D2890" s="6" t="n"/>
      <c r="E2890" s="7" t="n"/>
      <c r="F2890" s="6" t="n"/>
      <c r="G2890" s="8">
        <f>IF(B2890="","",IFERROR(VLOOKUP(--B2890,'CATALOGO CECO'!$A$2:$H$550,2,FALSE),"CECO NO EXISTE"))</f>
        <v/>
      </c>
      <c r="H2890" s="8">
        <f>IF(B2890="","",IFERROR(VLOOKUP(--B2890,'CATALOGO CECO'!$A$2:$H$550,3,FALSE),""))</f>
        <v/>
      </c>
      <c r="I2890" s="8">
        <f>IF(B2890="","",IFERROR(VLOOKUP(--B2890,'CATALOGO CECO'!$A$2:$H$550,5,FALSE),""))</f>
        <v/>
      </c>
      <c r="J2890" s="8">
        <f>IF(B2890="","",IFERROR(VLOOKUP(--B2890,'CATALOGO CECO'!$A$2:$H$550,8,FALSE),""))</f>
        <v/>
      </c>
      <c r="K2890" s="8">
        <f>IF(COUNTA(A2890:F2890)=0,"",IF(OR(LEN(A2890)&lt;&gt;7,MID(A2890,5,1)&lt;&gt;"-",ISERROR(--LEFT(A2890,4)),ISERROR(--RIGHT(A2890,2))),"ERROR: PERIODO debe ser AAAA-MM",IF(B2890="","ERROR: falta CODIGO CECO",IF(G2890="CECO NO EXISTE","ERROR: CECO no existe en el catálogo",IF(C2890="","ERROR: falta CUENTA",IF(ISERROR(--C2890),"ERROR: CUENTA debe tener solo dígitos",IF(ISERROR(FIND(LEFT(C2890,1),"567")),"ERROR: CUENTA fuera de las clases de costo",IF(NOT(ISNUMBER(E2890)),"ERROR: VALOR debe ser numérico",IF(E2890=0,"AVISO: valor cero (no se carga)",IF(J2890&lt;&gt;"ACTIVO","NO SE CARGA: CECO en estado "&amp;J2890,"OK"))))))))))</f>
        <v/>
      </c>
    </row>
    <row r="2891">
      <c r="A2891" s="5" t="n"/>
      <c r="B2891" s="6" t="n"/>
      <c r="C2891" s="5" t="n"/>
      <c r="D2891" s="6" t="n"/>
      <c r="E2891" s="7" t="n"/>
      <c r="F2891" s="6" t="n"/>
      <c r="G2891" s="8">
        <f>IF(B2891="","",IFERROR(VLOOKUP(--B2891,'CATALOGO CECO'!$A$2:$H$550,2,FALSE),"CECO NO EXISTE"))</f>
        <v/>
      </c>
      <c r="H2891" s="8">
        <f>IF(B2891="","",IFERROR(VLOOKUP(--B2891,'CATALOGO CECO'!$A$2:$H$550,3,FALSE),""))</f>
        <v/>
      </c>
      <c r="I2891" s="8">
        <f>IF(B2891="","",IFERROR(VLOOKUP(--B2891,'CATALOGO CECO'!$A$2:$H$550,5,FALSE),""))</f>
        <v/>
      </c>
      <c r="J2891" s="8">
        <f>IF(B2891="","",IFERROR(VLOOKUP(--B2891,'CATALOGO CECO'!$A$2:$H$550,8,FALSE),""))</f>
        <v/>
      </c>
      <c r="K2891" s="8">
        <f>IF(COUNTA(A2891:F2891)=0,"",IF(OR(LEN(A2891)&lt;&gt;7,MID(A2891,5,1)&lt;&gt;"-",ISERROR(--LEFT(A2891,4)),ISERROR(--RIGHT(A2891,2))),"ERROR: PERIODO debe ser AAAA-MM",IF(B2891="","ERROR: falta CODIGO CECO",IF(G2891="CECO NO EXISTE","ERROR: CECO no existe en el catálogo",IF(C2891="","ERROR: falta CUENTA",IF(ISERROR(--C2891),"ERROR: CUENTA debe tener solo dígitos",IF(ISERROR(FIND(LEFT(C2891,1),"567")),"ERROR: CUENTA fuera de las clases de costo",IF(NOT(ISNUMBER(E2891)),"ERROR: VALOR debe ser numérico",IF(E2891=0,"AVISO: valor cero (no se carga)",IF(J2891&lt;&gt;"ACTIVO","NO SE CARGA: CECO en estado "&amp;J2891,"OK"))))))))))</f>
        <v/>
      </c>
    </row>
    <row r="2892">
      <c r="A2892" s="5" t="n"/>
      <c r="B2892" s="6" t="n"/>
      <c r="C2892" s="5" t="n"/>
      <c r="D2892" s="6" t="n"/>
      <c r="E2892" s="7" t="n"/>
      <c r="F2892" s="6" t="n"/>
      <c r="G2892" s="8">
        <f>IF(B2892="","",IFERROR(VLOOKUP(--B2892,'CATALOGO CECO'!$A$2:$H$550,2,FALSE),"CECO NO EXISTE"))</f>
        <v/>
      </c>
      <c r="H2892" s="8">
        <f>IF(B2892="","",IFERROR(VLOOKUP(--B2892,'CATALOGO CECO'!$A$2:$H$550,3,FALSE),""))</f>
        <v/>
      </c>
      <c r="I2892" s="8">
        <f>IF(B2892="","",IFERROR(VLOOKUP(--B2892,'CATALOGO CECO'!$A$2:$H$550,5,FALSE),""))</f>
        <v/>
      </c>
      <c r="J2892" s="8">
        <f>IF(B2892="","",IFERROR(VLOOKUP(--B2892,'CATALOGO CECO'!$A$2:$H$550,8,FALSE),""))</f>
        <v/>
      </c>
      <c r="K2892" s="8">
        <f>IF(COUNTA(A2892:F2892)=0,"",IF(OR(LEN(A2892)&lt;&gt;7,MID(A2892,5,1)&lt;&gt;"-",ISERROR(--LEFT(A2892,4)),ISERROR(--RIGHT(A2892,2))),"ERROR: PERIODO debe ser AAAA-MM",IF(B2892="","ERROR: falta CODIGO CECO",IF(G2892="CECO NO EXISTE","ERROR: CECO no existe en el catálogo",IF(C2892="","ERROR: falta CUENTA",IF(ISERROR(--C2892),"ERROR: CUENTA debe tener solo dígitos",IF(ISERROR(FIND(LEFT(C2892,1),"567")),"ERROR: CUENTA fuera de las clases de costo",IF(NOT(ISNUMBER(E2892)),"ERROR: VALOR debe ser numérico",IF(E2892=0,"AVISO: valor cero (no se carga)",IF(J2892&lt;&gt;"ACTIVO","NO SE CARGA: CECO en estado "&amp;J2892,"OK"))))))))))</f>
        <v/>
      </c>
    </row>
    <row r="2893">
      <c r="A2893" s="5" t="n"/>
      <c r="B2893" s="6" t="n"/>
      <c r="C2893" s="5" t="n"/>
      <c r="D2893" s="6" t="n"/>
      <c r="E2893" s="7" t="n"/>
      <c r="F2893" s="6" t="n"/>
      <c r="G2893" s="8">
        <f>IF(B2893="","",IFERROR(VLOOKUP(--B2893,'CATALOGO CECO'!$A$2:$H$550,2,FALSE),"CECO NO EXISTE"))</f>
        <v/>
      </c>
      <c r="H2893" s="8">
        <f>IF(B2893="","",IFERROR(VLOOKUP(--B2893,'CATALOGO CECO'!$A$2:$H$550,3,FALSE),""))</f>
        <v/>
      </c>
      <c r="I2893" s="8">
        <f>IF(B2893="","",IFERROR(VLOOKUP(--B2893,'CATALOGO CECO'!$A$2:$H$550,5,FALSE),""))</f>
        <v/>
      </c>
      <c r="J2893" s="8">
        <f>IF(B2893="","",IFERROR(VLOOKUP(--B2893,'CATALOGO CECO'!$A$2:$H$550,8,FALSE),""))</f>
        <v/>
      </c>
      <c r="K2893" s="8">
        <f>IF(COUNTA(A2893:F2893)=0,"",IF(OR(LEN(A2893)&lt;&gt;7,MID(A2893,5,1)&lt;&gt;"-",ISERROR(--LEFT(A2893,4)),ISERROR(--RIGHT(A2893,2))),"ERROR: PERIODO debe ser AAAA-MM",IF(B2893="","ERROR: falta CODIGO CECO",IF(G2893="CECO NO EXISTE","ERROR: CECO no existe en el catálogo",IF(C2893="","ERROR: falta CUENTA",IF(ISERROR(--C2893),"ERROR: CUENTA debe tener solo dígitos",IF(ISERROR(FIND(LEFT(C2893,1),"567")),"ERROR: CUENTA fuera de las clases de costo",IF(NOT(ISNUMBER(E2893)),"ERROR: VALOR debe ser numérico",IF(E2893=0,"AVISO: valor cero (no se carga)",IF(J2893&lt;&gt;"ACTIVO","NO SE CARGA: CECO en estado "&amp;J2893,"OK"))))))))))</f>
        <v/>
      </c>
    </row>
    <row r="2894">
      <c r="A2894" s="5" t="n"/>
      <c r="B2894" s="6" t="n"/>
      <c r="C2894" s="5" t="n"/>
      <c r="D2894" s="6" t="n"/>
      <c r="E2894" s="7" t="n"/>
      <c r="F2894" s="6" t="n"/>
      <c r="G2894" s="8">
        <f>IF(B2894="","",IFERROR(VLOOKUP(--B2894,'CATALOGO CECO'!$A$2:$H$550,2,FALSE),"CECO NO EXISTE"))</f>
        <v/>
      </c>
      <c r="H2894" s="8">
        <f>IF(B2894="","",IFERROR(VLOOKUP(--B2894,'CATALOGO CECO'!$A$2:$H$550,3,FALSE),""))</f>
        <v/>
      </c>
      <c r="I2894" s="8">
        <f>IF(B2894="","",IFERROR(VLOOKUP(--B2894,'CATALOGO CECO'!$A$2:$H$550,5,FALSE),""))</f>
        <v/>
      </c>
      <c r="J2894" s="8">
        <f>IF(B2894="","",IFERROR(VLOOKUP(--B2894,'CATALOGO CECO'!$A$2:$H$550,8,FALSE),""))</f>
        <v/>
      </c>
      <c r="K2894" s="8">
        <f>IF(COUNTA(A2894:F2894)=0,"",IF(OR(LEN(A2894)&lt;&gt;7,MID(A2894,5,1)&lt;&gt;"-",ISERROR(--LEFT(A2894,4)),ISERROR(--RIGHT(A2894,2))),"ERROR: PERIODO debe ser AAAA-MM",IF(B2894="","ERROR: falta CODIGO CECO",IF(G2894="CECO NO EXISTE","ERROR: CECO no existe en el catálogo",IF(C2894="","ERROR: falta CUENTA",IF(ISERROR(--C2894),"ERROR: CUENTA debe tener solo dígitos",IF(ISERROR(FIND(LEFT(C2894,1),"567")),"ERROR: CUENTA fuera de las clases de costo",IF(NOT(ISNUMBER(E2894)),"ERROR: VALOR debe ser numérico",IF(E2894=0,"AVISO: valor cero (no se carga)",IF(J2894&lt;&gt;"ACTIVO","NO SE CARGA: CECO en estado "&amp;J2894,"OK"))))))))))</f>
        <v/>
      </c>
    </row>
    <row r="2895">
      <c r="A2895" s="5" t="n"/>
      <c r="B2895" s="6" t="n"/>
      <c r="C2895" s="5" t="n"/>
      <c r="D2895" s="6" t="n"/>
      <c r="E2895" s="7" t="n"/>
      <c r="F2895" s="6" t="n"/>
      <c r="G2895" s="8">
        <f>IF(B2895="","",IFERROR(VLOOKUP(--B2895,'CATALOGO CECO'!$A$2:$H$550,2,FALSE),"CECO NO EXISTE"))</f>
        <v/>
      </c>
      <c r="H2895" s="8">
        <f>IF(B2895="","",IFERROR(VLOOKUP(--B2895,'CATALOGO CECO'!$A$2:$H$550,3,FALSE),""))</f>
        <v/>
      </c>
      <c r="I2895" s="8">
        <f>IF(B2895="","",IFERROR(VLOOKUP(--B2895,'CATALOGO CECO'!$A$2:$H$550,5,FALSE),""))</f>
        <v/>
      </c>
      <c r="J2895" s="8">
        <f>IF(B2895="","",IFERROR(VLOOKUP(--B2895,'CATALOGO CECO'!$A$2:$H$550,8,FALSE),""))</f>
        <v/>
      </c>
      <c r="K2895" s="8">
        <f>IF(COUNTA(A2895:F2895)=0,"",IF(OR(LEN(A2895)&lt;&gt;7,MID(A2895,5,1)&lt;&gt;"-",ISERROR(--LEFT(A2895,4)),ISERROR(--RIGHT(A2895,2))),"ERROR: PERIODO debe ser AAAA-MM",IF(B2895="","ERROR: falta CODIGO CECO",IF(G2895="CECO NO EXISTE","ERROR: CECO no existe en el catálogo",IF(C2895="","ERROR: falta CUENTA",IF(ISERROR(--C2895),"ERROR: CUENTA debe tener solo dígitos",IF(ISERROR(FIND(LEFT(C2895,1),"567")),"ERROR: CUENTA fuera de las clases de costo",IF(NOT(ISNUMBER(E2895)),"ERROR: VALOR debe ser numérico",IF(E2895=0,"AVISO: valor cero (no se carga)",IF(J2895&lt;&gt;"ACTIVO","NO SE CARGA: CECO en estado "&amp;J2895,"OK"))))))))))</f>
        <v/>
      </c>
    </row>
    <row r="2896">
      <c r="A2896" s="5" t="n"/>
      <c r="B2896" s="6" t="n"/>
      <c r="C2896" s="5" t="n"/>
      <c r="D2896" s="6" t="n"/>
      <c r="E2896" s="7" t="n"/>
      <c r="F2896" s="6" t="n"/>
      <c r="G2896" s="8">
        <f>IF(B2896="","",IFERROR(VLOOKUP(--B2896,'CATALOGO CECO'!$A$2:$H$550,2,FALSE),"CECO NO EXISTE"))</f>
        <v/>
      </c>
      <c r="H2896" s="8">
        <f>IF(B2896="","",IFERROR(VLOOKUP(--B2896,'CATALOGO CECO'!$A$2:$H$550,3,FALSE),""))</f>
        <v/>
      </c>
      <c r="I2896" s="8">
        <f>IF(B2896="","",IFERROR(VLOOKUP(--B2896,'CATALOGO CECO'!$A$2:$H$550,5,FALSE),""))</f>
        <v/>
      </c>
      <c r="J2896" s="8">
        <f>IF(B2896="","",IFERROR(VLOOKUP(--B2896,'CATALOGO CECO'!$A$2:$H$550,8,FALSE),""))</f>
        <v/>
      </c>
      <c r="K2896" s="8">
        <f>IF(COUNTA(A2896:F2896)=0,"",IF(OR(LEN(A2896)&lt;&gt;7,MID(A2896,5,1)&lt;&gt;"-",ISERROR(--LEFT(A2896,4)),ISERROR(--RIGHT(A2896,2))),"ERROR: PERIODO debe ser AAAA-MM",IF(B2896="","ERROR: falta CODIGO CECO",IF(G2896="CECO NO EXISTE","ERROR: CECO no existe en el catálogo",IF(C2896="","ERROR: falta CUENTA",IF(ISERROR(--C2896),"ERROR: CUENTA debe tener solo dígitos",IF(ISERROR(FIND(LEFT(C2896,1),"567")),"ERROR: CUENTA fuera de las clases de costo",IF(NOT(ISNUMBER(E2896)),"ERROR: VALOR debe ser numérico",IF(E2896=0,"AVISO: valor cero (no se carga)",IF(J2896&lt;&gt;"ACTIVO","NO SE CARGA: CECO en estado "&amp;J2896,"OK"))))))))))</f>
        <v/>
      </c>
    </row>
    <row r="2897">
      <c r="A2897" s="5" t="n"/>
      <c r="B2897" s="6" t="n"/>
      <c r="C2897" s="5" t="n"/>
      <c r="D2897" s="6" t="n"/>
      <c r="E2897" s="7" t="n"/>
      <c r="F2897" s="6" t="n"/>
      <c r="G2897" s="8">
        <f>IF(B2897="","",IFERROR(VLOOKUP(--B2897,'CATALOGO CECO'!$A$2:$H$550,2,FALSE),"CECO NO EXISTE"))</f>
        <v/>
      </c>
      <c r="H2897" s="8">
        <f>IF(B2897="","",IFERROR(VLOOKUP(--B2897,'CATALOGO CECO'!$A$2:$H$550,3,FALSE),""))</f>
        <v/>
      </c>
      <c r="I2897" s="8">
        <f>IF(B2897="","",IFERROR(VLOOKUP(--B2897,'CATALOGO CECO'!$A$2:$H$550,5,FALSE),""))</f>
        <v/>
      </c>
      <c r="J2897" s="8">
        <f>IF(B2897="","",IFERROR(VLOOKUP(--B2897,'CATALOGO CECO'!$A$2:$H$550,8,FALSE),""))</f>
        <v/>
      </c>
      <c r="K2897" s="8">
        <f>IF(COUNTA(A2897:F2897)=0,"",IF(OR(LEN(A2897)&lt;&gt;7,MID(A2897,5,1)&lt;&gt;"-",ISERROR(--LEFT(A2897,4)),ISERROR(--RIGHT(A2897,2))),"ERROR: PERIODO debe ser AAAA-MM",IF(B2897="","ERROR: falta CODIGO CECO",IF(G2897="CECO NO EXISTE","ERROR: CECO no existe en el catálogo",IF(C2897="","ERROR: falta CUENTA",IF(ISERROR(--C2897),"ERROR: CUENTA debe tener solo dígitos",IF(ISERROR(FIND(LEFT(C2897,1),"567")),"ERROR: CUENTA fuera de las clases de costo",IF(NOT(ISNUMBER(E2897)),"ERROR: VALOR debe ser numérico",IF(E2897=0,"AVISO: valor cero (no se carga)",IF(J2897&lt;&gt;"ACTIVO","NO SE CARGA: CECO en estado "&amp;J2897,"OK"))))))))))</f>
        <v/>
      </c>
    </row>
    <row r="2898">
      <c r="A2898" s="5" t="n"/>
      <c r="B2898" s="6" t="n"/>
      <c r="C2898" s="5" t="n"/>
      <c r="D2898" s="6" t="n"/>
      <c r="E2898" s="7" t="n"/>
      <c r="F2898" s="6" t="n"/>
      <c r="G2898" s="8">
        <f>IF(B2898="","",IFERROR(VLOOKUP(--B2898,'CATALOGO CECO'!$A$2:$H$550,2,FALSE),"CECO NO EXISTE"))</f>
        <v/>
      </c>
      <c r="H2898" s="8">
        <f>IF(B2898="","",IFERROR(VLOOKUP(--B2898,'CATALOGO CECO'!$A$2:$H$550,3,FALSE),""))</f>
        <v/>
      </c>
      <c r="I2898" s="8">
        <f>IF(B2898="","",IFERROR(VLOOKUP(--B2898,'CATALOGO CECO'!$A$2:$H$550,5,FALSE),""))</f>
        <v/>
      </c>
      <c r="J2898" s="8">
        <f>IF(B2898="","",IFERROR(VLOOKUP(--B2898,'CATALOGO CECO'!$A$2:$H$550,8,FALSE),""))</f>
        <v/>
      </c>
      <c r="K2898" s="8">
        <f>IF(COUNTA(A2898:F2898)=0,"",IF(OR(LEN(A2898)&lt;&gt;7,MID(A2898,5,1)&lt;&gt;"-",ISERROR(--LEFT(A2898,4)),ISERROR(--RIGHT(A2898,2))),"ERROR: PERIODO debe ser AAAA-MM",IF(B2898="","ERROR: falta CODIGO CECO",IF(G2898="CECO NO EXISTE","ERROR: CECO no existe en el catálogo",IF(C2898="","ERROR: falta CUENTA",IF(ISERROR(--C2898),"ERROR: CUENTA debe tener solo dígitos",IF(ISERROR(FIND(LEFT(C2898,1),"567")),"ERROR: CUENTA fuera de las clases de costo",IF(NOT(ISNUMBER(E2898)),"ERROR: VALOR debe ser numérico",IF(E2898=0,"AVISO: valor cero (no se carga)",IF(J2898&lt;&gt;"ACTIVO","NO SE CARGA: CECO en estado "&amp;J2898,"OK"))))))))))</f>
        <v/>
      </c>
    </row>
    <row r="2899">
      <c r="A2899" s="5" t="n"/>
      <c r="B2899" s="6" t="n"/>
      <c r="C2899" s="5" t="n"/>
      <c r="D2899" s="6" t="n"/>
      <c r="E2899" s="7" t="n"/>
      <c r="F2899" s="6" t="n"/>
      <c r="G2899" s="8">
        <f>IF(B2899="","",IFERROR(VLOOKUP(--B2899,'CATALOGO CECO'!$A$2:$H$550,2,FALSE),"CECO NO EXISTE"))</f>
        <v/>
      </c>
      <c r="H2899" s="8">
        <f>IF(B2899="","",IFERROR(VLOOKUP(--B2899,'CATALOGO CECO'!$A$2:$H$550,3,FALSE),""))</f>
        <v/>
      </c>
      <c r="I2899" s="8">
        <f>IF(B2899="","",IFERROR(VLOOKUP(--B2899,'CATALOGO CECO'!$A$2:$H$550,5,FALSE),""))</f>
        <v/>
      </c>
      <c r="J2899" s="8">
        <f>IF(B2899="","",IFERROR(VLOOKUP(--B2899,'CATALOGO CECO'!$A$2:$H$550,8,FALSE),""))</f>
        <v/>
      </c>
      <c r="K2899" s="8">
        <f>IF(COUNTA(A2899:F2899)=0,"",IF(OR(LEN(A2899)&lt;&gt;7,MID(A2899,5,1)&lt;&gt;"-",ISERROR(--LEFT(A2899,4)),ISERROR(--RIGHT(A2899,2))),"ERROR: PERIODO debe ser AAAA-MM",IF(B2899="","ERROR: falta CODIGO CECO",IF(G2899="CECO NO EXISTE","ERROR: CECO no existe en el catálogo",IF(C2899="","ERROR: falta CUENTA",IF(ISERROR(--C2899),"ERROR: CUENTA debe tener solo dígitos",IF(ISERROR(FIND(LEFT(C2899,1),"567")),"ERROR: CUENTA fuera de las clases de costo",IF(NOT(ISNUMBER(E2899)),"ERROR: VALOR debe ser numérico",IF(E2899=0,"AVISO: valor cero (no se carga)",IF(J2899&lt;&gt;"ACTIVO","NO SE CARGA: CECO en estado "&amp;J2899,"OK"))))))))))</f>
        <v/>
      </c>
    </row>
    <row r="2900">
      <c r="A2900" s="5" t="n"/>
      <c r="B2900" s="6" t="n"/>
      <c r="C2900" s="5" t="n"/>
      <c r="D2900" s="6" t="n"/>
      <c r="E2900" s="7" t="n"/>
      <c r="F2900" s="6" t="n"/>
      <c r="G2900" s="8">
        <f>IF(B2900="","",IFERROR(VLOOKUP(--B2900,'CATALOGO CECO'!$A$2:$H$550,2,FALSE),"CECO NO EXISTE"))</f>
        <v/>
      </c>
      <c r="H2900" s="8">
        <f>IF(B2900="","",IFERROR(VLOOKUP(--B2900,'CATALOGO CECO'!$A$2:$H$550,3,FALSE),""))</f>
        <v/>
      </c>
      <c r="I2900" s="8">
        <f>IF(B2900="","",IFERROR(VLOOKUP(--B2900,'CATALOGO CECO'!$A$2:$H$550,5,FALSE),""))</f>
        <v/>
      </c>
      <c r="J2900" s="8">
        <f>IF(B2900="","",IFERROR(VLOOKUP(--B2900,'CATALOGO CECO'!$A$2:$H$550,8,FALSE),""))</f>
        <v/>
      </c>
      <c r="K2900" s="8">
        <f>IF(COUNTA(A2900:F2900)=0,"",IF(OR(LEN(A2900)&lt;&gt;7,MID(A2900,5,1)&lt;&gt;"-",ISERROR(--LEFT(A2900,4)),ISERROR(--RIGHT(A2900,2))),"ERROR: PERIODO debe ser AAAA-MM",IF(B2900="","ERROR: falta CODIGO CECO",IF(G2900="CECO NO EXISTE","ERROR: CECO no existe en el catálogo",IF(C2900="","ERROR: falta CUENTA",IF(ISERROR(--C2900),"ERROR: CUENTA debe tener solo dígitos",IF(ISERROR(FIND(LEFT(C2900,1),"567")),"ERROR: CUENTA fuera de las clases de costo",IF(NOT(ISNUMBER(E2900)),"ERROR: VALOR debe ser numérico",IF(E2900=0,"AVISO: valor cero (no se carga)",IF(J2900&lt;&gt;"ACTIVO","NO SE CARGA: CECO en estado "&amp;J2900,"OK"))))))))))</f>
        <v/>
      </c>
    </row>
    <row r="2901">
      <c r="A2901" s="5" t="n"/>
      <c r="B2901" s="6" t="n"/>
      <c r="C2901" s="5" t="n"/>
      <c r="D2901" s="6" t="n"/>
      <c r="E2901" s="7" t="n"/>
      <c r="F2901" s="6" t="n"/>
      <c r="G2901" s="8">
        <f>IF(B2901="","",IFERROR(VLOOKUP(--B2901,'CATALOGO CECO'!$A$2:$H$550,2,FALSE),"CECO NO EXISTE"))</f>
        <v/>
      </c>
      <c r="H2901" s="8">
        <f>IF(B2901="","",IFERROR(VLOOKUP(--B2901,'CATALOGO CECO'!$A$2:$H$550,3,FALSE),""))</f>
        <v/>
      </c>
      <c r="I2901" s="8">
        <f>IF(B2901="","",IFERROR(VLOOKUP(--B2901,'CATALOGO CECO'!$A$2:$H$550,5,FALSE),""))</f>
        <v/>
      </c>
      <c r="J2901" s="8">
        <f>IF(B2901="","",IFERROR(VLOOKUP(--B2901,'CATALOGO CECO'!$A$2:$H$550,8,FALSE),""))</f>
        <v/>
      </c>
      <c r="K2901" s="8">
        <f>IF(COUNTA(A2901:F2901)=0,"",IF(OR(LEN(A2901)&lt;&gt;7,MID(A2901,5,1)&lt;&gt;"-",ISERROR(--LEFT(A2901,4)),ISERROR(--RIGHT(A2901,2))),"ERROR: PERIODO debe ser AAAA-MM",IF(B2901="","ERROR: falta CODIGO CECO",IF(G2901="CECO NO EXISTE","ERROR: CECO no existe en el catálogo",IF(C2901="","ERROR: falta CUENTA",IF(ISERROR(--C2901),"ERROR: CUENTA debe tener solo dígitos",IF(ISERROR(FIND(LEFT(C2901,1),"567")),"ERROR: CUENTA fuera de las clases de costo",IF(NOT(ISNUMBER(E2901)),"ERROR: VALOR debe ser numérico",IF(E2901=0,"AVISO: valor cero (no se carga)",IF(J2901&lt;&gt;"ACTIVO","NO SE CARGA: CECO en estado "&amp;J2901,"OK"))))))))))</f>
        <v/>
      </c>
    </row>
    <row r="2902">
      <c r="A2902" s="5" t="n"/>
      <c r="B2902" s="6" t="n"/>
      <c r="C2902" s="5" t="n"/>
      <c r="D2902" s="6" t="n"/>
      <c r="E2902" s="7" t="n"/>
      <c r="F2902" s="6" t="n"/>
      <c r="G2902" s="8">
        <f>IF(B2902="","",IFERROR(VLOOKUP(--B2902,'CATALOGO CECO'!$A$2:$H$550,2,FALSE),"CECO NO EXISTE"))</f>
        <v/>
      </c>
      <c r="H2902" s="8">
        <f>IF(B2902="","",IFERROR(VLOOKUP(--B2902,'CATALOGO CECO'!$A$2:$H$550,3,FALSE),""))</f>
        <v/>
      </c>
      <c r="I2902" s="8">
        <f>IF(B2902="","",IFERROR(VLOOKUP(--B2902,'CATALOGO CECO'!$A$2:$H$550,5,FALSE),""))</f>
        <v/>
      </c>
      <c r="J2902" s="8">
        <f>IF(B2902="","",IFERROR(VLOOKUP(--B2902,'CATALOGO CECO'!$A$2:$H$550,8,FALSE),""))</f>
        <v/>
      </c>
      <c r="K2902" s="8">
        <f>IF(COUNTA(A2902:F2902)=0,"",IF(OR(LEN(A2902)&lt;&gt;7,MID(A2902,5,1)&lt;&gt;"-",ISERROR(--LEFT(A2902,4)),ISERROR(--RIGHT(A2902,2))),"ERROR: PERIODO debe ser AAAA-MM",IF(B2902="","ERROR: falta CODIGO CECO",IF(G2902="CECO NO EXISTE","ERROR: CECO no existe en el catálogo",IF(C2902="","ERROR: falta CUENTA",IF(ISERROR(--C2902),"ERROR: CUENTA debe tener solo dígitos",IF(ISERROR(FIND(LEFT(C2902,1),"567")),"ERROR: CUENTA fuera de las clases de costo",IF(NOT(ISNUMBER(E2902)),"ERROR: VALOR debe ser numérico",IF(E2902=0,"AVISO: valor cero (no se carga)",IF(J2902&lt;&gt;"ACTIVO","NO SE CARGA: CECO en estado "&amp;J2902,"OK"))))))))))</f>
        <v/>
      </c>
    </row>
    <row r="2903">
      <c r="A2903" s="5" t="n"/>
      <c r="B2903" s="6" t="n"/>
      <c r="C2903" s="5" t="n"/>
      <c r="D2903" s="6" t="n"/>
      <c r="E2903" s="7" t="n"/>
      <c r="F2903" s="6" t="n"/>
      <c r="G2903" s="8">
        <f>IF(B2903="","",IFERROR(VLOOKUP(--B2903,'CATALOGO CECO'!$A$2:$H$550,2,FALSE),"CECO NO EXISTE"))</f>
        <v/>
      </c>
      <c r="H2903" s="8">
        <f>IF(B2903="","",IFERROR(VLOOKUP(--B2903,'CATALOGO CECO'!$A$2:$H$550,3,FALSE),""))</f>
        <v/>
      </c>
      <c r="I2903" s="8">
        <f>IF(B2903="","",IFERROR(VLOOKUP(--B2903,'CATALOGO CECO'!$A$2:$H$550,5,FALSE),""))</f>
        <v/>
      </c>
      <c r="J2903" s="8">
        <f>IF(B2903="","",IFERROR(VLOOKUP(--B2903,'CATALOGO CECO'!$A$2:$H$550,8,FALSE),""))</f>
        <v/>
      </c>
      <c r="K2903" s="8">
        <f>IF(COUNTA(A2903:F2903)=0,"",IF(OR(LEN(A2903)&lt;&gt;7,MID(A2903,5,1)&lt;&gt;"-",ISERROR(--LEFT(A2903,4)),ISERROR(--RIGHT(A2903,2))),"ERROR: PERIODO debe ser AAAA-MM",IF(B2903="","ERROR: falta CODIGO CECO",IF(G2903="CECO NO EXISTE","ERROR: CECO no existe en el catálogo",IF(C2903="","ERROR: falta CUENTA",IF(ISERROR(--C2903),"ERROR: CUENTA debe tener solo dígitos",IF(ISERROR(FIND(LEFT(C2903,1),"567")),"ERROR: CUENTA fuera de las clases de costo",IF(NOT(ISNUMBER(E2903)),"ERROR: VALOR debe ser numérico",IF(E2903=0,"AVISO: valor cero (no se carga)",IF(J2903&lt;&gt;"ACTIVO","NO SE CARGA: CECO en estado "&amp;J2903,"OK"))))))))))</f>
        <v/>
      </c>
    </row>
    <row r="2904">
      <c r="A2904" s="5" t="n"/>
      <c r="B2904" s="6" t="n"/>
      <c r="C2904" s="5" t="n"/>
      <c r="D2904" s="6" t="n"/>
      <c r="E2904" s="7" t="n"/>
      <c r="F2904" s="6" t="n"/>
      <c r="G2904" s="8">
        <f>IF(B2904="","",IFERROR(VLOOKUP(--B2904,'CATALOGO CECO'!$A$2:$H$550,2,FALSE),"CECO NO EXISTE"))</f>
        <v/>
      </c>
      <c r="H2904" s="8">
        <f>IF(B2904="","",IFERROR(VLOOKUP(--B2904,'CATALOGO CECO'!$A$2:$H$550,3,FALSE),""))</f>
        <v/>
      </c>
      <c r="I2904" s="8">
        <f>IF(B2904="","",IFERROR(VLOOKUP(--B2904,'CATALOGO CECO'!$A$2:$H$550,5,FALSE),""))</f>
        <v/>
      </c>
      <c r="J2904" s="8">
        <f>IF(B2904="","",IFERROR(VLOOKUP(--B2904,'CATALOGO CECO'!$A$2:$H$550,8,FALSE),""))</f>
        <v/>
      </c>
      <c r="K2904" s="8">
        <f>IF(COUNTA(A2904:F2904)=0,"",IF(OR(LEN(A2904)&lt;&gt;7,MID(A2904,5,1)&lt;&gt;"-",ISERROR(--LEFT(A2904,4)),ISERROR(--RIGHT(A2904,2))),"ERROR: PERIODO debe ser AAAA-MM",IF(B2904="","ERROR: falta CODIGO CECO",IF(G2904="CECO NO EXISTE","ERROR: CECO no existe en el catálogo",IF(C2904="","ERROR: falta CUENTA",IF(ISERROR(--C2904),"ERROR: CUENTA debe tener solo dígitos",IF(ISERROR(FIND(LEFT(C2904,1),"567")),"ERROR: CUENTA fuera de las clases de costo",IF(NOT(ISNUMBER(E2904)),"ERROR: VALOR debe ser numérico",IF(E2904=0,"AVISO: valor cero (no se carga)",IF(J2904&lt;&gt;"ACTIVO","NO SE CARGA: CECO en estado "&amp;J2904,"OK"))))))))))</f>
        <v/>
      </c>
    </row>
    <row r="2905">
      <c r="A2905" s="5" t="n"/>
      <c r="B2905" s="6" t="n"/>
      <c r="C2905" s="5" t="n"/>
      <c r="D2905" s="6" t="n"/>
      <c r="E2905" s="7" t="n"/>
      <c r="F2905" s="6" t="n"/>
      <c r="G2905" s="8">
        <f>IF(B2905="","",IFERROR(VLOOKUP(--B2905,'CATALOGO CECO'!$A$2:$H$550,2,FALSE),"CECO NO EXISTE"))</f>
        <v/>
      </c>
      <c r="H2905" s="8">
        <f>IF(B2905="","",IFERROR(VLOOKUP(--B2905,'CATALOGO CECO'!$A$2:$H$550,3,FALSE),""))</f>
        <v/>
      </c>
      <c r="I2905" s="8">
        <f>IF(B2905="","",IFERROR(VLOOKUP(--B2905,'CATALOGO CECO'!$A$2:$H$550,5,FALSE),""))</f>
        <v/>
      </c>
      <c r="J2905" s="8">
        <f>IF(B2905="","",IFERROR(VLOOKUP(--B2905,'CATALOGO CECO'!$A$2:$H$550,8,FALSE),""))</f>
        <v/>
      </c>
      <c r="K2905" s="8">
        <f>IF(COUNTA(A2905:F2905)=0,"",IF(OR(LEN(A2905)&lt;&gt;7,MID(A2905,5,1)&lt;&gt;"-",ISERROR(--LEFT(A2905,4)),ISERROR(--RIGHT(A2905,2))),"ERROR: PERIODO debe ser AAAA-MM",IF(B2905="","ERROR: falta CODIGO CECO",IF(G2905="CECO NO EXISTE","ERROR: CECO no existe en el catálogo",IF(C2905="","ERROR: falta CUENTA",IF(ISERROR(--C2905),"ERROR: CUENTA debe tener solo dígitos",IF(ISERROR(FIND(LEFT(C2905,1),"567")),"ERROR: CUENTA fuera de las clases de costo",IF(NOT(ISNUMBER(E2905)),"ERROR: VALOR debe ser numérico",IF(E2905=0,"AVISO: valor cero (no se carga)",IF(J2905&lt;&gt;"ACTIVO","NO SE CARGA: CECO en estado "&amp;J2905,"OK"))))))))))</f>
        <v/>
      </c>
    </row>
    <row r="2906">
      <c r="A2906" s="5" t="n"/>
      <c r="B2906" s="6" t="n"/>
      <c r="C2906" s="5" t="n"/>
      <c r="D2906" s="6" t="n"/>
      <c r="E2906" s="7" t="n"/>
      <c r="F2906" s="6" t="n"/>
      <c r="G2906" s="8">
        <f>IF(B2906="","",IFERROR(VLOOKUP(--B2906,'CATALOGO CECO'!$A$2:$H$550,2,FALSE),"CECO NO EXISTE"))</f>
        <v/>
      </c>
      <c r="H2906" s="8">
        <f>IF(B2906="","",IFERROR(VLOOKUP(--B2906,'CATALOGO CECO'!$A$2:$H$550,3,FALSE),""))</f>
        <v/>
      </c>
      <c r="I2906" s="8">
        <f>IF(B2906="","",IFERROR(VLOOKUP(--B2906,'CATALOGO CECO'!$A$2:$H$550,5,FALSE),""))</f>
        <v/>
      </c>
      <c r="J2906" s="8">
        <f>IF(B2906="","",IFERROR(VLOOKUP(--B2906,'CATALOGO CECO'!$A$2:$H$550,8,FALSE),""))</f>
        <v/>
      </c>
      <c r="K2906" s="8">
        <f>IF(COUNTA(A2906:F2906)=0,"",IF(OR(LEN(A2906)&lt;&gt;7,MID(A2906,5,1)&lt;&gt;"-",ISERROR(--LEFT(A2906,4)),ISERROR(--RIGHT(A2906,2))),"ERROR: PERIODO debe ser AAAA-MM",IF(B2906="","ERROR: falta CODIGO CECO",IF(G2906="CECO NO EXISTE","ERROR: CECO no existe en el catálogo",IF(C2906="","ERROR: falta CUENTA",IF(ISERROR(--C2906),"ERROR: CUENTA debe tener solo dígitos",IF(ISERROR(FIND(LEFT(C2906,1),"567")),"ERROR: CUENTA fuera de las clases de costo",IF(NOT(ISNUMBER(E2906)),"ERROR: VALOR debe ser numérico",IF(E2906=0,"AVISO: valor cero (no se carga)",IF(J2906&lt;&gt;"ACTIVO","NO SE CARGA: CECO en estado "&amp;J2906,"OK"))))))))))</f>
        <v/>
      </c>
    </row>
    <row r="2907">
      <c r="A2907" s="5" t="n"/>
      <c r="B2907" s="6" t="n"/>
      <c r="C2907" s="5" t="n"/>
      <c r="D2907" s="6" t="n"/>
      <c r="E2907" s="7" t="n"/>
      <c r="F2907" s="6" t="n"/>
      <c r="G2907" s="8">
        <f>IF(B2907="","",IFERROR(VLOOKUP(--B2907,'CATALOGO CECO'!$A$2:$H$550,2,FALSE),"CECO NO EXISTE"))</f>
        <v/>
      </c>
      <c r="H2907" s="8">
        <f>IF(B2907="","",IFERROR(VLOOKUP(--B2907,'CATALOGO CECO'!$A$2:$H$550,3,FALSE),""))</f>
        <v/>
      </c>
      <c r="I2907" s="8">
        <f>IF(B2907="","",IFERROR(VLOOKUP(--B2907,'CATALOGO CECO'!$A$2:$H$550,5,FALSE),""))</f>
        <v/>
      </c>
      <c r="J2907" s="8">
        <f>IF(B2907="","",IFERROR(VLOOKUP(--B2907,'CATALOGO CECO'!$A$2:$H$550,8,FALSE),""))</f>
        <v/>
      </c>
      <c r="K2907" s="8">
        <f>IF(COUNTA(A2907:F2907)=0,"",IF(OR(LEN(A2907)&lt;&gt;7,MID(A2907,5,1)&lt;&gt;"-",ISERROR(--LEFT(A2907,4)),ISERROR(--RIGHT(A2907,2))),"ERROR: PERIODO debe ser AAAA-MM",IF(B2907="","ERROR: falta CODIGO CECO",IF(G2907="CECO NO EXISTE","ERROR: CECO no existe en el catálogo",IF(C2907="","ERROR: falta CUENTA",IF(ISERROR(--C2907),"ERROR: CUENTA debe tener solo dígitos",IF(ISERROR(FIND(LEFT(C2907,1),"567")),"ERROR: CUENTA fuera de las clases de costo",IF(NOT(ISNUMBER(E2907)),"ERROR: VALOR debe ser numérico",IF(E2907=0,"AVISO: valor cero (no se carga)",IF(J2907&lt;&gt;"ACTIVO","NO SE CARGA: CECO en estado "&amp;J2907,"OK"))))))))))</f>
        <v/>
      </c>
    </row>
    <row r="2908">
      <c r="A2908" s="5" t="n"/>
      <c r="B2908" s="6" t="n"/>
      <c r="C2908" s="5" t="n"/>
      <c r="D2908" s="6" t="n"/>
      <c r="E2908" s="7" t="n"/>
      <c r="F2908" s="6" t="n"/>
      <c r="G2908" s="8">
        <f>IF(B2908="","",IFERROR(VLOOKUP(--B2908,'CATALOGO CECO'!$A$2:$H$550,2,FALSE),"CECO NO EXISTE"))</f>
        <v/>
      </c>
      <c r="H2908" s="8">
        <f>IF(B2908="","",IFERROR(VLOOKUP(--B2908,'CATALOGO CECO'!$A$2:$H$550,3,FALSE),""))</f>
        <v/>
      </c>
      <c r="I2908" s="8">
        <f>IF(B2908="","",IFERROR(VLOOKUP(--B2908,'CATALOGO CECO'!$A$2:$H$550,5,FALSE),""))</f>
        <v/>
      </c>
      <c r="J2908" s="8">
        <f>IF(B2908="","",IFERROR(VLOOKUP(--B2908,'CATALOGO CECO'!$A$2:$H$550,8,FALSE),""))</f>
        <v/>
      </c>
      <c r="K2908" s="8">
        <f>IF(COUNTA(A2908:F2908)=0,"",IF(OR(LEN(A2908)&lt;&gt;7,MID(A2908,5,1)&lt;&gt;"-",ISERROR(--LEFT(A2908,4)),ISERROR(--RIGHT(A2908,2))),"ERROR: PERIODO debe ser AAAA-MM",IF(B2908="","ERROR: falta CODIGO CECO",IF(G2908="CECO NO EXISTE","ERROR: CECO no existe en el catálogo",IF(C2908="","ERROR: falta CUENTA",IF(ISERROR(--C2908),"ERROR: CUENTA debe tener solo dígitos",IF(ISERROR(FIND(LEFT(C2908,1),"567")),"ERROR: CUENTA fuera de las clases de costo",IF(NOT(ISNUMBER(E2908)),"ERROR: VALOR debe ser numérico",IF(E2908=0,"AVISO: valor cero (no se carga)",IF(J2908&lt;&gt;"ACTIVO","NO SE CARGA: CECO en estado "&amp;J2908,"OK"))))))))))</f>
        <v/>
      </c>
    </row>
    <row r="2909">
      <c r="A2909" s="5" t="n"/>
      <c r="B2909" s="6" t="n"/>
      <c r="C2909" s="5" t="n"/>
      <c r="D2909" s="6" t="n"/>
      <c r="E2909" s="7" t="n"/>
      <c r="F2909" s="6" t="n"/>
      <c r="G2909" s="8">
        <f>IF(B2909="","",IFERROR(VLOOKUP(--B2909,'CATALOGO CECO'!$A$2:$H$550,2,FALSE),"CECO NO EXISTE"))</f>
        <v/>
      </c>
      <c r="H2909" s="8">
        <f>IF(B2909="","",IFERROR(VLOOKUP(--B2909,'CATALOGO CECO'!$A$2:$H$550,3,FALSE),""))</f>
        <v/>
      </c>
      <c r="I2909" s="8">
        <f>IF(B2909="","",IFERROR(VLOOKUP(--B2909,'CATALOGO CECO'!$A$2:$H$550,5,FALSE),""))</f>
        <v/>
      </c>
      <c r="J2909" s="8">
        <f>IF(B2909="","",IFERROR(VLOOKUP(--B2909,'CATALOGO CECO'!$A$2:$H$550,8,FALSE),""))</f>
        <v/>
      </c>
      <c r="K2909" s="8">
        <f>IF(COUNTA(A2909:F2909)=0,"",IF(OR(LEN(A2909)&lt;&gt;7,MID(A2909,5,1)&lt;&gt;"-",ISERROR(--LEFT(A2909,4)),ISERROR(--RIGHT(A2909,2))),"ERROR: PERIODO debe ser AAAA-MM",IF(B2909="","ERROR: falta CODIGO CECO",IF(G2909="CECO NO EXISTE","ERROR: CECO no existe en el catálogo",IF(C2909="","ERROR: falta CUENTA",IF(ISERROR(--C2909),"ERROR: CUENTA debe tener solo dígitos",IF(ISERROR(FIND(LEFT(C2909,1),"567")),"ERROR: CUENTA fuera de las clases de costo",IF(NOT(ISNUMBER(E2909)),"ERROR: VALOR debe ser numérico",IF(E2909=0,"AVISO: valor cero (no se carga)",IF(J2909&lt;&gt;"ACTIVO","NO SE CARGA: CECO en estado "&amp;J2909,"OK"))))))))))</f>
        <v/>
      </c>
    </row>
    <row r="2910">
      <c r="A2910" s="5" t="n"/>
      <c r="B2910" s="6" t="n"/>
      <c r="C2910" s="5" t="n"/>
      <c r="D2910" s="6" t="n"/>
      <c r="E2910" s="7" t="n"/>
      <c r="F2910" s="6" t="n"/>
      <c r="G2910" s="8">
        <f>IF(B2910="","",IFERROR(VLOOKUP(--B2910,'CATALOGO CECO'!$A$2:$H$550,2,FALSE),"CECO NO EXISTE"))</f>
        <v/>
      </c>
      <c r="H2910" s="8">
        <f>IF(B2910="","",IFERROR(VLOOKUP(--B2910,'CATALOGO CECO'!$A$2:$H$550,3,FALSE),""))</f>
        <v/>
      </c>
      <c r="I2910" s="8">
        <f>IF(B2910="","",IFERROR(VLOOKUP(--B2910,'CATALOGO CECO'!$A$2:$H$550,5,FALSE),""))</f>
        <v/>
      </c>
      <c r="J2910" s="8">
        <f>IF(B2910="","",IFERROR(VLOOKUP(--B2910,'CATALOGO CECO'!$A$2:$H$550,8,FALSE),""))</f>
        <v/>
      </c>
      <c r="K2910" s="8">
        <f>IF(COUNTA(A2910:F2910)=0,"",IF(OR(LEN(A2910)&lt;&gt;7,MID(A2910,5,1)&lt;&gt;"-",ISERROR(--LEFT(A2910,4)),ISERROR(--RIGHT(A2910,2))),"ERROR: PERIODO debe ser AAAA-MM",IF(B2910="","ERROR: falta CODIGO CECO",IF(G2910="CECO NO EXISTE","ERROR: CECO no existe en el catálogo",IF(C2910="","ERROR: falta CUENTA",IF(ISERROR(--C2910),"ERROR: CUENTA debe tener solo dígitos",IF(ISERROR(FIND(LEFT(C2910,1),"567")),"ERROR: CUENTA fuera de las clases de costo",IF(NOT(ISNUMBER(E2910)),"ERROR: VALOR debe ser numérico",IF(E2910=0,"AVISO: valor cero (no se carga)",IF(J2910&lt;&gt;"ACTIVO","NO SE CARGA: CECO en estado "&amp;J2910,"OK"))))))))))</f>
        <v/>
      </c>
    </row>
    <row r="2911">
      <c r="A2911" s="5" t="n"/>
      <c r="B2911" s="6" t="n"/>
      <c r="C2911" s="5" t="n"/>
      <c r="D2911" s="6" t="n"/>
      <c r="E2911" s="7" t="n"/>
      <c r="F2911" s="6" t="n"/>
      <c r="G2911" s="8">
        <f>IF(B2911="","",IFERROR(VLOOKUP(--B2911,'CATALOGO CECO'!$A$2:$H$550,2,FALSE),"CECO NO EXISTE"))</f>
        <v/>
      </c>
      <c r="H2911" s="8">
        <f>IF(B2911="","",IFERROR(VLOOKUP(--B2911,'CATALOGO CECO'!$A$2:$H$550,3,FALSE),""))</f>
        <v/>
      </c>
      <c r="I2911" s="8">
        <f>IF(B2911="","",IFERROR(VLOOKUP(--B2911,'CATALOGO CECO'!$A$2:$H$550,5,FALSE),""))</f>
        <v/>
      </c>
      <c r="J2911" s="8">
        <f>IF(B2911="","",IFERROR(VLOOKUP(--B2911,'CATALOGO CECO'!$A$2:$H$550,8,FALSE),""))</f>
        <v/>
      </c>
      <c r="K2911" s="8">
        <f>IF(COUNTA(A2911:F2911)=0,"",IF(OR(LEN(A2911)&lt;&gt;7,MID(A2911,5,1)&lt;&gt;"-",ISERROR(--LEFT(A2911,4)),ISERROR(--RIGHT(A2911,2))),"ERROR: PERIODO debe ser AAAA-MM",IF(B2911="","ERROR: falta CODIGO CECO",IF(G2911="CECO NO EXISTE","ERROR: CECO no existe en el catálogo",IF(C2911="","ERROR: falta CUENTA",IF(ISERROR(--C2911),"ERROR: CUENTA debe tener solo dígitos",IF(ISERROR(FIND(LEFT(C2911,1),"567")),"ERROR: CUENTA fuera de las clases de costo",IF(NOT(ISNUMBER(E2911)),"ERROR: VALOR debe ser numérico",IF(E2911=0,"AVISO: valor cero (no se carga)",IF(J2911&lt;&gt;"ACTIVO","NO SE CARGA: CECO en estado "&amp;J2911,"OK"))))))))))</f>
        <v/>
      </c>
    </row>
    <row r="2912">
      <c r="A2912" s="5" t="n"/>
      <c r="B2912" s="6" t="n"/>
      <c r="C2912" s="5" t="n"/>
      <c r="D2912" s="6" t="n"/>
      <c r="E2912" s="7" t="n"/>
      <c r="F2912" s="6" t="n"/>
      <c r="G2912" s="8">
        <f>IF(B2912="","",IFERROR(VLOOKUP(--B2912,'CATALOGO CECO'!$A$2:$H$550,2,FALSE),"CECO NO EXISTE"))</f>
        <v/>
      </c>
      <c r="H2912" s="8">
        <f>IF(B2912="","",IFERROR(VLOOKUP(--B2912,'CATALOGO CECO'!$A$2:$H$550,3,FALSE),""))</f>
        <v/>
      </c>
      <c r="I2912" s="8">
        <f>IF(B2912="","",IFERROR(VLOOKUP(--B2912,'CATALOGO CECO'!$A$2:$H$550,5,FALSE),""))</f>
        <v/>
      </c>
      <c r="J2912" s="8">
        <f>IF(B2912="","",IFERROR(VLOOKUP(--B2912,'CATALOGO CECO'!$A$2:$H$550,8,FALSE),""))</f>
        <v/>
      </c>
      <c r="K2912" s="8">
        <f>IF(COUNTA(A2912:F2912)=0,"",IF(OR(LEN(A2912)&lt;&gt;7,MID(A2912,5,1)&lt;&gt;"-",ISERROR(--LEFT(A2912,4)),ISERROR(--RIGHT(A2912,2))),"ERROR: PERIODO debe ser AAAA-MM",IF(B2912="","ERROR: falta CODIGO CECO",IF(G2912="CECO NO EXISTE","ERROR: CECO no existe en el catálogo",IF(C2912="","ERROR: falta CUENTA",IF(ISERROR(--C2912),"ERROR: CUENTA debe tener solo dígitos",IF(ISERROR(FIND(LEFT(C2912,1),"567")),"ERROR: CUENTA fuera de las clases de costo",IF(NOT(ISNUMBER(E2912)),"ERROR: VALOR debe ser numérico",IF(E2912=0,"AVISO: valor cero (no se carga)",IF(J2912&lt;&gt;"ACTIVO","NO SE CARGA: CECO en estado "&amp;J2912,"OK"))))))))))</f>
        <v/>
      </c>
    </row>
    <row r="2913">
      <c r="A2913" s="5" t="n"/>
      <c r="B2913" s="6" t="n"/>
      <c r="C2913" s="5" t="n"/>
      <c r="D2913" s="6" t="n"/>
      <c r="E2913" s="7" t="n"/>
      <c r="F2913" s="6" t="n"/>
      <c r="G2913" s="8">
        <f>IF(B2913="","",IFERROR(VLOOKUP(--B2913,'CATALOGO CECO'!$A$2:$H$550,2,FALSE),"CECO NO EXISTE"))</f>
        <v/>
      </c>
      <c r="H2913" s="8">
        <f>IF(B2913="","",IFERROR(VLOOKUP(--B2913,'CATALOGO CECO'!$A$2:$H$550,3,FALSE),""))</f>
        <v/>
      </c>
      <c r="I2913" s="8">
        <f>IF(B2913="","",IFERROR(VLOOKUP(--B2913,'CATALOGO CECO'!$A$2:$H$550,5,FALSE),""))</f>
        <v/>
      </c>
      <c r="J2913" s="8">
        <f>IF(B2913="","",IFERROR(VLOOKUP(--B2913,'CATALOGO CECO'!$A$2:$H$550,8,FALSE),""))</f>
        <v/>
      </c>
      <c r="K2913" s="8">
        <f>IF(COUNTA(A2913:F2913)=0,"",IF(OR(LEN(A2913)&lt;&gt;7,MID(A2913,5,1)&lt;&gt;"-",ISERROR(--LEFT(A2913,4)),ISERROR(--RIGHT(A2913,2))),"ERROR: PERIODO debe ser AAAA-MM",IF(B2913="","ERROR: falta CODIGO CECO",IF(G2913="CECO NO EXISTE","ERROR: CECO no existe en el catálogo",IF(C2913="","ERROR: falta CUENTA",IF(ISERROR(--C2913),"ERROR: CUENTA debe tener solo dígitos",IF(ISERROR(FIND(LEFT(C2913,1),"567")),"ERROR: CUENTA fuera de las clases de costo",IF(NOT(ISNUMBER(E2913)),"ERROR: VALOR debe ser numérico",IF(E2913=0,"AVISO: valor cero (no se carga)",IF(J2913&lt;&gt;"ACTIVO","NO SE CARGA: CECO en estado "&amp;J2913,"OK"))))))))))</f>
        <v/>
      </c>
    </row>
    <row r="2914">
      <c r="A2914" s="5" t="n"/>
      <c r="B2914" s="6" t="n"/>
      <c r="C2914" s="5" t="n"/>
      <c r="D2914" s="6" t="n"/>
      <c r="E2914" s="7" t="n"/>
      <c r="F2914" s="6" t="n"/>
      <c r="G2914" s="8">
        <f>IF(B2914="","",IFERROR(VLOOKUP(--B2914,'CATALOGO CECO'!$A$2:$H$550,2,FALSE),"CECO NO EXISTE"))</f>
        <v/>
      </c>
      <c r="H2914" s="8">
        <f>IF(B2914="","",IFERROR(VLOOKUP(--B2914,'CATALOGO CECO'!$A$2:$H$550,3,FALSE),""))</f>
        <v/>
      </c>
      <c r="I2914" s="8">
        <f>IF(B2914="","",IFERROR(VLOOKUP(--B2914,'CATALOGO CECO'!$A$2:$H$550,5,FALSE),""))</f>
        <v/>
      </c>
      <c r="J2914" s="8">
        <f>IF(B2914="","",IFERROR(VLOOKUP(--B2914,'CATALOGO CECO'!$A$2:$H$550,8,FALSE),""))</f>
        <v/>
      </c>
      <c r="K2914" s="8">
        <f>IF(COUNTA(A2914:F2914)=0,"",IF(OR(LEN(A2914)&lt;&gt;7,MID(A2914,5,1)&lt;&gt;"-",ISERROR(--LEFT(A2914,4)),ISERROR(--RIGHT(A2914,2))),"ERROR: PERIODO debe ser AAAA-MM",IF(B2914="","ERROR: falta CODIGO CECO",IF(G2914="CECO NO EXISTE","ERROR: CECO no existe en el catálogo",IF(C2914="","ERROR: falta CUENTA",IF(ISERROR(--C2914),"ERROR: CUENTA debe tener solo dígitos",IF(ISERROR(FIND(LEFT(C2914,1),"567")),"ERROR: CUENTA fuera de las clases de costo",IF(NOT(ISNUMBER(E2914)),"ERROR: VALOR debe ser numérico",IF(E2914=0,"AVISO: valor cero (no se carga)",IF(J2914&lt;&gt;"ACTIVO","NO SE CARGA: CECO en estado "&amp;J2914,"OK"))))))))))</f>
        <v/>
      </c>
    </row>
    <row r="2915">
      <c r="A2915" s="5" t="n"/>
      <c r="B2915" s="6" t="n"/>
      <c r="C2915" s="5" t="n"/>
      <c r="D2915" s="6" t="n"/>
      <c r="E2915" s="7" t="n"/>
      <c r="F2915" s="6" t="n"/>
      <c r="G2915" s="8">
        <f>IF(B2915="","",IFERROR(VLOOKUP(--B2915,'CATALOGO CECO'!$A$2:$H$550,2,FALSE),"CECO NO EXISTE"))</f>
        <v/>
      </c>
      <c r="H2915" s="8">
        <f>IF(B2915="","",IFERROR(VLOOKUP(--B2915,'CATALOGO CECO'!$A$2:$H$550,3,FALSE),""))</f>
        <v/>
      </c>
      <c r="I2915" s="8">
        <f>IF(B2915="","",IFERROR(VLOOKUP(--B2915,'CATALOGO CECO'!$A$2:$H$550,5,FALSE),""))</f>
        <v/>
      </c>
      <c r="J2915" s="8">
        <f>IF(B2915="","",IFERROR(VLOOKUP(--B2915,'CATALOGO CECO'!$A$2:$H$550,8,FALSE),""))</f>
        <v/>
      </c>
      <c r="K2915" s="8">
        <f>IF(COUNTA(A2915:F2915)=0,"",IF(OR(LEN(A2915)&lt;&gt;7,MID(A2915,5,1)&lt;&gt;"-",ISERROR(--LEFT(A2915,4)),ISERROR(--RIGHT(A2915,2))),"ERROR: PERIODO debe ser AAAA-MM",IF(B2915="","ERROR: falta CODIGO CECO",IF(G2915="CECO NO EXISTE","ERROR: CECO no existe en el catálogo",IF(C2915="","ERROR: falta CUENTA",IF(ISERROR(--C2915),"ERROR: CUENTA debe tener solo dígitos",IF(ISERROR(FIND(LEFT(C2915,1),"567")),"ERROR: CUENTA fuera de las clases de costo",IF(NOT(ISNUMBER(E2915)),"ERROR: VALOR debe ser numérico",IF(E2915=0,"AVISO: valor cero (no se carga)",IF(J2915&lt;&gt;"ACTIVO","NO SE CARGA: CECO en estado "&amp;J2915,"OK"))))))))))</f>
        <v/>
      </c>
    </row>
    <row r="2916">
      <c r="A2916" s="5" t="n"/>
      <c r="B2916" s="6" t="n"/>
      <c r="C2916" s="5" t="n"/>
      <c r="D2916" s="6" t="n"/>
      <c r="E2916" s="7" t="n"/>
      <c r="F2916" s="6" t="n"/>
      <c r="G2916" s="8">
        <f>IF(B2916="","",IFERROR(VLOOKUP(--B2916,'CATALOGO CECO'!$A$2:$H$550,2,FALSE),"CECO NO EXISTE"))</f>
        <v/>
      </c>
      <c r="H2916" s="8">
        <f>IF(B2916="","",IFERROR(VLOOKUP(--B2916,'CATALOGO CECO'!$A$2:$H$550,3,FALSE),""))</f>
        <v/>
      </c>
      <c r="I2916" s="8">
        <f>IF(B2916="","",IFERROR(VLOOKUP(--B2916,'CATALOGO CECO'!$A$2:$H$550,5,FALSE),""))</f>
        <v/>
      </c>
      <c r="J2916" s="8">
        <f>IF(B2916="","",IFERROR(VLOOKUP(--B2916,'CATALOGO CECO'!$A$2:$H$550,8,FALSE),""))</f>
        <v/>
      </c>
      <c r="K2916" s="8">
        <f>IF(COUNTA(A2916:F2916)=0,"",IF(OR(LEN(A2916)&lt;&gt;7,MID(A2916,5,1)&lt;&gt;"-",ISERROR(--LEFT(A2916,4)),ISERROR(--RIGHT(A2916,2))),"ERROR: PERIODO debe ser AAAA-MM",IF(B2916="","ERROR: falta CODIGO CECO",IF(G2916="CECO NO EXISTE","ERROR: CECO no existe en el catálogo",IF(C2916="","ERROR: falta CUENTA",IF(ISERROR(--C2916),"ERROR: CUENTA debe tener solo dígitos",IF(ISERROR(FIND(LEFT(C2916,1),"567")),"ERROR: CUENTA fuera de las clases de costo",IF(NOT(ISNUMBER(E2916)),"ERROR: VALOR debe ser numérico",IF(E2916=0,"AVISO: valor cero (no se carga)",IF(J2916&lt;&gt;"ACTIVO","NO SE CARGA: CECO en estado "&amp;J2916,"OK"))))))))))</f>
        <v/>
      </c>
    </row>
    <row r="2917">
      <c r="A2917" s="5" t="n"/>
      <c r="B2917" s="6" t="n"/>
      <c r="C2917" s="5" t="n"/>
      <c r="D2917" s="6" t="n"/>
      <c r="E2917" s="7" t="n"/>
      <c r="F2917" s="6" t="n"/>
      <c r="G2917" s="8">
        <f>IF(B2917="","",IFERROR(VLOOKUP(--B2917,'CATALOGO CECO'!$A$2:$H$550,2,FALSE),"CECO NO EXISTE"))</f>
        <v/>
      </c>
      <c r="H2917" s="8">
        <f>IF(B2917="","",IFERROR(VLOOKUP(--B2917,'CATALOGO CECO'!$A$2:$H$550,3,FALSE),""))</f>
        <v/>
      </c>
      <c r="I2917" s="8">
        <f>IF(B2917="","",IFERROR(VLOOKUP(--B2917,'CATALOGO CECO'!$A$2:$H$550,5,FALSE),""))</f>
        <v/>
      </c>
      <c r="J2917" s="8">
        <f>IF(B2917="","",IFERROR(VLOOKUP(--B2917,'CATALOGO CECO'!$A$2:$H$550,8,FALSE),""))</f>
        <v/>
      </c>
      <c r="K2917" s="8">
        <f>IF(COUNTA(A2917:F2917)=0,"",IF(OR(LEN(A2917)&lt;&gt;7,MID(A2917,5,1)&lt;&gt;"-",ISERROR(--LEFT(A2917,4)),ISERROR(--RIGHT(A2917,2))),"ERROR: PERIODO debe ser AAAA-MM",IF(B2917="","ERROR: falta CODIGO CECO",IF(G2917="CECO NO EXISTE","ERROR: CECO no existe en el catálogo",IF(C2917="","ERROR: falta CUENTA",IF(ISERROR(--C2917),"ERROR: CUENTA debe tener solo dígitos",IF(ISERROR(FIND(LEFT(C2917,1),"567")),"ERROR: CUENTA fuera de las clases de costo",IF(NOT(ISNUMBER(E2917)),"ERROR: VALOR debe ser numérico",IF(E2917=0,"AVISO: valor cero (no se carga)",IF(J2917&lt;&gt;"ACTIVO","NO SE CARGA: CECO en estado "&amp;J2917,"OK"))))))))))</f>
        <v/>
      </c>
    </row>
    <row r="2918">
      <c r="A2918" s="5" t="n"/>
      <c r="B2918" s="6" t="n"/>
      <c r="C2918" s="5" t="n"/>
      <c r="D2918" s="6" t="n"/>
      <c r="E2918" s="7" t="n"/>
      <c r="F2918" s="6" t="n"/>
      <c r="G2918" s="8">
        <f>IF(B2918="","",IFERROR(VLOOKUP(--B2918,'CATALOGO CECO'!$A$2:$H$550,2,FALSE),"CECO NO EXISTE"))</f>
        <v/>
      </c>
      <c r="H2918" s="8">
        <f>IF(B2918="","",IFERROR(VLOOKUP(--B2918,'CATALOGO CECO'!$A$2:$H$550,3,FALSE),""))</f>
        <v/>
      </c>
      <c r="I2918" s="8">
        <f>IF(B2918="","",IFERROR(VLOOKUP(--B2918,'CATALOGO CECO'!$A$2:$H$550,5,FALSE),""))</f>
        <v/>
      </c>
      <c r="J2918" s="8">
        <f>IF(B2918="","",IFERROR(VLOOKUP(--B2918,'CATALOGO CECO'!$A$2:$H$550,8,FALSE),""))</f>
        <v/>
      </c>
      <c r="K2918" s="8">
        <f>IF(COUNTA(A2918:F2918)=0,"",IF(OR(LEN(A2918)&lt;&gt;7,MID(A2918,5,1)&lt;&gt;"-",ISERROR(--LEFT(A2918,4)),ISERROR(--RIGHT(A2918,2))),"ERROR: PERIODO debe ser AAAA-MM",IF(B2918="","ERROR: falta CODIGO CECO",IF(G2918="CECO NO EXISTE","ERROR: CECO no existe en el catálogo",IF(C2918="","ERROR: falta CUENTA",IF(ISERROR(--C2918),"ERROR: CUENTA debe tener solo dígitos",IF(ISERROR(FIND(LEFT(C2918,1),"567")),"ERROR: CUENTA fuera de las clases de costo",IF(NOT(ISNUMBER(E2918)),"ERROR: VALOR debe ser numérico",IF(E2918=0,"AVISO: valor cero (no se carga)",IF(J2918&lt;&gt;"ACTIVO","NO SE CARGA: CECO en estado "&amp;J2918,"OK"))))))))))</f>
        <v/>
      </c>
    </row>
    <row r="2919">
      <c r="A2919" s="5" t="n"/>
      <c r="B2919" s="6" t="n"/>
      <c r="C2919" s="5" t="n"/>
      <c r="D2919" s="6" t="n"/>
      <c r="E2919" s="7" t="n"/>
      <c r="F2919" s="6" t="n"/>
      <c r="G2919" s="8">
        <f>IF(B2919="","",IFERROR(VLOOKUP(--B2919,'CATALOGO CECO'!$A$2:$H$550,2,FALSE),"CECO NO EXISTE"))</f>
        <v/>
      </c>
      <c r="H2919" s="8">
        <f>IF(B2919="","",IFERROR(VLOOKUP(--B2919,'CATALOGO CECO'!$A$2:$H$550,3,FALSE),""))</f>
        <v/>
      </c>
      <c r="I2919" s="8">
        <f>IF(B2919="","",IFERROR(VLOOKUP(--B2919,'CATALOGO CECO'!$A$2:$H$550,5,FALSE),""))</f>
        <v/>
      </c>
      <c r="J2919" s="8">
        <f>IF(B2919="","",IFERROR(VLOOKUP(--B2919,'CATALOGO CECO'!$A$2:$H$550,8,FALSE),""))</f>
        <v/>
      </c>
      <c r="K2919" s="8">
        <f>IF(COUNTA(A2919:F2919)=0,"",IF(OR(LEN(A2919)&lt;&gt;7,MID(A2919,5,1)&lt;&gt;"-",ISERROR(--LEFT(A2919,4)),ISERROR(--RIGHT(A2919,2))),"ERROR: PERIODO debe ser AAAA-MM",IF(B2919="","ERROR: falta CODIGO CECO",IF(G2919="CECO NO EXISTE","ERROR: CECO no existe en el catálogo",IF(C2919="","ERROR: falta CUENTA",IF(ISERROR(--C2919),"ERROR: CUENTA debe tener solo dígitos",IF(ISERROR(FIND(LEFT(C2919,1),"567")),"ERROR: CUENTA fuera de las clases de costo",IF(NOT(ISNUMBER(E2919)),"ERROR: VALOR debe ser numérico",IF(E2919=0,"AVISO: valor cero (no se carga)",IF(J2919&lt;&gt;"ACTIVO","NO SE CARGA: CECO en estado "&amp;J2919,"OK"))))))))))</f>
        <v/>
      </c>
    </row>
    <row r="2920">
      <c r="A2920" s="5" t="n"/>
      <c r="B2920" s="6" t="n"/>
      <c r="C2920" s="5" t="n"/>
      <c r="D2920" s="6" t="n"/>
      <c r="E2920" s="7" t="n"/>
      <c r="F2920" s="6" t="n"/>
      <c r="G2920" s="8">
        <f>IF(B2920="","",IFERROR(VLOOKUP(--B2920,'CATALOGO CECO'!$A$2:$H$550,2,FALSE),"CECO NO EXISTE"))</f>
        <v/>
      </c>
      <c r="H2920" s="8">
        <f>IF(B2920="","",IFERROR(VLOOKUP(--B2920,'CATALOGO CECO'!$A$2:$H$550,3,FALSE),""))</f>
        <v/>
      </c>
      <c r="I2920" s="8">
        <f>IF(B2920="","",IFERROR(VLOOKUP(--B2920,'CATALOGO CECO'!$A$2:$H$550,5,FALSE),""))</f>
        <v/>
      </c>
      <c r="J2920" s="8">
        <f>IF(B2920="","",IFERROR(VLOOKUP(--B2920,'CATALOGO CECO'!$A$2:$H$550,8,FALSE),""))</f>
        <v/>
      </c>
      <c r="K2920" s="8">
        <f>IF(COUNTA(A2920:F2920)=0,"",IF(OR(LEN(A2920)&lt;&gt;7,MID(A2920,5,1)&lt;&gt;"-",ISERROR(--LEFT(A2920,4)),ISERROR(--RIGHT(A2920,2))),"ERROR: PERIODO debe ser AAAA-MM",IF(B2920="","ERROR: falta CODIGO CECO",IF(G2920="CECO NO EXISTE","ERROR: CECO no existe en el catálogo",IF(C2920="","ERROR: falta CUENTA",IF(ISERROR(--C2920),"ERROR: CUENTA debe tener solo dígitos",IF(ISERROR(FIND(LEFT(C2920,1),"567")),"ERROR: CUENTA fuera de las clases de costo",IF(NOT(ISNUMBER(E2920)),"ERROR: VALOR debe ser numérico",IF(E2920=0,"AVISO: valor cero (no se carga)",IF(J2920&lt;&gt;"ACTIVO","NO SE CARGA: CECO en estado "&amp;J2920,"OK"))))))))))</f>
        <v/>
      </c>
    </row>
    <row r="2921">
      <c r="A2921" s="5" t="n"/>
      <c r="B2921" s="6" t="n"/>
      <c r="C2921" s="5" t="n"/>
      <c r="D2921" s="6" t="n"/>
      <c r="E2921" s="7" t="n"/>
      <c r="F2921" s="6" t="n"/>
      <c r="G2921" s="8">
        <f>IF(B2921="","",IFERROR(VLOOKUP(--B2921,'CATALOGO CECO'!$A$2:$H$550,2,FALSE),"CECO NO EXISTE"))</f>
        <v/>
      </c>
      <c r="H2921" s="8">
        <f>IF(B2921="","",IFERROR(VLOOKUP(--B2921,'CATALOGO CECO'!$A$2:$H$550,3,FALSE),""))</f>
        <v/>
      </c>
      <c r="I2921" s="8">
        <f>IF(B2921="","",IFERROR(VLOOKUP(--B2921,'CATALOGO CECO'!$A$2:$H$550,5,FALSE),""))</f>
        <v/>
      </c>
      <c r="J2921" s="8">
        <f>IF(B2921="","",IFERROR(VLOOKUP(--B2921,'CATALOGO CECO'!$A$2:$H$550,8,FALSE),""))</f>
        <v/>
      </c>
      <c r="K2921" s="8">
        <f>IF(COUNTA(A2921:F2921)=0,"",IF(OR(LEN(A2921)&lt;&gt;7,MID(A2921,5,1)&lt;&gt;"-",ISERROR(--LEFT(A2921,4)),ISERROR(--RIGHT(A2921,2))),"ERROR: PERIODO debe ser AAAA-MM",IF(B2921="","ERROR: falta CODIGO CECO",IF(G2921="CECO NO EXISTE","ERROR: CECO no existe en el catálogo",IF(C2921="","ERROR: falta CUENTA",IF(ISERROR(--C2921),"ERROR: CUENTA debe tener solo dígitos",IF(ISERROR(FIND(LEFT(C2921,1),"567")),"ERROR: CUENTA fuera de las clases de costo",IF(NOT(ISNUMBER(E2921)),"ERROR: VALOR debe ser numérico",IF(E2921=0,"AVISO: valor cero (no se carga)",IF(J2921&lt;&gt;"ACTIVO","NO SE CARGA: CECO en estado "&amp;J2921,"OK"))))))))))</f>
        <v/>
      </c>
    </row>
    <row r="2922">
      <c r="A2922" s="5" t="n"/>
      <c r="B2922" s="6" t="n"/>
      <c r="C2922" s="5" t="n"/>
      <c r="D2922" s="6" t="n"/>
      <c r="E2922" s="7" t="n"/>
      <c r="F2922" s="6" t="n"/>
      <c r="G2922" s="8">
        <f>IF(B2922="","",IFERROR(VLOOKUP(--B2922,'CATALOGO CECO'!$A$2:$H$550,2,FALSE),"CECO NO EXISTE"))</f>
        <v/>
      </c>
      <c r="H2922" s="8">
        <f>IF(B2922="","",IFERROR(VLOOKUP(--B2922,'CATALOGO CECO'!$A$2:$H$550,3,FALSE),""))</f>
        <v/>
      </c>
      <c r="I2922" s="8">
        <f>IF(B2922="","",IFERROR(VLOOKUP(--B2922,'CATALOGO CECO'!$A$2:$H$550,5,FALSE),""))</f>
        <v/>
      </c>
      <c r="J2922" s="8">
        <f>IF(B2922="","",IFERROR(VLOOKUP(--B2922,'CATALOGO CECO'!$A$2:$H$550,8,FALSE),""))</f>
        <v/>
      </c>
      <c r="K2922" s="8">
        <f>IF(COUNTA(A2922:F2922)=0,"",IF(OR(LEN(A2922)&lt;&gt;7,MID(A2922,5,1)&lt;&gt;"-",ISERROR(--LEFT(A2922,4)),ISERROR(--RIGHT(A2922,2))),"ERROR: PERIODO debe ser AAAA-MM",IF(B2922="","ERROR: falta CODIGO CECO",IF(G2922="CECO NO EXISTE","ERROR: CECO no existe en el catálogo",IF(C2922="","ERROR: falta CUENTA",IF(ISERROR(--C2922),"ERROR: CUENTA debe tener solo dígitos",IF(ISERROR(FIND(LEFT(C2922,1),"567")),"ERROR: CUENTA fuera de las clases de costo",IF(NOT(ISNUMBER(E2922)),"ERROR: VALOR debe ser numérico",IF(E2922=0,"AVISO: valor cero (no se carga)",IF(J2922&lt;&gt;"ACTIVO","NO SE CARGA: CECO en estado "&amp;J2922,"OK"))))))))))</f>
        <v/>
      </c>
    </row>
    <row r="2923">
      <c r="A2923" s="5" t="n"/>
      <c r="B2923" s="6" t="n"/>
      <c r="C2923" s="5" t="n"/>
      <c r="D2923" s="6" t="n"/>
      <c r="E2923" s="7" t="n"/>
      <c r="F2923" s="6" t="n"/>
      <c r="G2923" s="8">
        <f>IF(B2923="","",IFERROR(VLOOKUP(--B2923,'CATALOGO CECO'!$A$2:$H$550,2,FALSE),"CECO NO EXISTE"))</f>
        <v/>
      </c>
      <c r="H2923" s="8">
        <f>IF(B2923="","",IFERROR(VLOOKUP(--B2923,'CATALOGO CECO'!$A$2:$H$550,3,FALSE),""))</f>
        <v/>
      </c>
      <c r="I2923" s="8">
        <f>IF(B2923="","",IFERROR(VLOOKUP(--B2923,'CATALOGO CECO'!$A$2:$H$550,5,FALSE),""))</f>
        <v/>
      </c>
      <c r="J2923" s="8">
        <f>IF(B2923="","",IFERROR(VLOOKUP(--B2923,'CATALOGO CECO'!$A$2:$H$550,8,FALSE),""))</f>
        <v/>
      </c>
      <c r="K2923" s="8">
        <f>IF(COUNTA(A2923:F2923)=0,"",IF(OR(LEN(A2923)&lt;&gt;7,MID(A2923,5,1)&lt;&gt;"-",ISERROR(--LEFT(A2923,4)),ISERROR(--RIGHT(A2923,2))),"ERROR: PERIODO debe ser AAAA-MM",IF(B2923="","ERROR: falta CODIGO CECO",IF(G2923="CECO NO EXISTE","ERROR: CECO no existe en el catálogo",IF(C2923="","ERROR: falta CUENTA",IF(ISERROR(--C2923),"ERROR: CUENTA debe tener solo dígitos",IF(ISERROR(FIND(LEFT(C2923,1),"567")),"ERROR: CUENTA fuera de las clases de costo",IF(NOT(ISNUMBER(E2923)),"ERROR: VALOR debe ser numérico",IF(E2923=0,"AVISO: valor cero (no se carga)",IF(J2923&lt;&gt;"ACTIVO","NO SE CARGA: CECO en estado "&amp;J2923,"OK"))))))))))</f>
        <v/>
      </c>
    </row>
    <row r="2924">
      <c r="A2924" s="5" t="n"/>
      <c r="B2924" s="6" t="n"/>
      <c r="C2924" s="5" t="n"/>
      <c r="D2924" s="6" t="n"/>
      <c r="E2924" s="7" t="n"/>
      <c r="F2924" s="6" t="n"/>
      <c r="G2924" s="8">
        <f>IF(B2924="","",IFERROR(VLOOKUP(--B2924,'CATALOGO CECO'!$A$2:$H$550,2,FALSE),"CECO NO EXISTE"))</f>
        <v/>
      </c>
      <c r="H2924" s="8">
        <f>IF(B2924="","",IFERROR(VLOOKUP(--B2924,'CATALOGO CECO'!$A$2:$H$550,3,FALSE),""))</f>
        <v/>
      </c>
      <c r="I2924" s="8">
        <f>IF(B2924="","",IFERROR(VLOOKUP(--B2924,'CATALOGO CECO'!$A$2:$H$550,5,FALSE),""))</f>
        <v/>
      </c>
      <c r="J2924" s="8">
        <f>IF(B2924="","",IFERROR(VLOOKUP(--B2924,'CATALOGO CECO'!$A$2:$H$550,8,FALSE),""))</f>
        <v/>
      </c>
      <c r="K2924" s="8">
        <f>IF(COUNTA(A2924:F2924)=0,"",IF(OR(LEN(A2924)&lt;&gt;7,MID(A2924,5,1)&lt;&gt;"-",ISERROR(--LEFT(A2924,4)),ISERROR(--RIGHT(A2924,2))),"ERROR: PERIODO debe ser AAAA-MM",IF(B2924="","ERROR: falta CODIGO CECO",IF(G2924="CECO NO EXISTE","ERROR: CECO no existe en el catálogo",IF(C2924="","ERROR: falta CUENTA",IF(ISERROR(--C2924),"ERROR: CUENTA debe tener solo dígitos",IF(ISERROR(FIND(LEFT(C2924,1),"567")),"ERROR: CUENTA fuera de las clases de costo",IF(NOT(ISNUMBER(E2924)),"ERROR: VALOR debe ser numérico",IF(E2924=0,"AVISO: valor cero (no se carga)",IF(J2924&lt;&gt;"ACTIVO","NO SE CARGA: CECO en estado "&amp;J2924,"OK"))))))))))</f>
        <v/>
      </c>
    </row>
    <row r="2925">
      <c r="A2925" s="5" t="n"/>
      <c r="B2925" s="6" t="n"/>
      <c r="C2925" s="5" t="n"/>
      <c r="D2925" s="6" t="n"/>
      <c r="E2925" s="7" t="n"/>
      <c r="F2925" s="6" t="n"/>
      <c r="G2925" s="8">
        <f>IF(B2925="","",IFERROR(VLOOKUP(--B2925,'CATALOGO CECO'!$A$2:$H$550,2,FALSE),"CECO NO EXISTE"))</f>
        <v/>
      </c>
      <c r="H2925" s="8">
        <f>IF(B2925="","",IFERROR(VLOOKUP(--B2925,'CATALOGO CECO'!$A$2:$H$550,3,FALSE),""))</f>
        <v/>
      </c>
      <c r="I2925" s="8">
        <f>IF(B2925="","",IFERROR(VLOOKUP(--B2925,'CATALOGO CECO'!$A$2:$H$550,5,FALSE),""))</f>
        <v/>
      </c>
      <c r="J2925" s="8">
        <f>IF(B2925="","",IFERROR(VLOOKUP(--B2925,'CATALOGO CECO'!$A$2:$H$550,8,FALSE),""))</f>
        <v/>
      </c>
      <c r="K2925" s="8">
        <f>IF(COUNTA(A2925:F2925)=0,"",IF(OR(LEN(A2925)&lt;&gt;7,MID(A2925,5,1)&lt;&gt;"-",ISERROR(--LEFT(A2925,4)),ISERROR(--RIGHT(A2925,2))),"ERROR: PERIODO debe ser AAAA-MM",IF(B2925="","ERROR: falta CODIGO CECO",IF(G2925="CECO NO EXISTE","ERROR: CECO no existe en el catálogo",IF(C2925="","ERROR: falta CUENTA",IF(ISERROR(--C2925),"ERROR: CUENTA debe tener solo dígitos",IF(ISERROR(FIND(LEFT(C2925,1),"567")),"ERROR: CUENTA fuera de las clases de costo",IF(NOT(ISNUMBER(E2925)),"ERROR: VALOR debe ser numérico",IF(E2925=0,"AVISO: valor cero (no se carga)",IF(J2925&lt;&gt;"ACTIVO","NO SE CARGA: CECO en estado "&amp;J2925,"OK"))))))))))</f>
        <v/>
      </c>
    </row>
    <row r="2926">
      <c r="A2926" s="5" t="n"/>
      <c r="B2926" s="6" t="n"/>
      <c r="C2926" s="5" t="n"/>
      <c r="D2926" s="6" t="n"/>
      <c r="E2926" s="7" t="n"/>
      <c r="F2926" s="6" t="n"/>
      <c r="G2926" s="8">
        <f>IF(B2926="","",IFERROR(VLOOKUP(--B2926,'CATALOGO CECO'!$A$2:$H$550,2,FALSE),"CECO NO EXISTE"))</f>
        <v/>
      </c>
      <c r="H2926" s="8">
        <f>IF(B2926="","",IFERROR(VLOOKUP(--B2926,'CATALOGO CECO'!$A$2:$H$550,3,FALSE),""))</f>
        <v/>
      </c>
      <c r="I2926" s="8">
        <f>IF(B2926="","",IFERROR(VLOOKUP(--B2926,'CATALOGO CECO'!$A$2:$H$550,5,FALSE),""))</f>
        <v/>
      </c>
      <c r="J2926" s="8">
        <f>IF(B2926="","",IFERROR(VLOOKUP(--B2926,'CATALOGO CECO'!$A$2:$H$550,8,FALSE),""))</f>
        <v/>
      </c>
      <c r="K2926" s="8">
        <f>IF(COUNTA(A2926:F2926)=0,"",IF(OR(LEN(A2926)&lt;&gt;7,MID(A2926,5,1)&lt;&gt;"-",ISERROR(--LEFT(A2926,4)),ISERROR(--RIGHT(A2926,2))),"ERROR: PERIODO debe ser AAAA-MM",IF(B2926="","ERROR: falta CODIGO CECO",IF(G2926="CECO NO EXISTE","ERROR: CECO no existe en el catálogo",IF(C2926="","ERROR: falta CUENTA",IF(ISERROR(--C2926),"ERROR: CUENTA debe tener solo dígitos",IF(ISERROR(FIND(LEFT(C2926,1),"567")),"ERROR: CUENTA fuera de las clases de costo",IF(NOT(ISNUMBER(E2926)),"ERROR: VALOR debe ser numérico",IF(E2926=0,"AVISO: valor cero (no se carga)",IF(J2926&lt;&gt;"ACTIVO","NO SE CARGA: CECO en estado "&amp;J2926,"OK"))))))))))</f>
        <v/>
      </c>
    </row>
    <row r="2927">
      <c r="A2927" s="5" t="n"/>
      <c r="B2927" s="6" t="n"/>
      <c r="C2927" s="5" t="n"/>
      <c r="D2927" s="6" t="n"/>
      <c r="E2927" s="7" t="n"/>
      <c r="F2927" s="6" t="n"/>
      <c r="G2927" s="8">
        <f>IF(B2927="","",IFERROR(VLOOKUP(--B2927,'CATALOGO CECO'!$A$2:$H$550,2,FALSE),"CECO NO EXISTE"))</f>
        <v/>
      </c>
      <c r="H2927" s="8">
        <f>IF(B2927="","",IFERROR(VLOOKUP(--B2927,'CATALOGO CECO'!$A$2:$H$550,3,FALSE),""))</f>
        <v/>
      </c>
      <c r="I2927" s="8">
        <f>IF(B2927="","",IFERROR(VLOOKUP(--B2927,'CATALOGO CECO'!$A$2:$H$550,5,FALSE),""))</f>
        <v/>
      </c>
      <c r="J2927" s="8">
        <f>IF(B2927="","",IFERROR(VLOOKUP(--B2927,'CATALOGO CECO'!$A$2:$H$550,8,FALSE),""))</f>
        <v/>
      </c>
      <c r="K2927" s="8">
        <f>IF(COUNTA(A2927:F2927)=0,"",IF(OR(LEN(A2927)&lt;&gt;7,MID(A2927,5,1)&lt;&gt;"-",ISERROR(--LEFT(A2927,4)),ISERROR(--RIGHT(A2927,2))),"ERROR: PERIODO debe ser AAAA-MM",IF(B2927="","ERROR: falta CODIGO CECO",IF(G2927="CECO NO EXISTE","ERROR: CECO no existe en el catálogo",IF(C2927="","ERROR: falta CUENTA",IF(ISERROR(--C2927),"ERROR: CUENTA debe tener solo dígitos",IF(ISERROR(FIND(LEFT(C2927,1),"567")),"ERROR: CUENTA fuera de las clases de costo",IF(NOT(ISNUMBER(E2927)),"ERROR: VALOR debe ser numérico",IF(E2927=0,"AVISO: valor cero (no se carga)",IF(J2927&lt;&gt;"ACTIVO","NO SE CARGA: CECO en estado "&amp;J2927,"OK"))))))))))</f>
        <v/>
      </c>
    </row>
    <row r="2928">
      <c r="A2928" s="5" t="n"/>
      <c r="B2928" s="6" t="n"/>
      <c r="C2928" s="5" t="n"/>
      <c r="D2928" s="6" t="n"/>
      <c r="E2928" s="7" t="n"/>
      <c r="F2928" s="6" t="n"/>
      <c r="G2928" s="8">
        <f>IF(B2928="","",IFERROR(VLOOKUP(--B2928,'CATALOGO CECO'!$A$2:$H$550,2,FALSE),"CECO NO EXISTE"))</f>
        <v/>
      </c>
      <c r="H2928" s="8">
        <f>IF(B2928="","",IFERROR(VLOOKUP(--B2928,'CATALOGO CECO'!$A$2:$H$550,3,FALSE),""))</f>
        <v/>
      </c>
      <c r="I2928" s="8">
        <f>IF(B2928="","",IFERROR(VLOOKUP(--B2928,'CATALOGO CECO'!$A$2:$H$550,5,FALSE),""))</f>
        <v/>
      </c>
      <c r="J2928" s="8">
        <f>IF(B2928="","",IFERROR(VLOOKUP(--B2928,'CATALOGO CECO'!$A$2:$H$550,8,FALSE),""))</f>
        <v/>
      </c>
      <c r="K2928" s="8">
        <f>IF(COUNTA(A2928:F2928)=0,"",IF(OR(LEN(A2928)&lt;&gt;7,MID(A2928,5,1)&lt;&gt;"-",ISERROR(--LEFT(A2928,4)),ISERROR(--RIGHT(A2928,2))),"ERROR: PERIODO debe ser AAAA-MM",IF(B2928="","ERROR: falta CODIGO CECO",IF(G2928="CECO NO EXISTE","ERROR: CECO no existe en el catálogo",IF(C2928="","ERROR: falta CUENTA",IF(ISERROR(--C2928),"ERROR: CUENTA debe tener solo dígitos",IF(ISERROR(FIND(LEFT(C2928,1),"567")),"ERROR: CUENTA fuera de las clases de costo",IF(NOT(ISNUMBER(E2928)),"ERROR: VALOR debe ser numérico",IF(E2928=0,"AVISO: valor cero (no se carga)",IF(J2928&lt;&gt;"ACTIVO","NO SE CARGA: CECO en estado "&amp;J2928,"OK"))))))))))</f>
        <v/>
      </c>
    </row>
    <row r="2929">
      <c r="A2929" s="5" t="n"/>
      <c r="B2929" s="6" t="n"/>
      <c r="C2929" s="5" t="n"/>
      <c r="D2929" s="6" t="n"/>
      <c r="E2929" s="7" t="n"/>
      <c r="F2929" s="6" t="n"/>
      <c r="G2929" s="8">
        <f>IF(B2929="","",IFERROR(VLOOKUP(--B2929,'CATALOGO CECO'!$A$2:$H$550,2,FALSE),"CECO NO EXISTE"))</f>
        <v/>
      </c>
      <c r="H2929" s="8">
        <f>IF(B2929="","",IFERROR(VLOOKUP(--B2929,'CATALOGO CECO'!$A$2:$H$550,3,FALSE),""))</f>
        <v/>
      </c>
      <c r="I2929" s="8">
        <f>IF(B2929="","",IFERROR(VLOOKUP(--B2929,'CATALOGO CECO'!$A$2:$H$550,5,FALSE),""))</f>
        <v/>
      </c>
      <c r="J2929" s="8">
        <f>IF(B2929="","",IFERROR(VLOOKUP(--B2929,'CATALOGO CECO'!$A$2:$H$550,8,FALSE),""))</f>
        <v/>
      </c>
      <c r="K2929" s="8">
        <f>IF(COUNTA(A2929:F2929)=0,"",IF(OR(LEN(A2929)&lt;&gt;7,MID(A2929,5,1)&lt;&gt;"-",ISERROR(--LEFT(A2929,4)),ISERROR(--RIGHT(A2929,2))),"ERROR: PERIODO debe ser AAAA-MM",IF(B2929="","ERROR: falta CODIGO CECO",IF(G2929="CECO NO EXISTE","ERROR: CECO no existe en el catálogo",IF(C2929="","ERROR: falta CUENTA",IF(ISERROR(--C2929),"ERROR: CUENTA debe tener solo dígitos",IF(ISERROR(FIND(LEFT(C2929,1),"567")),"ERROR: CUENTA fuera de las clases de costo",IF(NOT(ISNUMBER(E2929)),"ERROR: VALOR debe ser numérico",IF(E2929=0,"AVISO: valor cero (no se carga)",IF(J2929&lt;&gt;"ACTIVO","NO SE CARGA: CECO en estado "&amp;J2929,"OK"))))))))))</f>
        <v/>
      </c>
    </row>
    <row r="2930">
      <c r="A2930" s="5" t="n"/>
      <c r="B2930" s="6" t="n"/>
      <c r="C2930" s="5" t="n"/>
      <c r="D2930" s="6" t="n"/>
      <c r="E2930" s="7" t="n"/>
      <c r="F2930" s="6" t="n"/>
      <c r="G2930" s="8">
        <f>IF(B2930="","",IFERROR(VLOOKUP(--B2930,'CATALOGO CECO'!$A$2:$H$550,2,FALSE),"CECO NO EXISTE"))</f>
        <v/>
      </c>
      <c r="H2930" s="8">
        <f>IF(B2930="","",IFERROR(VLOOKUP(--B2930,'CATALOGO CECO'!$A$2:$H$550,3,FALSE),""))</f>
        <v/>
      </c>
      <c r="I2930" s="8">
        <f>IF(B2930="","",IFERROR(VLOOKUP(--B2930,'CATALOGO CECO'!$A$2:$H$550,5,FALSE),""))</f>
        <v/>
      </c>
      <c r="J2930" s="8">
        <f>IF(B2930="","",IFERROR(VLOOKUP(--B2930,'CATALOGO CECO'!$A$2:$H$550,8,FALSE),""))</f>
        <v/>
      </c>
      <c r="K2930" s="8">
        <f>IF(COUNTA(A2930:F2930)=0,"",IF(OR(LEN(A2930)&lt;&gt;7,MID(A2930,5,1)&lt;&gt;"-",ISERROR(--LEFT(A2930,4)),ISERROR(--RIGHT(A2930,2))),"ERROR: PERIODO debe ser AAAA-MM",IF(B2930="","ERROR: falta CODIGO CECO",IF(G2930="CECO NO EXISTE","ERROR: CECO no existe en el catálogo",IF(C2930="","ERROR: falta CUENTA",IF(ISERROR(--C2930),"ERROR: CUENTA debe tener solo dígitos",IF(ISERROR(FIND(LEFT(C2930,1),"567")),"ERROR: CUENTA fuera de las clases de costo",IF(NOT(ISNUMBER(E2930)),"ERROR: VALOR debe ser numérico",IF(E2930=0,"AVISO: valor cero (no se carga)",IF(J2930&lt;&gt;"ACTIVO","NO SE CARGA: CECO en estado "&amp;J2930,"OK"))))))))))</f>
        <v/>
      </c>
    </row>
    <row r="2931">
      <c r="A2931" s="5" t="n"/>
      <c r="B2931" s="6" t="n"/>
      <c r="C2931" s="5" t="n"/>
      <c r="D2931" s="6" t="n"/>
      <c r="E2931" s="7" t="n"/>
      <c r="F2931" s="6" t="n"/>
      <c r="G2931" s="8">
        <f>IF(B2931="","",IFERROR(VLOOKUP(--B2931,'CATALOGO CECO'!$A$2:$H$550,2,FALSE),"CECO NO EXISTE"))</f>
        <v/>
      </c>
      <c r="H2931" s="8">
        <f>IF(B2931="","",IFERROR(VLOOKUP(--B2931,'CATALOGO CECO'!$A$2:$H$550,3,FALSE),""))</f>
        <v/>
      </c>
      <c r="I2931" s="8">
        <f>IF(B2931="","",IFERROR(VLOOKUP(--B2931,'CATALOGO CECO'!$A$2:$H$550,5,FALSE),""))</f>
        <v/>
      </c>
      <c r="J2931" s="8">
        <f>IF(B2931="","",IFERROR(VLOOKUP(--B2931,'CATALOGO CECO'!$A$2:$H$550,8,FALSE),""))</f>
        <v/>
      </c>
      <c r="K2931" s="8">
        <f>IF(COUNTA(A2931:F2931)=0,"",IF(OR(LEN(A2931)&lt;&gt;7,MID(A2931,5,1)&lt;&gt;"-",ISERROR(--LEFT(A2931,4)),ISERROR(--RIGHT(A2931,2))),"ERROR: PERIODO debe ser AAAA-MM",IF(B2931="","ERROR: falta CODIGO CECO",IF(G2931="CECO NO EXISTE","ERROR: CECO no existe en el catálogo",IF(C2931="","ERROR: falta CUENTA",IF(ISERROR(--C2931),"ERROR: CUENTA debe tener solo dígitos",IF(ISERROR(FIND(LEFT(C2931,1),"567")),"ERROR: CUENTA fuera de las clases de costo",IF(NOT(ISNUMBER(E2931)),"ERROR: VALOR debe ser numérico",IF(E2931=0,"AVISO: valor cero (no se carga)",IF(J2931&lt;&gt;"ACTIVO","NO SE CARGA: CECO en estado "&amp;J2931,"OK"))))))))))</f>
        <v/>
      </c>
    </row>
    <row r="2932">
      <c r="A2932" s="5" t="n"/>
      <c r="B2932" s="6" t="n"/>
      <c r="C2932" s="5" t="n"/>
      <c r="D2932" s="6" t="n"/>
      <c r="E2932" s="7" t="n"/>
      <c r="F2932" s="6" t="n"/>
      <c r="G2932" s="8">
        <f>IF(B2932="","",IFERROR(VLOOKUP(--B2932,'CATALOGO CECO'!$A$2:$H$550,2,FALSE),"CECO NO EXISTE"))</f>
        <v/>
      </c>
      <c r="H2932" s="8">
        <f>IF(B2932="","",IFERROR(VLOOKUP(--B2932,'CATALOGO CECO'!$A$2:$H$550,3,FALSE),""))</f>
        <v/>
      </c>
      <c r="I2932" s="8">
        <f>IF(B2932="","",IFERROR(VLOOKUP(--B2932,'CATALOGO CECO'!$A$2:$H$550,5,FALSE),""))</f>
        <v/>
      </c>
      <c r="J2932" s="8">
        <f>IF(B2932="","",IFERROR(VLOOKUP(--B2932,'CATALOGO CECO'!$A$2:$H$550,8,FALSE),""))</f>
        <v/>
      </c>
      <c r="K2932" s="8">
        <f>IF(COUNTA(A2932:F2932)=0,"",IF(OR(LEN(A2932)&lt;&gt;7,MID(A2932,5,1)&lt;&gt;"-",ISERROR(--LEFT(A2932,4)),ISERROR(--RIGHT(A2932,2))),"ERROR: PERIODO debe ser AAAA-MM",IF(B2932="","ERROR: falta CODIGO CECO",IF(G2932="CECO NO EXISTE","ERROR: CECO no existe en el catálogo",IF(C2932="","ERROR: falta CUENTA",IF(ISERROR(--C2932),"ERROR: CUENTA debe tener solo dígitos",IF(ISERROR(FIND(LEFT(C2932,1),"567")),"ERROR: CUENTA fuera de las clases de costo",IF(NOT(ISNUMBER(E2932)),"ERROR: VALOR debe ser numérico",IF(E2932=0,"AVISO: valor cero (no se carga)",IF(J2932&lt;&gt;"ACTIVO","NO SE CARGA: CECO en estado "&amp;J2932,"OK"))))))))))</f>
        <v/>
      </c>
    </row>
    <row r="2933">
      <c r="A2933" s="5" t="n"/>
      <c r="B2933" s="6" t="n"/>
      <c r="C2933" s="5" t="n"/>
      <c r="D2933" s="6" t="n"/>
      <c r="E2933" s="7" t="n"/>
      <c r="F2933" s="6" t="n"/>
      <c r="G2933" s="8">
        <f>IF(B2933="","",IFERROR(VLOOKUP(--B2933,'CATALOGO CECO'!$A$2:$H$550,2,FALSE),"CECO NO EXISTE"))</f>
        <v/>
      </c>
      <c r="H2933" s="8">
        <f>IF(B2933="","",IFERROR(VLOOKUP(--B2933,'CATALOGO CECO'!$A$2:$H$550,3,FALSE),""))</f>
        <v/>
      </c>
      <c r="I2933" s="8">
        <f>IF(B2933="","",IFERROR(VLOOKUP(--B2933,'CATALOGO CECO'!$A$2:$H$550,5,FALSE),""))</f>
        <v/>
      </c>
      <c r="J2933" s="8">
        <f>IF(B2933="","",IFERROR(VLOOKUP(--B2933,'CATALOGO CECO'!$A$2:$H$550,8,FALSE),""))</f>
        <v/>
      </c>
      <c r="K2933" s="8">
        <f>IF(COUNTA(A2933:F2933)=0,"",IF(OR(LEN(A2933)&lt;&gt;7,MID(A2933,5,1)&lt;&gt;"-",ISERROR(--LEFT(A2933,4)),ISERROR(--RIGHT(A2933,2))),"ERROR: PERIODO debe ser AAAA-MM",IF(B2933="","ERROR: falta CODIGO CECO",IF(G2933="CECO NO EXISTE","ERROR: CECO no existe en el catálogo",IF(C2933="","ERROR: falta CUENTA",IF(ISERROR(--C2933),"ERROR: CUENTA debe tener solo dígitos",IF(ISERROR(FIND(LEFT(C2933,1),"567")),"ERROR: CUENTA fuera de las clases de costo",IF(NOT(ISNUMBER(E2933)),"ERROR: VALOR debe ser numérico",IF(E2933=0,"AVISO: valor cero (no se carga)",IF(J2933&lt;&gt;"ACTIVO","NO SE CARGA: CECO en estado "&amp;J2933,"OK"))))))))))</f>
        <v/>
      </c>
    </row>
    <row r="2934">
      <c r="A2934" s="5" t="n"/>
      <c r="B2934" s="6" t="n"/>
      <c r="C2934" s="5" t="n"/>
      <c r="D2934" s="6" t="n"/>
      <c r="E2934" s="7" t="n"/>
      <c r="F2934" s="6" t="n"/>
      <c r="G2934" s="8">
        <f>IF(B2934="","",IFERROR(VLOOKUP(--B2934,'CATALOGO CECO'!$A$2:$H$550,2,FALSE),"CECO NO EXISTE"))</f>
        <v/>
      </c>
      <c r="H2934" s="8">
        <f>IF(B2934="","",IFERROR(VLOOKUP(--B2934,'CATALOGO CECO'!$A$2:$H$550,3,FALSE),""))</f>
        <v/>
      </c>
      <c r="I2934" s="8">
        <f>IF(B2934="","",IFERROR(VLOOKUP(--B2934,'CATALOGO CECO'!$A$2:$H$550,5,FALSE),""))</f>
        <v/>
      </c>
      <c r="J2934" s="8">
        <f>IF(B2934="","",IFERROR(VLOOKUP(--B2934,'CATALOGO CECO'!$A$2:$H$550,8,FALSE),""))</f>
        <v/>
      </c>
      <c r="K2934" s="8">
        <f>IF(COUNTA(A2934:F2934)=0,"",IF(OR(LEN(A2934)&lt;&gt;7,MID(A2934,5,1)&lt;&gt;"-",ISERROR(--LEFT(A2934,4)),ISERROR(--RIGHT(A2934,2))),"ERROR: PERIODO debe ser AAAA-MM",IF(B2934="","ERROR: falta CODIGO CECO",IF(G2934="CECO NO EXISTE","ERROR: CECO no existe en el catálogo",IF(C2934="","ERROR: falta CUENTA",IF(ISERROR(--C2934),"ERROR: CUENTA debe tener solo dígitos",IF(ISERROR(FIND(LEFT(C2934,1),"567")),"ERROR: CUENTA fuera de las clases de costo",IF(NOT(ISNUMBER(E2934)),"ERROR: VALOR debe ser numérico",IF(E2934=0,"AVISO: valor cero (no se carga)",IF(J2934&lt;&gt;"ACTIVO","NO SE CARGA: CECO en estado "&amp;J2934,"OK"))))))))))</f>
        <v/>
      </c>
    </row>
    <row r="2935">
      <c r="A2935" s="5" t="n"/>
      <c r="B2935" s="6" t="n"/>
      <c r="C2935" s="5" t="n"/>
      <c r="D2935" s="6" t="n"/>
      <c r="E2935" s="7" t="n"/>
      <c r="F2935" s="6" t="n"/>
      <c r="G2935" s="8">
        <f>IF(B2935="","",IFERROR(VLOOKUP(--B2935,'CATALOGO CECO'!$A$2:$H$550,2,FALSE),"CECO NO EXISTE"))</f>
        <v/>
      </c>
      <c r="H2935" s="8">
        <f>IF(B2935="","",IFERROR(VLOOKUP(--B2935,'CATALOGO CECO'!$A$2:$H$550,3,FALSE),""))</f>
        <v/>
      </c>
      <c r="I2935" s="8">
        <f>IF(B2935="","",IFERROR(VLOOKUP(--B2935,'CATALOGO CECO'!$A$2:$H$550,5,FALSE),""))</f>
        <v/>
      </c>
      <c r="J2935" s="8">
        <f>IF(B2935="","",IFERROR(VLOOKUP(--B2935,'CATALOGO CECO'!$A$2:$H$550,8,FALSE),""))</f>
        <v/>
      </c>
      <c r="K2935" s="8">
        <f>IF(COUNTA(A2935:F2935)=0,"",IF(OR(LEN(A2935)&lt;&gt;7,MID(A2935,5,1)&lt;&gt;"-",ISERROR(--LEFT(A2935,4)),ISERROR(--RIGHT(A2935,2))),"ERROR: PERIODO debe ser AAAA-MM",IF(B2935="","ERROR: falta CODIGO CECO",IF(G2935="CECO NO EXISTE","ERROR: CECO no existe en el catálogo",IF(C2935="","ERROR: falta CUENTA",IF(ISERROR(--C2935),"ERROR: CUENTA debe tener solo dígitos",IF(ISERROR(FIND(LEFT(C2935,1),"567")),"ERROR: CUENTA fuera de las clases de costo",IF(NOT(ISNUMBER(E2935)),"ERROR: VALOR debe ser numérico",IF(E2935=0,"AVISO: valor cero (no se carga)",IF(J2935&lt;&gt;"ACTIVO","NO SE CARGA: CECO en estado "&amp;J2935,"OK"))))))))))</f>
        <v/>
      </c>
    </row>
    <row r="2936">
      <c r="A2936" s="5" t="n"/>
      <c r="B2936" s="6" t="n"/>
      <c r="C2936" s="5" t="n"/>
      <c r="D2936" s="6" t="n"/>
      <c r="E2936" s="7" t="n"/>
      <c r="F2936" s="6" t="n"/>
      <c r="G2936" s="8">
        <f>IF(B2936="","",IFERROR(VLOOKUP(--B2936,'CATALOGO CECO'!$A$2:$H$550,2,FALSE),"CECO NO EXISTE"))</f>
        <v/>
      </c>
      <c r="H2936" s="8">
        <f>IF(B2936="","",IFERROR(VLOOKUP(--B2936,'CATALOGO CECO'!$A$2:$H$550,3,FALSE),""))</f>
        <v/>
      </c>
      <c r="I2936" s="8">
        <f>IF(B2936="","",IFERROR(VLOOKUP(--B2936,'CATALOGO CECO'!$A$2:$H$550,5,FALSE),""))</f>
        <v/>
      </c>
      <c r="J2936" s="8">
        <f>IF(B2936="","",IFERROR(VLOOKUP(--B2936,'CATALOGO CECO'!$A$2:$H$550,8,FALSE),""))</f>
        <v/>
      </c>
      <c r="K2936" s="8">
        <f>IF(COUNTA(A2936:F2936)=0,"",IF(OR(LEN(A2936)&lt;&gt;7,MID(A2936,5,1)&lt;&gt;"-",ISERROR(--LEFT(A2936,4)),ISERROR(--RIGHT(A2936,2))),"ERROR: PERIODO debe ser AAAA-MM",IF(B2936="","ERROR: falta CODIGO CECO",IF(G2936="CECO NO EXISTE","ERROR: CECO no existe en el catálogo",IF(C2936="","ERROR: falta CUENTA",IF(ISERROR(--C2936),"ERROR: CUENTA debe tener solo dígitos",IF(ISERROR(FIND(LEFT(C2936,1),"567")),"ERROR: CUENTA fuera de las clases de costo",IF(NOT(ISNUMBER(E2936)),"ERROR: VALOR debe ser numérico",IF(E2936=0,"AVISO: valor cero (no se carga)",IF(J2936&lt;&gt;"ACTIVO","NO SE CARGA: CECO en estado "&amp;J2936,"OK"))))))))))</f>
        <v/>
      </c>
    </row>
    <row r="2937">
      <c r="A2937" s="5" t="n"/>
      <c r="B2937" s="6" t="n"/>
      <c r="C2937" s="5" t="n"/>
      <c r="D2937" s="6" t="n"/>
      <c r="E2937" s="7" t="n"/>
      <c r="F2937" s="6" t="n"/>
      <c r="G2937" s="8">
        <f>IF(B2937="","",IFERROR(VLOOKUP(--B2937,'CATALOGO CECO'!$A$2:$H$550,2,FALSE),"CECO NO EXISTE"))</f>
        <v/>
      </c>
      <c r="H2937" s="8">
        <f>IF(B2937="","",IFERROR(VLOOKUP(--B2937,'CATALOGO CECO'!$A$2:$H$550,3,FALSE),""))</f>
        <v/>
      </c>
      <c r="I2937" s="8">
        <f>IF(B2937="","",IFERROR(VLOOKUP(--B2937,'CATALOGO CECO'!$A$2:$H$550,5,FALSE),""))</f>
        <v/>
      </c>
      <c r="J2937" s="8">
        <f>IF(B2937="","",IFERROR(VLOOKUP(--B2937,'CATALOGO CECO'!$A$2:$H$550,8,FALSE),""))</f>
        <v/>
      </c>
      <c r="K2937" s="8">
        <f>IF(COUNTA(A2937:F2937)=0,"",IF(OR(LEN(A2937)&lt;&gt;7,MID(A2937,5,1)&lt;&gt;"-",ISERROR(--LEFT(A2937,4)),ISERROR(--RIGHT(A2937,2))),"ERROR: PERIODO debe ser AAAA-MM",IF(B2937="","ERROR: falta CODIGO CECO",IF(G2937="CECO NO EXISTE","ERROR: CECO no existe en el catálogo",IF(C2937="","ERROR: falta CUENTA",IF(ISERROR(--C2937),"ERROR: CUENTA debe tener solo dígitos",IF(ISERROR(FIND(LEFT(C2937,1),"567")),"ERROR: CUENTA fuera de las clases de costo",IF(NOT(ISNUMBER(E2937)),"ERROR: VALOR debe ser numérico",IF(E2937=0,"AVISO: valor cero (no se carga)",IF(J2937&lt;&gt;"ACTIVO","NO SE CARGA: CECO en estado "&amp;J2937,"OK"))))))))))</f>
        <v/>
      </c>
    </row>
    <row r="2938">
      <c r="A2938" s="5" t="n"/>
      <c r="B2938" s="6" t="n"/>
      <c r="C2938" s="5" t="n"/>
      <c r="D2938" s="6" t="n"/>
      <c r="E2938" s="7" t="n"/>
      <c r="F2938" s="6" t="n"/>
      <c r="G2938" s="8">
        <f>IF(B2938="","",IFERROR(VLOOKUP(--B2938,'CATALOGO CECO'!$A$2:$H$550,2,FALSE),"CECO NO EXISTE"))</f>
        <v/>
      </c>
      <c r="H2938" s="8">
        <f>IF(B2938="","",IFERROR(VLOOKUP(--B2938,'CATALOGO CECO'!$A$2:$H$550,3,FALSE),""))</f>
        <v/>
      </c>
      <c r="I2938" s="8">
        <f>IF(B2938="","",IFERROR(VLOOKUP(--B2938,'CATALOGO CECO'!$A$2:$H$550,5,FALSE),""))</f>
        <v/>
      </c>
      <c r="J2938" s="8">
        <f>IF(B2938="","",IFERROR(VLOOKUP(--B2938,'CATALOGO CECO'!$A$2:$H$550,8,FALSE),""))</f>
        <v/>
      </c>
      <c r="K2938" s="8">
        <f>IF(COUNTA(A2938:F2938)=0,"",IF(OR(LEN(A2938)&lt;&gt;7,MID(A2938,5,1)&lt;&gt;"-",ISERROR(--LEFT(A2938,4)),ISERROR(--RIGHT(A2938,2))),"ERROR: PERIODO debe ser AAAA-MM",IF(B2938="","ERROR: falta CODIGO CECO",IF(G2938="CECO NO EXISTE","ERROR: CECO no existe en el catálogo",IF(C2938="","ERROR: falta CUENTA",IF(ISERROR(--C2938),"ERROR: CUENTA debe tener solo dígitos",IF(ISERROR(FIND(LEFT(C2938,1),"567")),"ERROR: CUENTA fuera de las clases de costo",IF(NOT(ISNUMBER(E2938)),"ERROR: VALOR debe ser numérico",IF(E2938=0,"AVISO: valor cero (no se carga)",IF(J2938&lt;&gt;"ACTIVO","NO SE CARGA: CECO en estado "&amp;J2938,"OK"))))))))))</f>
        <v/>
      </c>
    </row>
    <row r="2939">
      <c r="A2939" s="5" t="n"/>
      <c r="B2939" s="6" t="n"/>
      <c r="C2939" s="5" t="n"/>
      <c r="D2939" s="6" t="n"/>
      <c r="E2939" s="7" t="n"/>
      <c r="F2939" s="6" t="n"/>
      <c r="G2939" s="8">
        <f>IF(B2939="","",IFERROR(VLOOKUP(--B2939,'CATALOGO CECO'!$A$2:$H$550,2,FALSE),"CECO NO EXISTE"))</f>
        <v/>
      </c>
      <c r="H2939" s="8">
        <f>IF(B2939="","",IFERROR(VLOOKUP(--B2939,'CATALOGO CECO'!$A$2:$H$550,3,FALSE),""))</f>
        <v/>
      </c>
      <c r="I2939" s="8">
        <f>IF(B2939="","",IFERROR(VLOOKUP(--B2939,'CATALOGO CECO'!$A$2:$H$550,5,FALSE),""))</f>
        <v/>
      </c>
      <c r="J2939" s="8">
        <f>IF(B2939="","",IFERROR(VLOOKUP(--B2939,'CATALOGO CECO'!$A$2:$H$550,8,FALSE),""))</f>
        <v/>
      </c>
      <c r="K2939" s="8">
        <f>IF(COUNTA(A2939:F2939)=0,"",IF(OR(LEN(A2939)&lt;&gt;7,MID(A2939,5,1)&lt;&gt;"-",ISERROR(--LEFT(A2939,4)),ISERROR(--RIGHT(A2939,2))),"ERROR: PERIODO debe ser AAAA-MM",IF(B2939="","ERROR: falta CODIGO CECO",IF(G2939="CECO NO EXISTE","ERROR: CECO no existe en el catálogo",IF(C2939="","ERROR: falta CUENTA",IF(ISERROR(--C2939),"ERROR: CUENTA debe tener solo dígitos",IF(ISERROR(FIND(LEFT(C2939,1),"567")),"ERROR: CUENTA fuera de las clases de costo",IF(NOT(ISNUMBER(E2939)),"ERROR: VALOR debe ser numérico",IF(E2939=0,"AVISO: valor cero (no se carga)",IF(J2939&lt;&gt;"ACTIVO","NO SE CARGA: CECO en estado "&amp;J2939,"OK"))))))))))</f>
        <v/>
      </c>
    </row>
    <row r="2940">
      <c r="A2940" s="5" t="n"/>
      <c r="B2940" s="6" t="n"/>
      <c r="C2940" s="5" t="n"/>
      <c r="D2940" s="6" t="n"/>
      <c r="E2940" s="7" t="n"/>
      <c r="F2940" s="6" t="n"/>
      <c r="G2940" s="8">
        <f>IF(B2940="","",IFERROR(VLOOKUP(--B2940,'CATALOGO CECO'!$A$2:$H$550,2,FALSE),"CECO NO EXISTE"))</f>
        <v/>
      </c>
      <c r="H2940" s="8">
        <f>IF(B2940="","",IFERROR(VLOOKUP(--B2940,'CATALOGO CECO'!$A$2:$H$550,3,FALSE),""))</f>
        <v/>
      </c>
      <c r="I2940" s="8">
        <f>IF(B2940="","",IFERROR(VLOOKUP(--B2940,'CATALOGO CECO'!$A$2:$H$550,5,FALSE),""))</f>
        <v/>
      </c>
      <c r="J2940" s="8">
        <f>IF(B2940="","",IFERROR(VLOOKUP(--B2940,'CATALOGO CECO'!$A$2:$H$550,8,FALSE),""))</f>
        <v/>
      </c>
      <c r="K2940" s="8">
        <f>IF(COUNTA(A2940:F2940)=0,"",IF(OR(LEN(A2940)&lt;&gt;7,MID(A2940,5,1)&lt;&gt;"-",ISERROR(--LEFT(A2940,4)),ISERROR(--RIGHT(A2940,2))),"ERROR: PERIODO debe ser AAAA-MM",IF(B2940="","ERROR: falta CODIGO CECO",IF(G2940="CECO NO EXISTE","ERROR: CECO no existe en el catálogo",IF(C2940="","ERROR: falta CUENTA",IF(ISERROR(--C2940),"ERROR: CUENTA debe tener solo dígitos",IF(ISERROR(FIND(LEFT(C2940,1),"567")),"ERROR: CUENTA fuera de las clases de costo",IF(NOT(ISNUMBER(E2940)),"ERROR: VALOR debe ser numérico",IF(E2940=0,"AVISO: valor cero (no se carga)",IF(J2940&lt;&gt;"ACTIVO","NO SE CARGA: CECO en estado "&amp;J2940,"OK"))))))))))</f>
        <v/>
      </c>
    </row>
    <row r="2941">
      <c r="A2941" s="5" t="n"/>
      <c r="B2941" s="6" t="n"/>
      <c r="C2941" s="5" t="n"/>
      <c r="D2941" s="6" t="n"/>
      <c r="E2941" s="7" t="n"/>
      <c r="F2941" s="6" t="n"/>
      <c r="G2941" s="8">
        <f>IF(B2941="","",IFERROR(VLOOKUP(--B2941,'CATALOGO CECO'!$A$2:$H$550,2,FALSE),"CECO NO EXISTE"))</f>
        <v/>
      </c>
      <c r="H2941" s="8">
        <f>IF(B2941="","",IFERROR(VLOOKUP(--B2941,'CATALOGO CECO'!$A$2:$H$550,3,FALSE),""))</f>
        <v/>
      </c>
      <c r="I2941" s="8">
        <f>IF(B2941="","",IFERROR(VLOOKUP(--B2941,'CATALOGO CECO'!$A$2:$H$550,5,FALSE),""))</f>
        <v/>
      </c>
      <c r="J2941" s="8">
        <f>IF(B2941="","",IFERROR(VLOOKUP(--B2941,'CATALOGO CECO'!$A$2:$H$550,8,FALSE),""))</f>
        <v/>
      </c>
      <c r="K2941" s="8">
        <f>IF(COUNTA(A2941:F2941)=0,"",IF(OR(LEN(A2941)&lt;&gt;7,MID(A2941,5,1)&lt;&gt;"-",ISERROR(--LEFT(A2941,4)),ISERROR(--RIGHT(A2941,2))),"ERROR: PERIODO debe ser AAAA-MM",IF(B2941="","ERROR: falta CODIGO CECO",IF(G2941="CECO NO EXISTE","ERROR: CECO no existe en el catálogo",IF(C2941="","ERROR: falta CUENTA",IF(ISERROR(--C2941),"ERROR: CUENTA debe tener solo dígitos",IF(ISERROR(FIND(LEFT(C2941,1),"567")),"ERROR: CUENTA fuera de las clases de costo",IF(NOT(ISNUMBER(E2941)),"ERROR: VALOR debe ser numérico",IF(E2941=0,"AVISO: valor cero (no se carga)",IF(J2941&lt;&gt;"ACTIVO","NO SE CARGA: CECO en estado "&amp;J2941,"OK"))))))))))</f>
        <v/>
      </c>
    </row>
    <row r="2942">
      <c r="A2942" s="5" t="n"/>
      <c r="B2942" s="6" t="n"/>
      <c r="C2942" s="5" t="n"/>
      <c r="D2942" s="6" t="n"/>
      <c r="E2942" s="7" t="n"/>
      <c r="F2942" s="6" t="n"/>
      <c r="G2942" s="8">
        <f>IF(B2942="","",IFERROR(VLOOKUP(--B2942,'CATALOGO CECO'!$A$2:$H$550,2,FALSE),"CECO NO EXISTE"))</f>
        <v/>
      </c>
      <c r="H2942" s="8">
        <f>IF(B2942="","",IFERROR(VLOOKUP(--B2942,'CATALOGO CECO'!$A$2:$H$550,3,FALSE),""))</f>
        <v/>
      </c>
      <c r="I2942" s="8">
        <f>IF(B2942="","",IFERROR(VLOOKUP(--B2942,'CATALOGO CECO'!$A$2:$H$550,5,FALSE),""))</f>
        <v/>
      </c>
      <c r="J2942" s="8">
        <f>IF(B2942="","",IFERROR(VLOOKUP(--B2942,'CATALOGO CECO'!$A$2:$H$550,8,FALSE),""))</f>
        <v/>
      </c>
      <c r="K2942" s="8">
        <f>IF(COUNTA(A2942:F2942)=0,"",IF(OR(LEN(A2942)&lt;&gt;7,MID(A2942,5,1)&lt;&gt;"-",ISERROR(--LEFT(A2942,4)),ISERROR(--RIGHT(A2942,2))),"ERROR: PERIODO debe ser AAAA-MM",IF(B2942="","ERROR: falta CODIGO CECO",IF(G2942="CECO NO EXISTE","ERROR: CECO no existe en el catálogo",IF(C2942="","ERROR: falta CUENTA",IF(ISERROR(--C2942),"ERROR: CUENTA debe tener solo dígitos",IF(ISERROR(FIND(LEFT(C2942,1),"567")),"ERROR: CUENTA fuera de las clases de costo",IF(NOT(ISNUMBER(E2942)),"ERROR: VALOR debe ser numérico",IF(E2942=0,"AVISO: valor cero (no se carga)",IF(J2942&lt;&gt;"ACTIVO","NO SE CARGA: CECO en estado "&amp;J2942,"OK"))))))))))</f>
        <v/>
      </c>
    </row>
    <row r="2943">
      <c r="A2943" s="5" t="n"/>
      <c r="B2943" s="6" t="n"/>
      <c r="C2943" s="5" t="n"/>
      <c r="D2943" s="6" t="n"/>
      <c r="E2943" s="7" t="n"/>
      <c r="F2943" s="6" t="n"/>
      <c r="G2943" s="8">
        <f>IF(B2943="","",IFERROR(VLOOKUP(--B2943,'CATALOGO CECO'!$A$2:$H$550,2,FALSE),"CECO NO EXISTE"))</f>
        <v/>
      </c>
      <c r="H2943" s="8">
        <f>IF(B2943="","",IFERROR(VLOOKUP(--B2943,'CATALOGO CECO'!$A$2:$H$550,3,FALSE),""))</f>
        <v/>
      </c>
      <c r="I2943" s="8">
        <f>IF(B2943="","",IFERROR(VLOOKUP(--B2943,'CATALOGO CECO'!$A$2:$H$550,5,FALSE),""))</f>
        <v/>
      </c>
      <c r="J2943" s="8">
        <f>IF(B2943="","",IFERROR(VLOOKUP(--B2943,'CATALOGO CECO'!$A$2:$H$550,8,FALSE),""))</f>
        <v/>
      </c>
      <c r="K2943" s="8">
        <f>IF(COUNTA(A2943:F2943)=0,"",IF(OR(LEN(A2943)&lt;&gt;7,MID(A2943,5,1)&lt;&gt;"-",ISERROR(--LEFT(A2943,4)),ISERROR(--RIGHT(A2943,2))),"ERROR: PERIODO debe ser AAAA-MM",IF(B2943="","ERROR: falta CODIGO CECO",IF(G2943="CECO NO EXISTE","ERROR: CECO no existe en el catálogo",IF(C2943="","ERROR: falta CUENTA",IF(ISERROR(--C2943),"ERROR: CUENTA debe tener solo dígitos",IF(ISERROR(FIND(LEFT(C2943,1),"567")),"ERROR: CUENTA fuera de las clases de costo",IF(NOT(ISNUMBER(E2943)),"ERROR: VALOR debe ser numérico",IF(E2943=0,"AVISO: valor cero (no se carga)",IF(J2943&lt;&gt;"ACTIVO","NO SE CARGA: CECO en estado "&amp;J2943,"OK"))))))))))</f>
        <v/>
      </c>
    </row>
    <row r="2944">
      <c r="A2944" s="5" t="n"/>
      <c r="B2944" s="6" t="n"/>
      <c r="C2944" s="5" t="n"/>
      <c r="D2944" s="6" t="n"/>
      <c r="E2944" s="7" t="n"/>
      <c r="F2944" s="6" t="n"/>
      <c r="G2944" s="8">
        <f>IF(B2944="","",IFERROR(VLOOKUP(--B2944,'CATALOGO CECO'!$A$2:$H$550,2,FALSE),"CECO NO EXISTE"))</f>
        <v/>
      </c>
      <c r="H2944" s="8">
        <f>IF(B2944="","",IFERROR(VLOOKUP(--B2944,'CATALOGO CECO'!$A$2:$H$550,3,FALSE),""))</f>
        <v/>
      </c>
      <c r="I2944" s="8">
        <f>IF(B2944="","",IFERROR(VLOOKUP(--B2944,'CATALOGO CECO'!$A$2:$H$550,5,FALSE),""))</f>
        <v/>
      </c>
      <c r="J2944" s="8">
        <f>IF(B2944="","",IFERROR(VLOOKUP(--B2944,'CATALOGO CECO'!$A$2:$H$550,8,FALSE),""))</f>
        <v/>
      </c>
      <c r="K2944" s="8">
        <f>IF(COUNTA(A2944:F2944)=0,"",IF(OR(LEN(A2944)&lt;&gt;7,MID(A2944,5,1)&lt;&gt;"-",ISERROR(--LEFT(A2944,4)),ISERROR(--RIGHT(A2944,2))),"ERROR: PERIODO debe ser AAAA-MM",IF(B2944="","ERROR: falta CODIGO CECO",IF(G2944="CECO NO EXISTE","ERROR: CECO no existe en el catálogo",IF(C2944="","ERROR: falta CUENTA",IF(ISERROR(--C2944),"ERROR: CUENTA debe tener solo dígitos",IF(ISERROR(FIND(LEFT(C2944,1),"567")),"ERROR: CUENTA fuera de las clases de costo",IF(NOT(ISNUMBER(E2944)),"ERROR: VALOR debe ser numérico",IF(E2944=0,"AVISO: valor cero (no se carga)",IF(J2944&lt;&gt;"ACTIVO","NO SE CARGA: CECO en estado "&amp;J2944,"OK"))))))))))</f>
        <v/>
      </c>
    </row>
    <row r="2945">
      <c r="A2945" s="5" t="n"/>
      <c r="B2945" s="6" t="n"/>
      <c r="C2945" s="5" t="n"/>
      <c r="D2945" s="6" t="n"/>
      <c r="E2945" s="7" t="n"/>
      <c r="F2945" s="6" t="n"/>
      <c r="G2945" s="8">
        <f>IF(B2945="","",IFERROR(VLOOKUP(--B2945,'CATALOGO CECO'!$A$2:$H$550,2,FALSE),"CECO NO EXISTE"))</f>
        <v/>
      </c>
      <c r="H2945" s="8">
        <f>IF(B2945="","",IFERROR(VLOOKUP(--B2945,'CATALOGO CECO'!$A$2:$H$550,3,FALSE),""))</f>
        <v/>
      </c>
      <c r="I2945" s="8">
        <f>IF(B2945="","",IFERROR(VLOOKUP(--B2945,'CATALOGO CECO'!$A$2:$H$550,5,FALSE),""))</f>
        <v/>
      </c>
      <c r="J2945" s="8">
        <f>IF(B2945="","",IFERROR(VLOOKUP(--B2945,'CATALOGO CECO'!$A$2:$H$550,8,FALSE),""))</f>
        <v/>
      </c>
      <c r="K2945" s="8">
        <f>IF(COUNTA(A2945:F2945)=0,"",IF(OR(LEN(A2945)&lt;&gt;7,MID(A2945,5,1)&lt;&gt;"-",ISERROR(--LEFT(A2945,4)),ISERROR(--RIGHT(A2945,2))),"ERROR: PERIODO debe ser AAAA-MM",IF(B2945="","ERROR: falta CODIGO CECO",IF(G2945="CECO NO EXISTE","ERROR: CECO no existe en el catálogo",IF(C2945="","ERROR: falta CUENTA",IF(ISERROR(--C2945),"ERROR: CUENTA debe tener solo dígitos",IF(ISERROR(FIND(LEFT(C2945,1),"567")),"ERROR: CUENTA fuera de las clases de costo",IF(NOT(ISNUMBER(E2945)),"ERROR: VALOR debe ser numérico",IF(E2945=0,"AVISO: valor cero (no se carga)",IF(J2945&lt;&gt;"ACTIVO","NO SE CARGA: CECO en estado "&amp;J2945,"OK"))))))))))</f>
        <v/>
      </c>
    </row>
    <row r="2946">
      <c r="A2946" s="5" t="n"/>
      <c r="B2946" s="6" t="n"/>
      <c r="C2946" s="5" t="n"/>
      <c r="D2946" s="6" t="n"/>
      <c r="E2946" s="7" t="n"/>
      <c r="F2946" s="6" t="n"/>
      <c r="G2946" s="8">
        <f>IF(B2946="","",IFERROR(VLOOKUP(--B2946,'CATALOGO CECO'!$A$2:$H$550,2,FALSE),"CECO NO EXISTE"))</f>
        <v/>
      </c>
      <c r="H2946" s="8">
        <f>IF(B2946="","",IFERROR(VLOOKUP(--B2946,'CATALOGO CECO'!$A$2:$H$550,3,FALSE),""))</f>
        <v/>
      </c>
      <c r="I2946" s="8">
        <f>IF(B2946="","",IFERROR(VLOOKUP(--B2946,'CATALOGO CECO'!$A$2:$H$550,5,FALSE),""))</f>
        <v/>
      </c>
      <c r="J2946" s="8">
        <f>IF(B2946="","",IFERROR(VLOOKUP(--B2946,'CATALOGO CECO'!$A$2:$H$550,8,FALSE),""))</f>
        <v/>
      </c>
      <c r="K2946" s="8">
        <f>IF(COUNTA(A2946:F2946)=0,"",IF(OR(LEN(A2946)&lt;&gt;7,MID(A2946,5,1)&lt;&gt;"-",ISERROR(--LEFT(A2946,4)),ISERROR(--RIGHT(A2946,2))),"ERROR: PERIODO debe ser AAAA-MM",IF(B2946="","ERROR: falta CODIGO CECO",IF(G2946="CECO NO EXISTE","ERROR: CECO no existe en el catálogo",IF(C2946="","ERROR: falta CUENTA",IF(ISERROR(--C2946),"ERROR: CUENTA debe tener solo dígitos",IF(ISERROR(FIND(LEFT(C2946,1),"567")),"ERROR: CUENTA fuera de las clases de costo",IF(NOT(ISNUMBER(E2946)),"ERROR: VALOR debe ser numérico",IF(E2946=0,"AVISO: valor cero (no se carga)",IF(J2946&lt;&gt;"ACTIVO","NO SE CARGA: CECO en estado "&amp;J2946,"OK"))))))))))</f>
        <v/>
      </c>
    </row>
    <row r="2947">
      <c r="A2947" s="5" t="n"/>
      <c r="B2947" s="6" t="n"/>
      <c r="C2947" s="5" t="n"/>
      <c r="D2947" s="6" t="n"/>
      <c r="E2947" s="7" t="n"/>
      <c r="F2947" s="6" t="n"/>
      <c r="G2947" s="8">
        <f>IF(B2947="","",IFERROR(VLOOKUP(--B2947,'CATALOGO CECO'!$A$2:$H$550,2,FALSE),"CECO NO EXISTE"))</f>
        <v/>
      </c>
      <c r="H2947" s="8">
        <f>IF(B2947="","",IFERROR(VLOOKUP(--B2947,'CATALOGO CECO'!$A$2:$H$550,3,FALSE),""))</f>
        <v/>
      </c>
      <c r="I2947" s="8">
        <f>IF(B2947="","",IFERROR(VLOOKUP(--B2947,'CATALOGO CECO'!$A$2:$H$550,5,FALSE),""))</f>
        <v/>
      </c>
      <c r="J2947" s="8">
        <f>IF(B2947="","",IFERROR(VLOOKUP(--B2947,'CATALOGO CECO'!$A$2:$H$550,8,FALSE),""))</f>
        <v/>
      </c>
      <c r="K2947" s="8">
        <f>IF(COUNTA(A2947:F2947)=0,"",IF(OR(LEN(A2947)&lt;&gt;7,MID(A2947,5,1)&lt;&gt;"-",ISERROR(--LEFT(A2947,4)),ISERROR(--RIGHT(A2947,2))),"ERROR: PERIODO debe ser AAAA-MM",IF(B2947="","ERROR: falta CODIGO CECO",IF(G2947="CECO NO EXISTE","ERROR: CECO no existe en el catálogo",IF(C2947="","ERROR: falta CUENTA",IF(ISERROR(--C2947),"ERROR: CUENTA debe tener solo dígitos",IF(ISERROR(FIND(LEFT(C2947,1),"567")),"ERROR: CUENTA fuera de las clases de costo",IF(NOT(ISNUMBER(E2947)),"ERROR: VALOR debe ser numérico",IF(E2947=0,"AVISO: valor cero (no se carga)",IF(J2947&lt;&gt;"ACTIVO","NO SE CARGA: CECO en estado "&amp;J2947,"OK"))))))))))</f>
        <v/>
      </c>
    </row>
    <row r="2948">
      <c r="A2948" s="5" t="n"/>
      <c r="B2948" s="6" t="n"/>
      <c r="C2948" s="5" t="n"/>
      <c r="D2948" s="6" t="n"/>
      <c r="E2948" s="7" t="n"/>
      <c r="F2948" s="6" t="n"/>
      <c r="G2948" s="8">
        <f>IF(B2948="","",IFERROR(VLOOKUP(--B2948,'CATALOGO CECO'!$A$2:$H$550,2,FALSE),"CECO NO EXISTE"))</f>
        <v/>
      </c>
      <c r="H2948" s="8">
        <f>IF(B2948="","",IFERROR(VLOOKUP(--B2948,'CATALOGO CECO'!$A$2:$H$550,3,FALSE),""))</f>
        <v/>
      </c>
      <c r="I2948" s="8">
        <f>IF(B2948="","",IFERROR(VLOOKUP(--B2948,'CATALOGO CECO'!$A$2:$H$550,5,FALSE),""))</f>
        <v/>
      </c>
      <c r="J2948" s="8">
        <f>IF(B2948="","",IFERROR(VLOOKUP(--B2948,'CATALOGO CECO'!$A$2:$H$550,8,FALSE),""))</f>
        <v/>
      </c>
      <c r="K2948" s="8">
        <f>IF(COUNTA(A2948:F2948)=0,"",IF(OR(LEN(A2948)&lt;&gt;7,MID(A2948,5,1)&lt;&gt;"-",ISERROR(--LEFT(A2948,4)),ISERROR(--RIGHT(A2948,2))),"ERROR: PERIODO debe ser AAAA-MM",IF(B2948="","ERROR: falta CODIGO CECO",IF(G2948="CECO NO EXISTE","ERROR: CECO no existe en el catálogo",IF(C2948="","ERROR: falta CUENTA",IF(ISERROR(--C2948),"ERROR: CUENTA debe tener solo dígitos",IF(ISERROR(FIND(LEFT(C2948,1),"567")),"ERROR: CUENTA fuera de las clases de costo",IF(NOT(ISNUMBER(E2948)),"ERROR: VALOR debe ser numérico",IF(E2948=0,"AVISO: valor cero (no se carga)",IF(J2948&lt;&gt;"ACTIVO","NO SE CARGA: CECO en estado "&amp;J2948,"OK"))))))))))</f>
        <v/>
      </c>
    </row>
    <row r="2949">
      <c r="A2949" s="5" t="n"/>
      <c r="B2949" s="6" t="n"/>
      <c r="C2949" s="5" t="n"/>
      <c r="D2949" s="6" t="n"/>
      <c r="E2949" s="7" t="n"/>
      <c r="F2949" s="6" t="n"/>
      <c r="G2949" s="8">
        <f>IF(B2949="","",IFERROR(VLOOKUP(--B2949,'CATALOGO CECO'!$A$2:$H$550,2,FALSE),"CECO NO EXISTE"))</f>
        <v/>
      </c>
      <c r="H2949" s="8">
        <f>IF(B2949="","",IFERROR(VLOOKUP(--B2949,'CATALOGO CECO'!$A$2:$H$550,3,FALSE),""))</f>
        <v/>
      </c>
      <c r="I2949" s="8">
        <f>IF(B2949="","",IFERROR(VLOOKUP(--B2949,'CATALOGO CECO'!$A$2:$H$550,5,FALSE),""))</f>
        <v/>
      </c>
      <c r="J2949" s="8">
        <f>IF(B2949="","",IFERROR(VLOOKUP(--B2949,'CATALOGO CECO'!$A$2:$H$550,8,FALSE),""))</f>
        <v/>
      </c>
      <c r="K2949" s="8">
        <f>IF(COUNTA(A2949:F2949)=0,"",IF(OR(LEN(A2949)&lt;&gt;7,MID(A2949,5,1)&lt;&gt;"-",ISERROR(--LEFT(A2949,4)),ISERROR(--RIGHT(A2949,2))),"ERROR: PERIODO debe ser AAAA-MM",IF(B2949="","ERROR: falta CODIGO CECO",IF(G2949="CECO NO EXISTE","ERROR: CECO no existe en el catálogo",IF(C2949="","ERROR: falta CUENTA",IF(ISERROR(--C2949),"ERROR: CUENTA debe tener solo dígitos",IF(ISERROR(FIND(LEFT(C2949,1),"567")),"ERROR: CUENTA fuera de las clases de costo",IF(NOT(ISNUMBER(E2949)),"ERROR: VALOR debe ser numérico",IF(E2949=0,"AVISO: valor cero (no se carga)",IF(J2949&lt;&gt;"ACTIVO","NO SE CARGA: CECO en estado "&amp;J2949,"OK"))))))))))</f>
        <v/>
      </c>
    </row>
    <row r="2950">
      <c r="A2950" s="5" t="n"/>
      <c r="B2950" s="6" t="n"/>
      <c r="C2950" s="5" t="n"/>
      <c r="D2950" s="6" t="n"/>
      <c r="E2950" s="7" t="n"/>
      <c r="F2950" s="6" t="n"/>
      <c r="G2950" s="8">
        <f>IF(B2950="","",IFERROR(VLOOKUP(--B2950,'CATALOGO CECO'!$A$2:$H$550,2,FALSE),"CECO NO EXISTE"))</f>
        <v/>
      </c>
      <c r="H2950" s="8">
        <f>IF(B2950="","",IFERROR(VLOOKUP(--B2950,'CATALOGO CECO'!$A$2:$H$550,3,FALSE),""))</f>
        <v/>
      </c>
      <c r="I2950" s="8">
        <f>IF(B2950="","",IFERROR(VLOOKUP(--B2950,'CATALOGO CECO'!$A$2:$H$550,5,FALSE),""))</f>
        <v/>
      </c>
      <c r="J2950" s="8">
        <f>IF(B2950="","",IFERROR(VLOOKUP(--B2950,'CATALOGO CECO'!$A$2:$H$550,8,FALSE),""))</f>
        <v/>
      </c>
      <c r="K2950" s="8">
        <f>IF(COUNTA(A2950:F2950)=0,"",IF(OR(LEN(A2950)&lt;&gt;7,MID(A2950,5,1)&lt;&gt;"-",ISERROR(--LEFT(A2950,4)),ISERROR(--RIGHT(A2950,2))),"ERROR: PERIODO debe ser AAAA-MM",IF(B2950="","ERROR: falta CODIGO CECO",IF(G2950="CECO NO EXISTE","ERROR: CECO no existe en el catálogo",IF(C2950="","ERROR: falta CUENTA",IF(ISERROR(--C2950),"ERROR: CUENTA debe tener solo dígitos",IF(ISERROR(FIND(LEFT(C2950,1),"567")),"ERROR: CUENTA fuera de las clases de costo",IF(NOT(ISNUMBER(E2950)),"ERROR: VALOR debe ser numérico",IF(E2950=0,"AVISO: valor cero (no se carga)",IF(J2950&lt;&gt;"ACTIVO","NO SE CARGA: CECO en estado "&amp;J2950,"OK"))))))))))</f>
        <v/>
      </c>
    </row>
    <row r="2951">
      <c r="A2951" s="5" t="n"/>
      <c r="B2951" s="6" t="n"/>
      <c r="C2951" s="5" t="n"/>
      <c r="D2951" s="6" t="n"/>
      <c r="E2951" s="7" t="n"/>
      <c r="F2951" s="6" t="n"/>
      <c r="G2951" s="8">
        <f>IF(B2951="","",IFERROR(VLOOKUP(--B2951,'CATALOGO CECO'!$A$2:$H$550,2,FALSE),"CECO NO EXISTE"))</f>
        <v/>
      </c>
      <c r="H2951" s="8">
        <f>IF(B2951="","",IFERROR(VLOOKUP(--B2951,'CATALOGO CECO'!$A$2:$H$550,3,FALSE),""))</f>
        <v/>
      </c>
      <c r="I2951" s="8">
        <f>IF(B2951="","",IFERROR(VLOOKUP(--B2951,'CATALOGO CECO'!$A$2:$H$550,5,FALSE),""))</f>
        <v/>
      </c>
      <c r="J2951" s="8">
        <f>IF(B2951="","",IFERROR(VLOOKUP(--B2951,'CATALOGO CECO'!$A$2:$H$550,8,FALSE),""))</f>
        <v/>
      </c>
      <c r="K2951" s="8">
        <f>IF(COUNTA(A2951:F2951)=0,"",IF(OR(LEN(A2951)&lt;&gt;7,MID(A2951,5,1)&lt;&gt;"-",ISERROR(--LEFT(A2951,4)),ISERROR(--RIGHT(A2951,2))),"ERROR: PERIODO debe ser AAAA-MM",IF(B2951="","ERROR: falta CODIGO CECO",IF(G2951="CECO NO EXISTE","ERROR: CECO no existe en el catálogo",IF(C2951="","ERROR: falta CUENTA",IF(ISERROR(--C2951),"ERROR: CUENTA debe tener solo dígitos",IF(ISERROR(FIND(LEFT(C2951,1),"567")),"ERROR: CUENTA fuera de las clases de costo",IF(NOT(ISNUMBER(E2951)),"ERROR: VALOR debe ser numérico",IF(E2951=0,"AVISO: valor cero (no se carga)",IF(J2951&lt;&gt;"ACTIVO","NO SE CARGA: CECO en estado "&amp;J2951,"OK"))))))))))</f>
        <v/>
      </c>
    </row>
    <row r="2952">
      <c r="A2952" s="5" t="n"/>
      <c r="B2952" s="6" t="n"/>
      <c r="C2952" s="5" t="n"/>
      <c r="D2952" s="6" t="n"/>
      <c r="E2952" s="7" t="n"/>
      <c r="F2952" s="6" t="n"/>
      <c r="G2952" s="8">
        <f>IF(B2952="","",IFERROR(VLOOKUP(--B2952,'CATALOGO CECO'!$A$2:$H$550,2,FALSE),"CECO NO EXISTE"))</f>
        <v/>
      </c>
      <c r="H2952" s="8">
        <f>IF(B2952="","",IFERROR(VLOOKUP(--B2952,'CATALOGO CECO'!$A$2:$H$550,3,FALSE),""))</f>
        <v/>
      </c>
      <c r="I2952" s="8">
        <f>IF(B2952="","",IFERROR(VLOOKUP(--B2952,'CATALOGO CECO'!$A$2:$H$550,5,FALSE),""))</f>
        <v/>
      </c>
      <c r="J2952" s="8">
        <f>IF(B2952="","",IFERROR(VLOOKUP(--B2952,'CATALOGO CECO'!$A$2:$H$550,8,FALSE),""))</f>
        <v/>
      </c>
      <c r="K2952" s="8">
        <f>IF(COUNTA(A2952:F2952)=0,"",IF(OR(LEN(A2952)&lt;&gt;7,MID(A2952,5,1)&lt;&gt;"-",ISERROR(--LEFT(A2952,4)),ISERROR(--RIGHT(A2952,2))),"ERROR: PERIODO debe ser AAAA-MM",IF(B2952="","ERROR: falta CODIGO CECO",IF(G2952="CECO NO EXISTE","ERROR: CECO no existe en el catálogo",IF(C2952="","ERROR: falta CUENTA",IF(ISERROR(--C2952),"ERROR: CUENTA debe tener solo dígitos",IF(ISERROR(FIND(LEFT(C2952,1),"567")),"ERROR: CUENTA fuera de las clases de costo",IF(NOT(ISNUMBER(E2952)),"ERROR: VALOR debe ser numérico",IF(E2952=0,"AVISO: valor cero (no se carga)",IF(J2952&lt;&gt;"ACTIVO","NO SE CARGA: CECO en estado "&amp;J2952,"OK"))))))))))</f>
        <v/>
      </c>
    </row>
    <row r="2953">
      <c r="A2953" s="5" t="n"/>
      <c r="B2953" s="6" t="n"/>
      <c r="C2953" s="5" t="n"/>
      <c r="D2953" s="6" t="n"/>
      <c r="E2953" s="7" t="n"/>
      <c r="F2953" s="6" t="n"/>
      <c r="G2953" s="8">
        <f>IF(B2953="","",IFERROR(VLOOKUP(--B2953,'CATALOGO CECO'!$A$2:$H$550,2,FALSE),"CECO NO EXISTE"))</f>
        <v/>
      </c>
      <c r="H2953" s="8">
        <f>IF(B2953="","",IFERROR(VLOOKUP(--B2953,'CATALOGO CECO'!$A$2:$H$550,3,FALSE),""))</f>
        <v/>
      </c>
      <c r="I2953" s="8">
        <f>IF(B2953="","",IFERROR(VLOOKUP(--B2953,'CATALOGO CECO'!$A$2:$H$550,5,FALSE),""))</f>
        <v/>
      </c>
      <c r="J2953" s="8">
        <f>IF(B2953="","",IFERROR(VLOOKUP(--B2953,'CATALOGO CECO'!$A$2:$H$550,8,FALSE),""))</f>
        <v/>
      </c>
      <c r="K2953" s="8">
        <f>IF(COUNTA(A2953:F2953)=0,"",IF(OR(LEN(A2953)&lt;&gt;7,MID(A2953,5,1)&lt;&gt;"-",ISERROR(--LEFT(A2953,4)),ISERROR(--RIGHT(A2953,2))),"ERROR: PERIODO debe ser AAAA-MM",IF(B2953="","ERROR: falta CODIGO CECO",IF(G2953="CECO NO EXISTE","ERROR: CECO no existe en el catálogo",IF(C2953="","ERROR: falta CUENTA",IF(ISERROR(--C2953),"ERROR: CUENTA debe tener solo dígitos",IF(ISERROR(FIND(LEFT(C2953,1),"567")),"ERROR: CUENTA fuera de las clases de costo",IF(NOT(ISNUMBER(E2953)),"ERROR: VALOR debe ser numérico",IF(E2953=0,"AVISO: valor cero (no se carga)",IF(J2953&lt;&gt;"ACTIVO","NO SE CARGA: CECO en estado "&amp;J2953,"OK"))))))))))</f>
        <v/>
      </c>
    </row>
    <row r="2954">
      <c r="A2954" s="5" t="n"/>
      <c r="B2954" s="6" t="n"/>
      <c r="C2954" s="5" t="n"/>
      <c r="D2954" s="6" t="n"/>
      <c r="E2954" s="7" t="n"/>
      <c r="F2954" s="6" t="n"/>
      <c r="G2954" s="8">
        <f>IF(B2954="","",IFERROR(VLOOKUP(--B2954,'CATALOGO CECO'!$A$2:$H$550,2,FALSE),"CECO NO EXISTE"))</f>
        <v/>
      </c>
      <c r="H2954" s="8">
        <f>IF(B2954="","",IFERROR(VLOOKUP(--B2954,'CATALOGO CECO'!$A$2:$H$550,3,FALSE),""))</f>
        <v/>
      </c>
      <c r="I2954" s="8">
        <f>IF(B2954="","",IFERROR(VLOOKUP(--B2954,'CATALOGO CECO'!$A$2:$H$550,5,FALSE),""))</f>
        <v/>
      </c>
      <c r="J2954" s="8">
        <f>IF(B2954="","",IFERROR(VLOOKUP(--B2954,'CATALOGO CECO'!$A$2:$H$550,8,FALSE),""))</f>
        <v/>
      </c>
      <c r="K2954" s="8">
        <f>IF(COUNTA(A2954:F2954)=0,"",IF(OR(LEN(A2954)&lt;&gt;7,MID(A2954,5,1)&lt;&gt;"-",ISERROR(--LEFT(A2954,4)),ISERROR(--RIGHT(A2954,2))),"ERROR: PERIODO debe ser AAAA-MM",IF(B2954="","ERROR: falta CODIGO CECO",IF(G2954="CECO NO EXISTE","ERROR: CECO no existe en el catálogo",IF(C2954="","ERROR: falta CUENTA",IF(ISERROR(--C2954),"ERROR: CUENTA debe tener solo dígitos",IF(ISERROR(FIND(LEFT(C2954,1),"567")),"ERROR: CUENTA fuera de las clases de costo",IF(NOT(ISNUMBER(E2954)),"ERROR: VALOR debe ser numérico",IF(E2954=0,"AVISO: valor cero (no se carga)",IF(J2954&lt;&gt;"ACTIVO","NO SE CARGA: CECO en estado "&amp;J2954,"OK"))))))))))</f>
        <v/>
      </c>
    </row>
    <row r="2955">
      <c r="A2955" s="5" t="n"/>
      <c r="B2955" s="6" t="n"/>
      <c r="C2955" s="5" t="n"/>
      <c r="D2955" s="6" t="n"/>
      <c r="E2955" s="7" t="n"/>
      <c r="F2955" s="6" t="n"/>
      <c r="G2955" s="8">
        <f>IF(B2955="","",IFERROR(VLOOKUP(--B2955,'CATALOGO CECO'!$A$2:$H$550,2,FALSE),"CECO NO EXISTE"))</f>
        <v/>
      </c>
      <c r="H2955" s="8">
        <f>IF(B2955="","",IFERROR(VLOOKUP(--B2955,'CATALOGO CECO'!$A$2:$H$550,3,FALSE),""))</f>
        <v/>
      </c>
      <c r="I2955" s="8">
        <f>IF(B2955="","",IFERROR(VLOOKUP(--B2955,'CATALOGO CECO'!$A$2:$H$550,5,FALSE),""))</f>
        <v/>
      </c>
      <c r="J2955" s="8">
        <f>IF(B2955="","",IFERROR(VLOOKUP(--B2955,'CATALOGO CECO'!$A$2:$H$550,8,FALSE),""))</f>
        <v/>
      </c>
      <c r="K2955" s="8">
        <f>IF(COUNTA(A2955:F2955)=0,"",IF(OR(LEN(A2955)&lt;&gt;7,MID(A2955,5,1)&lt;&gt;"-",ISERROR(--LEFT(A2955,4)),ISERROR(--RIGHT(A2955,2))),"ERROR: PERIODO debe ser AAAA-MM",IF(B2955="","ERROR: falta CODIGO CECO",IF(G2955="CECO NO EXISTE","ERROR: CECO no existe en el catálogo",IF(C2955="","ERROR: falta CUENTA",IF(ISERROR(--C2955),"ERROR: CUENTA debe tener solo dígitos",IF(ISERROR(FIND(LEFT(C2955,1),"567")),"ERROR: CUENTA fuera de las clases de costo",IF(NOT(ISNUMBER(E2955)),"ERROR: VALOR debe ser numérico",IF(E2955=0,"AVISO: valor cero (no se carga)",IF(J2955&lt;&gt;"ACTIVO","NO SE CARGA: CECO en estado "&amp;J2955,"OK"))))))))))</f>
        <v/>
      </c>
    </row>
    <row r="2956">
      <c r="A2956" s="5" t="n"/>
      <c r="B2956" s="6" t="n"/>
      <c r="C2956" s="5" t="n"/>
      <c r="D2956" s="6" t="n"/>
      <c r="E2956" s="7" t="n"/>
      <c r="F2956" s="6" t="n"/>
      <c r="G2956" s="8">
        <f>IF(B2956="","",IFERROR(VLOOKUP(--B2956,'CATALOGO CECO'!$A$2:$H$550,2,FALSE),"CECO NO EXISTE"))</f>
        <v/>
      </c>
      <c r="H2956" s="8">
        <f>IF(B2956="","",IFERROR(VLOOKUP(--B2956,'CATALOGO CECO'!$A$2:$H$550,3,FALSE),""))</f>
        <v/>
      </c>
      <c r="I2956" s="8">
        <f>IF(B2956="","",IFERROR(VLOOKUP(--B2956,'CATALOGO CECO'!$A$2:$H$550,5,FALSE),""))</f>
        <v/>
      </c>
      <c r="J2956" s="8">
        <f>IF(B2956="","",IFERROR(VLOOKUP(--B2956,'CATALOGO CECO'!$A$2:$H$550,8,FALSE),""))</f>
        <v/>
      </c>
      <c r="K2956" s="8">
        <f>IF(COUNTA(A2956:F2956)=0,"",IF(OR(LEN(A2956)&lt;&gt;7,MID(A2956,5,1)&lt;&gt;"-",ISERROR(--LEFT(A2956,4)),ISERROR(--RIGHT(A2956,2))),"ERROR: PERIODO debe ser AAAA-MM",IF(B2956="","ERROR: falta CODIGO CECO",IF(G2956="CECO NO EXISTE","ERROR: CECO no existe en el catálogo",IF(C2956="","ERROR: falta CUENTA",IF(ISERROR(--C2956),"ERROR: CUENTA debe tener solo dígitos",IF(ISERROR(FIND(LEFT(C2956,1),"567")),"ERROR: CUENTA fuera de las clases de costo",IF(NOT(ISNUMBER(E2956)),"ERROR: VALOR debe ser numérico",IF(E2956=0,"AVISO: valor cero (no se carga)",IF(J2956&lt;&gt;"ACTIVO","NO SE CARGA: CECO en estado "&amp;J2956,"OK"))))))))))</f>
        <v/>
      </c>
    </row>
    <row r="2957">
      <c r="A2957" s="5" t="n"/>
      <c r="B2957" s="6" t="n"/>
      <c r="C2957" s="5" t="n"/>
      <c r="D2957" s="6" t="n"/>
      <c r="E2957" s="7" t="n"/>
      <c r="F2957" s="6" t="n"/>
      <c r="G2957" s="8">
        <f>IF(B2957="","",IFERROR(VLOOKUP(--B2957,'CATALOGO CECO'!$A$2:$H$550,2,FALSE),"CECO NO EXISTE"))</f>
        <v/>
      </c>
      <c r="H2957" s="8">
        <f>IF(B2957="","",IFERROR(VLOOKUP(--B2957,'CATALOGO CECO'!$A$2:$H$550,3,FALSE),""))</f>
        <v/>
      </c>
      <c r="I2957" s="8">
        <f>IF(B2957="","",IFERROR(VLOOKUP(--B2957,'CATALOGO CECO'!$A$2:$H$550,5,FALSE),""))</f>
        <v/>
      </c>
      <c r="J2957" s="8">
        <f>IF(B2957="","",IFERROR(VLOOKUP(--B2957,'CATALOGO CECO'!$A$2:$H$550,8,FALSE),""))</f>
        <v/>
      </c>
      <c r="K2957" s="8">
        <f>IF(COUNTA(A2957:F2957)=0,"",IF(OR(LEN(A2957)&lt;&gt;7,MID(A2957,5,1)&lt;&gt;"-",ISERROR(--LEFT(A2957,4)),ISERROR(--RIGHT(A2957,2))),"ERROR: PERIODO debe ser AAAA-MM",IF(B2957="","ERROR: falta CODIGO CECO",IF(G2957="CECO NO EXISTE","ERROR: CECO no existe en el catálogo",IF(C2957="","ERROR: falta CUENTA",IF(ISERROR(--C2957),"ERROR: CUENTA debe tener solo dígitos",IF(ISERROR(FIND(LEFT(C2957,1),"567")),"ERROR: CUENTA fuera de las clases de costo",IF(NOT(ISNUMBER(E2957)),"ERROR: VALOR debe ser numérico",IF(E2957=0,"AVISO: valor cero (no se carga)",IF(J2957&lt;&gt;"ACTIVO","NO SE CARGA: CECO en estado "&amp;J2957,"OK"))))))))))</f>
        <v/>
      </c>
    </row>
    <row r="2958">
      <c r="A2958" s="5" t="n"/>
      <c r="B2958" s="6" t="n"/>
      <c r="C2958" s="5" t="n"/>
      <c r="D2958" s="6" t="n"/>
      <c r="E2958" s="7" t="n"/>
      <c r="F2958" s="6" t="n"/>
      <c r="G2958" s="8">
        <f>IF(B2958="","",IFERROR(VLOOKUP(--B2958,'CATALOGO CECO'!$A$2:$H$550,2,FALSE),"CECO NO EXISTE"))</f>
        <v/>
      </c>
      <c r="H2958" s="8">
        <f>IF(B2958="","",IFERROR(VLOOKUP(--B2958,'CATALOGO CECO'!$A$2:$H$550,3,FALSE),""))</f>
        <v/>
      </c>
      <c r="I2958" s="8">
        <f>IF(B2958="","",IFERROR(VLOOKUP(--B2958,'CATALOGO CECO'!$A$2:$H$550,5,FALSE),""))</f>
        <v/>
      </c>
      <c r="J2958" s="8">
        <f>IF(B2958="","",IFERROR(VLOOKUP(--B2958,'CATALOGO CECO'!$A$2:$H$550,8,FALSE),""))</f>
        <v/>
      </c>
      <c r="K2958" s="8">
        <f>IF(COUNTA(A2958:F2958)=0,"",IF(OR(LEN(A2958)&lt;&gt;7,MID(A2958,5,1)&lt;&gt;"-",ISERROR(--LEFT(A2958,4)),ISERROR(--RIGHT(A2958,2))),"ERROR: PERIODO debe ser AAAA-MM",IF(B2958="","ERROR: falta CODIGO CECO",IF(G2958="CECO NO EXISTE","ERROR: CECO no existe en el catálogo",IF(C2958="","ERROR: falta CUENTA",IF(ISERROR(--C2958),"ERROR: CUENTA debe tener solo dígitos",IF(ISERROR(FIND(LEFT(C2958,1),"567")),"ERROR: CUENTA fuera de las clases de costo",IF(NOT(ISNUMBER(E2958)),"ERROR: VALOR debe ser numérico",IF(E2958=0,"AVISO: valor cero (no se carga)",IF(J2958&lt;&gt;"ACTIVO","NO SE CARGA: CECO en estado "&amp;J2958,"OK"))))))))))</f>
        <v/>
      </c>
    </row>
    <row r="2959">
      <c r="A2959" s="5" t="n"/>
      <c r="B2959" s="6" t="n"/>
      <c r="C2959" s="5" t="n"/>
      <c r="D2959" s="6" t="n"/>
      <c r="E2959" s="7" t="n"/>
      <c r="F2959" s="6" t="n"/>
      <c r="G2959" s="8">
        <f>IF(B2959="","",IFERROR(VLOOKUP(--B2959,'CATALOGO CECO'!$A$2:$H$550,2,FALSE),"CECO NO EXISTE"))</f>
        <v/>
      </c>
      <c r="H2959" s="8">
        <f>IF(B2959="","",IFERROR(VLOOKUP(--B2959,'CATALOGO CECO'!$A$2:$H$550,3,FALSE),""))</f>
        <v/>
      </c>
      <c r="I2959" s="8">
        <f>IF(B2959="","",IFERROR(VLOOKUP(--B2959,'CATALOGO CECO'!$A$2:$H$550,5,FALSE),""))</f>
        <v/>
      </c>
      <c r="J2959" s="8">
        <f>IF(B2959="","",IFERROR(VLOOKUP(--B2959,'CATALOGO CECO'!$A$2:$H$550,8,FALSE),""))</f>
        <v/>
      </c>
      <c r="K2959" s="8">
        <f>IF(COUNTA(A2959:F2959)=0,"",IF(OR(LEN(A2959)&lt;&gt;7,MID(A2959,5,1)&lt;&gt;"-",ISERROR(--LEFT(A2959,4)),ISERROR(--RIGHT(A2959,2))),"ERROR: PERIODO debe ser AAAA-MM",IF(B2959="","ERROR: falta CODIGO CECO",IF(G2959="CECO NO EXISTE","ERROR: CECO no existe en el catálogo",IF(C2959="","ERROR: falta CUENTA",IF(ISERROR(--C2959),"ERROR: CUENTA debe tener solo dígitos",IF(ISERROR(FIND(LEFT(C2959,1),"567")),"ERROR: CUENTA fuera de las clases de costo",IF(NOT(ISNUMBER(E2959)),"ERROR: VALOR debe ser numérico",IF(E2959=0,"AVISO: valor cero (no se carga)",IF(J2959&lt;&gt;"ACTIVO","NO SE CARGA: CECO en estado "&amp;J2959,"OK"))))))))))</f>
        <v/>
      </c>
    </row>
    <row r="2960">
      <c r="A2960" s="5" t="n"/>
      <c r="B2960" s="6" t="n"/>
      <c r="C2960" s="5" t="n"/>
      <c r="D2960" s="6" t="n"/>
      <c r="E2960" s="7" t="n"/>
      <c r="F2960" s="6" t="n"/>
      <c r="G2960" s="8">
        <f>IF(B2960="","",IFERROR(VLOOKUP(--B2960,'CATALOGO CECO'!$A$2:$H$550,2,FALSE),"CECO NO EXISTE"))</f>
        <v/>
      </c>
      <c r="H2960" s="8">
        <f>IF(B2960="","",IFERROR(VLOOKUP(--B2960,'CATALOGO CECO'!$A$2:$H$550,3,FALSE),""))</f>
        <v/>
      </c>
      <c r="I2960" s="8">
        <f>IF(B2960="","",IFERROR(VLOOKUP(--B2960,'CATALOGO CECO'!$A$2:$H$550,5,FALSE),""))</f>
        <v/>
      </c>
      <c r="J2960" s="8">
        <f>IF(B2960="","",IFERROR(VLOOKUP(--B2960,'CATALOGO CECO'!$A$2:$H$550,8,FALSE),""))</f>
        <v/>
      </c>
      <c r="K2960" s="8">
        <f>IF(COUNTA(A2960:F2960)=0,"",IF(OR(LEN(A2960)&lt;&gt;7,MID(A2960,5,1)&lt;&gt;"-",ISERROR(--LEFT(A2960,4)),ISERROR(--RIGHT(A2960,2))),"ERROR: PERIODO debe ser AAAA-MM",IF(B2960="","ERROR: falta CODIGO CECO",IF(G2960="CECO NO EXISTE","ERROR: CECO no existe en el catálogo",IF(C2960="","ERROR: falta CUENTA",IF(ISERROR(--C2960),"ERROR: CUENTA debe tener solo dígitos",IF(ISERROR(FIND(LEFT(C2960,1),"567")),"ERROR: CUENTA fuera de las clases de costo",IF(NOT(ISNUMBER(E2960)),"ERROR: VALOR debe ser numérico",IF(E2960=0,"AVISO: valor cero (no se carga)",IF(J2960&lt;&gt;"ACTIVO","NO SE CARGA: CECO en estado "&amp;J2960,"OK"))))))))))</f>
        <v/>
      </c>
    </row>
    <row r="2961">
      <c r="A2961" s="5" t="n"/>
      <c r="B2961" s="6" t="n"/>
      <c r="C2961" s="5" t="n"/>
      <c r="D2961" s="6" t="n"/>
      <c r="E2961" s="7" t="n"/>
      <c r="F2961" s="6" t="n"/>
      <c r="G2961" s="8">
        <f>IF(B2961="","",IFERROR(VLOOKUP(--B2961,'CATALOGO CECO'!$A$2:$H$550,2,FALSE),"CECO NO EXISTE"))</f>
        <v/>
      </c>
      <c r="H2961" s="8">
        <f>IF(B2961="","",IFERROR(VLOOKUP(--B2961,'CATALOGO CECO'!$A$2:$H$550,3,FALSE),""))</f>
        <v/>
      </c>
      <c r="I2961" s="8">
        <f>IF(B2961="","",IFERROR(VLOOKUP(--B2961,'CATALOGO CECO'!$A$2:$H$550,5,FALSE),""))</f>
        <v/>
      </c>
      <c r="J2961" s="8">
        <f>IF(B2961="","",IFERROR(VLOOKUP(--B2961,'CATALOGO CECO'!$A$2:$H$550,8,FALSE),""))</f>
        <v/>
      </c>
      <c r="K2961" s="8">
        <f>IF(COUNTA(A2961:F2961)=0,"",IF(OR(LEN(A2961)&lt;&gt;7,MID(A2961,5,1)&lt;&gt;"-",ISERROR(--LEFT(A2961,4)),ISERROR(--RIGHT(A2961,2))),"ERROR: PERIODO debe ser AAAA-MM",IF(B2961="","ERROR: falta CODIGO CECO",IF(G2961="CECO NO EXISTE","ERROR: CECO no existe en el catálogo",IF(C2961="","ERROR: falta CUENTA",IF(ISERROR(--C2961),"ERROR: CUENTA debe tener solo dígitos",IF(ISERROR(FIND(LEFT(C2961,1),"567")),"ERROR: CUENTA fuera de las clases de costo",IF(NOT(ISNUMBER(E2961)),"ERROR: VALOR debe ser numérico",IF(E2961=0,"AVISO: valor cero (no se carga)",IF(J2961&lt;&gt;"ACTIVO","NO SE CARGA: CECO en estado "&amp;J2961,"OK"))))))))))</f>
        <v/>
      </c>
    </row>
    <row r="2962">
      <c r="A2962" s="5" t="n"/>
      <c r="B2962" s="6" t="n"/>
      <c r="C2962" s="5" t="n"/>
      <c r="D2962" s="6" t="n"/>
      <c r="E2962" s="7" t="n"/>
      <c r="F2962" s="6" t="n"/>
      <c r="G2962" s="8">
        <f>IF(B2962="","",IFERROR(VLOOKUP(--B2962,'CATALOGO CECO'!$A$2:$H$550,2,FALSE),"CECO NO EXISTE"))</f>
        <v/>
      </c>
      <c r="H2962" s="8">
        <f>IF(B2962="","",IFERROR(VLOOKUP(--B2962,'CATALOGO CECO'!$A$2:$H$550,3,FALSE),""))</f>
        <v/>
      </c>
      <c r="I2962" s="8">
        <f>IF(B2962="","",IFERROR(VLOOKUP(--B2962,'CATALOGO CECO'!$A$2:$H$550,5,FALSE),""))</f>
        <v/>
      </c>
      <c r="J2962" s="8">
        <f>IF(B2962="","",IFERROR(VLOOKUP(--B2962,'CATALOGO CECO'!$A$2:$H$550,8,FALSE),""))</f>
        <v/>
      </c>
      <c r="K2962" s="8">
        <f>IF(COUNTA(A2962:F2962)=0,"",IF(OR(LEN(A2962)&lt;&gt;7,MID(A2962,5,1)&lt;&gt;"-",ISERROR(--LEFT(A2962,4)),ISERROR(--RIGHT(A2962,2))),"ERROR: PERIODO debe ser AAAA-MM",IF(B2962="","ERROR: falta CODIGO CECO",IF(G2962="CECO NO EXISTE","ERROR: CECO no existe en el catálogo",IF(C2962="","ERROR: falta CUENTA",IF(ISERROR(--C2962),"ERROR: CUENTA debe tener solo dígitos",IF(ISERROR(FIND(LEFT(C2962,1),"567")),"ERROR: CUENTA fuera de las clases de costo",IF(NOT(ISNUMBER(E2962)),"ERROR: VALOR debe ser numérico",IF(E2962=0,"AVISO: valor cero (no se carga)",IF(J2962&lt;&gt;"ACTIVO","NO SE CARGA: CECO en estado "&amp;J2962,"OK"))))))))))</f>
        <v/>
      </c>
    </row>
    <row r="2963">
      <c r="A2963" s="5" t="n"/>
      <c r="B2963" s="6" t="n"/>
      <c r="C2963" s="5" t="n"/>
      <c r="D2963" s="6" t="n"/>
      <c r="E2963" s="7" t="n"/>
      <c r="F2963" s="6" t="n"/>
      <c r="G2963" s="8">
        <f>IF(B2963="","",IFERROR(VLOOKUP(--B2963,'CATALOGO CECO'!$A$2:$H$550,2,FALSE),"CECO NO EXISTE"))</f>
        <v/>
      </c>
      <c r="H2963" s="8">
        <f>IF(B2963="","",IFERROR(VLOOKUP(--B2963,'CATALOGO CECO'!$A$2:$H$550,3,FALSE),""))</f>
        <v/>
      </c>
      <c r="I2963" s="8">
        <f>IF(B2963="","",IFERROR(VLOOKUP(--B2963,'CATALOGO CECO'!$A$2:$H$550,5,FALSE),""))</f>
        <v/>
      </c>
      <c r="J2963" s="8">
        <f>IF(B2963="","",IFERROR(VLOOKUP(--B2963,'CATALOGO CECO'!$A$2:$H$550,8,FALSE),""))</f>
        <v/>
      </c>
      <c r="K2963" s="8">
        <f>IF(COUNTA(A2963:F2963)=0,"",IF(OR(LEN(A2963)&lt;&gt;7,MID(A2963,5,1)&lt;&gt;"-",ISERROR(--LEFT(A2963,4)),ISERROR(--RIGHT(A2963,2))),"ERROR: PERIODO debe ser AAAA-MM",IF(B2963="","ERROR: falta CODIGO CECO",IF(G2963="CECO NO EXISTE","ERROR: CECO no existe en el catálogo",IF(C2963="","ERROR: falta CUENTA",IF(ISERROR(--C2963),"ERROR: CUENTA debe tener solo dígitos",IF(ISERROR(FIND(LEFT(C2963,1),"567")),"ERROR: CUENTA fuera de las clases de costo",IF(NOT(ISNUMBER(E2963)),"ERROR: VALOR debe ser numérico",IF(E2963=0,"AVISO: valor cero (no se carga)",IF(J2963&lt;&gt;"ACTIVO","NO SE CARGA: CECO en estado "&amp;J2963,"OK"))))))))))</f>
        <v/>
      </c>
    </row>
    <row r="2964">
      <c r="A2964" s="5" t="n"/>
      <c r="B2964" s="6" t="n"/>
      <c r="C2964" s="5" t="n"/>
      <c r="D2964" s="6" t="n"/>
      <c r="E2964" s="7" t="n"/>
      <c r="F2964" s="6" t="n"/>
      <c r="G2964" s="8">
        <f>IF(B2964="","",IFERROR(VLOOKUP(--B2964,'CATALOGO CECO'!$A$2:$H$550,2,FALSE),"CECO NO EXISTE"))</f>
        <v/>
      </c>
      <c r="H2964" s="8">
        <f>IF(B2964="","",IFERROR(VLOOKUP(--B2964,'CATALOGO CECO'!$A$2:$H$550,3,FALSE),""))</f>
        <v/>
      </c>
      <c r="I2964" s="8">
        <f>IF(B2964="","",IFERROR(VLOOKUP(--B2964,'CATALOGO CECO'!$A$2:$H$550,5,FALSE),""))</f>
        <v/>
      </c>
      <c r="J2964" s="8">
        <f>IF(B2964="","",IFERROR(VLOOKUP(--B2964,'CATALOGO CECO'!$A$2:$H$550,8,FALSE),""))</f>
        <v/>
      </c>
      <c r="K2964" s="8">
        <f>IF(COUNTA(A2964:F2964)=0,"",IF(OR(LEN(A2964)&lt;&gt;7,MID(A2964,5,1)&lt;&gt;"-",ISERROR(--LEFT(A2964,4)),ISERROR(--RIGHT(A2964,2))),"ERROR: PERIODO debe ser AAAA-MM",IF(B2964="","ERROR: falta CODIGO CECO",IF(G2964="CECO NO EXISTE","ERROR: CECO no existe en el catálogo",IF(C2964="","ERROR: falta CUENTA",IF(ISERROR(--C2964),"ERROR: CUENTA debe tener solo dígitos",IF(ISERROR(FIND(LEFT(C2964,1),"567")),"ERROR: CUENTA fuera de las clases de costo",IF(NOT(ISNUMBER(E2964)),"ERROR: VALOR debe ser numérico",IF(E2964=0,"AVISO: valor cero (no se carga)",IF(J2964&lt;&gt;"ACTIVO","NO SE CARGA: CECO en estado "&amp;J2964,"OK"))))))))))</f>
        <v/>
      </c>
    </row>
    <row r="2965">
      <c r="A2965" s="5" t="n"/>
      <c r="B2965" s="6" t="n"/>
      <c r="C2965" s="5" t="n"/>
      <c r="D2965" s="6" t="n"/>
      <c r="E2965" s="7" t="n"/>
      <c r="F2965" s="6" t="n"/>
      <c r="G2965" s="8">
        <f>IF(B2965="","",IFERROR(VLOOKUP(--B2965,'CATALOGO CECO'!$A$2:$H$550,2,FALSE),"CECO NO EXISTE"))</f>
        <v/>
      </c>
      <c r="H2965" s="8">
        <f>IF(B2965="","",IFERROR(VLOOKUP(--B2965,'CATALOGO CECO'!$A$2:$H$550,3,FALSE),""))</f>
        <v/>
      </c>
      <c r="I2965" s="8">
        <f>IF(B2965="","",IFERROR(VLOOKUP(--B2965,'CATALOGO CECO'!$A$2:$H$550,5,FALSE),""))</f>
        <v/>
      </c>
      <c r="J2965" s="8">
        <f>IF(B2965="","",IFERROR(VLOOKUP(--B2965,'CATALOGO CECO'!$A$2:$H$550,8,FALSE),""))</f>
        <v/>
      </c>
      <c r="K2965" s="8">
        <f>IF(COUNTA(A2965:F2965)=0,"",IF(OR(LEN(A2965)&lt;&gt;7,MID(A2965,5,1)&lt;&gt;"-",ISERROR(--LEFT(A2965,4)),ISERROR(--RIGHT(A2965,2))),"ERROR: PERIODO debe ser AAAA-MM",IF(B2965="","ERROR: falta CODIGO CECO",IF(G2965="CECO NO EXISTE","ERROR: CECO no existe en el catálogo",IF(C2965="","ERROR: falta CUENTA",IF(ISERROR(--C2965),"ERROR: CUENTA debe tener solo dígitos",IF(ISERROR(FIND(LEFT(C2965,1),"567")),"ERROR: CUENTA fuera de las clases de costo",IF(NOT(ISNUMBER(E2965)),"ERROR: VALOR debe ser numérico",IF(E2965=0,"AVISO: valor cero (no se carga)",IF(J2965&lt;&gt;"ACTIVO","NO SE CARGA: CECO en estado "&amp;J2965,"OK"))))))))))</f>
        <v/>
      </c>
    </row>
    <row r="2966">
      <c r="A2966" s="5" t="n"/>
      <c r="B2966" s="6" t="n"/>
      <c r="C2966" s="5" t="n"/>
      <c r="D2966" s="6" t="n"/>
      <c r="E2966" s="7" t="n"/>
      <c r="F2966" s="6" t="n"/>
      <c r="G2966" s="8">
        <f>IF(B2966="","",IFERROR(VLOOKUP(--B2966,'CATALOGO CECO'!$A$2:$H$550,2,FALSE),"CECO NO EXISTE"))</f>
        <v/>
      </c>
      <c r="H2966" s="8">
        <f>IF(B2966="","",IFERROR(VLOOKUP(--B2966,'CATALOGO CECO'!$A$2:$H$550,3,FALSE),""))</f>
        <v/>
      </c>
      <c r="I2966" s="8">
        <f>IF(B2966="","",IFERROR(VLOOKUP(--B2966,'CATALOGO CECO'!$A$2:$H$550,5,FALSE),""))</f>
        <v/>
      </c>
      <c r="J2966" s="8">
        <f>IF(B2966="","",IFERROR(VLOOKUP(--B2966,'CATALOGO CECO'!$A$2:$H$550,8,FALSE),""))</f>
        <v/>
      </c>
      <c r="K2966" s="8">
        <f>IF(COUNTA(A2966:F2966)=0,"",IF(OR(LEN(A2966)&lt;&gt;7,MID(A2966,5,1)&lt;&gt;"-",ISERROR(--LEFT(A2966,4)),ISERROR(--RIGHT(A2966,2))),"ERROR: PERIODO debe ser AAAA-MM",IF(B2966="","ERROR: falta CODIGO CECO",IF(G2966="CECO NO EXISTE","ERROR: CECO no existe en el catálogo",IF(C2966="","ERROR: falta CUENTA",IF(ISERROR(--C2966),"ERROR: CUENTA debe tener solo dígitos",IF(ISERROR(FIND(LEFT(C2966,1),"567")),"ERROR: CUENTA fuera de las clases de costo",IF(NOT(ISNUMBER(E2966)),"ERROR: VALOR debe ser numérico",IF(E2966=0,"AVISO: valor cero (no se carga)",IF(J2966&lt;&gt;"ACTIVO","NO SE CARGA: CECO en estado "&amp;J2966,"OK"))))))))))</f>
        <v/>
      </c>
    </row>
    <row r="2967">
      <c r="A2967" s="5" t="n"/>
      <c r="B2967" s="6" t="n"/>
      <c r="C2967" s="5" t="n"/>
      <c r="D2967" s="6" t="n"/>
      <c r="E2967" s="7" t="n"/>
      <c r="F2967" s="6" t="n"/>
      <c r="G2967" s="8">
        <f>IF(B2967="","",IFERROR(VLOOKUP(--B2967,'CATALOGO CECO'!$A$2:$H$550,2,FALSE),"CECO NO EXISTE"))</f>
        <v/>
      </c>
      <c r="H2967" s="8">
        <f>IF(B2967="","",IFERROR(VLOOKUP(--B2967,'CATALOGO CECO'!$A$2:$H$550,3,FALSE),""))</f>
        <v/>
      </c>
      <c r="I2967" s="8">
        <f>IF(B2967="","",IFERROR(VLOOKUP(--B2967,'CATALOGO CECO'!$A$2:$H$550,5,FALSE),""))</f>
        <v/>
      </c>
      <c r="J2967" s="8">
        <f>IF(B2967="","",IFERROR(VLOOKUP(--B2967,'CATALOGO CECO'!$A$2:$H$550,8,FALSE),""))</f>
        <v/>
      </c>
      <c r="K2967" s="8">
        <f>IF(COUNTA(A2967:F2967)=0,"",IF(OR(LEN(A2967)&lt;&gt;7,MID(A2967,5,1)&lt;&gt;"-",ISERROR(--LEFT(A2967,4)),ISERROR(--RIGHT(A2967,2))),"ERROR: PERIODO debe ser AAAA-MM",IF(B2967="","ERROR: falta CODIGO CECO",IF(G2967="CECO NO EXISTE","ERROR: CECO no existe en el catálogo",IF(C2967="","ERROR: falta CUENTA",IF(ISERROR(--C2967),"ERROR: CUENTA debe tener solo dígitos",IF(ISERROR(FIND(LEFT(C2967,1),"567")),"ERROR: CUENTA fuera de las clases de costo",IF(NOT(ISNUMBER(E2967)),"ERROR: VALOR debe ser numérico",IF(E2967=0,"AVISO: valor cero (no se carga)",IF(J2967&lt;&gt;"ACTIVO","NO SE CARGA: CECO en estado "&amp;J2967,"OK"))))))))))</f>
        <v/>
      </c>
    </row>
    <row r="2968">
      <c r="A2968" s="5" t="n"/>
      <c r="B2968" s="6" t="n"/>
      <c r="C2968" s="5" t="n"/>
      <c r="D2968" s="6" t="n"/>
      <c r="E2968" s="7" t="n"/>
      <c r="F2968" s="6" t="n"/>
      <c r="G2968" s="8">
        <f>IF(B2968="","",IFERROR(VLOOKUP(--B2968,'CATALOGO CECO'!$A$2:$H$550,2,FALSE),"CECO NO EXISTE"))</f>
        <v/>
      </c>
      <c r="H2968" s="8">
        <f>IF(B2968="","",IFERROR(VLOOKUP(--B2968,'CATALOGO CECO'!$A$2:$H$550,3,FALSE),""))</f>
        <v/>
      </c>
      <c r="I2968" s="8">
        <f>IF(B2968="","",IFERROR(VLOOKUP(--B2968,'CATALOGO CECO'!$A$2:$H$550,5,FALSE),""))</f>
        <v/>
      </c>
      <c r="J2968" s="8">
        <f>IF(B2968="","",IFERROR(VLOOKUP(--B2968,'CATALOGO CECO'!$A$2:$H$550,8,FALSE),""))</f>
        <v/>
      </c>
      <c r="K2968" s="8">
        <f>IF(COUNTA(A2968:F2968)=0,"",IF(OR(LEN(A2968)&lt;&gt;7,MID(A2968,5,1)&lt;&gt;"-",ISERROR(--LEFT(A2968,4)),ISERROR(--RIGHT(A2968,2))),"ERROR: PERIODO debe ser AAAA-MM",IF(B2968="","ERROR: falta CODIGO CECO",IF(G2968="CECO NO EXISTE","ERROR: CECO no existe en el catálogo",IF(C2968="","ERROR: falta CUENTA",IF(ISERROR(--C2968),"ERROR: CUENTA debe tener solo dígitos",IF(ISERROR(FIND(LEFT(C2968,1),"567")),"ERROR: CUENTA fuera de las clases de costo",IF(NOT(ISNUMBER(E2968)),"ERROR: VALOR debe ser numérico",IF(E2968=0,"AVISO: valor cero (no se carga)",IF(J2968&lt;&gt;"ACTIVO","NO SE CARGA: CECO en estado "&amp;J2968,"OK"))))))))))</f>
        <v/>
      </c>
    </row>
    <row r="2969">
      <c r="A2969" s="5" t="n"/>
      <c r="B2969" s="6" t="n"/>
      <c r="C2969" s="5" t="n"/>
      <c r="D2969" s="6" t="n"/>
      <c r="E2969" s="7" t="n"/>
      <c r="F2969" s="6" t="n"/>
      <c r="G2969" s="8">
        <f>IF(B2969="","",IFERROR(VLOOKUP(--B2969,'CATALOGO CECO'!$A$2:$H$550,2,FALSE),"CECO NO EXISTE"))</f>
        <v/>
      </c>
      <c r="H2969" s="8">
        <f>IF(B2969="","",IFERROR(VLOOKUP(--B2969,'CATALOGO CECO'!$A$2:$H$550,3,FALSE),""))</f>
        <v/>
      </c>
      <c r="I2969" s="8">
        <f>IF(B2969="","",IFERROR(VLOOKUP(--B2969,'CATALOGO CECO'!$A$2:$H$550,5,FALSE),""))</f>
        <v/>
      </c>
      <c r="J2969" s="8">
        <f>IF(B2969="","",IFERROR(VLOOKUP(--B2969,'CATALOGO CECO'!$A$2:$H$550,8,FALSE),""))</f>
        <v/>
      </c>
      <c r="K2969" s="8">
        <f>IF(COUNTA(A2969:F2969)=0,"",IF(OR(LEN(A2969)&lt;&gt;7,MID(A2969,5,1)&lt;&gt;"-",ISERROR(--LEFT(A2969,4)),ISERROR(--RIGHT(A2969,2))),"ERROR: PERIODO debe ser AAAA-MM",IF(B2969="","ERROR: falta CODIGO CECO",IF(G2969="CECO NO EXISTE","ERROR: CECO no existe en el catálogo",IF(C2969="","ERROR: falta CUENTA",IF(ISERROR(--C2969),"ERROR: CUENTA debe tener solo dígitos",IF(ISERROR(FIND(LEFT(C2969,1),"567")),"ERROR: CUENTA fuera de las clases de costo",IF(NOT(ISNUMBER(E2969)),"ERROR: VALOR debe ser numérico",IF(E2969=0,"AVISO: valor cero (no se carga)",IF(J2969&lt;&gt;"ACTIVO","NO SE CARGA: CECO en estado "&amp;J2969,"OK"))))))))))</f>
        <v/>
      </c>
    </row>
    <row r="2970">
      <c r="A2970" s="5" t="n"/>
      <c r="B2970" s="6" t="n"/>
      <c r="C2970" s="5" t="n"/>
      <c r="D2970" s="6" t="n"/>
      <c r="E2970" s="7" t="n"/>
      <c r="F2970" s="6" t="n"/>
      <c r="G2970" s="8">
        <f>IF(B2970="","",IFERROR(VLOOKUP(--B2970,'CATALOGO CECO'!$A$2:$H$550,2,FALSE),"CECO NO EXISTE"))</f>
        <v/>
      </c>
      <c r="H2970" s="8">
        <f>IF(B2970="","",IFERROR(VLOOKUP(--B2970,'CATALOGO CECO'!$A$2:$H$550,3,FALSE),""))</f>
        <v/>
      </c>
      <c r="I2970" s="8">
        <f>IF(B2970="","",IFERROR(VLOOKUP(--B2970,'CATALOGO CECO'!$A$2:$H$550,5,FALSE),""))</f>
        <v/>
      </c>
      <c r="J2970" s="8">
        <f>IF(B2970="","",IFERROR(VLOOKUP(--B2970,'CATALOGO CECO'!$A$2:$H$550,8,FALSE),""))</f>
        <v/>
      </c>
      <c r="K2970" s="8">
        <f>IF(COUNTA(A2970:F2970)=0,"",IF(OR(LEN(A2970)&lt;&gt;7,MID(A2970,5,1)&lt;&gt;"-",ISERROR(--LEFT(A2970,4)),ISERROR(--RIGHT(A2970,2))),"ERROR: PERIODO debe ser AAAA-MM",IF(B2970="","ERROR: falta CODIGO CECO",IF(G2970="CECO NO EXISTE","ERROR: CECO no existe en el catálogo",IF(C2970="","ERROR: falta CUENTA",IF(ISERROR(--C2970),"ERROR: CUENTA debe tener solo dígitos",IF(ISERROR(FIND(LEFT(C2970,1),"567")),"ERROR: CUENTA fuera de las clases de costo",IF(NOT(ISNUMBER(E2970)),"ERROR: VALOR debe ser numérico",IF(E2970=0,"AVISO: valor cero (no se carga)",IF(J2970&lt;&gt;"ACTIVO","NO SE CARGA: CECO en estado "&amp;J2970,"OK"))))))))))</f>
        <v/>
      </c>
    </row>
    <row r="2971">
      <c r="A2971" s="5" t="n"/>
      <c r="B2971" s="6" t="n"/>
      <c r="C2971" s="5" t="n"/>
      <c r="D2971" s="6" t="n"/>
      <c r="E2971" s="7" t="n"/>
      <c r="F2971" s="6" t="n"/>
      <c r="G2971" s="8">
        <f>IF(B2971="","",IFERROR(VLOOKUP(--B2971,'CATALOGO CECO'!$A$2:$H$550,2,FALSE),"CECO NO EXISTE"))</f>
        <v/>
      </c>
      <c r="H2971" s="8">
        <f>IF(B2971="","",IFERROR(VLOOKUP(--B2971,'CATALOGO CECO'!$A$2:$H$550,3,FALSE),""))</f>
        <v/>
      </c>
      <c r="I2971" s="8">
        <f>IF(B2971="","",IFERROR(VLOOKUP(--B2971,'CATALOGO CECO'!$A$2:$H$550,5,FALSE),""))</f>
        <v/>
      </c>
      <c r="J2971" s="8">
        <f>IF(B2971="","",IFERROR(VLOOKUP(--B2971,'CATALOGO CECO'!$A$2:$H$550,8,FALSE),""))</f>
        <v/>
      </c>
      <c r="K2971" s="8">
        <f>IF(COUNTA(A2971:F2971)=0,"",IF(OR(LEN(A2971)&lt;&gt;7,MID(A2971,5,1)&lt;&gt;"-",ISERROR(--LEFT(A2971,4)),ISERROR(--RIGHT(A2971,2))),"ERROR: PERIODO debe ser AAAA-MM",IF(B2971="","ERROR: falta CODIGO CECO",IF(G2971="CECO NO EXISTE","ERROR: CECO no existe en el catálogo",IF(C2971="","ERROR: falta CUENTA",IF(ISERROR(--C2971),"ERROR: CUENTA debe tener solo dígitos",IF(ISERROR(FIND(LEFT(C2971,1),"567")),"ERROR: CUENTA fuera de las clases de costo",IF(NOT(ISNUMBER(E2971)),"ERROR: VALOR debe ser numérico",IF(E2971=0,"AVISO: valor cero (no se carga)",IF(J2971&lt;&gt;"ACTIVO","NO SE CARGA: CECO en estado "&amp;J2971,"OK"))))))))))</f>
        <v/>
      </c>
    </row>
    <row r="2972">
      <c r="A2972" s="5" t="n"/>
      <c r="B2972" s="6" t="n"/>
      <c r="C2972" s="5" t="n"/>
      <c r="D2972" s="6" t="n"/>
      <c r="E2972" s="7" t="n"/>
      <c r="F2972" s="6" t="n"/>
      <c r="G2972" s="8">
        <f>IF(B2972="","",IFERROR(VLOOKUP(--B2972,'CATALOGO CECO'!$A$2:$H$550,2,FALSE),"CECO NO EXISTE"))</f>
        <v/>
      </c>
      <c r="H2972" s="8">
        <f>IF(B2972="","",IFERROR(VLOOKUP(--B2972,'CATALOGO CECO'!$A$2:$H$550,3,FALSE),""))</f>
        <v/>
      </c>
      <c r="I2972" s="8">
        <f>IF(B2972="","",IFERROR(VLOOKUP(--B2972,'CATALOGO CECO'!$A$2:$H$550,5,FALSE),""))</f>
        <v/>
      </c>
      <c r="J2972" s="8">
        <f>IF(B2972="","",IFERROR(VLOOKUP(--B2972,'CATALOGO CECO'!$A$2:$H$550,8,FALSE),""))</f>
        <v/>
      </c>
      <c r="K2972" s="8">
        <f>IF(COUNTA(A2972:F2972)=0,"",IF(OR(LEN(A2972)&lt;&gt;7,MID(A2972,5,1)&lt;&gt;"-",ISERROR(--LEFT(A2972,4)),ISERROR(--RIGHT(A2972,2))),"ERROR: PERIODO debe ser AAAA-MM",IF(B2972="","ERROR: falta CODIGO CECO",IF(G2972="CECO NO EXISTE","ERROR: CECO no existe en el catálogo",IF(C2972="","ERROR: falta CUENTA",IF(ISERROR(--C2972),"ERROR: CUENTA debe tener solo dígitos",IF(ISERROR(FIND(LEFT(C2972,1),"567")),"ERROR: CUENTA fuera de las clases de costo",IF(NOT(ISNUMBER(E2972)),"ERROR: VALOR debe ser numérico",IF(E2972=0,"AVISO: valor cero (no se carga)",IF(J2972&lt;&gt;"ACTIVO","NO SE CARGA: CECO en estado "&amp;J2972,"OK"))))))))))</f>
        <v/>
      </c>
    </row>
    <row r="2973">
      <c r="A2973" s="5" t="n"/>
      <c r="B2973" s="6" t="n"/>
      <c r="C2973" s="5" t="n"/>
      <c r="D2973" s="6" t="n"/>
      <c r="E2973" s="7" t="n"/>
      <c r="F2973" s="6" t="n"/>
      <c r="G2973" s="8">
        <f>IF(B2973="","",IFERROR(VLOOKUP(--B2973,'CATALOGO CECO'!$A$2:$H$550,2,FALSE),"CECO NO EXISTE"))</f>
        <v/>
      </c>
      <c r="H2973" s="8">
        <f>IF(B2973="","",IFERROR(VLOOKUP(--B2973,'CATALOGO CECO'!$A$2:$H$550,3,FALSE),""))</f>
        <v/>
      </c>
      <c r="I2973" s="8">
        <f>IF(B2973="","",IFERROR(VLOOKUP(--B2973,'CATALOGO CECO'!$A$2:$H$550,5,FALSE),""))</f>
        <v/>
      </c>
      <c r="J2973" s="8">
        <f>IF(B2973="","",IFERROR(VLOOKUP(--B2973,'CATALOGO CECO'!$A$2:$H$550,8,FALSE),""))</f>
        <v/>
      </c>
      <c r="K2973" s="8">
        <f>IF(COUNTA(A2973:F2973)=0,"",IF(OR(LEN(A2973)&lt;&gt;7,MID(A2973,5,1)&lt;&gt;"-",ISERROR(--LEFT(A2973,4)),ISERROR(--RIGHT(A2973,2))),"ERROR: PERIODO debe ser AAAA-MM",IF(B2973="","ERROR: falta CODIGO CECO",IF(G2973="CECO NO EXISTE","ERROR: CECO no existe en el catálogo",IF(C2973="","ERROR: falta CUENTA",IF(ISERROR(--C2973),"ERROR: CUENTA debe tener solo dígitos",IF(ISERROR(FIND(LEFT(C2973,1),"567")),"ERROR: CUENTA fuera de las clases de costo",IF(NOT(ISNUMBER(E2973)),"ERROR: VALOR debe ser numérico",IF(E2973=0,"AVISO: valor cero (no se carga)",IF(J2973&lt;&gt;"ACTIVO","NO SE CARGA: CECO en estado "&amp;J2973,"OK"))))))))))</f>
        <v/>
      </c>
    </row>
    <row r="2974">
      <c r="A2974" s="5" t="n"/>
      <c r="B2974" s="6" t="n"/>
      <c r="C2974" s="5" t="n"/>
      <c r="D2974" s="6" t="n"/>
      <c r="E2974" s="7" t="n"/>
      <c r="F2974" s="6" t="n"/>
      <c r="G2974" s="8">
        <f>IF(B2974="","",IFERROR(VLOOKUP(--B2974,'CATALOGO CECO'!$A$2:$H$550,2,FALSE),"CECO NO EXISTE"))</f>
        <v/>
      </c>
      <c r="H2974" s="8">
        <f>IF(B2974="","",IFERROR(VLOOKUP(--B2974,'CATALOGO CECO'!$A$2:$H$550,3,FALSE),""))</f>
        <v/>
      </c>
      <c r="I2974" s="8">
        <f>IF(B2974="","",IFERROR(VLOOKUP(--B2974,'CATALOGO CECO'!$A$2:$H$550,5,FALSE),""))</f>
        <v/>
      </c>
      <c r="J2974" s="8">
        <f>IF(B2974="","",IFERROR(VLOOKUP(--B2974,'CATALOGO CECO'!$A$2:$H$550,8,FALSE),""))</f>
        <v/>
      </c>
      <c r="K2974" s="8">
        <f>IF(COUNTA(A2974:F2974)=0,"",IF(OR(LEN(A2974)&lt;&gt;7,MID(A2974,5,1)&lt;&gt;"-",ISERROR(--LEFT(A2974,4)),ISERROR(--RIGHT(A2974,2))),"ERROR: PERIODO debe ser AAAA-MM",IF(B2974="","ERROR: falta CODIGO CECO",IF(G2974="CECO NO EXISTE","ERROR: CECO no existe en el catálogo",IF(C2974="","ERROR: falta CUENTA",IF(ISERROR(--C2974),"ERROR: CUENTA debe tener solo dígitos",IF(ISERROR(FIND(LEFT(C2974,1),"567")),"ERROR: CUENTA fuera de las clases de costo",IF(NOT(ISNUMBER(E2974)),"ERROR: VALOR debe ser numérico",IF(E2974=0,"AVISO: valor cero (no se carga)",IF(J2974&lt;&gt;"ACTIVO","NO SE CARGA: CECO en estado "&amp;J2974,"OK"))))))))))</f>
        <v/>
      </c>
    </row>
    <row r="2975">
      <c r="A2975" s="5" t="n"/>
      <c r="B2975" s="6" t="n"/>
      <c r="C2975" s="5" t="n"/>
      <c r="D2975" s="6" t="n"/>
      <c r="E2975" s="7" t="n"/>
      <c r="F2975" s="6" t="n"/>
      <c r="G2975" s="8">
        <f>IF(B2975="","",IFERROR(VLOOKUP(--B2975,'CATALOGO CECO'!$A$2:$H$550,2,FALSE),"CECO NO EXISTE"))</f>
        <v/>
      </c>
      <c r="H2975" s="8">
        <f>IF(B2975="","",IFERROR(VLOOKUP(--B2975,'CATALOGO CECO'!$A$2:$H$550,3,FALSE),""))</f>
        <v/>
      </c>
      <c r="I2975" s="8">
        <f>IF(B2975="","",IFERROR(VLOOKUP(--B2975,'CATALOGO CECO'!$A$2:$H$550,5,FALSE),""))</f>
        <v/>
      </c>
      <c r="J2975" s="8">
        <f>IF(B2975="","",IFERROR(VLOOKUP(--B2975,'CATALOGO CECO'!$A$2:$H$550,8,FALSE),""))</f>
        <v/>
      </c>
      <c r="K2975" s="8">
        <f>IF(COUNTA(A2975:F2975)=0,"",IF(OR(LEN(A2975)&lt;&gt;7,MID(A2975,5,1)&lt;&gt;"-",ISERROR(--LEFT(A2975,4)),ISERROR(--RIGHT(A2975,2))),"ERROR: PERIODO debe ser AAAA-MM",IF(B2975="","ERROR: falta CODIGO CECO",IF(G2975="CECO NO EXISTE","ERROR: CECO no existe en el catálogo",IF(C2975="","ERROR: falta CUENTA",IF(ISERROR(--C2975),"ERROR: CUENTA debe tener solo dígitos",IF(ISERROR(FIND(LEFT(C2975,1),"567")),"ERROR: CUENTA fuera de las clases de costo",IF(NOT(ISNUMBER(E2975)),"ERROR: VALOR debe ser numérico",IF(E2975=0,"AVISO: valor cero (no se carga)",IF(J2975&lt;&gt;"ACTIVO","NO SE CARGA: CECO en estado "&amp;J2975,"OK"))))))))))</f>
        <v/>
      </c>
    </row>
    <row r="2976">
      <c r="A2976" s="5" t="n"/>
      <c r="B2976" s="6" t="n"/>
      <c r="C2976" s="5" t="n"/>
      <c r="D2976" s="6" t="n"/>
      <c r="E2976" s="7" t="n"/>
      <c r="F2976" s="6" t="n"/>
      <c r="G2976" s="8">
        <f>IF(B2976="","",IFERROR(VLOOKUP(--B2976,'CATALOGO CECO'!$A$2:$H$550,2,FALSE),"CECO NO EXISTE"))</f>
        <v/>
      </c>
      <c r="H2976" s="8">
        <f>IF(B2976="","",IFERROR(VLOOKUP(--B2976,'CATALOGO CECO'!$A$2:$H$550,3,FALSE),""))</f>
        <v/>
      </c>
      <c r="I2976" s="8">
        <f>IF(B2976="","",IFERROR(VLOOKUP(--B2976,'CATALOGO CECO'!$A$2:$H$550,5,FALSE),""))</f>
        <v/>
      </c>
      <c r="J2976" s="8">
        <f>IF(B2976="","",IFERROR(VLOOKUP(--B2976,'CATALOGO CECO'!$A$2:$H$550,8,FALSE),""))</f>
        <v/>
      </c>
      <c r="K2976" s="8">
        <f>IF(COUNTA(A2976:F2976)=0,"",IF(OR(LEN(A2976)&lt;&gt;7,MID(A2976,5,1)&lt;&gt;"-",ISERROR(--LEFT(A2976,4)),ISERROR(--RIGHT(A2976,2))),"ERROR: PERIODO debe ser AAAA-MM",IF(B2976="","ERROR: falta CODIGO CECO",IF(G2976="CECO NO EXISTE","ERROR: CECO no existe en el catálogo",IF(C2976="","ERROR: falta CUENTA",IF(ISERROR(--C2976),"ERROR: CUENTA debe tener solo dígitos",IF(ISERROR(FIND(LEFT(C2976,1),"567")),"ERROR: CUENTA fuera de las clases de costo",IF(NOT(ISNUMBER(E2976)),"ERROR: VALOR debe ser numérico",IF(E2976=0,"AVISO: valor cero (no se carga)",IF(J2976&lt;&gt;"ACTIVO","NO SE CARGA: CECO en estado "&amp;J2976,"OK"))))))))))</f>
        <v/>
      </c>
    </row>
    <row r="2977">
      <c r="A2977" s="5" t="n"/>
      <c r="B2977" s="6" t="n"/>
      <c r="C2977" s="5" t="n"/>
      <c r="D2977" s="6" t="n"/>
      <c r="E2977" s="7" t="n"/>
      <c r="F2977" s="6" t="n"/>
      <c r="G2977" s="8">
        <f>IF(B2977="","",IFERROR(VLOOKUP(--B2977,'CATALOGO CECO'!$A$2:$H$550,2,FALSE),"CECO NO EXISTE"))</f>
        <v/>
      </c>
      <c r="H2977" s="8">
        <f>IF(B2977="","",IFERROR(VLOOKUP(--B2977,'CATALOGO CECO'!$A$2:$H$550,3,FALSE),""))</f>
        <v/>
      </c>
      <c r="I2977" s="8">
        <f>IF(B2977="","",IFERROR(VLOOKUP(--B2977,'CATALOGO CECO'!$A$2:$H$550,5,FALSE),""))</f>
        <v/>
      </c>
      <c r="J2977" s="8">
        <f>IF(B2977="","",IFERROR(VLOOKUP(--B2977,'CATALOGO CECO'!$A$2:$H$550,8,FALSE),""))</f>
        <v/>
      </c>
      <c r="K2977" s="8">
        <f>IF(COUNTA(A2977:F2977)=0,"",IF(OR(LEN(A2977)&lt;&gt;7,MID(A2977,5,1)&lt;&gt;"-",ISERROR(--LEFT(A2977,4)),ISERROR(--RIGHT(A2977,2))),"ERROR: PERIODO debe ser AAAA-MM",IF(B2977="","ERROR: falta CODIGO CECO",IF(G2977="CECO NO EXISTE","ERROR: CECO no existe en el catálogo",IF(C2977="","ERROR: falta CUENTA",IF(ISERROR(--C2977),"ERROR: CUENTA debe tener solo dígitos",IF(ISERROR(FIND(LEFT(C2977,1),"567")),"ERROR: CUENTA fuera de las clases de costo",IF(NOT(ISNUMBER(E2977)),"ERROR: VALOR debe ser numérico",IF(E2977=0,"AVISO: valor cero (no se carga)",IF(J2977&lt;&gt;"ACTIVO","NO SE CARGA: CECO en estado "&amp;J2977,"OK"))))))))))</f>
        <v/>
      </c>
    </row>
    <row r="2978">
      <c r="A2978" s="5" t="n"/>
      <c r="B2978" s="6" t="n"/>
      <c r="C2978" s="5" t="n"/>
      <c r="D2978" s="6" t="n"/>
      <c r="E2978" s="7" t="n"/>
      <c r="F2978" s="6" t="n"/>
      <c r="G2978" s="8">
        <f>IF(B2978="","",IFERROR(VLOOKUP(--B2978,'CATALOGO CECO'!$A$2:$H$550,2,FALSE),"CECO NO EXISTE"))</f>
        <v/>
      </c>
      <c r="H2978" s="8">
        <f>IF(B2978="","",IFERROR(VLOOKUP(--B2978,'CATALOGO CECO'!$A$2:$H$550,3,FALSE),""))</f>
        <v/>
      </c>
      <c r="I2978" s="8">
        <f>IF(B2978="","",IFERROR(VLOOKUP(--B2978,'CATALOGO CECO'!$A$2:$H$550,5,FALSE),""))</f>
        <v/>
      </c>
      <c r="J2978" s="8">
        <f>IF(B2978="","",IFERROR(VLOOKUP(--B2978,'CATALOGO CECO'!$A$2:$H$550,8,FALSE),""))</f>
        <v/>
      </c>
      <c r="K2978" s="8">
        <f>IF(COUNTA(A2978:F2978)=0,"",IF(OR(LEN(A2978)&lt;&gt;7,MID(A2978,5,1)&lt;&gt;"-",ISERROR(--LEFT(A2978,4)),ISERROR(--RIGHT(A2978,2))),"ERROR: PERIODO debe ser AAAA-MM",IF(B2978="","ERROR: falta CODIGO CECO",IF(G2978="CECO NO EXISTE","ERROR: CECO no existe en el catálogo",IF(C2978="","ERROR: falta CUENTA",IF(ISERROR(--C2978),"ERROR: CUENTA debe tener solo dígitos",IF(ISERROR(FIND(LEFT(C2978,1),"567")),"ERROR: CUENTA fuera de las clases de costo",IF(NOT(ISNUMBER(E2978)),"ERROR: VALOR debe ser numérico",IF(E2978=0,"AVISO: valor cero (no se carga)",IF(J2978&lt;&gt;"ACTIVO","NO SE CARGA: CECO en estado "&amp;J2978,"OK"))))))))))</f>
        <v/>
      </c>
    </row>
    <row r="2979">
      <c r="A2979" s="5" t="n"/>
      <c r="B2979" s="6" t="n"/>
      <c r="C2979" s="5" t="n"/>
      <c r="D2979" s="6" t="n"/>
      <c r="E2979" s="7" t="n"/>
      <c r="F2979" s="6" t="n"/>
      <c r="G2979" s="8">
        <f>IF(B2979="","",IFERROR(VLOOKUP(--B2979,'CATALOGO CECO'!$A$2:$H$550,2,FALSE),"CECO NO EXISTE"))</f>
        <v/>
      </c>
      <c r="H2979" s="8">
        <f>IF(B2979="","",IFERROR(VLOOKUP(--B2979,'CATALOGO CECO'!$A$2:$H$550,3,FALSE),""))</f>
        <v/>
      </c>
      <c r="I2979" s="8">
        <f>IF(B2979="","",IFERROR(VLOOKUP(--B2979,'CATALOGO CECO'!$A$2:$H$550,5,FALSE),""))</f>
        <v/>
      </c>
      <c r="J2979" s="8">
        <f>IF(B2979="","",IFERROR(VLOOKUP(--B2979,'CATALOGO CECO'!$A$2:$H$550,8,FALSE),""))</f>
        <v/>
      </c>
      <c r="K2979" s="8">
        <f>IF(COUNTA(A2979:F2979)=0,"",IF(OR(LEN(A2979)&lt;&gt;7,MID(A2979,5,1)&lt;&gt;"-",ISERROR(--LEFT(A2979,4)),ISERROR(--RIGHT(A2979,2))),"ERROR: PERIODO debe ser AAAA-MM",IF(B2979="","ERROR: falta CODIGO CECO",IF(G2979="CECO NO EXISTE","ERROR: CECO no existe en el catálogo",IF(C2979="","ERROR: falta CUENTA",IF(ISERROR(--C2979),"ERROR: CUENTA debe tener solo dígitos",IF(ISERROR(FIND(LEFT(C2979,1),"567")),"ERROR: CUENTA fuera de las clases de costo",IF(NOT(ISNUMBER(E2979)),"ERROR: VALOR debe ser numérico",IF(E2979=0,"AVISO: valor cero (no se carga)",IF(J2979&lt;&gt;"ACTIVO","NO SE CARGA: CECO en estado "&amp;J2979,"OK"))))))))))</f>
        <v/>
      </c>
    </row>
    <row r="2980">
      <c r="A2980" s="5" t="n"/>
      <c r="B2980" s="6" t="n"/>
      <c r="C2980" s="5" t="n"/>
      <c r="D2980" s="6" t="n"/>
      <c r="E2980" s="7" t="n"/>
      <c r="F2980" s="6" t="n"/>
      <c r="G2980" s="8">
        <f>IF(B2980="","",IFERROR(VLOOKUP(--B2980,'CATALOGO CECO'!$A$2:$H$550,2,FALSE),"CECO NO EXISTE"))</f>
        <v/>
      </c>
      <c r="H2980" s="8">
        <f>IF(B2980="","",IFERROR(VLOOKUP(--B2980,'CATALOGO CECO'!$A$2:$H$550,3,FALSE),""))</f>
        <v/>
      </c>
      <c r="I2980" s="8">
        <f>IF(B2980="","",IFERROR(VLOOKUP(--B2980,'CATALOGO CECO'!$A$2:$H$550,5,FALSE),""))</f>
        <v/>
      </c>
      <c r="J2980" s="8">
        <f>IF(B2980="","",IFERROR(VLOOKUP(--B2980,'CATALOGO CECO'!$A$2:$H$550,8,FALSE),""))</f>
        <v/>
      </c>
      <c r="K2980" s="8">
        <f>IF(COUNTA(A2980:F2980)=0,"",IF(OR(LEN(A2980)&lt;&gt;7,MID(A2980,5,1)&lt;&gt;"-",ISERROR(--LEFT(A2980,4)),ISERROR(--RIGHT(A2980,2))),"ERROR: PERIODO debe ser AAAA-MM",IF(B2980="","ERROR: falta CODIGO CECO",IF(G2980="CECO NO EXISTE","ERROR: CECO no existe en el catálogo",IF(C2980="","ERROR: falta CUENTA",IF(ISERROR(--C2980),"ERROR: CUENTA debe tener solo dígitos",IF(ISERROR(FIND(LEFT(C2980,1),"567")),"ERROR: CUENTA fuera de las clases de costo",IF(NOT(ISNUMBER(E2980)),"ERROR: VALOR debe ser numérico",IF(E2980=0,"AVISO: valor cero (no se carga)",IF(J2980&lt;&gt;"ACTIVO","NO SE CARGA: CECO en estado "&amp;J2980,"OK"))))))))))</f>
        <v/>
      </c>
    </row>
    <row r="2981">
      <c r="A2981" s="5" t="n"/>
      <c r="B2981" s="6" t="n"/>
      <c r="C2981" s="5" t="n"/>
      <c r="D2981" s="6" t="n"/>
      <c r="E2981" s="7" t="n"/>
      <c r="F2981" s="6" t="n"/>
      <c r="G2981" s="8">
        <f>IF(B2981="","",IFERROR(VLOOKUP(--B2981,'CATALOGO CECO'!$A$2:$H$550,2,FALSE),"CECO NO EXISTE"))</f>
        <v/>
      </c>
      <c r="H2981" s="8">
        <f>IF(B2981="","",IFERROR(VLOOKUP(--B2981,'CATALOGO CECO'!$A$2:$H$550,3,FALSE),""))</f>
        <v/>
      </c>
      <c r="I2981" s="8">
        <f>IF(B2981="","",IFERROR(VLOOKUP(--B2981,'CATALOGO CECO'!$A$2:$H$550,5,FALSE),""))</f>
        <v/>
      </c>
      <c r="J2981" s="8">
        <f>IF(B2981="","",IFERROR(VLOOKUP(--B2981,'CATALOGO CECO'!$A$2:$H$550,8,FALSE),""))</f>
        <v/>
      </c>
      <c r="K2981" s="8">
        <f>IF(COUNTA(A2981:F2981)=0,"",IF(OR(LEN(A2981)&lt;&gt;7,MID(A2981,5,1)&lt;&gt;"-",ISERROR(--LEFT(A2981,4)),ISERROR(--RIGHT(A2981,2))),"ERROR: PERIODO debe ser AAAA-MM",IF(B2981="","ERROR: falta CODIGO CECO",IF(G2981="CECO NO EXISTE","ERROR: CECO no existe en el catálogo",IF(C2981="","ERROR: falta CUENTA",IF(ISERROR(--C2981),"ERROR: CUENTA debe tener solo dígitos",IF(ISERROR(FIND(LEFT(C2981,1),"567")),"ERROR: CUENTA fuera de las clases de costo",IF(NOT(ISNUMBER(E2981)),"ERROR: VALOR debe ser numérico",IF(E2981=0,"AVISO: valor cero (no se carga)",IF(J2981&lt;&gt;"ACTIVO","NO SE CARGA: CECO en estado "&amp;J2981,"OK"))))))))))</f>
        <v/>
      </c>
    </row>
    <row r="2982">
      <c r="A2982" s="5" t="n"/>
      <c r="B2982" s="6" t="n"/>
      <c r="C2982" s="5" t="n"/>
      <c r="D2982" s="6" t="n"/>
      <c r="E2982" s="7" t="n"/>
      <c r="F2982" s="6" t="n"/>
      <c r="G2982" s="8">
        <f>IF(B2982="","",IFERROR(VLOOKUP(--B2982,'CATALOGO CECO'!$A$2:$H$550,2,FALSE),"CECO NO EXISTE"))</f>
        <v/>
      </c>
      <c r="H2982" s="8">
        <f>IF(B2982="","",IFERROR(VLOOKUP(--B2982,'CATALOGO CECO'!$A$2:$H$550,3,FALSE),""))</f>
        <v/>
      </c>
      <c r="I2982" s="8">
        <f>IF(B2982="","",IFERROR(VLOOKUP(--B2982,'CATALOGO CECO'!$A$2:$H$550,5,FALSE),""))</f>
        <v/>
      </c>
      <c r="J2982" s="8">
        <f>IF(B2982="","",IFERROR(VLOOKUP(--B2982,'CATALOGO CECO'!$A$2:$H$550,8,FALSE),""))</f>
        <v/>
      </c>
      <c r="K2982" s="8">
        <f>IF(COUNTA(A2982:F2982)=0,"",IF(OR(LEN(A2982)&lt;&gt;7,MID(A2982,5,1)&lt;&gt;"-",ISERROR(--LEFT(A2982,4)),ISERROR(--RIGHT(A2982,2))),"ERROR: PERIODO debe ser AAAA-MM",IF(B2982="","ERROR: falta CODIGO CECO",IF(G2982="CECO NO EXISTE","ERROR: CECO no existe en el catálogo",IF(C2982="","ERROR: falta CUENTA",IF(ISERROR(--C2982),"ERROR: CUENTA debe tener solo dígitos",IF(ISERROR(FIND(LEFT(C2982,1),"567")),"ERROR: CUENTA fuera de las clases de costo",IF(NOT(ISNUMBER(E2982)),"ERROR: VALOR debe ser numérico",IF(E2982=0,"AVISO: valor cero (no se carga)",IF(J2982&lt;&gt;"ACTIVO","NO SE CARGA: CECO en estado "&amp;J2982,"OK"))))))))))</f>
        <v/>
      </c>
    </row>
    <row r="2983">
      <c r="A2983" s="5" t="n"/>
      <c r="B2983" s="6" t="n"/>
      <c r="C2983" s="5" t="n"/>
      <c r="D2983" s="6" t="n"/>
      <c r="E2983" s="7" t="n"/>
      <c r="F2983" s="6" t="n"/>
      <c r="G2983" s="8">
        <f>IF(B2983="","",IFERROR(VLOOKUP(--B2983,'CATALOGO CECO'!$A$2:$H$550,2,FALSE),"CECO NO EXISTE"))</f>
        <v/>
      </c>
      <c r="H2983" s="8">
        <f>IF(B2983="","",IFERROR(VLOOKUP(--B2983,'CATALOGO CECO'!$A$2:$H$550,3,FALSE),""))</f>
        <v/>
      </c>
      <c r="I2983" s="8">
        <f>IF(B2983="","",IFERROR(VLOOKUP(--B2983,'CATALOGO CECO'!$A$2:$H$550,5,FALSE),""))</f>
        <v/>
      </c>
      <c r="J2983" s="8">
        <f>IF(B2983="","",IFERROR(VLOOKUP(--B2983,'CATALOGO CECO'!$A$2:$H$550,8,FALSE),""))</f>
        <v/>
      </c>
      <c r="K2983" s="8">
        <f>IF(COUNTA(A2983:F2983)=0,"",IF(OR(LEN(A2983)&lt;&gt;7,MID(A2983,5,1)&lt;&gt;"-",ISERROR(--LEFT(A2983,4)),ISERROR(--RIGHT(A2983,2))),"ERROR: PERIODO debe ser AAAA-MM",IF(B2983="","ERROR: falta CODIGO CECO",IF(G2983="CECO NO EXISTE","ERROR: CECO no existe en el catálogo",IF(C2983="","ERROR: falta CUENTA",IF(ISERROR(--C2983),"ERROR: CUENTA debe tener solo dígitos",IF(ISERROR(FIND(LEFT(C2983,1),"567")),"ERROR: CUENTA fuera de las clases de costo",IF(NOT(ISNUMBER(E2983)),"ERROR: VALOR debe ser numérico",IF(E2983=0,"AVISO: valor cero (no se carga)",IF(J2983&lt;&gt;"ACTIVO","NO SE CARGA: CECO en estado "&amp;J2983,"OK"))))))))))</f>
        <v/>
      </c>
    </row>
    <row r="2984">
      <c r="A2984" s="5" t="n"/>
      <c r="B2984" s="6" t="n"/>
      <c r="C2984" s="5" t="n"/>
      <c r="D2984" s="6" t="n"/>
      <c r="E2984" s="7" t="n"/>
      <c r="F2984" s="6" t="n"/>
      <c r="G2984" s="8">
        <f>IF(B2984="","",IFERROR(VLOOKUP(--B2984,'CATALOGO CECO'!$A$2:$H$550,2,FALSE),"CECO NO EXISTE"))</f>
        <v/>
      </c>
      <c r="H2984" s="8">
        <f>IF(B2984="","",IFERROR(VLOOKUP(--B2984,'CATALOGO CECO'!$A$2:$H$550,3,FALSE),""))</f>
        <v/>
      </c>
      <c r="I2984" s="8">
        <f>IF(B2984="","",IFERROR(VLOOKUP(--B2984,'CATALOGO CECO'!$A$2:$H$550,5,FALSE),""))</f>
        <v/>
      </c>
      <c r="J2984" s="8">
        <f>IF(B2984="","",IFERROR(VLOOKUP(--B2984,'CATALOGO CECO'!$A$2:$H$550,8,FALSE),""))</f>
        <v/>
      </c>
      <c r="K2984" s="8">
        <f>IF(COUNTA(A2984:F2984)=0,"",IF(OR(LEN(A2984)&lt;&gt;7,MID(A2984,5,1)&lt;&gt;"-",ISERROR(--LEFT(A2984,4)),ISERROR(--RIGHT(A2984,2))),"ERROR: PERIODO debe ser AAAA-MM",IF(B2984="","ERROR: falta CODIGO CECO",IF(G2984="CECO NO EXISTE","ERROR: CECO no existe en el catálogo",IF(C2984="","ERROR: falta CUENTA",IF(ISERROR(--C2984),"ERROR: CUENTA debe tener solo dígitos",IF(ISERROR(FIND(LEFT(C2984,1),"567")),"ERROR: CUENTA fuera de las clases de costo",IF(NOT(ISNUMBER(E2984)),"ERROR: VALOR debe ser numérico",IF(E2984=0,"AVISO: valor cero (no se carga)",IF(J2984&lt;&gt;"ACTIVO","NO SE CARGA: CECO en estado "&amp;J2984,"OK"))))))))))</f>
        <v/>
      </c>
    </row>
    <row r="2985">
      <c r="A2985" s="5" t="n"/>
      <c r="B2985" s="6" t="n"/>
      <c r="C2985" s="5" t="n"/>
      <c r="D2985" s="6" t="n"/>
      <c r="E2985" s="7" t="n"/>
      <c r="F2985" s="6" t="n"/>
      <c r="G2985" s="8">
        <f>IF(B2985="","",IFERROR(VLOOKUP(--B2985,'CATALOGO CECO'!$A$2:$H$550,2,FALSE),"CECO NO EXISTE"))</f>
        <v/>
      </c>
      <c r="H2985" s="8">
        <f>IF(B2985="","",IFERROR(VLOOKUP(--B2985,'CATALOGO CECO'!$A$2:$H$550,3,FALSE),""))</f>
        <v/>
      </c>
      <c r="I2985" s="8">
        <f>IF(B2985="","",IFERROR(VLOOKUP(--B2985,'CATALOGO CECO'!$A$2:$H$550,5,FALSE),""))</f>
        <v/>
      </c>
      <c r="J2985" s="8">
        <f>IF(B2985="","",IFERROR(VLOOKUP(--B2985,'CATALOGO CECO'!$A$2:$H$550,8,FALSE),""))</f>
        <v/>
      </c>
      <c r="K2985" s="8">
        <f>IF(COUNTA(A2985:F2985)=0,"",IF(OR(LEN(A2985)&lt;&gt;7,MID(A2985,5,1)&lt;&gt;"-",ISERROR(--LEFT(A2985,4)),ISERROR(--RIGHT(A2985,2))),"ERROR: PERIODO debe ser AAAA-MM",IF(B2985="","ERROR: falta CODIGO CECO",IF(G2985="CECO NO EXISTE","ERROR: CECO no existe en el catálogo",IF(C2985="","ERROR: falta CUENTA",IF(ISERROR(--C2985),"ERROR: CUENTA debe tener solo dígitos",IF(ISERROR(FIND(LEFT(C2985,1),"567")),"ERROR: CUENTA fuera de las clases de costo",IF(NOT(ISNUMBER(E2985)),"ERROR: VALOR debe ser numérico",IF(E2985=0,"AVISO: valor cero (no se carga)",IF(J2985&lt;&gt;"ACTIVO","NO SE CARGA: CECO en estado "&amp;J2985,"OK"))))))))))</f>
        <v/>
      </c>
    </row>
    <row r="2986">
      <c r="A2986" s="5" t="n"/>
      <c r="B2986" s="6" t="n"/>
      <c r="C2986" s="5" t="n"/>
      <c r="D2986" s="6" t="n"/>
      <c r="E2986" s="7" t="n"/>
      <c r="F2986" s="6" t="n"/>
      <c r="G2986" s="8">
        <f>IF(B2986="","",IFERROR(VLOOKUP(--B2986,'CATALOGO CECO'!$A$2:$H$550,2,FALSE),"CECO NO EXISTE"))</f>
        <v/>
      </c>
      <c r="H2986" s="8">
        <f>IF(B2986="","",IFERROR(VLOOKUP(--B2986,'CATALOGO CECO'!$A$2:$H$550,3,FALSE),""))</f>
        <v/>
      </c>
      <c r="I2986" s="8">
        <f>IF(B2986="","",IFERROR(VLOOKUP(--B2986,'CATALOGO CECO'!$A$2:$H$550,5,FALSE),""))</f>
        <v/>
      </c>
      <c r="J2986" s="8">
        <f>IF(B2986="","",IFERROR(VLOOKUP(--B2986,'CATALOGO CECO'!$A$2:$H$550,8,FALSE),""))</f>
        <v/>
      </c>
      <c r="K2986" s="8">
        <f>IF(COUNTA(A2986:F2986)=0,"",IF(OR(LEN(A2986)&lt;&gt;7,MID(A2986,5,1)&lt;&gt;"-",ISERROR(--LEFT(A2986,4)),ISERROR(--RIGHT(A2986,2))),"ERROR: PERIODO debe ser AAAA-MM",IF(B2986="","ERROR: falta CODIGO CECO",IF(G2986="CECO NO EXISTE","ERROR: CECO no existe en el catálogo",IF(C2986="","ERROR: falta CUENTA",IF(ISERROR(--C2986),"ERROR: CUENTA debe tener solo dígitos",IF(ISERROR(FIND(LEFT(C2986,1),"567")),"ERROR: CUENTA fuera de las clases de costo",IF(NOT(ISNUMBER(E2986)),"ERROR: VALOR debe ser numérico",IF(E2986=0,"AVISO: valor cero (no se carga)",IF(J2986&lt;&gt;"ACTIVO","NO SE CARGA: CECO en estado "&amp;J2986,"OK"))))))))))</f>
        <v/>
      </c>
    </row>
    <row r="2987">
      <c r="A2987" s="5" t="n"/>
      <c r="B2987" s="6" t="n"/>
      <c r="C2987" s="5" t="n"/>
      <c r="D2987" s="6" t="n"/>
      <c r="E2987" s="7" t="n"/>
      <c r="F2987" s="6" t="n"/>
      <c r="G2987" s="8">
        <f>IF(B2987="","",IFERROR(VLOOKUP(--B2987,'CATALOGO CECO'!$A$2:$H$550,2,FALSE),"CECO NO EXISTE"))</f>
        <v/>
      </c>
      <c r="H2987" s="8">
        <f>IF(B2987="","",IFERROR(VLOOKUP(--B2987,'CATALOGO CECO'!$A$2:$H$550,3,FALSE),""))</f>
        <v/>
      </c>
      <c r="I2987" s="8">
        <f>IF(B2987="","",IFERROR(VLOOKUP(--B2987,'CATALOGO CECO'!$A$2:$H$550,5,FALSE),""))</f>
        <v/>
      </c>
      <c r="J2987" s="8">
        <f>IF(B2987="","",IFERROR(VLOOKUP(--B2987,'CATALOGO CECO'!$A$2:$H$550,8,FALSE),""))</f>
        <v/>
      </c>
      <c r="K2987" s="8">
        <f>IF(COUNTA(A2987:F2987)=0,"",IF(OR(LEN(A2987)&lt;&gt;7,MID(A2987,5,1)&lt;&gt;"-",ISERROR(--LEFT(A2987,4)),ISERROR(--RIGHT(A2987,2))),"ERROR: PERIODO debe ser AAAA-MM",IF(B2987="","ERROR: falta CODIGO CECO",IF(G2987="CECO NO EXISTE","ERROR: CECO no existe en el catálogo",IF(C2987="","ERROR: falta CUENTA",IF(ISERROR(--C2987),"ERROR: CUENTA debe tener solo dígitos",IF(ISERROR(FIND(LEFT(C2987,1),"567")),"ERROR: CUENTA fuera de las clases de costo",IF(NOT(ISNUMBER(E2987)),"ERROR: VALOR debe ser numérico",IF(E2987=0,"AVISO: valor cero (no se carga)",IF(J2987&lt;&gt;"ACTIVO","NO SE CARGA: CECO en estado "&amp;J2987,"OK"))))))))))</f>
        <v/>
      </c>
    </row>
    <row r="2988">
      <c r="A2988" s="5" t="n"/>
      <c r="B2988" s="6" t="n"/>
      <c r="C2988" s="5" t="n"/>
      <c r="D2988" s="6" t="n"/>
      <c r="E2988" s="7" t="n"/>
      <c r="F2988" s="6" t="n"/>
      <c r="G2988" s="8">
        <f>IF(B2988="","",IFERROR(VLOOKUP(--B2988,'CATALOGO CECO'!$A$2:$H$550,2,FALSE),"CECO NO EXISTE"))</f>
        <v/>
      </c>
      <c r="H2988" s="8">
        <f>IF(B2988="","",IFERROR(VLOOKUP(--B2988,'CATALOGO CECO'!$A$2:$H$550,3,FALSE),""))</f>
        <v/>
      </c>
      <c r="I2988" s="8">
        <f>IF(B2988="","",IFERROR(VLOOKUP(--B2988,'CATALOGO CECO'!$A$2:$H$550,5,FALSE),""))</f>
        <v/>
      </c>
      <c r="J2988" s="8">
        <f>IF(B2988="","",IFERROR(VLOOKUP(--B2988,'CATALOGO CECO'!$A$2:$H$550,8,FALSE),""))</f>
        <v/>
      </c>
      <c r="K2988" s="8">
        <f>IF(COUNTA(A2988:F2988)=0,"",IF(OR(LEN(A2988)&lt;&gt;7,MID(A2988,5,1)&lt;&gt;"-",ISERROR(--LEFT(A2988,4)),ISERROR(--RIGHT(A2988,2))),"ERROR: PERIODO debe ser AAAA-MM",IF(B2988="","ERROR: falta CODIGO CECO",IF(G2988="CECO NO EXISTE","ERROR: CECO no existe en el catálogo",IF(C2988="","ERROR: falta CUENTA",IF(ISERROR(--C2988),"ERROR: CUENTA debe tener solo dígitos",IF(ISERROR(FIND(LEFT(C2988,1),"567")),"ERROR: CUENTA fuera de las clases de costo",IF(NOT(ISNUMBER(E2988)),"ERROR: VALOR debe ser numérico",IF(E2988=0,"AVISO: valor cero (no se carga)",IF(J2988&lt;&gt;"ACTIVO","NO SE CARGA: CECO en estado "&amp;J2988,"OK"))))))))))</f>
        <v/>
      </c>
    </row>
    <row r="2989">
      <c r="A2989" s="5" t="n"/>
      <c r="B2989" s="6" t="n"/>
      <c r="C2989" s="5" t="n"/>
      <c r="D2989" s="6" t="n"/>
      <c r="E2989" s="7" t="n"/>
      <c r="F2989" s="6" t="n"/>
      <c r="G2989" s="8">
        <f>IF(B2989="","",IFERROR(VLOOKUP(--B2989,'CATALOGO CECO'!$A$2:$H$550,2,FALSE),"CECO NO EXISTE"))</f>
        <v/>
      </c>
      <c r="H2989" s="8">
        <f>IF(B2989="","",IFERROR(VLOOKUP(--B2989,'CATALOGO CECO'!$A$2:$H$550,3,FALSE),""))</f>
        <v/>
      </c>
      <c r="I2989" s="8">
        <f>IF(B2989="","",IFERROR(VLOOKUP(--B2989,'CATALOGO CECO'!$A$2:$H$550,5,FALSE),""))</f>
        <v/>
      </c>
      <c r="J2989" s="8">
        <f>IF(B2989="","",IFERROR(VLOOKUP(--B2989,'CATALOGO CECO'!$A$2:$H$550,8,FALSE),""))</f>
        <v/>
      </c>
      <c r="K2989" s="8">
        <f>IF(COUNTA(A2989:F2989)=0,"",IF(OR(LEN(A2989)&lt;&gt;7,MID(A2989,5,1)&lt;&gt;"-",ISERROR(--LEFT(A2989,4)),ISERROR(--RIGHT(A2989,2))),"ERROR: PERIODO debe ser AAAA-MM",IF(B2989="","ERROR: falta CODIGO CECO",IF(G2989="CECO NO EXISTE","ERROR: CECO no existe en el catálogo",IF(C2989="","ERROR: falta CUENTA",IF(ISERROR(--C2989),"ERROR: CUENTA debe tener solo dígitos",IF(ISERROR(FIND(LEFT(C2989,1),"567")),"ERROR: CUENTA fuera de las clases de costo",IF(NOT(ISNUMBER(E2989)),"ERROR: VALOR debe ser numérico",IF(E2989=0,"AVISO: valor cero (no se carga)",IF(J2989&lt;&gt;"ACTIVO","NO SE CARGA: CECO en estado "&amp;J2989,"OK"))))))))))</f>
        <v/>
      </c>
    </row>
    <row r="2990">
      <c r="A2990" s="5" t="n"/>
      <c r="B2990" s="6" t="n"/>
      <c r="C2990" s="5" t="n"/>
      <c r="D2990" s="6" t="n"/>
      <c r="E2990" s="7" t="n"/>
      <c r="F2990" s="6" t="n"/>
      <c r="G2990" s="8">
        <f>IF(B2990="","",IFERROR(VLOOKUP(--B2990,'CATALOGO CECO'!$A$2:$H$550,2,FALSE),"CECO NO EXISTE"))</f>
        <v/>
      </c>
      <c r="H2990" s="8">
        <f>IF(B2990="","",IFERROR(VLOOKUP(--B2990,'CATALOGO CECO'!$A$2:$H$550,3,FALSE),""))</f>
        <v/>
      </c>
      <c r="I2990" s="8">
        <f>IF(B2990="","",IFERROR(VLOOKUP(--B2990,'CATALOGO CECO'!$A$2:$H$550,5,FALSE),""))</f>
        <v/>
      </c>
      <c r="J2990" s="8">
        <f>IF(B2990="","",IFERROR(VLOOKUP(--B2990,'CATALOGO CECO'!$A$2:$H$550,8,FALSE),""))</f>
        <v/>
      </c>
      <c r="K2990" s="8">
        <f>IF(COUNTA(A2990:F2990)=0,"",IF(OR(LEN(A2990)&lt;&gt;7,MID(A2990,5,1)&lt;&gt;"-",ISERROR(--LEFT(A2990,4)),ISERROR(--RIGHT(A2990,2))),"ERROR: PERIODO debe ser AAAA-MM",IF(B2990="","ERROR: falta CODIGO CECO",IF(G2990="CECO NO EXISTE","ERROR: CECO no existe en el catálogo",IF(C2990="","ERROR: falta CUENTA",IF(ISERROR(--C2990),"ERROR: CUENTA debe tener solo dígitos",IF(ISERROR(FIND(LEFT(C2990,1),"567")),"ERROR: CUENTA fuera de las clases de costo",IF(NOT(ISNUMBER(E2990)),"ERROR: VALOR debe ser numérico",IF(E2990=0,"AVISO: valor cero (no se carga)",IF(J2990&lt;&gt;"ACTIVO","NO SE CARGA: CECO en estado "&amp;J2990,"OK"))))))))))</f>
        <v/>
      </c>
    </row>
    <row r="2991">
      <c r="A2991" s="5" t="n"/>
      <c r="B2991" s="6" t="n"/>
      <c r="C2991" s="5" t="n"/>
      <c r="D2991" s="6" t="n"/>
      <c r="E2991" s="7" t="n"/>
      <c r="F2991" s="6" t="n"/>
      <c r="G2991" s="8">
        <f>IF(B2991="","",IFERROR(VLOOKUP(--B2991,'CATALOGO CECO'!$A$2:$H$550,2,FALSE),"CECO NO EXISTE"))</f>
        <v/>
      </c>
      <c r="H2991" s="8">
        <f>IF(B2991="","",IFERROR(VLOOKUP(--B2991,'CATALOGO CECO'!$A$2:$H$550,3,FALSE),""))</f>
        <v/>
      </c>
      <c r="I2991" s="8">
        <f>IF(B2991="","",IFERROR(VLOOKUP(--B2991,'CATALOGO CECO'!$A$2:$H$550,5,FALSE),""))</f>
        <v/>
      </c>
      <c r="J2991" s="8">
        <f>IF(B2991="","",IFERROR(VLOOKUP(--B2991,'CATALOGO CECO'!$A$2:$H$550,8,FALSE),""))</f>
        <v/>
      </c>
      <c r="K2991" s="8">
        <f>IF(COUNTA(A2991:F2991)=0,"",IF(OR(LEN(A2991)&lt;&gt;7,MID(A2991,5,1)&lt;&gt;"-",ISERROR(--LEFT(A2991,4)),ISERROR(--RIGHT(A2991,2))),"ERROR: PERIODO debe ser AAAA-MM",IF(B2991="","ERROR: falta CODIGO CECO",IF(G2991="CECO NO EXISTE","ERROR: CECO no existe en el catálogo",IF(C2991="","ERROR: falta CUENTA",IF(ISERROR(--C2991),"ERROR: CUENTA debe tener solo dígitos",IF(ISERROR(FIND(LEFT(C2991,1),"567")),"ERROR: CUENTA fuera de las clases de costo",IF(NOT(ISNUMBER(E2991)),"ERROR: VALOR debe ser numérico",IF(E2991=0,"AVISO: valor cero (no se carga)",IF(J2991&lt;&gt;"ACTIVO","NO SE CARGA: CECO en estado "&amp;J2991,"OK"))))))))))</f>
        <v/>
      </c>
    </row>
    <row r="2992">
      <c r="A2992" s="5" t="n"/>
      <c r="B2992" s="6" t="n"/>
      <c r="C2992" s="5" t="n"/>
      <c r="D2992" s="6" t="n"/>
      <c r="E2992" s="7" t="n"/>
      <c r="F2992" s="6" t="n"/>
      <c r="G2992" s="8">
        <f>IF(B2992="","",IFERROR(VLOOKUP(--B2992,'CATALOGO CECO'!$A$2:$H$550,2,FALSE),"CECO NO EXISTE"))</f>
        <v/>
      </c>
      <c r="H2992" s="8">
        <f>IF(B2992="","",IFERROR(VLOOKUP(--B2992,'CATALOGO CECO'!$A$2:$H$550,3,FALSE),""))</f>
        <v/>
      </c>
      <c r="I2992" s="8">
        <f>IF(B2992="","",IFERROR(VLOOKUP(--B2992,'CATALOGO CECO'!$A$2:$H$550,5,FALSE),""))</f>
        <v/>
      </c>
      <c r="J2992" s="8">
        <f>IF(B2992="","",IFERROR(VLOOKUP(--B2992,'CATALOGO CECO'!$A$2:$H$550,8,FALSE),""))</f>
        <v/>
      </c>
      <c r="K2992" s="8">
        <f>IF(COUNTA(A2992:F2992)=0,"",IF(OR(LEN(A2992)&lt;&gt;7,MID(A2992,5,1)&lt;&gt;"-",ISERROR(--LEFT(A2992,4)),ISERROR(--RIGHT(A2992,2))),"ERROR: PERIODO debe ser AAAA-MM",IF(B2992="","ERROR: falta CODIGO CECO",IF(G2992="CECO NO EXISTE","ERROR: CECO no existe en el catálogo",IF(C2992="","ERROR: falta CUENTA",IF(ISERROR(--C2992),"ERROR: CUENTA debe tener solo dígitos",IF(ISERROR(FIND(LEFT(C2992,1),"567")),"ERROR: CUENTA fuera de las clases de costo",IF(NOT(ISNUMBER(E2992)),"ERROR: VALOR debe ser numérico",IF(E2992=0,"AVISO: valor cero (no se carga)",IF(J2992&lt;&gt;"ACTIVO","NO SE CARGA: CECO en estado "&amp;J2992,"OK"))))))))))</f>
        <v/>
      </c>
    </row>
    <row r="2993">
      <c r="A2993" s="5" t="n"/>
      <c r="B2993" s="6" t="n"/>
      <c r="C2993" s="5" t="n"/>
      <c r="D2993" s="6" t="n"/>
      <c r="E2993" s="7" t="n"/>
      <c r="F2993" s="6" t="n"/>
      <c r="G2993" s="8">
        <f>IF(B2993="","",IFERROR(VLOOKUP(--B2993,'CATALOGO CECO'!$A$2:$H$550,2,FALSE),"CECO NO EXISTE"))</f>
        <v/>
      </c>
      <c r="H2993" s="8">
        <f>IF(B2993="","",IFERROR(VLOOKUP(--B2993,'CATALOGO CECO'!$A$2:$H$550,3,FALSE),""))</f>
        <v/>
      </c>
      <c r="I2993" s="8">
        <f>IF(B2993="","",IFERROR(VLOOKUP(--B2993,'CATALOGO CECO'!$A$2:$H$550,5,FALSE),""))</f>
        <v/>
      </c>
      <c r="J2993" s="8">
        <f>IF(B2993="","",IFERROR(VLOOKUP(--B2993,'CATALOGO CECO'!$A$2:$H$550,8,FALSE),""))</f>
        <v/>
      </c>
      <c r="K2993" s="8">
        <f>IF(COUNTA(A2993:F2993)=0,"",IF(OR(LEN(A2993)&lt;&gt;7,MID(A2993,5,1)&lt;&gt;"-",ISERROR(--LEFT(A2993,4)),ISERROR(--RIGHT(A2993,2))),"ERROR: PERIODO debe ser AAAA-MM",IF(B2993="","ERROR: falta CODIGO CECO",IF(G2993="CECO NO EXISTE","ERROR: CECO no existe en el catálogo",IF(C2993="","ERROR: falta CUENTA",IF(ISERROR(--C2993),"ERROR: CUENTA debe tener solo dígitos",IF(ISERROR(FIND(LEFT(C2993,1),"567")),"ERROR: CUENTA fuera de las clases de costo",IF(NOT(ISNUMBER(E2993)),"ERROR: VALOR debe ser numérico",IF(E2993=0,"AVISO: valor cero (no se carga)",IF(J2993&lt;&gt;"ACTIVO","NO SE CARGA: CECO en estado "&amp;J2993,"OK"))))))))))</f>
        <v/>
      </c>
    </row>
    <row r="2994">
      <c r="A2994" s="5" t="n"/>
      <c r="B2994" s="6" t="n"/>
      <c r="C2994" s="5" t="n"/>
      <c r="D2994" s="6" t="n"/>
      <c r="E2994" s="7" t="n"/>
      <c r="F2994" s="6" t="n"/>
      <c r="G2994" s="8">
        <f>IF(B2994="","",IFERROR(VLOOKUP(--B2994,'CATALOGO CECO'!$A$2:$H$550,2,FALSE),"CECO NO EXISTE"))</f>
        <v/>
      </c>
      <c r="H2994" s="8">
        <f>IF(B2994="","",IFERROR(VLOOKUP(--B2994,'CATALOGO CECO'!$A$2:$H$550,3,FALSE),""))</f>
        <v/>
      </c>
      <c r="I2994" s="8">
        <f>IF(B2994="","",IFERROR(VLOOKUP(--B2994,'CATALOGO CECO'!$A$2:$H$550,5,FALSE),""))</f>
        <v/>
      </c>
      <c r="J2994" s="8">
        <f>IF(B2994="","",IFERROR(VLOOKUP(--B2994,'CATALOGO CECO'!$A$2:$H$550,8,FALSE),""))</f>
        <v/>
      </c>
      <c r="K2994" s="8">
        <f>IF(COUNTA(A2994:F2994)=0,"",IF(OR(LEN(A2994)&lt;&gt;7,MID(A2994,5,1)&lt;&gt;"-",ISERROR(--LEFT(A2994,4)),ISERROR(--RIGHT(A2994,2))),"ERROR: PERIODO debe ser AAAA-MM",IF(B2994="","ERROR: falta CODIGO CECO",IF(G2994="CECO NO EXISTE","ERROR: CECO no existe en el catálogo",IF(C2994="","ERROR: falta CUENTA",IF(ISERROR(--C2994),"ERROR: CUENTA debe tener solo dígitos",IF(ISERROR(FIND(LEFT(C2994,1),"567")),"ERROR: CUENTA fuera de las clases de costo",IF(NOT(ISNUMBER(E2994)),"ERROR: VALOR debe ser numérico",IF(E2994=0,"AVISO: valor cero (no se carga)",IF(J2994&lt;&gt;"ACTIVO","NO SE CARGA: CECO en estado "&amp;J2994,"OK"))))))))))</f>
        <v/>
      </c>
    </row>
    <row r="2995">
      <c r="A2995" s="5" t="n"/>
      <c r="B2995" s="6" t="n"/>
      <c r="C2995" s="5" t="n"/>
      <c r="D2995" s="6" t="n"/>
      <c r="E2995" s="7" t="n"/>
      <c r="F2995" s="6" t="n"/>
      <c r="G2995" s="8">
        <f>IF(B2995="","",IFERROR(VLOOKUP(--B2995,'CATALOGO CECO'!$A$2:$H$550,2,FALSE),"CECO NO EXISTE"))</f>
        <v/>
      </c>
      <c r="H2995" s="8">
        <f>IF(B2995="","",IFERROR(VLOOKUP(--B2995,'CATALOGO CECO'!$A$2:$H$550,3,FALSE),""))</f>
        <v/>
      </c>
      <c r="I2995" s="8">
        <f>IF(B2995="","",IFERROR(VLOOKUP(--B2995,'CATALOGO CECO'!$A$2:$H$550,5,FALSE),""))</f>
        <v/>
      </c>
      <c r="J2995" s="8">
        <f>IF(B2995="","",IFERROR(VLOOKUP(--B2995,'CATALOGO CECO'!$A$2:$H$550,8,FALSE),""))</f>
        <v/>
      </c>
      <c r="K2995" s="8">
        <f>IF(COUNTA(A2995:F2995)=0,"",IF(OR(LEN(A2995)&lt;&gt;7,MID(A2995,5,1)&lt;&gt;"-",ISERROR(--LEFT(A2995,4)),ISERROR(--RIGHT(A2995,2))),"ERROR: PERIODO debe ser AAAA-MM",IF(B2995="","ERROR: falta CODIGO CECO",IF(G2995="CECO NO EXISTE","ERROR: CECO no existe en el catálogo",IF(C2995="","ERROR: falta CUENTA",IF(ISERROR(--C2995),"ERROR: CUENTA debe tener solo dígitos",IF(ISERROR(FIND(LEFT(C2995,1),"567")),"ERROR: CUENTA fuera de las clases de costo",IF(NOT(ISNUMBER(E2995)),"ERROR: VALOR debe ser numérico",IF(E2995=0,"AVISO: valor cero (no se carga)",IF(J2995&lt;&gt;"ACTIVO","NO SE CARGA: CECO en estado "&amp;J2995,"OK"))))))))))</f>
        <v/>
      </c>
    </row>
    <row r="2996">
      <c r="A2996" s="5" t="n"/>
      <c r="B2996" s="6" t="n"/>
      <c r="C2996" s="5" t="n"/>
      <c r="D2996" s="6" t="n"/>
      <c r="E2996" s="7" t="n"/>
      <c r="F2996" s="6" t="n"/>
      <c r="G2996" s="8">
        <f>IF(B2996="","",IFERROR(VLOOKUP(--B2996,'CATALOGO CECO'!$A$2:$H$550,2,FALSE),"CECO NO EXISTE"))</f>
        <v/>
      </c>
      <c r="H2996" s="8">
        <f>IF(B2996="","",IFERROR(VLOOKUP(--B2996,'CATALOGO CECO'!$A$2:$H$550,3,FALSE),""))</f>
        <v/>
      </c>
      <c r="I2996" s="8">
        <f>IF(B2996="","",IFERROR(VLOOKUP(--B2996,'CATALOGO CECO'!$A$2:$H$550,5,FALSE),""))</f>
        <v/>
      </c>
      <c r="J2996" s="8">
        <f>IF(B2996="","",IFERROR(VLOOKUP(--B2996,'CATALOGO CECO'!$A$2:$H$550,8,FALSE),""))</f>
        <v/>
      </c>
      <c r="K2996" s="8">
        <f>IF(COUNTA(A2996:F2996)=0,"",IF(OR(LEN(A2996)&lt;&gt;7,MID(A2996,5,1)&lt;&gt;"-",ISERROR(--LEFT(A2996,4)),ISERROR(--RIGHT(A2996,2))),"ERROR: PERIODO debe ser AAAA-MM",IF(B2996="","ERROR: falta CODIGO CECO",IF(G2996="CECO NO EXISTE","ERROR: CECO no existe en el catálogo",IF(C2996="","ERROR: falta CUENTA",IF(ISERROR(--C2996),"ERROR: CUENTA debe tener solo dígitos",IF(ISERROR(FIND(LEFT(C2996,1),"567")),"ERROR: CUENTA fuera de las clases de costo",IF(NOT(ISNUMBER(E2996)),"ERROR: VALOR debe ser numérico",IF(E2996=0,"AVISO: valor cero (no se carga)",IF(J2996&lt;&gt;"ACTIVO","NO SE CARGA: CECO en estado "&amp;J2996,"OK"))))))))))</f>
        <v/>
      </c>
    </row>
    <row r="2997">
      <c r="A2997" s="5" t="n"/>
      <c r="B2997" s="6" t="n"/>
      <c r="C2997" s="5" t="n"/>
      <c r="D2997" s="6" t="n"/>
      <c r="E2997" s="7" t="n"/>
      <c r="F2997" s="6" t="n"/>
      <c r="G2997" s="8">
        <f>IF(B2997="","",IFERROR(VLOOKUP(--B2997,'CATALOGO CECO'!$A$2:$H$550,2,FALSE),"CECO NO EXISTE"))</f>
        <v/>
      </c>
      <c r="H2997" s="8">
        <f>IF(B2997="","",IFERROR(VLOOKUP(--B2997,'CATALOGO CECO'!$A$2:$H$550,3,FALSE),""))</f>
        <v/>
      </c>
      <c r="I2997" s="8">
        <f>IF(B2997="","",IFERROR(VLOOKUP(--B2997,'CATALOGO CECO'!$A$2:$H$550,5,FALSE),""))</f>
        <v/>
      </c>
      <c r="J2997" s="8">
        <f>IF(B2997="","",IFERROR(VLOOKUP(--B2997,'CATALOGO CECO'!$A$2:$H$550,8,FALSE),""))</f>
        <v/>
      </c>
      <c r="K2997" s="8">
        <f>IF(COUNTA(A2997:F2997)=0,"",IF(OR(LEN(A2997)&lt;&gt;7,MID(A2997,5,1)&lt;&gt;"-",ISERROR(--LEFT(A2997,4)),ISERROR(--RIGHT(A2997,2))),"ERROR: PERIODO debe ser AAAA-MM",IF(B2997="","ERROR: falta CODIGO CECO",IF(G2997="CECO NO EXISTE","ERROR: CECO no existe en el catálogo",IF(C2997="","ERROR: falta CUENTA",IF(ISERROR(--C2997),"ERROR: CUENTA debe tener solo dígitos",IF(ISERROR(FIND(LEFT(C2997,1),"567")),"ERROR: CUENTA fuera de las clases de costo",IF(NOT(ISNUMBER(E2997)),"ERROR: VALOR debe ser numérico",IF(E2997=0,"AVISO: valor cero (no se carga)",IF(J2997&lt;&gt;"ACTIVO","NO SE CARGA: CECO en estado "&amp;J2997,"OK"))))))))))</f>
        <v/>
      </c>
    </row>
    <row r="2998">
      <c r="A2998" s="5" t="n"/>
      <c r="B2998" s="6" t="n"/>
      <c r="C2998" s="5" t="n"/>
      <c r="D2998" s="6" t="n"/>
      <c r="E2998" s="7" t="n"/>
      <c r="F2998" s="6" t="n"/>
      <c r="G2998" s="8">
        <f>IF(B2998="","",IFERROR(VLOOKUP(--B2998,'CATALOGO CECO'!$A$2:$H$550,2,FALSE),"CECO NO EXISTE"))</f>
        <v/>
      </c>
      <c r="H2998" s="8">
        <f>IF(B2998="","",IFERROR(VLOOKUP(--B2998,'CATALOGO CECO'!$A$2:$H$550,3,FALSE),""))</f>
        <v/>
      </c>
      <c r="I2998" s="8">
        <f>IF(B2998="","",IFERROR(VLOOKUP(--B2998,'CATALOGO CECO'!$A$2:$H$550,5,FALSE),""))</f>
        <v/>
      </c>
      <c r="J2998" s="8">
        <f>IF(B2998="","",IFERROR(VLOOKUP(--B2998,'CATALOGO CECO'!$A$2:$H$550,8,FALSE),""))</f>
        <v/>
      </c>
      <c r="K2998" s="8">
        <f>IF(COUNTA(A2998:F2998)=0,"",IF(OR(LEN(A2998)&lt;&gt;7,MID(A2998,5,1)&lt;&gt;"-",ISERROR(--LEFT(A2998,4)),ISERROR(--RIGHT(A2998,2))),"ERROR: PERIODO debe ser AAAA-MM",IF(B2998="","ERROR: falta CODIGO CECO",IF(G2998="CECO NO EXISTE","ERROR: CECO no existe en el catálogo",IF(C2998="","ERROR: falta CUENTA",IF(ISERROR(--C2998),"ERROR: CUENTA debe tener solo dígitos",IF(ISERROR(FIND(LEFT(C2998,1),"567")),"ERROR: CUENTA fuera de las clases de costo",IF(NOT(ISNUMBER(E2998)),"ERROR: VALOR debe ser numérico",IF(E2998=0,"AVISO: valor cero (no se carga)",IF(J2998&lt;&gt;"ACTIVO","NO SE CARGA: CECO en estado "&amp;J2998,"OK"))))))))))</f>
        <v/>
      </c>
    </row>
    <row r="2999">
      <c r="A2999" s="5" t="n"/>
      <c r="B2999" s="6" t="n"/>
      <c r="C2999" s="5" t="n"/>
      <c r="D2999" s="6" t="n"/>
      <c r="E2999" s="7" t="n"/>
      <c r="F2999" s="6" t="n"/>
      <c r="G2999" s="8">
        <f>IF(B2999="","",IFERROR(VLOOKUP(--B2999,'CATALOGO CECO'!$A$2:$H$550,2,FALSE),"CECO NO EXISTE"))</f>
        <v/>
      </c>
      <c r="H2999" s="8">
        <f>IF(B2999="","",IFERROR(VLOOKUP(--B2999,'CATALOGO CECO'!$A$2:$H$550,3,FALSE),""))</f>
        <v/>
      </c>
      <c r="I2999" s="8">
        <f>IF(B2999="","",IFERROR(VLOOKUP(--B2999,'CATALOGO CECO'!$A$2:$H$550,5,FALSE),""))</f>
        <v/>
      </c>
      <c r="J2999" s="8">
        <f>IF(B2999="","",IFERROR(VLOOKUP(--B2999,'CATALOGO CECO'!$A$2:$H$550,8,FALSE),""))</f>
        <v/>
      </c>
      <c r="K2999" s="8">
        <f>IF(COUNTA(A2999:F2999)=0,"",IF(OR(LEN(A2999)&lt;&gt;7,MID(A2999,5,1)&lt;&gt;"-",ISERROR(--LEFT(A2999,4)),ISERROR(--RIGHT(A2999,2))),"ERROR: PERIODO debe ser AAAA-MM",IF(B2999="","ERROR: falta CODIGO CECO",IF(G2999="CECO NO EXISTE","ERROR: CECO no existe en el catálogo",IF(C2999="","ERROR: falta CUENTA",IF(ISERROR(--C2999),"ERROR: CUENTA debe tener solo dígitos",IF(ISERROR(FIND(LEFT(C2999,1),"567")),"ERROR: CUENTA fuera de las clases de costo",IF(NOT(ISNUMBER(E2999)),"ERROR: VALOR debe ser numérico",IF(E2999=0,"AVISO: valor cero (no se carga)",IF(J2999&lt;&gt;"ACTIVO","NO SE CARGA: CECO en estado "&amp;J2999,"OK"))))))))))</f>
        <v/>
      </c>
    </row>
    <row r="3000">
      <c r="A3000" s="5" t="n"/>
      <c r="B3000" s="6" t="n"/>
      <c r="C3000" s="5" t="n"/>
      <c r="D3000" s="6" t="n"/>
      <c r="E3000" s="7" t="n"/>
      <c r="F3000" s="6" t="n"/>
      <c r="G3000" s="8">
        <f>IF(B3000="","",IFERROR(VLOOKUP(--B3000,'CATALOGO CECO'!$A$2:$H$550,2,FALSE),"CECO NO EXISTE"))</f>
        <v/>
      </c>
      <c r="H3000" s="8">
        <f>IF(B3000="","",IFERROR(VLOOKUP(--B3000,'CATALOGO CECO'!$A$2:$H$550,3,FALSE),""))</f>
        <v/>
      </c>
      <c r="I3000" s="8">
        <f>IF(B3000="","",IFERROR(VLOOKUP(--B3000,'CATALOGO CECO'!$A$2:$H$550,5,FALSE),""))</f>
        <v/>
      </c>
      <c r="J3000" s="8">
        <f>IF(B3000="","",IFERROR(VLOOKUP(--B3000,'CATALOGO CECO'!$A$2:$H$550,8,FALSE),""))</f>
        <v/>
      </c>
      <c r="K3000" s="8">
        <f>IF(COUNTA(A3000:F3000)=0,"",IF(OR(LEN(A3000)&lt;&gt;7,MID(A3000,5,1)&lt;&gt;"-",ISERROR(--LEFT(A3000,4)),ISERROR(--RIGHT(A3000,2))),"ERROR: PERIODO debe ser AAAA-MM",IF(B3000="","ERROR: falta CODIGO CECO",IF(G3000="CECO NO EXISTE","ERROR: CECO no existe en el catálogo",IF(C3000="","ERROR: falta CUENTA",IF(ISERROR(--C3000),"ERROR: CUENTA debe tener solo dígitos",IF(ISERROR(FIND(LEFT(C3000,1),"567")),"ERROR: CUENTA fuera de las clases de costo",IF(NOT(ISNUMBER(E3000)),"ERROR: VALOR debe ser numérico",IF(E3000=0,"AVISO: valor cero (no se carga)",IF(J3000&lt;&gt;"ACTIVO","NO SE CARGA: CECO en estado "&amp;J3000,"OK"))))))))))</f>
        <v/>
      </c>
    </row>
    <row r="3001">
      <c r="A3001" s="5" t="n"/>
      <c r="B3001" s="6" t="n"/>
      <c r="C3001" s="5" t="n"/>
      <c r="D3001" s="6" t="n"/>
      <c r="E3001" s="7" t="n"/>
      <c r="F3001" s="6" t="n"/>
      <c r="G3001" s="8">
        <f>IF(B3001="","",IFERROR(VLOOKUP(--B3001,'CATALOGO CECO'!$A$2:$H$550,2,FALSE),"CECO NO EXISTE"))</f>
        <v/>
      </c>
      <c r="H3001" s="8">
        <f>IF(B3001="","",IFERROR(VLOOKUP(--B3001,'CATALOGO CECO'!$A$2:$H$550,3,FALSE),""))</f>
        <v/>
      </c>
      <c r="I3001" s="8">
        <f>IF(B3001="","",IFERROR(VLOOKUP(--B3001,'CATALOGO CECO'!$A$2:$H$550,5,FALSE),""))</f>
        <v/>
      </c>
      <c r="J3001" s="8">
        <f>IF(B3001="","",IFERROR(VLOOKUP(--B3001,'CATALOGO CECO'!$A$2:$H$550,8,FALSE),""))</f>
        <v/>
      </c>
      <c r="K3001" s="8">
        <f>IF(COUNTA(A3001:F3001)=0,"",IF(OR(LEN(A3001)&lt;&gt;7,MID(A3001,5,1)&lt;&gt;"-",ISERROR(--LEFT(A3001,4)),ISERROR(--RIGHT(A3001,2))),"ERROR: PERIODO debe ser AAAA-MM",IF(B3001="","ERROR: falta CODIGO CECO",IF(G3001="CECO NO EXISTE","ERROR: CECO no existe en el catálogo",IF(C3001="","ERROR: falta CUENTA",IF(ISERROR(--C3001),"ERROR: CUENTA debe tener solo dígitos",IF(ISERROR(FIND(LEFT(C3001,1),"567")),"ERROR: CUENTA fuera de las clases de costo",IF(NOT(ISNUMBER(E3001)),"ERROR: VALOR debe ser numérico",IF(E3001=0,"AVISO: valor cero (no se carga)",IF(J3001&lt;&gt;"ACTIVO","NO SE CARGA: CECO en estado "&amp;J3001,"OK"))))))))))</f>
        <v/>
      </c>
    </row>
  </sheetData>
  <autoFilter ref="A1:K3001"/>
  <conditionalFormatting sqref="K2:K3001">
    <cfRule type="expression" priority="1" dxfId="0">
      <formula>LEFT(K2,5)="ERROR"</formula>
    </cfRule>
    <cfRule type="expression" priority="2" dxfId="1">
      <formula>OR(LEFT(K2,2)="NO",LEFT(K2,5)="AVISO")</formula>
    </cfRule>
    <cfRule type="cellIs" priority="3" operator="equal" dxfId="2">
      <formula>"OK"</formula>
    </cfRule>
  </conditionalFormatting>
  <dataValidations count="4">
    <dataValidation sqref="A2:A3001" showDropDown="0" showInputMessage="0" showErrorMessage="1" allowBlank="1" errorTitle="Periodo" error="Escriba el periodo como AAAA-MM, p. ej. 2026-01." type="textLength" operator="equal">
      <formula1>7</formula1>
    </dataValidation>
    <dataValidation sqref="B2:B3001" showDropDown="0" showInputMessage="0" showErrorMessage="1" allowBlank="1" errorTitle="CECO no válido" error="Elija un código de la lista (hoja CATALOGO CECO)." type="list">
      <formula1>=CECO_CODIGOS</formula1>
    </dataValidation>
    <dataValidation sqref="C2:C3001" showDropDown="0" showInputMessage="0" showErrorMessage="1" allowBlank="1" errorTitle="Cuenta" error="La cuenta debe tener solo dígitos." type="custom">
      <formula1>=ISNUMBER(--C2)</formula1>
    </dataValidation>
    <dataValidation sqref="E2:E3001" showDropDown="0" showInputMessage="0" showErrorMessage="1" allowBlank="1" errorTitle="Valor" error="El valor debe ser numérico." type="decimal" operator="between">
      <formula1>-1E+15</formula1>
      <formula2>1E+15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12" customWidth="1" min="3" max="3"/>
    <col width="40" customWidth="1" min="4" max="4"/>
    <col width="14" customWidth="1" min="5" max="5"/>
    <col width="32" customWidth="1" min="6" max="6"/>
    <col width="30" customWidth="1" min="7" max="7"/>
    <col width="12" customWidth="1" min="8" max="8"/>
  </cols>
  <sheetData>
    <row r="1">
      <c r="A1" s="9" t="inlineStr">
        <is>
          <t>CODIGO CECO</t>
        </is>
      </c>
      <c r="B1" s="9" t="inlineStr">
        <is>
          <t>NOMBRE CECO</t>
        </is>
      </c>
      <c r="C1" s="9" t="inlineStr">
        <is>
          <t>CECO RESOLUCION</t>
        </is>
      </c>
      <c r="D1" s="9" t="inlineStr">
        <is>
          <t>NOMBRE CECO RESOLUCION</t>
        </is>
      </c>
      <c r="E1" s="9" t="inlineStr">
        <is>
          <t>LLAVE CECO|SEDE</t>
        </is>
      </c>
      <c r="F1" s="9" t="inlineStr">
        <is>
          <t>SEDE / IPS</t>
        </is>
      </c>
      <c r="G1" s="9" t="inlineStr">
        <is>
          <t>TIPO CECO</t>
        </is>
      </c>
      <c r="H1" s="9" t="inlineStr">
        <is>
          <t>ESTADO</t>
        </is>
      </c>
    </row>
    <row r="2">
      <c r="A2" t="n">
        <v>1010204</v>
      </c>
      <c r="B2" t="inlineStr">
        <is>
          <t>ESE01-TAME-PROMOCION Y MANTENIMIENTO</t>
        </is>
      </c>
      <c r="C2" t="inlineStr">
        <is>
          <t>N03</t>
        </is>
      </c>
      <c r="D2" t="inlineStr">
        <is>
          <t>PROMOCIÓN Y PREVENCIÓN</t>
        </is>
      </c>
      <c r="E2" t="inlineStr">
        <is>
          <t>N03|ESE01</t>
        </is>
      </c>
      <c r="F2" t="inlineStr">
        <is>
          <t>ESE01 - Sede Administrativa (Tame)</t>
        </is>
      </c>
      <c r="G2" t="inlineStr">
        <is>
          <t>PRODUCTIVO (final)</t>
        </is>
      </c>
      <c r="H2" t="inlineStr">
        <is>
          <t>ACTIVO</t>
        </is>
      </c>
    </row>
    <row r="3">
      <c r="A3" t="n">
        <v>1010205</v>
      </c>
      <c r="B3" t="inlineStr">
        <is>
          <t>ESE01- SEDE ADMINISTRATIVA - OTRAS ACTIVIDADES EXTRAMURALES</t>
        </is>
      </c>
      <c r="C3" t="inlineStr">
        <is>
          <t>K25</t>
        </is>
      </c>
      <c r="D3" t="inlineStr">
        <is>
          <t>SALUD PUBLICA</t>
        </is>
      </c>
      <c r="E3" t="inlineStr">
        <is>
          <t>K25|ESE01</t>
        </is>
      </c>
      <c r="F3" t="inlineStr">
        <is>
          <t>ESE01 - Sede Administrativa (Tame)</t>
        </is>
      </c>
      <c r="G3" t="inlineStr">
        <is>
          <t>PRODUCTIVO (final)</t>
        </is>
      </c>
      <c r="H3" t="inlineStr">
        <is>
          <t>ACTIVO</t>
        </is>
      </c>
    </row>
    <row r="4">
      <c r="A4" t="n">
        <v>1010220</v>
      </c>
      <c r="B4" t="inlineStr">
        <is>
          <t>ESE-MANTENIMIENTO PREVENTIVO Y CORRECTIVO</t>
        </is>
      </c>
      <c r="C4" t="inlineStr">
        <is>
          <t>R03</t>
        </is>
      </c>
      <c r="D4" t="inlineStr">
        <is>
          <t>MANTENIMIENTO</t>
        </is>
      </c>
      <c r="E4" t="inlineStr">
        <is>
          <t>R03|ESE01</t>
        </is>
      </c>
      <c r="F4" t="inlineStr">
        <is>
          <t>ESE01 - Sede Administrativa (Tame)</t>
        </is>
      </c>
      <c r="G4" t="inlineStr">
        <is>
          <t>ADMINISTRATIVO</t>
        </is>
      </c>
      <c r="H4" t="inlineStr">
        <is>
          <t>ACTIVO</t>
        </is>
      </c>
    </row>
    <row r="5">
      <c r="A5" t="n">
        <v>1010606</v>
      </c>
      <c r="B5" t="inlineStr">
        <is>
          <t>ESE01-TAME-FARMACIA E INSUMOS HOPITALARIOS</t>
        </is>
      </c>
      <c r="C5" t="inlineStr">
        <is>
          <t>M05</t>
        </is>
      </c>
      <c r="D5" t="inlineStr">
        <is>
          <t>FARMACIA</t>
        </is>
      </c>
      <c r="E5" t="inlineStr">
        <is>
          <t>M05|ESE01</t>
        </is>
      </c>
      <c r="F5" t="inlineStr">
        <is>
          <t>ESE01 - Sede Administrativa (Tame)</t>
        </is>
      </c>
      <c r="G5" t="inlineStr">
        <is>
          <t>APOYO ASISTENCIAL (intermedio)</t>
        </is>
      </c>
      <c r="H5" t="inlineStr">
        <is>
          <t>ACTIVO</t>
        </is>
      </c>
    </row>
    <row r="6">
      <c r="A6" t="n">
        <v>1010706</v>
      </c>
      <c r="B6" t="inlineStr">
        <is>
          <t>ESE- INGENIERIA CIVIL</t>
        </is>
      </c>
      <c r="C6" t="inlineStr">
        <is>
          <t>R03</t>
        </is>
      </c>
      <c r="D6" t="inlineStr">
        <is>
          <t>MANTENIMIENTO</t>
        </is>
      </c>
      <c r="E6" t="inlineStr">
        <is>
          <t>R03|ESE01</t>
        </is>
      </c>
      <c r="F6" t="inlineStr">
        <is>
          <t>ESE01 - Sede Administrativa (Tame)</t>
        </is>
      </c>
      <c r="G6" t="inlineStr">
        <is>
          <t>ADMINISTRATIVO</t>
        </is>
      </c>
      <c r="H6" t="inlineStr">
        <is>
          <t>ACTIVO</t>
        </is>
      </c>
    </row>
    <row r="7">
      <c r="A7" t="n">
        <v>1020101</v>
      </c>
      <c r="B7" t="inlineStr">
        <is>
          <t>HSLA-ARAUQUITA-CONSULTA Y PROCEDIMIENTOS</t>
        </is>
      </c>
      <c r="C7" t="inlineStr">
        <is>
          <t>B01</t>
        </is>
      </c>
      <c r="D7" t="inlineStr">
        <is>
          <t>CONSULTA URGENCIAS</t>
        </is>
      </c>
      <c r="E7" t="inlineStr">
        <is>
          <t>B01|HSLA</t>
        </is>
      </c>
      <c r="F7" t="inlineStr">
        <is>
          <t>HSLA - Arauquita</t>
        </is>
      </c>
      <c r="G7" t="inlineStr">
        <is>
          <t>PRODUCTIVO (final)</t>
        </is>
      </c>
      <c r="H7" t="inlineStr">
        <is>
          <t>ACTIVO</t>
        </is>
      </c>
    </row>
    <row r="8">
      <c r="A8" t="n">
        <v>1020102</v>
      </c>
      <c r="B8" t="inlineStr">
        <is>
          <t>HSLA-ARAUQUITA-OBSERVACIONES</t>
        </is>
      </c>
      <c r="C8" t="inlineStr">
        <is>
          <t>B02</t>
        </is>
      </c>
      <c r="D8" t="inlineStr">
        <is>
          <t>OBSERVACIÓN</t>
        </is>
      </c>
      <c r="E8" t="inlineStr">
        <is>
          <t>B02|HSLA</t>
        </is>
      </c>
      <c r="F8" t="inlineStr">
        <is>
          <t>HSLA - Arauquita</t>
        </is>
      </c>
      <c r="G8" t="inlineStr">
        <is>
          <t>PRODUCTIVO (final)</t>
        </is>
      </c>
      <c r="H8" t="inlineStr">
        <is>
          <t>ACTIVO</t>
        </is>
      </c>
    </row>
    <row r="9">
      <c r="A9" t="n">
        <v>1020201</v>
      </c>
      <c r="B9" t="inlineStr">
        <is>
          <t>HSLA-ARAUQUITA-CONSULTA EXTERNA</t>
        </is>
      </c>
      <c r="C9" t="inlineStr">
        <is>
          <t>A10</t>
        </is>
      </c>
      <c r="D9" t="inlineStr">
        <is>
          <t>MEDICINA GENERAL</t>
        </is>
      </c>
      <c r="E9" t="inlineStr">
        <is>
          <t>A10|HSLA</t>
        </is>
      </c>
      <c r="F9" t="inlineStr">
        <is>
          <t>HSLA - Arauquita</t>
        </is>
      </c>
      <c r="G9" t="inlineStr">
        <is>
          <t>PRODUCTIVO (final)</t>
        </is>
      </c>
      <c r="H9" t="inlineStr">
        <is>
          <t>ACTIVO</t>
        </is>
      </c>
    </row>
    <row r="10">
      <c r="A10" t="n">
        <v>1020202</v>
      </c>
      <c r="B10" t="inlineStr">
        <is>
          <t>HSLA-ARAUQUITA-CONSULTA ESPECIALIZADA</t>
        </is>
      </c>
      <c r="C10" t="inlineStr">
        <is>
          <t>A32</t>
        </is>
      </c>
      <c r="D10" t="inlineStr">
        <is>
          <t>OTRAS CONSULTAS Y PROCEDIMIENTOS</t>
        </is>
      </c>
      <c r="E10" t="inlineStr">
        <is>
          <t>A32|HSLA</t>
        </is>
      </c>
      <c r="F10" t="inlineStr">
        <is>
          <t>HSLA - Arauquita</t>
        </is>
      </c>
      <c r="G10" t="inlineStr">
        <is>
          <t>PRODUCTIVO (final)</t>
        </is>
      </c>
      <c r="H10" t="inlineStr">
        <is>
          <t>ACTIVO</t>
        </is>
      </c>
    </row>
    <row r="11">
      <c r="A11" t="n">
        <v>1020203</v>
      </c>
      <c r="B11" t="inlineStr">
        <is>
          <t>HSLA-ARAUQUITA-SALUD ORAL</t>
        </is>
      </c>
      <c r="C11" t="inlineStr">
        <is>
          <t>E01</t>
        </is>
      </c>
      <c r="D11" t="inlineStr">
        <is>
          <t>ODONTOLOGÍA GENERAL</t>
        </is>
      </c>
      <c r="E11" t="inlineStr">
        <is>
          <t>E01|HSLA</t>
        </is>
      </c>
      <c r="F11" t="inlineStr">
        <is>
          <t>HSLA - Arauquita</t>
        </is>
      </c>
      <c r="G11" t="inlineStr">
        <is>
          <t>PRODUCTIVO (final)</t>
        </is>
      </c>
      <c r="H11" t="inlineStr">
        <is>
          <t>ACTIVO</t>
        </is>
      </c>
    </row>
    <row r="12">
      <c r="A12" t="n">
        <v>1020204</v>
      </c>
      <c r="B12" t="inlineStr">
        <is>
          <t>HSLA-ARAUQUITA-PROMOCION Y MANTENIMIENTO</t>
        </is>
      </c>
      <c r="C12" t="inlineStr">
        <is>
          <t>N03</t>
        </is>
      </c>
      <c r="D12" t="inlineStr">
        <is>
          <t>PROMOCIÓN Y PREVENCIÓN</t>
        </is>
      </c>
      <c r="E12" t="inlineStr">
        <is>
          <t>N03|HSLA</t>
        </is>
      </c>
      <c r="F12" t="inlineStr">
        <is>
          <t>HSLA - Arauquita</t>
        </is>
      </c>
      <c r="G12" t="inlineStr">
        <is>
          <t>PRODUCTIVO (final)</t>
        </is>
      </c>
      <c r="H12" t="inlineStr">
        <is>
          <t>ACTIVO</t>
        </is>
      </c>
    </row>
    <row r="13">
      <c r="A13" t="n">
        <v>1020205</v>
      </c>
      <c r="B13" t="inlineStr">
        <is>
          <t>HSLA-ARAUQUITA-OTRAS ACTIVIDADES EXTRAMURALES</t>
        </is>
      </c>
      <c r="C13" t="inlineStr">
        <is>
          <t>K25</t>
        </is>
      </c>
      <c r="D13" t="inlineStr">
        <is>
          <t>SALUD PUBLICA</t>
        </is>
      </c>
      <c r="E13" t="inlineStr">
        <is>
          <t>K25|HSLA</t>
        </is>
      </c>
      <c r="F13" t="inlineStr">
        <is>
          <t>HSLA - Arauquita</t>
        </is>
      </c>
      <c r="G13" t="inlineStr">
        <is>
          <t>PRODUCTIVO (final)</t>
        </is>
      </c>
      <c r="H13" t="inlineStr">
        <is>
          <t>ACTIVO</t>
        </is>
      </c>
    </row>
    <row r="14">
      <c r="A14" t="n">
        <v>1020301</v>
      </c>
      <c r="B14" t="inlineStr">
        <is>
          <t>HSLA-ARAUQUITA-HOSPITALACION-ESTANCIA GENERAL</t>
        </is>
      </c>
      <c r="C14" t="inlineStr">
        <is>
          <t>I01</t>
        </is>
      </c>
      <c r="D14" t="inlineStr">
        <is>
          <t>HOSPITALIZACIÓN GENERAL</t>
        </is>
      </c>
      <c r="E14" t="inlineStr">
        <is>
          <t>I01|HSLA</t>
        </is>
      </c>
      <c r="F14" t="inlineStr">
        <is>
          <t>HSLA - Arauquita</t>
        </is>
      </c>
      <c r="G14" t="inlineStr">
        <is>
          <t>PRODUCTIVO (final)</t>
        </is>
      </c>
      <c r="H14" t="inlineStr">
        <is>
          <t>ACTIVO</t>
        </is>
      </c>
    </row>
    <row r="15">
      <c r="A15" t="n">
        <v>1020302</v>
      </c>
      <c r="B15" t="inlineStr">
        <is>
          <t>HSLA-ARAUQUITA-CUIDADOS INTENSIVOS</t>
        </is>
      </c>
      <c r="C15" t="inlineStr">
        <is>
          <t>J02</t>
        </is>
      </c>
      <c r="D15" t="inlineStr">
        <is>
          <t>UCI ADULTOS</t>
        </is>
      </c>
      <c r="E15" t="inlineStr">
        <is>
          <t>J02|HSLA</t>
        </is>
      </c>
      <c r="F15" t="inlineStr">
        <is>
          <t>HSLA - Arauquita</t>
        </is>
      </c>
      <c r="G15" t="inlineStr">
        <is>
          <t>PRODUCTIVO (final)</t>
        </is>
      </c>
      <c r="H15" t="inlineStr">
        <is>
          <t>NO APLICA</t>
        </is>
      </c>
    </row>
    <row r="16">
      <c r="A16" t="n">
        <v>1020303</v>
      </c>
      <c r="B16" t="inlineStr">
        <is>
          <t>HSLA-ARAUQUITA-CUIDADOS INTERMEDIOS</t>
        </is>
      </c>
      <c r="C16" t="inlineStr">
        <is>
          <t>J05</t>
        </is>
      </c>
      <c r="D16" t="inlineStr">
        <is>
          <t>UCI INTERMEDIOS ADULTOS</t>
        </is>
      </c>
      <c r="E16" t="inlineStr">
        <is>
          <t>J05|HSLA</t>
        </is>
      </c>
      <c r="F16" t="inlineStr">
        <is>
          <t>HSLA - Arauquita</t>
        </is>
      </c>
      <c r="G16" t="inlineStr">
        <is>
          <t>PRODUCTIVO (final)</t>
        </is>
      </c>
      <c r="H16" t="inlineStr">
        <is>
          <t>NO APLICA</t>
        </is>
      </c>
    </row>
    <row r="17">
      <c r="A17" t="n">
        <v>1020304</v>
      </c>
      <c r="B17" t="inlineStr">
        <is>
          <t>HSLA-ARAUQUITA-RECIEN NACIDOS</t>
        </is>
      </c>
      <c r="C17" t="inlineStr">
        <is>
          <t>J09</t>
        </is>
      </c>
      <c r="D17" t="inlineStr">
        <is>
          <t>UNIDAD DE RECIÉN NACIDOS</t>
        </is>
      </c>
      <c r="E17" t="inlineStr">
        <is>
          <t>J09|HSLA</t>
        </is>
      </c>
      <c r="F17" t="inlineStr">
        <is>
          <t>HSLA - Arauquita</t>
        </is>
      </c>
      <c r="G17" t="inlineStr">
        <is>
          <t>PRODUCTIVO (final)</t>
        </is>
      </c>
      <c r="H17" t="inlineStr">
        <is>
          <t>VERIFICAR</t>
        </is>
      </c>
    </row>
    <row r="18">
      <c r="A18" t="n">
        <v>1020305</v>
      </c>
      <c r="B18" t="inlineStr">
        <is>
          <t>HSLA-ARAUQUITA-HOSPITALIZACI.N SALUD MENTAL</t>
        </is>
      </c>
      <c r="C18" t="inlineStr">
        <is>
          <t>J10</t>
        </is>
      </c>
      <c r="D18" t="inlineStr">
        <is>
          <t>UNIDAD SALUD MENTAL Y DESINTOXICACIÓN (BAJA COMPLEJIDAD)</t>
        </is>
      </c>
      <c r="E18" t="inlineStr">
        <is>
          <t>J10|HSLA</t>
        </is>
      </c>
      <c r="F18" t="inlineStr">
        <is>
          <t>HSLA - Arauquita</t>
        </is>
      </c>
      <c r="G18" t="inlineStr">
        <is>
          <t>PRODUCTIVO (final)</t>
        </is>
      </c>
      <c r="H18" t="inlineStr">
        <is>
          <t>NO APLICA</t>
        </is>
      </c>
    </row>
    <row r="19">
      <c r="A19" t="n">
        <v>1020306</v>
      </c>
      <c r="B19" t="inlineStr">
        <is>
          <t>HSLA-ARAUQUITA-QUEMADOS</t>
        </is>
      </c>
      <c r="C19" t="inlineStr">
        <is>
          <t>J08</t>
        </is>
      </c>
      <c r="D19" t="inlineStr">
        <is>
          <t>UNIDAD DE QUEMADOS ADULTOS</t>
        </is>
      </c>
      <c r="E19" t="inlineStr">
        <is>
          <t>J08|HSLA</t>
        </is>
      </c>
      <c r="F19" t="inlineStr">
        <is>
          <t>HSLA - Arauquita</t>
        </is>
      </c>
      <c r="G19" t="inlineStr">
        <is>
          <t>PRODUCTIVO (final)</t>
        </is>
      </c>
      <c r="H19" t="inlineStr">
        <is>
          <t>NO APLICA</t>
        </is>
      </c>
    </row>
    <row r="20">
      <c r="A20" t="n">
        <v>1020307</v>
      </c>
      <c r="B20" t="inlineStr">
        <is>
          <t>HSLA-ARAUQUITA-OTROS CUIDADOS ESPECIALE</t>
        </is>
      </c>
      <c r="C20" t="inlineStr">
        <is>
          <t>J13</t>
        </is>
      </c>
      <c r="D20" t="inlineStr">
        <is>
          <t>OTRAS UNIDADES ESPECIALES</t>
        </is>
      </c>
      <c r="E20" t="inlineStr">
        <is>
          <t>J13|HSLA</t>
        </is>
      </c>
      <c r="F20" t="inlineStr">
        <is>
          <t>HSLA - Arauquita</t>
        </is>
      </c>
      <c r="G20" t="inlineStr">
        <is>
          <t>PRODUCTIVO (final)</t>
        </is>
      </c>
      <c r="H20" t="inlineStr">
        <is>
          <t>NO APLICA</t>
        </is>
      </c>
    </row>
    <row r="21">
      <c r="A21" t="n">
        <v>1020401</v>
      </c>
      <c r="B21" t="inlineStr">
        <is>
          <t>HSLA-ARAUQUITA-QUIROFANOS</t>
        </is>
      </c>
      <c r="C21" t="inlineStr">
        <is>
          <t>C01</t>
        </is>
      </c>
      <c r="D21" t="inlineStr">
        <is>
          <t>CIRUGÍA GENERAL</t>
        </is>
      </c>
      <c r="E21" t="inlineStr">
        <is>
          <t>C01|HSLA</t>
        </is>
      </c>
      <c r="F21" t="inlineStr">
        <is>
          <t>HSLA - Arauquita</t>
        </is>
      </c>
      <c r="G21" t="inlineStr">
        <is>
          <t>PRODUCTIVO (final)</t>
        </is>
      </c>
      <c r="H21" t="inlineStr">
        <is>
          <t>VERIFICAR</t>
        </is>
      </c>
    </row>
    <row r="22">
      <c r="A22" t="n">
        <v>1020402</v>
      </c>
      <c r="B22" t="inlineStr">
        <is>
          <t>HSLA-ARAUQUITA-SALA DE PARTO</t>
        </is>
      </c>
      <c r="C22" t="inlineStr">
        <is>
          <t>D02</t>
        </is>
      </c>
      <c r="D22" t="inlineStr">
        <is>
          <t>ATENCIÓN DE PARTO BAJA COMPLEJIDAD</t>
        </is>
      </c>
      <c r="E22" t="inlineStr">
        <is>
          <t>D02|HSLA</t>
        </is>
      </c>
      <c r="F22" t="inlineStr">
        <is>
          <t>HSLA - Arauquita</t>
        </is>
      </c>
      <c r="G22" t="inlineStr">
        <is>
          <t>PRODUCTIVO (final)</t>
        </is>
      </c>
      <c r="H22" t="inlineStr">
        <is>
          <t>ACTIVO</t>
        </is>
      </c>
    </row>
    <row r="23">
      <c r="A23" t="n">
        <v>1020501</v>
      </c>
      <c r="B23" t="inlineStr">
        <is>
          <t>HSLA-ARAUQUITA-LABORATORIO CLINICO</t>
        </is>
      </c>
      <c r="C23" t="inlineStr">
        <is>
          <t>L07</t>
        </is>
      </c>
      <c r="D23" t="inlineStr">
        <is>
          <t>LABORATORIO Y ANÁLISIS CLÍNICO</t>
        </is>
      </c>
      <c r="E23" t="inlineStr">
        <is>
          <t>L07|HSLA</t>
        </is>
      </c>
      <c r="F23" t="inlineStr">
        <is>
          <t>HSLA - Arauquita</t>
        </is>
      </c>
      <c r="G23" t="inlineStr">
        <is>
          <t>APOYO ASISTENCIAL (intermedio)</t>
        </is>
      </c>
      <c r="H23" t="inlineStr">
        <is>
          <t>ACTIVO</t>
        </is>
      </c>
    </row>
    <row r="24">
      <c r="A24" t="n">
        <v>1020502</v>
      </c>
      <c r="B24" t="inlineStr">
        <is>
          <t>HSLA-ARAUQUITA-IMAGENOLOGIA</t>
        </is>
      </c>
      <c r="C24" t="inlineStr">
        <is>
          <t>L02</t>
        </is>
      </c>
      <c r="D24" t="inlineStr">
        <is>
          <t>IMAGENEOLOGÍA RADIOLÓGICA</t>
        </is>
      </c>
      <c r="E24" t="inlineStr">
        <is>
          <t>L02|HSLA</t>
        </is>
      </c>
      <c r="F24" t="inlineStr">
        <is>
          <t>HSLA - Arauquita</t>
        </is>
      </c>
      <c r="G24" t="inlineStr">
        <is>
          <t>APOYO ASISTENCIAL (intermedio)</t>
        </is>
      </c>
      <c r="H24" t="inlineStr">
        <is>
          <t>ACTIVO</t>
        </is>
      </c>
    </row>
    <row r="25">
      <c r="A25" t="n">
        <v>1020503</v>
      </c>
      <c r="B25" t="inlineStr">
        <is>
          <t>HSLA-ARAUQUITA-ANATOMIA PATOLOGICA</t>
        </is>
      </c>
      <c r="C25" t="inlineStr">
        <is>
          <t>L01</t>
        </is>
      </c>
      <c r="D25" t="inlineStr">
        <is>
          <t>LABORATORIO ANATOMÍA PATOLÓGICA</t>
        </is>
      </c>
      <c r="E25" t="inlineStr">
        <is>
          <t>L01|HSLA</t>
        </is>
      </c>
      <c r="F25" t="inlineStr">
        <is>
          <t>HSLA - Arauquita</t>
        </is>
      </c>
      <c r="G25" t="inlineStr">
        <is>
          <t>APOYO ASISTENCIAL (intermedio)</t>
        </is>
      </c>
      <c r="H25" t="inlineStr">
        <is>
          <t>NO APLICA</t>
        </is>
      </c>
    </row>
    <row r="26">
      <c r="A26" t="n">
        <v>1020504</v>
      </c>
      <c r="B26" t="inlineStr">
        <is>
          <t>HSLA-ARAUQUITA-OTRAS UNIDADES DE APOYO DIAGNOSTICO</t>
        </is>
      </c>
      <c r="C26" t="inlineStr">
        <is>
          <t>L04</t>
        </is>
      </c>
      <c r="D26" t="inlineStr">
        <is>
          <t>IMAGENOLOGÍA NO RADIOLÓGICA</t>
        </is>
      </c>
      <c r="E26" t="inlineStr">
        <is>
          <t>L04|HSLA</t>
        </is>
      </c>
      <c r="F26" t="inlineStr">
        <is>
          <t>HSLA - Arauquita</t>
        </is>
      </c>
      <c r="G26" t="inlineStr">
        <is>
          <t>APOYO ASISTENCIAL (intermedio)</t>
        </is>
      </c>
      <c r="H26" t="inlineStr">
        <is>
          <t>VERIFICAR</t>
        </is>
      </c>
    </row>
    <row r="27">
      <c r="A27" t="n">
        <v>1020601</v>
      </c>
      <c r="B27" t="inlineStr">
        <is>
          <t>HSLA-ARAUQUITA-REHABILITACION Y TERAPIAS</t>
        </is>
      </c>
      <c r="C27" t="inlineStr">
        <is>
          <t>M06</t>
        </is>
      </c>
      <c r="D27" t="inlineStr">
        <is>
          <t>FISIOTERAPIA Y REHABILITACIÓN</t>
        </is>
      </c>
      <c r="E27" t="inlineStr">
        <is>
          <t>M06|HSLA</t>
        </is>
      </c>
      <c r="F27" t="inlineStr">
        <is>
          <t>HSLA - Arauquita</t>
        </is>
      </c>
      <c r="G27" t="inlineStr">
        <is>
          <t>APOYO ASISTENCIAL (intermedio)</t>
        </is>
      </c>
      <c r="H27" t="inlineStr">
        <is>
          <t>ACTIVO</t>
        </is>
      </c>
    </row>
    <row r="28">
      <c r="A28" t="n">
        <v>1020602</v>
      </c>
      <c r="B28" t="inlineStr">
        <is>
          <t>HSLA-ARAUQUITA-BANCO DE SANGRE</t>
        </is>
      </c>
      <c r="C28" t="inlineStr">
        <is>
          <t>M01</t>
        </is>
      </c>
      <c r="D28" t="inlineStr">
        <is>
          <t>BANCO DE SANGRE</t>
        </is>
      </c>
      <c r="E28" t="inlineStr">
        <is>
          <t>M01|HSLA</t>
        </is>
      </c>
      <c r="F28" t="inlineStr">
        <is>
          <t>HSLA - Arauquita</t>
        </is>
      </c>
      <c r="G28" t="inlineStr">
        <is>
          <t>APOYO ASISTENCIAL (intermedio)</t>
        </is>
      </c>
      <c r="H28" t="inlineStr">
        <is>
          <t>NO APLICA</t>
        </is>
      </c>
    </row>
    <row r="29">
      <c r="A29" t="n">
        <v>1020603</v>
      </c>
      <c r="B29" t="inlineStr">
        <is>
          <t>HSLA-ARAUQUITA-UNIDAD RENAL</t>
        </is>
      </c>
      <c r="C29" t="inlineStr">
        <is>
          <t>M03</t>
        </is>
      </c>
      <c r="D29" t="inlineStr">
        <is>
          <t>TERAPIA RENAL</t>
        </is>
      </c>
      <c r="E29" t="inlineStr">
        <is>
          <t>M03|HSLA</t>
        </is>
      </c>
      <c r="F29" t="inlineStr">
        <is>
          <t>HSLA - Arauquita</t>
        </is>
      </c>
      <c r="G29" t="inlineStr">
        <is>
          <t>APOYO ASISTENCIAL (intermedio)</t>
        </is>
      </c>
      <c r="H29" t="inlineStr">
        <is>
          <t>NO APLICA</t>
        </is>
      </c>
    </row>
    <row r="30">
      <c r="A30" t="n">
        <v>1020604</v>
      </c>
      <c r="B30" t="inlineStr">
        <is>
          <t>HSLA-ARAUQUITA-UNIDAD HEMODINAMIA</t>
        </is>
      </c>
      <c r="C30" t="inlineStr">
        <is>
          <t>C05</t>
        </is>
      </c>
      <c r="D30" t="inlineStr">
        <is>
          <t>CARDIOVASCULAR</t>
        </is>
      </c>
      <c r="E30" t="inlineStr">
        <is>
          <t>C05|HSLA</t>
        </is>
      </c>
      <c r="F30" t="inlineStr">
        <is>
          <t>HSLA - Arauquita</t>
        </is>
      </c>
      <c r="G30" t="inlineStr">
        <is>
          <t>PRODUCTIVO (final)</t>
        </is>
      </c>
      <c r="H30" t="inlineStr">
        <is>
          <t>NO APLICA</t>
        </is>
      </c>
    </row>
    <row r="31">
      <c r="A31" t="n">
        <v>1020605</v>
      </c>
      <c r="B31" t="inlineStr">
        <is>
          <t>HSLA-ARAUQUITA-TERAPIAS ONCOLOGICAS</t>
        </is>
      </c>
      <c r="C31" t="inlineStr">
        <is>
          <t>M07</t>
        </is>
      </c>
      <c r="D31" t="inlineStr">
        <is>
          <t>OTRAS TERAPIAS</t>
        </is>
      </c>
      <c r="E31" t="inlineStr">
        <is>
          <t>M07|HSLA</t>
        </is>
      </c>
      <c r="F31" t="inlineStr">
        <is>
          <t>HSLA - Arauquita</t>
        </is>
      </c>
      <c r="G31" t="inlineStr">
        <is>
          <t>APOYO ASISTENCIAL (intermedio)</t>
        </is>
      </c>
      <c r="H31" t="inlineStr">
        <is>
          <t>NO APLICA</t>
        </is>
      </c>
    </row>
    <row r="32">
      <c r="A32" t="n">
        <v>1020606</v>
      </c>
      <c r="B32" t="inlineStr">
        <is>
          <t>HSLA-ARAUQUITA-FARMACIA E INSUMOS HOPITALARIOS</t>
        </is>
      </c>
      <c r="C32" t="inlineStr">
        <is>
          <t>M05</t>
        </is>
      </c>
      <c r="D32" t="inlineStr">
        <is>
          <t>FARMACIA</t>
        </is>
      </c>
      <c r="E32" t="inlineStr">
        <is>
          <t>M05|HSLA</t>
        </is>
      </c>
      <c r="F32" t="inlineStr">
        <is>
          <t>HSLA - Arauquita</t>
        </is>
      </c>
      <c r="G32" t="inlineStr">
        <is>
          <t>APOYO ASISTENCIAL (intermedio)</t>
        </is>
      </c>
      <c r="H32" t="inlineStr">
        <is>
          <t>ACTIVO</t>
        </is>
      </c>
    </row>
    <row r="33">
      <c r="A33" t="n">
        <v>1020607</v>
      </c>
      <c r="B33" t="inlineStr">
        <is>
          <t>HSLA-ARAUQUITA-OTRAS UNIDADES DE APOYO TERAPEUTICO</t>
        </is>
      </c>
      <c r="C33" t="inlineStr">
        <is>
          <t>M07</t>
        </is>
      </c>
      <c r="D33" t="inlineStr">
        <is>
          <t>OTRAS TERAPIAS</t>
        </is>
      </c>
      <c r="E33" t="inlineStr">
        <is>
          <t>M07|HSLA</t>
        </is>
      </c>
      <c r="F33" t="inlineStr">
        <is>
          <t>HSLA - Arauquita</t>
        </is>
      </c>
      <c r="G33" t="inlineStr">
        <is>
          <t>APOYO ASISTENCIAL (intermedio)</t>
        </is>
      </c>
      <c r="H33" t="inlineStr">
        <is>
          <t>VERIFICAR</t>
        </is>
      </c>
    </row>
    <row r="34">
      <c r="A34" t="n">
        <v>1020701</v>
      </c>
      <c r="B34" t="inlineStr">
        <is>
          <t>HSLA-ARAUQUITA-ANCIANATOS</t>
        </is>
      </c>
      <c r="C34" t="inlineStr">
        <is>
          <t>J01</t>
        </is>
      </c>
      <c r="D34" t="inlineStr">
        <is>
          <t>ANCIANATOS Y ALBERGUES</t>
        </is>
      </c>
      <c r="E34" t="inlineStr">
        <is>
          <t>J01|HSLA</t>
        </is>
      </c>
      <c r="F34" t="inlineStr">
        <is>
          <t>HSLA - Arauquita</t>
        </is>
      </c>
      <c r="G34" t="inlineStr">
        <is>
          <t>PRODUCTIVO (final)</t>
        </is>
      </c>
      <c r="H34" t="inlineStr">
        <is>
          <t>NO APLICA</t>
        </is>
      </c>
    </row>
    <row r="35">
      <c r="A35" t="n">
        <v>1020702</v>
      </c>
      <c r="B35" t="inlineStr">
        <is>
          <t>HSLA-ARAUQUITA-CENTROS Y PUESTOS DE SALUD</t>
        </is>
      </c>
      <c r="C35" t="inlineStr">
        <is>
          <t>J17</t>
        </is>
      </c>
      <c r="D35" t="inlineStr">
        <is>
          <t>CENTROS Y PUESTOS DE SALUD</t>
        </is>
      </c>
      <c r="E35" t="inlineStr">
        <is>
          <t>J17|HSLA</t>
        </is>
      </c>
      <c r="F35" t="inlineStr">
        <is>
          <t>HSLA - Arauquita</t>
        </is>
      </c>
      <c r="G35" t="inlineStr">
        <is>
          <t>PRODUCTIVO (final)</t>
        </is>
      </c>
      <c r="H35" t="inlineStr">
        <is>
          <t>ACTIVO</t>
        </is>
      </c>
    </row>
    <row r="36">
      <c r="A36" t="n">
        <v>1020703</v>
      </c>
      <c r="B36" t="inlineStr">
        <is>
          <t>HSLA-ARAUQUITA-SERV. DOCENTES</t>
        </is>
      </c>
      <c r="C36" t="inlineStr">
        <is>
          <t>U03</t>
        </is>
      </c>
      <c r="D36" t="inlineStr">
        <is>
          <t>EDUCACIÓN MÉDICA</t>
        </is>
      </c>
      <c r="E36" t="inlineStr">
        <is>
          <t>U03|HSLA</t>
        </is>
      </c>
      <c r="F36" t="inlineStr">
        <is>
          <t>HSLA - Arauquita</t>
        </is>
      </c>
      <c r="G36" t="inlineStr">
        <is>
          <t>ADMINISTRATIVO</t>
        </is>
      </c>
      <c r="H36" t="inlineStr">
        <is>
          <t>NO APLICA</t>
        </is>
      </c>
    </row>
    <row r="37">
      <c r="A37" t="n">
        <v>1020704</v>
      </c>
      <c r="B37" t="inlineStr">
        <is>
          <t>HSLA-ARAUQUITA-SERV. CONEXOS A LA SALUD MEDICINA LEGAL</t>
        </is>
      </c>
      <c r="C37" t="inlineStr">
        <is>
          <t>A32</t>
        </is>
      </c>
      <c r="D37" t="inlineStr">
        <is>
          <t>OTRAS CONSULTAS Y PROCEDIMIENTOS</t>
        </is>
      </c>
      <c r="E37" t="inlineStr">
        <is>
          <t>A32|HSLA</t>
        </is>
      </c>
      <c r="F37" t="inlineStr">
        <is>
          <t>HSLA - Arauquita</t>
        </is>
      </c>
      <c r="G37" t="inlineStr">
        <is>
          <t>PRODUCTIVO (final)</t>
        </is>
      </c>
      <c r="H37" t="inlineStr">
        <is>
          <t>VERIFICAR</t>
        </is>
      </c>
    </row>
    <row r="38">
      <c r="A38" t="n">
        <v>1020705</v>
      </c>
      <c r="B38" t="inlineStr">
        <is>
          <t>HSLA-ARAUQUITA-SERV. CONEXOS A LA SALUD SER. AMBULANC</t>
        </is>
      </c>
      <c r="C38" t="inlineStr">
        <is>
          <t>N08</t>
        </is>
      </c>
      <c r="D38" t="inlineStr">
        <is>
          <t>SERVICIO DE AMBULANCIAS</t>
        </is>
      </c>
      <c r="E38" t="inlineStr">
        <is>
          <t>N08|HSLA</t>
        </is>
      </c>
      <c r="F38" t="inlineStr">
        <is>
          <t>HSLA - Arauquita</t>
        </is>
      </c>
      <c r="G38" t="inlineStr">
        <is>
          <t>PRODUCTIVO (final)</t>
        </is>
      </c>
      <c r="H38" t="inlineStr">
        <is>
          <t>ACTIVO</t>
        </is>
      </c>
    </row>
    <row r="39">
      <c r="A39" t="n">
        <v>1020706</v>
      </c>
      <c r="B39" t="inlineStr">
        <is>
          <t>HSLA-ARAUQUITA-SER. CONEXOS A LA SALUD OTROS SERVICIOS</t>
        </is>
      </c>
      <c r="C39" t="inlineStr">
        <is>
          <t>N04</t>
        </is>
      </c>
      <c r="D39" t="inlineStr">
        <is>
          <t>OTROS ENFERMERÍA</t>
        </is>
      </c>
      <c r="E39" t="inlineStr">
        <is>
          <t>N04|HSLA</t>
        </is>
      </c>
      <c r="F39" t="inlineStr">
        <is>
          <t>HSLA - Arauquita</t>
        </is>
      </c>
      <c r="G39" t="inlineStr">
        <is>
          <t>APOYO ASISTENCIAL (intermedio)</t>
        </is>
      </c>
      <c r="H39" t="inlineStr">
        <is>
          <t>VERIFICAR</t>
        </is>
      </c>
    </row>
    <row r="40">
      <c r="A40" t="n">
        <v>1030101</v>
      </c>
      <c r="B40" t="inlineStr">
        <is>
          <t>HSFF-FORTUL-CONSULTA Y PROCEDIMIENTOS</t>
        </is>
      </c>
      <c r="C40" t="inlineStr">
        <is>
          <t>B01</t>
        </is>
      </c>
      <c r="D40" t="inlineStr">
        <is>
          <t>CONSULTA URGENCIAS</t>
        </is>
      </c>
      <c r="E40" t="inlineStr">
        <is>
          <t>B01|HSFF</t>
        </is>
      </c>
      <c r="F40" t="inlineStr">
        <is>
          <t>HSFF - Fortul</t>
        </is>
      </c>
      <c r="G40" t="inlineStr">
        <is>
          <t>PRODUCTIVO (final)</t>
        </is>
      </c>
      <c r="H40" t="inlineStr">
        <is>
          <t>ACTIVO</t>
        </is>
      </c>
    </row>
    <row r="41">
      <c r="A41" t="n">
        <v>1030102</v>
      </c>
      <c r="B41" t="inlineStr">
        <is>
          <t>HSFF-FORTUL-OBSERVACIONES</t>
        </is>
      </c>
      <c r="C41" t="inlineStr">
        <is>
          <t>B02</t>
        </is>
      </c>
      <c r="D41" t="inlineStr">
        <is>
          <t>OBSERVACIÓN</t>
        </is>
      </c>
      <c r="E41" t="inlineStr">
        <is>
          <t>B02|HSFF</t>
        </is>
      </c>
      <c r="F41" t="inlineStr">
        <is>
          <t>HSFF - Fortul</t>
        </is>
      </c>
      <c r="G41" t="inlineStr">
        <is>
          <t>PRODUCTIVO (final)</t>
        </is>
      </c>
      <c r="H41" t="inlineStr">
        <is>
          <t>ACTIVO</t>
        </is>
      </c>
    </row>
    <row r="42">
      <c r="A42" t="n">
        <v>1030201</v>
      </c>
      <c r="B42" t="inlineStr">
        <is>
          <t>HSFF-FORTUL-CONSULTA EXTERNA</t>
        </is>
      </c>
      <c r="C42" t="inlineStr">
        <is>
          <t>A10</t>
        </is>
      </c>
      <c r="D42" t="inlineStr">
        <is>
          <t>MEDICINA GENERAL</t>
        </is>
      </c>
      <c r="E42" t="inlineStr">
        <is>
          <t>A10|HSFF</t>
        </is>
      </c>
      <c r="F42" t="inlineStr">
        <is>
          <t>HSFF - Fortul</t>
        </is>
      </c>
      <c r="G42" t="inlineStr">
        <is>
          <t>PRODUCTIVO (final)</t>
        </is>
      </c>
      <c r="H42" t="inlineStr">
        <is>
          <t>ACTIVO</t>
        </is>
      </c>
    </row>
    <row r="43">
      <c r="A43" t="n">
        <v>1030202</v>
      </c>
      <c r="B43" t="inlineStr">
        <is>
          <t>HSFF-FORTUL-CONSULTA ESPECIALIZADA</t>
        </is>
      </c>
      <c r="C43" t="inlineStr">
        <is>
          <t>A32</t>
        </is>
      </c>
      <c r="D43" t="inlineStr">
        <is>
          <t>OTRAS CONSULTAS Y PROCEDIMIENTOS</t>
        </is>
      </c>
      <c r="E43" t="inlineStr">
        <is>
          <t>A32|HSFF</t>
        </is>
      </c>
      <c r="F43" t="inlineStr">
        <is>
          <t>HSFF - Fortul</t>
        </is>
      </c>
      <c r="G43" t="inlineStr">
        <is>
          <t>PRODUCTIVO (final)</t>
        </is>
      </c>
      <c r="H43" t="inlineStr">
        <is>
          <t>ACTIVO</t>
        </is>
      </c>
    </row>
    <row r="44">
      <c r="A44" t="n">
        <v>1030203</v>
      </c>
      <c r="B44" t="inlineStr">
        <is>
          <t>HSFF-FORTUL-SALUD ORAL</t>
        </is>
      </c>
      <c r="C44" t="inlineStr">
        <is>
          <t>E01</t>
        </is>
      </c>
      <c r="D44" t="inlineStr">
        <is>
          <t>ODONTOLOGÍA GENERAL</t>
        </is>
      </c>
      <c r="E44" t="inlineStr">
        <is>
          <t>E01|HSFF</t>
        </is>
      </c>
      <c r="F44" t="inlineStr">
        <is>
          <t>HSFF - Fortul</t>
        </is>
      </c>
      <c r="G44" t="inlineStr">
        <is>
          <t>PRODUCTIVO (final)</t>
        </is>
      </c>
      <c r="H44" t="inlineStr">
        <is>
          <t>ACTIVO</t>
        </is>
      </c>
    </row>
    <row r="45">
      <c r="A45" t="n">
        <v>1030204</v>
      </c>
      <c r="B45" t="inlineStr">
        <is>
          <t>HSFF-FORTUL-PROMOCION Y MANTENIMIENTO</t>
        </is>
      </c>
      <c r="C45" t="inlineStr">
        <is>
          <t>N03</t>
        </is>
      </c>
      <c r="D45" t="inlineStr">
        <is>
          <t>PROMOCIÓN Y PREVENCIÓN</t>
        </is>
      </c>
      <c r="E45" t="inlineStr">
        <is>
          <t>N03|HSFF</t>
        </is>
      </c>
      <c r="F45" t="inlineStr">
        <is>
          <t>HSFF - Fortul</t>
        </is>
      </c>
      <c r="G45" t="inlineStr">
        <is>
          <t>PRODUCTIVO (final)</t>
        </is>
      </c>
      <c r="H45" t="inlineStr">
        <is>
          <t>ACTIVO</t>
        </is>
      </c>
    </row>
    <row r="46">
      <c r="A46" t="n">
        <v>1030205</v>
      </c>
      <c r="B46" t="inlineStr">
        <is>
          <t>HSFF-FORTUL-OTRAS ACTIVIDADES EXTRAMURALES</t>
        </is>
      </c>
      <c r="C46" t="inlineStr">
        <is>
          <t>K25</t>
        </is>
      </c>
      <c r="D46" t="inlineStr">
        <is>
          <t>SALUD PUBLICA</t>
        </is>
      </c>
      <c r="E46" t="inlineStr">
        <is>
          <t>K25|HSFF</t>
        </is>
      </c>
      <c r="F46" t="inlineStr">
        <is>
          <t>HSFF - Fortul</t>
        </is>
      </c>
      <c r="G46" t="inlineStr">
        <is>
          <t>PRODUCTIVO (final)</t>
        </is>
      </c>
      <c r="H46" t="inlineStr">
        <is>
          <t>ACTIVO</t>
        </is>
      </c>
    </row>
    <row r="47">
      <c r="A47" t="n">
        <v>1030301</v>
      </c>
      <c r="B47" t="inlineStr">
        <is>
          <t>HSFF-FORTUL-HOSPITALACION-ESTANCIA GENERAL</t>
        </is>
      </c>
      <c r="C47" t="inlineStr">
        <is>
          <t>I01</t>
        </is>
      </c>
      <c r="D47" t="inlineStr">
        <is>
          <t>HOSPITALIZACIÓN GENERAL</t>
        </is>
      </c>
      <c r="E47" t="inlineStr">
        <is>
          <t>I01|HSFF</t>
        </is>
      </c>
      <c r="F47" t="inlineStr">
        <is>
          <t>HSFF - Fortul</t>
        </is>
      </c>
      <c r="G47" t="inlineStr">
        <is>
          <t>PRODUCTIVO (final)</t>
        </is>
      </c>
      <c r="H47" t="inlineStr">
        <is>
          <t>ACTIVO</t>
        </is>
      </c>
    </row>
    <row r="48">
      <c r="A48" t="n">
        <v>1030302</v>
      </c>
      <c r="B48" t="inlineStr">
        <is>
          <t>HSFF-FORTUL-CUIDADOS INTENSIVOS</t>
        </is>
      </c>
      <c r="C48" t="inlineStr">
        <is>
          <t>J02</t>
        </is>
      </c>
      <c r="D48" t="inlineStr">
        <is>
          <t>UCI ADULTOS</t>
        </is>
      </c>
      <c r="E48" t="inlineStr">
        <is>
          <t>J02|HSFF</t>
        </is>
      </c>
      <c r="F48" t="inlineStr">
        <is>
          <t>HSFF - Fortul</t>
        </is>
      </c>
      <c r="G48" t="inlineStr">
        <is>
          <t>PRODUCTIVO (final)</t>
        </is>
      </c>
      <c r="H48" t="inlineStr">
        <is>
          <t>NO APLICA</t>
        </is>
      </c>
    </row>
    <row r="49">
      <c r="A49" t="n">
        <v>1030303</v>
      </c>
      <c r="B49" t="inlineStr">
        <is>
          <t>HSFF-FORTUL-CUIDADOS INTERMEDIOS</t>
        </is>
      </c>
      <c r="C49" t="inlineStr">
        <is>
          <t>J05</t>
        </is>
      </c>
      <c r="D49" t="inlineStr">
        <is>
          <t>UCI INTERMEDIOS ADULTOS</t>
        </is>
      </c>
      <c r="E49" t="inlineStr">
        <is>
          <t>J05|HSFF</t>
        </is>
      </c>
      <c r="F49" t="inlineStr">
        <is>
          <t>HSFF - Fortul</t>
        </is>
      </c>
      <c r="G49" t="inlineStr">
        <is>
          <t>PRODUCTIVO (final)</t>
        </is>
      </c>
      <c r="H49" t="inlineStr">
        <is>
          <t>NO APLICA</t>
        </is>
      </c>
    </row>
    <row r="50">
      <c r="A50" t="n">
        <v>1030304</v>
      </c>
      <c r="B50" t="inlineStr">
        <is>
          <t>HSFF-FORTUL-RECIEN NACIDOS</t>
        </is>
      </c>
      <c r="C50" t="inlineStr">
        <is>
          <t>J09</t>
        </is>
      </c>
      <c r="D50" t="inlineStr">
        <is>
          <t>UNIDAD DE RECIÉN NACIDOS</t>
        </is>
      </c>
      <c r="E50" t="inlineStr">
        <is>
          <t>J09|HSFF</t>
        </is>
      </c>
      <c r="F50" t="inlineStr">
        <is>
          <t>HSFF - Fortul</t>
        </is>
      </c>
      <c r="G50" t="inlineStr">
        <is>
          <t>PRODUCTIVO (final)</t>
        </is>
      </c>
      <c r="H50" t="inlineStr">
        <is>
          <t>VERIFICAR</t>
        </is>
      </c>
    </row>
    <row r="51">
      <c r="A51" t="n">
        <v>1030305</v>
      </c>
      <c r="B51" t="inlineStr">
        <is>
          <t>HSFF-FORTUL-HOSPITALIZACI.N SALUD MENTAL</t>
        </is>
      </c>
      <c r="C51" t="inlineStr">
        <is>
          <t>J10</t>
        </is>
      </c>
      <c r="D51" t="inlineStr">
        <is>
          <t>UNIDAD SALUD MENTAL Y DESINTOXICACIÓN (BAJA COMPLEJIDAD)</t>
        </is>
      </c>
      <c r="E51" t="inlineStr">
        <is>
          <t>J10|HSFF</t>
        </is>
      </c>
      <c r="F51" t="inlineStr">
        <is>
          <t>HSFF - Fortul</t>
        </is>
      </c>
      <c r="G51" t="inlineStr">
        <is>
          <t>PRODUCTIVO (final)</t>
        </is>
      </c>
      <c r="H51" t="inlineStr">
        <is>
          <t>NO APLICA</t>
        </is>
      </c>
    </row>
    <row r="52">
      <c r="A52" t="n">
        <v>1030306</v>
      </c>
      <c r="B52" t="inlineStr">
        <is>
          <t>HSFF-FORTUL-QUEMADOS</t>
        </is>
      </c>
      <c r="C52" t="inlineStr">
        <is>
          <t>J08</t>
        </is>
      </c>
      <c r="D52" t="inlineStr">
        <is>
          <t>UNIDAD DE QUEMADOS ADULTOS</t>
        </is>
      </c>
      <c r="E52" t="inlineStr">
        <is>
          <t>J08|HSFF</t>
        </is>
      </c>
      <c r="F52" t="inlineStr">
        <is>
          <t>HSFF - Fortul</t>
        </is>
      </c>
      <c r="G52" t="inlineStr">
        <is>
          <t>PRODUCTIVO (final)</t>
        </is>
      </c>
      <c r="H52" t="inlineStr">
        <is>
          <t>NO APLICA</t>
        </is>
      </c>
    </row>
    <row r="53">
      <c r="A53" t="n">
        <v>1030307</v>
      </c>
      <c r="B53" t="inlineStr">
        <is>
          <t>HSFF-FORTUL-OTROS CUIDADOS ESPECIALE</t>
        </is>
      </c>
      <c r="C53" t="inlineStr">
        <is>
          <t>J13</t>
        </is>
      </c>
      <c r="D53" t="inlineStr">
        <is>
          <t>OTRAS UNIDADES ESPECIALES</t>
        </is>
      </c>
      <c r="E53" t="inlineStr">
        <is>
          <t>J13|HSFF</t>
        </is>
      </c>
      <c r="F53" t="inlineStr">
        <is>
          <t>HSFF - Fortul</t>
        </is>
      </c>
      <c r="G53" t="inlineStr">
        <is>
          <t>PRODUCTIVO (final)</t>
        </is>
      </c>
      <c r="H53" t="inlineStr">
        <is>
          <t>NO APLICA</t>
        </is>
      </c>
    </row>
    <row r="54">
      <c r="A54" t="n">
        <v>1030401</v>
      </c>
      <c r="B54" t="inlineStr">
        <is>
          <t>HSFF-FORTUL-QUIROFANOS</t>
        </is>
      </c>
      <c r="C54" t="inlineStr">
        <is>
          <t>C01</t>
        </is>
      </c>
      <c r="D54" t="inlineStr">
        <is>
          <t>CIRUGÍA GENERAL</t>
        </is>
      </c>
      <c r="E54" t="inlineStr">
        <is>
          <t>C01|HSFF</t>
        </is>
      </c>
      <c r="F54" t="inlineStr">
        <is>
          <t>HSFF - Fortul</t>
        </is>
      </c>
      <c r="G54" t="inlineStr">
        <is>
          <t>PRODUCTIVO (final)</t>
        </is>
      </c>
      <c r="H54" t="inlineStr">
        <is>
          <t>VERIFICAR</t>
        </is>
      </c>
    </row>
    <row r="55">
      <c r="A55" t="n">
        <v>1030402</v>
      </c>
      <c r="B55" t="inlineStr">
        <is>
          <t>HSFF-FORTUL-SALA DE PARTO</t>
        </is>
      </c>
      <c r="C55" t="inlineStr">
        <is>
          <t>D02</t>
        </is>
      </c>
      <c r="D55" t="inlineStr">
        <is>
          <t>ATENCIÓN DE PARTO BAJA COMPLEJIDAD</t>
        </is>
      </c>
      <c r="E55" t="inlineStr">
        <is>
          <t>D02|HSFF</t>
        </is>
      </c>
      <c r="F55" t="inlineStr">
        <is>
          <t>HSFF - Fortul</t>
        </is>
      </c>
      <c r="G55" t="inlineStr">
        <is>
          <t>PRODUCTIVO (final)</t>
        </is>
      </c>
      <c r="H55" t="inlineStr">
        <is>
          <t>ACTIVO</t>
        </is>
      </c>
    </row>
    <row r="56">
      <c r="A56" t="n">
        <v>1030501</v>
      </c>
      <c r="B56" t="inlineStr">
        <is>
          <t>HSFF-FORTUL-LABORATORIO CLINICO</t>
        </is>
      </c>
      <c r="C56" t="inlineStr">
        <is>
          <t>L07</t>
        </is>
      </c>
      <c r="D56" t="inlineStr">
        <is>
          <t>LABORATORIO Y ANÁLISIS CLÍNICO</t>
        </is>
      </c>
      <c r="E56" t="inlineStr">
        <is>
          <t>L07|HSFF</t>
        </is>
      </c>
      <c r="F56" t="inlineStr">
        <is>
          <t>HSFF - Fortul</t>
        </is>
      </c>
      <c r="G56" t="inlineStr">
        <is>
          <t>APOYO ASISTENCIAL (intermedio)</t>
        </is>
      </c>
      <c r="H56" t="inlineStr">
        <is>
          <t>ACTIVO</t>
        </is>
      </c>
    </row>
    <row r="57">
      <c r="A57" t="n">
        <v>1030502</v>
      </c>
      <c r="B57" t="inlineStr">
        <is>
          <t>HSFF-FORTUL-IMAGENOLOGIA</t>
        </is>
      </c>
      <c r="C57" t="inlineStr">
        <is>
          <t>L02</t>
        </is>
      </c>
      <c r="D57" t="inlineStr">
        <is>
          <t>IMAGENEOLOGÍA RADIOLÓGICA</t>
        </is>
      </c>
      <c r="E57" t="inlineStr">
        <is>
          <t>L02|HSFF</t>
        </is>
      </c>
      <c r="F57" t="inlineStr">
        <is>
          <t>HSFF - Fortul</t>
        </is>
      </c>
      <c r="G57" t="inlineStr">
        <is>
          <t>APOYO ASISTENCIAL (intermedio)</t>
        </is>
      </c>
      <c r="H57" t="inlineStr">
        <is>
          <t>ACTIVO</t>
        </is>
      </c>
    </row>
    <row r="58">
      <c r="A58" t="n">
        <v>1030503</v>
      </c>
      <c r="B58" t="inlineStr">
        <is>
          <t>HSFF-FORTUL-ANATOMIA PATOLOGICA</t>
        </is>
      </c>
      <c r="C58" t="inlineStr">
        <is>
          <t>L01</t>
        </is>
      </c>
      <c r="D58" t="inlineStr">
        <is>
          <t>LABORATORIO ANATOMÍA PATOLÓGICA</t>
        </is>
      </c>
      <c r="E58" t="inlineStr">
        <is>
          <t>L01|HSFF</t>
        </is>
      </c>
      <c r="F58" t="inlineStr">
        <is>
          <t>HSFF - Fortul</t>
        </is>
      </c>
      <c r="G58" t="inlineStr">
        <is>
          <t>APOYO ASISTENCIAL (intermedio)</t>
        </is>
      </c>
      <c r="H58" t="inlineStr">
        <is>
          <t>NO APLICA</t>
        </is>
      </c>
    </row>
    <row r="59">
      <c r="A59" t="n">
        <v>1030504</v>
      </c>
      <c r="B59" t="inlineStr">
        <is>
          <t>HSFF-FORTUL-OTRAS UNIDADES DE APOYO DIAGNOSTICO</t>
        </is>
      </c>
      <c r="C59" t="inlineStr">
        <is>
          <t>L04</t>
        </is>
      </c>
      <c r="D59" t="inlineStr">
        <is>
          <t>IMAGENOLOGÍA NO RADIOLÓGICA</t>
        </is>
      </c>
      <c r="E59" t="inlineStr">
        <is>
          <t>L04|HSFF</t>
        </is>
      </c>
      <c r="F59" t="inlineStr">
        <is>
          <t>HSFF - Fortul</t>
        </is>
      </c>
      <c r="G59" t="inlineStr">
        <is>
          <t>APOYO ASISTENCIAL (intermedio)</t>
        </is>
      </c>
      <c r="H59" t="inlineStr">
        <is>
          <t>VERIFICAR</t>
        </is>
      </c>
    </row>
    <row r="60">
      <c r="A60" t="n">
        <v>1030601</v>
      </c>
      <c r="B60" t="inlineStr">
        <is>
          <t>HSFF-FORTUL-REHABILITACION Y TERAPIAS</t>
        </is>
      </c>
      <c r="C60" t="inlineStr">
        <is>
          <t>M06</t>
        </is>
      </c>
      <c r="D60" t="inlineStr">
        <is>
          <t>FISIOTERAPIA Y REHABILITACIÓN</t>
        </is>
      </c>
      <c r="E60" t="inlineStr">
        <is>
          <t>M06|HSFF</t>
        </is>
      </c>
      <c r="F60" t="inlineStr">
        <is>
          <t>HSFF - Fortul</t>
        </is>
      </c>
      <c r="G60" t="inlineStr">
        <is>
          <t>APOYO ASISTENCIAL (intermedio)</t>
        </is>
      </c>
      <c r="H60" t="inlineStr">
        <is>
          <t>ACTIVO</t>
        </is>
      </c>
    </row>
    <row r="61">
      <c r="A61" t="n">
        <v>1030602</v>
      </c>
      <c r="B61" t="inlineStr">
        <is>
          <t>HSFF-FORTUL-BANCO DE SANGRE</t>
        </is>
      </c>
      <c r="C61" t="inlineStr">
        <is>
          <t>M01</t>
        </is>
      </c>
      <c r="D61" t="inlineStr">
        <is>
          <t>BANCO DE SANGRE</t>
        </is>
      </c>
      <c r="E61" t="inlineStr">
        <is>
          <t>M01|HSFF</t>
        </is>
      </c>
      <c r="F61" t="inlineStr">
        <is>
          <t>HSFF - Fortul</t>
        </is>
      </c>
      <c r="G61" t="inlineStr">
        <is>
          <t>APOYO ASISTENCIAL (intermedio)</t>
        </is>
      </c>
      <c r="H61" t="inlineStr">
        <is>
          <t>NO APLICA</t>
        </is>
      </c>
    </row>
    <row r="62">
      <c r="A62" t="n">
        <v>1030603</v>
      </c>
      <c r="B62" t="inlineStr">
        <is>
          <t>HSFF-FORTUL-UNIDAD RENAL</t>
        </is>
      </c>
      <c r="C62" t="inlineStr">
        <is>
          <t>M03</t>
        </is>
      </c>
      <c r="D62" t="inlineStr">
        <is>
          <t>TERAPIA RENAL</t>
        </is>
      </c>
      <c r="E62" t="inlineStr">
        <is>
          <t>M03|HSFF</t>
        </is>
      </c>
      <c r="F62" t="inlineStr">
        <is>
          <t>HSFF - Fortul</t>
        </is>
      </c>
      <c r="G62" t="inlineStr">
        <is>
          <t>APOYO ASISTENCIAL (intermedio)</t>
        </is>
      </c>
      <c r="H62" t="inlineStr">
        <is>
          <t>NO APLICA</t>
        </is>
      </c>
    </row>
    <row r="63">
      <c r="A63" t="n">
        <v>1030604</v>
      </c>
      <c r="B63" t="inlineStr">
        <is>
          <t>HSFF-FORTUL-UNIDAD HEMODINAMIA</t>
        </is>
      </c>
      <c r="C63" t="inlineStr">
        <is>
          <t>C05</t>
        </is>
      </c>
      <c r="D63" t="inlineStr">
        <is>
          <t>CARDIOVASCULAR</t>
        </is>
      </c>
      <c r="E63" t="inlineStr">
        <is>
          <t>C05|HSFF</t>
        </is>
      </c>
      <c r="F63" t="inlineStr">
        <is>
          <t>HSFF - Fortul</t>
        </is>
      </c>
      <c r="G63" t="inlineStr">
        <is>
          <t>PRODUCTIVO (final)</t>
        </is>
      </c>
      <c r="H63" t="inlineStr">
        <is>
          <t>NO APLICA</t>
        </is>
      </c>
    </row>
    <row r="64">
      <c r="A64" t="n">
        <v>1030605</v>
      </c>
      <c r="B64" t="inlineStr">
        <is>
          <t>HSFF-FORTUL-TERAPIAS ONCOLOGICAS</t>
        </is>
      </c>
      <c r="C64" t="inlineStr">
        <is>
          <t>M07</t>
        </is>
      </c>
      <c r="D64" t="inlineStr">
        <is>
          <t>OTRAS TERAPIAS</t>
        </is>
      </c>
      <c r="E64" t="inlineStr">
        <is>
          <t>M07|HSFF</t>
        </is>
      </c>
      <c r="F64" t="inlineStr">
        <is>
          <t>HSFF - Fortul</t>
        </is>
      </c>
      <c r="G64" t="inlineStr">
        <is>
          <t>APOYO ASISTENCIAL (intermedio)</t>
        </is>
      </c>
      <c r="H64" t="inlineStr">
        <is>
          <t>NO APLICA</t>
        </is>
      </c>
    </row>
    <row r="65">
      <c r="A65" t="n">
        <v>1030606</v>
      </c>
      <c r="B65" t="inlineStr">
        <is>
          <t>HSFF-FORTUL-FARMACIA E INSUMOS HOPITALARIOS</t>
        </is>
      </c>
      <c r="C65" t="inlineStr">
        <is>
          <t>M05</t>
        </is>
      </c>
      <c r="D65" t="inlineStr">
        <is>
          <t>FARMACIA</t>
        </is>
      </c>
      <c r="E65" t="inlineStr">
        <is>
          <t>M05|HSFF</t>
        </is>
      </c>
      <c r="F65" t="inlineStr">
        <is>
          <t>HSFF - Fortul</t>
        </is>
      </c>
      <c r="G65" t="inlineStr">
        <is>
          <t>APOYO ASISTENCIAL (intermedio)</t>
        </is>
      </c>
      <c r="H65" t="inlineStr">
        <is>
          <t>ACTIVO</t>
        </is>
      </c>
    </row>
    <row r="66">
      <c r="A66" t="n">
        <v>1030607</v>
      </c>
      <c r="B66" t="inlineStr">
        <is>
          <t>HSFF-FORTUL-OTRAS UNIDADES DE APOYO TERAPEUTICO</t>
        </is>
      </c>
      <c r="C66" t="inlineStr">
        <is>
          <t>M07</t>
        </is>
      </c>
      <c r="D66" t="inlineStr">
        <is>
          <t>OTRAS TERAPIAS</t>
        </is>
      </c>
      <c r="E66" t="inlineStr">
        <is>
          <t>M07|HSFF</t>
        </is>
      </c>
      <c r="F66" t="inlineStr">
        <is>
          <t>HSFF - Fortul</t>
        </is>
      </c>
      <c r="G66" t="inlineStr">
        <is>
          <t>APOYO ASISTENCIAL (intermedio)</t>
        </is>
      </c>
      <c r="H66" t="inlineStr">
        <is>
          <t>VERIFICAR</t>
        </is>
      </c>
    </row>
    <row r="67">
      <c r="A67" t="n">
        <v>1030701</v>
      </c>
      <c r="B67" t="inlineStr">
        <is>
          <t>HSFF-FORTUL-ANCIANATOS</t>
        </is>
      </c>
      <c r="C67" t="inlineStr">
        <is>
          <t>J01</t>
        </is>
      </c>
      <c r="D67" t="inlineStr">
        <is>
          <t>ANCIANATOS Y ALBERGUES</t>
        </is>
      </c>
      <c r="E67" t="inlineStr">
        <is>
          <t>J01|HSFF</t>
        </is>
      </c>
      <c r="F67" t="inlineStr">
        <is>
          <t>HSFF - Fortul</t>
        </is>
      </c>
      <c r="G67" t="inlineStr">
        <is>
          <t>PRODUCTIVO (final)</t>
        </is>
      </c>
      <c r="H67" t="inlineStr">
        <is>
          <t>NO APLICA</t>
        </is>
      </c>
    </row>
    <row r="68">
      <c r="A68" t="n">
        <v>1030702</v>
      </c>
      <c r="B68" t="inlineStr">
        <is>
          <t>HSFF-FORTUL-CENTROS Y PUESTOS DE SALUD</t>
        </is>
      </c>
      <c r="C68" t="inlineStr">
        <is>
          <t>J17</t>
        </is>
      </c>
      <c r="D68" t="inlineStr">
        <is>
          <t>CENTROS Y PUESTOS DE SALUD</t>
        </is>
      </c>
      <c r="E68" t="inlineStr">
        <is>
          <t>J17|HSFF</t>
        </is>
      </c>
      <c r="F68" t="inlineStr">
        <is>
          <t>HSFF - Fortul</t>
        </is>
      </c>
      <c r="G68" t="inlineStr">
        <is>
          <t>PRODUCTIVO (final)</t>
        </is>
      </c>
      <c r="H68" t="inlineStr">
        <is>
          <t>ACTIVO</t>
        </is>
      </c>
    </row>
    <row r="69">
      <c r="A69" t="n">
        <v>1030703</v>
      </c>
      <c r="B69" t="inlineStr">
        <is>
          <t>HSFF-FORTUL-SERV. DOCENTES</t>
        </is>
      </c>
      <c r="C69" t="inlineStr">
        <is>
          <t>U03</t>
        </is>
      </c>
      <c r="D69" t="inlineStr">
        <is>
          <t>EDUCACIÓN MÉDICA</t>
        </is>
      </c>
      <c r="E69" t="inlineStr">
        <is>
          <t>U03|HSFF</t>
        </is>
      </c>
      <c r="F69" t="inlineStr">
        <is>
          <t>HSFF - Fortul</t>
        </is>
      </c>
      <c r="G69" t="inlineStr">
        <is>
          <t>ADMINISTRATIVO</t>
        </is>
      </c>
      <c r="H69" t="inlineStr">
        <is>
          <t>NO APLICA</t>
        </is>
      </c>
    </row>
    <row r="70">
      <c r="A70" t="n">
        <v>1030704</v>
      </c>
      <c r="B70" t="inlineStr">
        <is>
          <t>HSFF-FORTUL-SERV. CONEXOS A LA SALUD MEDICINA LEGAL</t>
        </is>
      </c>
      <c r="C70" t="inlineStr">
        <is>
          <t>A32</t>
        </is>
      </c>
      <c r="D70" t="inlineStr">
        <is>
          <t>OTRAS CONSULTAS Y PROCEDIMIENTOS</t>
        </is>
      </c>
      <c r="E70" t="inlineStr">
        <is>
          <t>A32|HSFF</t>
        </is>
      </c>
      <c r="F70" t="inlineStr">
        <is>
          <t>HSFF - Fortul</t>
        </is>
      </c>
      <c r="G70" t="inlineStr">
        <is>
          <t>PRODUCTIVO (final)</t>
        </is>
      </c>
      <c r="H70" t="inlineStr">
        <is>
          <t>VERIFICAR</t>
        </is>
      </c>
    </row>
    <row r="71">
      <c r="A71" t="n">
        <v>1030705</v>
      </c>
      <c r="B71" t="inlineStr">
        <is>
          <t>HSFF-FORTUL-SERV. CONEXOS A LA SALUD SER. AMBULANC</t>
        </is>
      </c>
      <c r="C71" t="inlineStr">
        <is>
          <t>N08</t>
        </is>
      </c>
      <c r="D71" t="inlineStr">
        <is>
          <t>SERVICIO DE AMBULANCIAS</t>
        </is>
      </c>
      <c r="E71" t="inlineStr">
        <is>
          <t>N08|HSFF</t>
        </is>
      </c>
      <c r="F71" t="inlineStr">
        <is>
          <t>HSFF - Fortul</t>
        </is>
      </c>
      <c r="G71" t="inlineStr">
        <is>
          <t>PRODUCTIVO (final)</t>
        </is>
      </c>
      <c r="H71" t="inlineStr">
        <is>
          <t>ACTIVO</t>
        </is>
      </c>
    </row>
    <row r="72">
      <c r="A72" t="n">
        <v>1030706</v>
      </c>
      <c r="B72" t="inlineStr">
        <is>
          <t>HSFF-FORTUL-SER. CONEXOS A LA SALUD OTROS SERVICIOS</t>
        </is>
      </c>
      <c r="C72" t="inlineStr">
        <is>
          <t>N04</t>
        </is>
      </c>
      <c r="D72" t="inlineStr">
        <is>
          <t>OTROS ENFERMERÍA</t>
        </is>
      </c>
      <c r="E72" t="inlineStr">
        <is>
          <t>N04|HSFF</t>
        </is>
      </c>
      <c r="F72" t="inlineStr">
        <is>
          <t>HSFF - Fortul</t>
        </is>
      </c>
      <c r="G72" t="inlineStr">
        <is>
          <t>APOYO ASISTENCIAL (intermedio)</t>
        </is>
      </c>
      <c r="H72" t="inlineStr">
        <is>
          <t>VERIFICAR</t>
        </is>
      </c>
    </row>
    <row r="73">
      <c r="A73" t="n">
        <v>1040101</v>
      </c>
      <c r="B73" t="inlineStr">
        <is>
          <t>HSAT-TAME-CONSULTA Y PROCEDIMIENTOS</t>
        </is>
      </c>
      <c r="C73" t="inlineStr">
        <is>
          <t>B01</t>
        </is>
      </c>
      <c r="D73" t="inlineStr">
        <is>
          <t>CONSULTA URGENCIAS</t>
        </is>
      </c>
      <c r="E73" t="inlineStr">
        <is>
          <t>B01|HSAT</t>
        </is>
      </c>
      <c r="F73" t="inlineStr">
        <is>
          <t>HSAT - Tame</t>
        </is>
      </c>
      <c r="G73" t="inlineStr">
        <is>
          <t>PRODUCTIVO (final)</t>
        </is>
      </c>
      <c r="H73" t="inlineStr">
        <is>
          <t>ACTIVO</t>
        </is>
      </c>
    </row>
    <row r="74">
      <c r="A74" t="n">
        <v>1040102</v>
      </c>
      <c r="B74" t="inlineStr">
        <is>
          <t>HSAT-TAME-OBSERVACIONES</t>
        </is>
      </c>
      <c r="C74" t="inlineStr">
        <is>
          <t>B02</t>
        </is>
      </c>
      <c r="D74" t="inlineStr">
        <is>
          <t>OBSERVACIÓN</t>
        </is>
      </c>
      <c r="E74" t="inlineStr">
        <is>
          <t>B02|HSAT</t>
        </is>
      </c>
      <c r="F74" t="inlineStr">
        <is>
          <t>HSAT - Tame</t>
        </is>
      </c>
      <c r="G74" t="inlineStr">
        <is>
          <t>PRODUCTIVO (final)</t>
        </is>
      </c>
      <c r="H74" t="inlineStr">
        <is>
          <t>ACTIVO</t>
        </is>
      </c>
    </row>
    <row r="75">
      <c r="A75" t="n">
        <v>1040201</v>
      </c>
      <c r="B75" t="inlineStr">
        <is>
          <t>HSAT-TAME-CONSULTA EXTERNA</t>
        </is>
      </c>
      <c r="C75" t="inlineStr">
        <is>
          <t>A10</t>
        </is>
      </c>
      <c r="D75" t="inlineStr">
        <is>
          <t>MEDICINA GENERAL</t>
        </is>
      </c>
      <c r="E75" t="inlineStr">
        <is>
          <t>A10|HSAT</t>
        </is>
      </c>
      <c r="F75" t="inlineStr">
        <is>
          <t>HSAT - Tame</t>
        </is>
      </c>
      <c r="G75" t="inlineStr">
        <is>
          <t>PRODUCTIVO (final)</t>
        </is>
      </c>
      <c r="H75" t="inlineStr">
        <is>
          <t>ACTIVO</t>
        </is>
      </c>
    </row>
    <row r="76">
      <c r="A76" t="n">
        <v>1040202</v>
      </c>
      <c r="B76" t="inlineStr">
        <is>
          <t>HSAT-TAME-CONSULTA ESPECIALIZADA</t>
        </is>
      </c>
      <c r="C76" t="inlineStr">
        <is>
          <t>A32</t>
        </is>
      </c>
      <c r="D76" t="inlineStr">
        <is>
          <t>OTRAS CONSULTAS Y PROCEDIMIENTOS</t>
        </is>
      </c>
      <c r="E76" t="inlineStr">
        <is>
          <t>A32|HSAT</t>
        </is>
      </c>
      <c r="F76" t="inlineStr">
        <is>
          <t>HSAT - Tame</t>
        </is>
      </c>
      <c r="G76" t="inlineStr">
        <is>
          <t>PRODUCTIVO (final)</t>
        </is>
      </c>
      <c r="H76" t="inlineStr">
        <is>
          <t>ACTIVO</t>
        </is>
      </c>
    </row>
    <row r="77">
      <c r="A77" t="n">
        <v>1040203</v>
      </c>
      <c r="B77" t="inlineStr">
        <is>
          <t>HSAT-TAME-SALUD ORAL</t>
        </is>
      </c>
      <c r="C77" t="inlineStr">
        <is>
          <t>E01</t>
        </is>
      </c>
      <c r="D77" t="inlineStr">
        <is>
          <t>ODONTOLOGÍA GENERAL</t>
        </is>
      </c>
      <c r="E77" t="inlineStr">
        <is>
          <t>E01|HSAT</t>
        </is>
      </c>
      <c r="F77" t="inlineStr">
        <is>
          <t>HSAT - Tame</t>
        </is>
      </c>
      <c r="G77" t="inlineStr">
        <is>
          <t>PRODUCTIVO (final)</t>
        </is>
      </c>
      <c r="H77" t="inlineStr">
        <is>
          <t>ACTIVO</t>
        </is>
      </c>
    </row>
    <row r="78">
      <c r="A78" t="n">
        <v>1040204</v>
      </c>
      <c r="B78" t="inlineStr">
        <is>
          <t>HSAT-TAME-PROMOCION Y MANTENIMIENTO</t>
        </is>
      </c>
      <c r="C78" t="inlineStr">
        <is>
          <t>N03</t>
        </is>
      </c>
      <c r="D78" t="inlineStr">
        <is>
          <t>PROMOCIÓN Y PREVENCIÓN</t>
        </is>
      </c>
      <c r="E78" t="inlineStr">
        <is>
          <t>N03|HSAT</t>
        </is>
      </c>
      <c r="F78" t="inlineStr">
        <is>
          <t>HSAT - Tame</t>
        </is>
      </c>
      <c r="G78" t="inlineStr">
        <is>
          <t>PRODUCTIVO (final)</t>
        </is>
      </c>
      <c r="H78" t="inlineStr">
        <is>
          <t>ACTIVO</t>
        </is>
      </c>
    </row>
    <row r="79">
      <c r="A79" t="n">
        <v>1040205</v>
      </c>
      <c r="B79" t="inlineStr">
        <is>
          <t>HSAT-TAME-OTRAS ACTIVIDADES EXTRAMURALES</t>
        </is>
      </c>
      <c r="C79" t="inlineStr">
        <is>
          <t>K25</t>
        </is>
      </c>
      <c r="D79" t="inlineStr">
        <is>
          <t>SALUD PUBLICA</t>
        </is>
      </c>
      <c r="E79" t="inlineStr">
        <is>
          <t>K25|HSAT</t>
        </is>
      </c>
      <c r="F79" t="inlineStr">
        <is>
          <t>HSAT - Tame</t>
        </is>
      </c>
      <c r="G79" t="inlineStr">
        <is>
          <t>PRODUCTIVO (final)</t>
        </is>
      </c>
      <c r="H79" t="inlineStr">
        <is>
          <t>ACTIVO</t>
        </is>
      </c>
    </row>
    <row r="80">
      <c r="A80" t="n">
        <v>1040301</v>
      </c>
      <c r="B80" t="inlineStr">
        <is>
          <t>HSAT-TAME-HOSPITALACION-ESTANCIA GENERAL</t>
        </is>
      </c>
      <c r="C80" t="inlineStr">
        <is>
          <t>I01</t>
        </is>
      </c>
      <c r="D80" t="inlineStr">
        <is>
          <t>HOSPITALIZACIÓN GENERAL</t>
        </is>
      </c>
      <c r="E80" t="inlineStr">
        <is>
          <t>I01|HSAT</t>
        </is>
      </c>
      <c r="F80" t="inlineStr">
        <is>
          <t>HSAT - Tame</t>
        </is>
      </c>
      <c r="G80" t="inlineStr">
        <is>
          <t>PRODUCTIVO (final)</t>
        </is>
      </c>
      <c r="H80" t="inlineStr">
        <is>
          <t>ACTIVO</t>
        </is>
      </c>
    </row>
    <row r="81">
      <c r="A81" t="n">
        <v>1040302</v>
      </c>
      <c r="B81" t="inlineStr">
        <is>
          <t>HSAT-TAME-CUIDADOS INTENSIVOS</t>
        </is>
      </c>
      <c r="C81" t="inlineStr">
        <is>
          <t>J02</t>
        </is>
      </c>
      <c r="D81" t="inlineStr">
        <is>
          <t>UCI ADULTOS</t>
        </is>
      </c>
      <c r="E81" t="inlineStr">
        <is>
          <t>J02|HSAT</t>
        </is>
      </c>
      <c r="F81" t="inlineStr">
        <is>
          <t>HSAT - Tame</t>
        </is>
      </c>
      <c r="G81" t="inlineStr">
        <is>
          <t>PRODUCTIVO (final)</t>
        </is>
      </c>
      <c r="H81" t="inlineStr">
        <is>
          <t>NO APLICA</t>
        </is>
      </c>
    </row>
    <row r="82">
      <c r="A82" t="n">
        <v>1040303</v>
      </c>
      <c r="B82" t="inlineStr">
        <is>
          <t>HSAT-TAME-CUIDADOS INTERMEDIOS</t>
        </is>
      </c>
      <c r="C82" t="inlineStr">
        <is>
          <t>J05</t>
        </is>
      </c>
      <c r="D82" t="inlineStr">
        <is>
          <t>UCI INTERMEDIOS ADULTOS</t>
        </is>
      </c>
      <c r="E82" t="inlineStr">
        <is>
          <t>J05|HSAT</t>
        </is>
      </c>
      <c r="F82" t="inlineStr">
        <is>
          <t>HSAT - Tame</t>
        </is>
      </c>
      <c r="G82" t="inlineStr">
        <is>
          <t>PRODUCTIVO (final)</t>
        </is>
      </c>
      <c r="H82" t="inlineStr">
        <is>
          <t>NO APLICA</t>
        </is>
      </c>
    </row>
    <row r="83">
      <c r="A83" t="n">
        <v>1040304</v>
      </c>
      <c r="B83" t="inlineStr">
        <is>
          <t>HSAT-TAME-RECIEN NACIDOS</t>
        </is>
      </c>
      <c r="C83" t="inlineStr">
        <is>
          <t>J09</t>
        </is>
      </c>
      <c r="D83" t="inlineStr">
        <is>
          <t>UNIDAD DE RECIÉN NACIDOS</t>
        </is>
      </c>
      <c r="E83" t="inlineStr">
        <is>
          <t>J09|HSAT</t>
        </is>
      </c>
      <c r="F83" t="inlineStr">
        <is>
          <t>HSAT - Tame</t>
        </is>
      </c>
      <c r="G83" t="inlineStr">
        <is>
          <t>PRODUCTIVO (final)</t>
        </is>
      </c>
      <c r="H83" t="inlineStr">
        <is>
          <t>VERIFICAR</t>
        </is>
      </c>
    </row>
    <row r="84">
      <c r="A84" t="n">
        <v>1040305</v>
      </c>
      <c r="B84" t="inlineStr">
        <is>
          <t>HSAT-TAME-HOSPITALIZACI.N SALUD MENTAL</t>
        </is>
      </c>
      <c r="C84" t="inlineStr">
        <is>
          <t>J10</t>
        </is>
      </c>
      <c r="D84" t="inlineStr">
        <is>
          <t>UNIDAD SALUD MENTAL Y DESINTOXICACIÓN (BAJA COMPLEJIDAD)</t>
        </is>
      </c>
      <c r="E84" t="inlineStr">
        <is>
          <t>J10|HSAT</t>
        </is>
      </c>
      <c r="F84" t="inlineStr">
        <is>
          <t>HSAT - Tame</t>
        </is>
      </c>
      <c r="G84" t="inlineStr">
        <is>
          <t>PRODUCTIVO (final)</t>
        </is>
      </c>
      <c r="H84" t="inlineStr">
        <is>
          <t>NO APLICA</t>
        </is>
      </c>
    </row>
    <row r="85">
      <c r="A85" t="n">
        <v>1040306</v>
      </c>
      <c r="B85" t="inlineStr">
        <is>
          <t>HSAT-TAME-QUEMADOS</t>
        </is>
      </c>
      <c r="C85" t="inlineStr">
        <is>
          <t>J08</t>
        </is>
      </c>
      <c r="D85" t="inlineStr">
        <is>
          <t>UNIDAD DE QUEMADOS ADULTOS</t>
        </is>
      </c>
      <c r="E85" t="inlineStr">
        <is>
          <t>J08|HSAT</t>
        </is>
      </c>
      <c r="F85" t="inlineStr">
        <is>
          <t>HSAT - Tame</t>
        </is>
      </c>
      <c r="G85" t="inlineStr">
        <is>
          <t>PRODUCTIVO (final)</t>
        </is>
      </c>
      <c r="H85" t="inlineStr">
        <is>
          <t>NO APLICA</t>
        </is>
      </c>
    </row>
    <row r="86">
      <c r="A86" t="n">
        <v>1040307</v>
      </c>
      <c r="B86" t="inlineStr">
        <is>
          <t>HSAT-TAME-OTROS CUIDADOS ESPECIALE</t>
        </is>
      </c>
      <c r="C86" t="inlineStr">
        <is>
          <t>J13</t>
        </is>
      </c>
      <c r="D86" t="inlineStr">
        <is>
          <t>OTRAS UNIDADES ESPECIALES</t>
        </is>
      </c>
      <c r="E86" t="inlineStr">
        <is>
          <t>J13|HSAT</t>
        </is>
      </c>
      <c r="F86" t="inlineStr">
        <is>
          <t>HSAT - Tame</t>
        </is>
      </c>
      <c r="G86" t="inlineStr">
        <is>
          <t>PRODUCTIVO (final)</t>
        </is>
      </c>
      <c r="H86" t="inlineStr">
        <is>
          <t>NO APLICA</t>
        </is>
      </c>
    </row>
    <row r="87">
      <c r="A87" t="n">
        <v>1040401</v>
      </c>
      <c r="B87" t="inlineStr">
        <is>
          <t>HSAT-TAME-QUIROFANOS</t>
        </is>
      </c>
      <c r="C87" t="inlineStr">
        <is>
          <t>C01</t>
        </is>
      </c>
      <c r="D87" t="inlineStr">
        <is>
          <t>CIRUGÍA GENERAL</t>
        </is>
      </c>
      <c r="E87" t="inlineStr">
        <is>
          <t>C01|HSAT</t>
        </is>
      </c>
      <c r="F87" t="inlineStr">
        <is>
          <t>HSAT - Tame</t>
        </is>
      </c>
      <c r="G87" t="inlineStr">
        <is>
          <t>PRODUCTIVO (final)</t>
        </is>
      </c>
      <c r="H87" t="inlineStr">
        <is>
          <t>VERIFICAR</t>
        </is>
      </c>
    </row>
    <row r="88">
      <c r="A88" t="n">
        <v>1040402</v>
      </c>
      <c r="B88" t="inlineStr">
        <is>
          <t>HSAT-TAME-SALA DE PARTO</t>
        </is>
      </c>
      <c r="C88" t="inlineStr">
        <is>
          <t>D02</t>
        </is>
      </c>
      <c r="D88" t="inlineStr">
        <is>
          <t>ATENCIÓN DE PARTO BAJA COMPLEJIDAD</t>
        </is>
      </c>
      <c r="E88" t="inlineStr">
        <is>
          <t>D02|HSAT</t>
        </is>
      </c>
      <c r="F88" t="inlineStr">
        <is>
          <t>HSAT - Tame</t>
        </is>
      </c>
      <c r="G88" t="inlineStr">
        <is>
          <t>PRODUCTIVO (final)</t>
        </is>
      </c>
      <c r="H88" t="inlineStr">
        <is>
          <t>ACTIVO</t>
        </is>
      </c>
    </row>
    <row r="89">
      <c r="A89" t="n">
        <v>1040501</v>
      </c>
      <c r="B89" t="inlineStr">
        <is>
          <t>HSAT-TAME-LABORATORIO CLINICO</t>
        </is>
      </c>
      <c r="C89" t="inlineStr">
        <is>
          <t>L07</t>
        </is>
      </c>
      <c r="D89" t="inlineStr">
        <is>
          <t>LABORATORIO Y ANÁLISIS CLÍNICO</t>
        </is>
      </c>
      <c r="E89" t="inlineStr">
        <is>
          <t>L07|HSAT</t>
        </is>
      </c>
      <c r="F89" t="inlineStr">
        <is>
          <t>HSAT - Tame</t>
        </is>
      </c>
      <c r="G89" t="inlineStr">
        <is>
          <t>APOYO ASISTENCIAL (intermedio)</t>
        </is>
      </c>
      <c r="H89" t="inlineStr">
        <is>
          <t>ACTIVO</t>
        </is>
      </c>
    </row>
    <row r="90">
      <c r="A90" t="n">
        <v>1040502</v>
      </c>
      <c r="B90" t="inlineStr">
        <is>
          <t>HSAT-TAME-IMAGENOLOGIA</t>
        </is>
      </c>
      <c r="C90" t="inlineStr">
        <is>
          <t>L02</t>
        </is>
      </c>
      <c r="D90" t="inlineStr">
        <is>
          <t>IMAGENEOLOGÍA RADIOLÓGICA</t>
        </is>
      </c>
      <c r="E90" t="inlineStr">
        <is>
          <t>L02|HSAT</t>
        </is>
      </c>
      <c r="F90" t="inlineStr">
        <is>
          <t>HSAT - Tame</t>
        </is>
      </c>
      <c r="G90" t="inlineStr">
        <is>
          <t>APOYO ASISTENCIAL (intermedio)</t>
        </is>
      </c>
      <c r="H90" t="inlineStr">
        <is>
          <t>ACTIVO</t>
        </is>
      </c>
    </row>
    <row r="91">
      <c r="A91" t="n">
        <v>1040503</v>
      </c>
      <c r="B91" t="inlineStr">
        <is>
          <t>HSAT-TAME-ANATOMIA PATOLOGICA</t>
        </is>
      </c>
      <c r="C91" t="inlineStr">
        <is>
          <t>L01</t>
        </is>
      </c>
      <c r="D91" t="inlineStr">
        <is>
          <t>LABORATORIO ANATOMÍA PATOLÓGICA</t>
        </is>
      </c>
      <c r="E91" t="inlineStr">
        <is>
          <t>L01|HSAT</t>
        </is>
      </c>
      <c r="F91" t="inlineStr">
        <is>
          <t>HSAT - Tame</t>
        </is>
      </c>
      <c r="G91" t="inlineStr">
        <is>
          <t>APOYO ASISTENCIAL (intermedio)</t>
        </is>
      </c>
      <c r="H91" t="inlineStr">
        <is>
          <t>NO APLICA</t>
        </is>
      </c>
    </row>
    <row r="92">
      <c r="A92" t="n">
        <v>1040504</v>
      </c>
      <c r="B92" t="inlineStr">
        <is>
          <t>HSAT-TAME-OTRAS UNIDADES DE APOYO DIAGNOSTICO</t>
        </is>
      </c>
      <c r="C92" t="inlineStr">
        <is>
          <t>L04</t>
        </is>
      </c>
      <c r="D92" t="inlineStr">
        <is>
          <t>IMAGENOLOGÍA NO RADIOLÓGICA</t>
        </is>
      </c>
      <c r="E92" t="inlineStr">
        <is>
          <t>L04|HSAT</t>
        </is>
      </c>
      <c r="F92" t="inlineStr">
        <is>
          <t>HSAT - Tame</t>
        </is>
      </c>
      <c r="G92" t="inlineStr">
        <is>
          <t>APOYO ASISTENCIAL (intermedio)</t>
        </is>
      </c>
      <c r="H92" t="inlineStr">
        <is>
          <t>VERIFICAR</t>
        </is>
      </c>
    </row>
    <row r="93">
      <c r="A93" t="n">
        <v>1040601</v>
      </c>
      <c r="B93" t="inlineStr">
        <is>
          <t>HSAT-TAME-REHABILITACION Y TERAPIAS</t>
        </is>
      </c>
      <c r="C93" t="inlineStr">
        <is>
          <t>M06</t>
        </is>
      </c>
      <c r="D93" t="inlineStr">
        <is>
          <t>FISIOTERAPIA Y REHABILITACIÓN</t>
        </is>
      </c>
      <c r="E93" t="inlineStr">
        <is>
          <t>M06|HSAT</t>
        </is>
      </c>
      <c r="F93" t="inlineStr">
        <is>
          <t>HSAT - Tame</t>
        </is>
      </c>
      <c r="G93" t="inlineStr">
        <is>
          <t>APOYO ASISTENCIAL (intermedio)</t>
        </is>
      </c>
      <c r="H93" t="inlineStr">
        <is>
          <t>ACTIVO</t>
        </is>
      </c>
    </row>
    <row r="94">
      <c r="A94" t="n">
        <v>1040602</v>
      </c>
      <c r="B94" t="inlineStr">
        <is>
          <t>HSAT-TAME-BANCO DE SANGRE</t>
        </is>
      </c>
      <c r="C94" t="inlineStr">
        <is>
          <t>M01</t>
        </is>
      </c>
      <c r="D94" t="inlineStr">
        <is>
          <t>BANCO DE SANGRE</t>
        </is>
      </c>
      <c r="E94" t="inlineStr">
        <is>
          <t>M01|HSAT</t>
        </is>
      </c>
      <c r="F94" t="inlineStr">
        <is>
          <t>HSAT - Tame</t>
        </is>
      </c>
      <c r="G94" t="inlineStr">
        <is>
          <t>APOYO ASISTENCIAL (intermedio)</t>
        </is>
      </c>
      <c r="H94" t="inlineStr">
        <is>
          <t>NO APLICA</t>
        </is>
      </c>
    </row>
    <row r="95">
      <c r="A95" t="n">
        <v>1040603</v>
      </c>
      <c r="B95" t="inlineStr">
        <is>
          <t>HSAT-TAME-UNIDAD RENAL</t>
        </is>
      </c>
      <c r="C95" t="inlineStr">
        <is>
          <t>M03</t>
        </is>
      </c>
      <c r="D95" t="inlineStr">
        <is>
          <t>TERAPIA RENAL</t>
        </is>
      </c>
      <c r="E95" t="inlineStr">
        <is>
          <t>M03|HSAT</t>
        </is>
      </c>
      <c r="F95" t="inlineStr">
        <is>
          <t>HSAT - Tame</t>
        </is>
      </c>
      <c r="G95" t="inlineStr">
        <is>
          <t>APOYO ASISTENCIAL (intermedio)</t>
        </is>
      </c>
      <c r="H95" t="inlineStr">
        <is>
          <t>NO APLICA</t>
        </is>
      </c>
    </row>
    <row r="96">
      <c r="A96" t="n">
        <v>1040604</v>
      </c>
      <c r="B96" t="inlineStr">
        <is>
          <t>HSAT-TAME-UNIDAD HEMODINAMIA</t>
        </is>
      </c>
      <c r="C96" t="inlineStr">
        <is>
          <t>C05</t>
        </is>
      </c>
      <c r="D96" t="inlineStr">
        <is>
          <t>CARDIOVASCULAR</t>
        </is>
      </c>
      <c r="E96" t="inlineStr">
        <is>
          <t>C05|HSAT</t>
        </is>
      </c>
      <c r="F96" t="inlineStr">
        <is>
          <t>HSAT - Tame</t>
        </is>
      </c>
      <c r="G96" t="inlineStr">
        <is>
          <t>PRODUCTIVO (final)</t>
        </is>
      </c>
      <c r="H96" t="inlineStr">
        <is>
          <t>NO APLICA</t>
        </is>
      </c>
    </row>
    <row r="97">
      <c r="A97" t="n">
        <v>1040605</v>
      </c>
      <c r="B97" t="inlineStr">
        <is>
          <t>HSAT-TAME-TERAPIAS ONCOLOGICAS</t>
        </is>
      </c>
      <c r="C97" t="inlineStr">
        <is>
          <t>M07</t>
        </is>
      </c>
      <c r="D97" t="inlineStr">
        <is>
          <t>OTRAS TERAPIAS</t>
        </is>
      </c>
      <c r="E97" t="inlineStr">
        <is>
          <t>M07|HSAT</t>
        </is>
      </c>
      <c r="F97" t="inlineStr">
        <is>
          <t>HSAT - Tame</t>
        </is>
      </c>
      <c r="G97" t="inlineStr">
        <is>
          <t>APOYO ASISTENCIAL (intermedio)</t>
        </is>
      </c>
      <c r="H97" t="inlineStr">
        <is>
          <t>NO APLICA</t>
        </is>
      </c>
    </row>
    <row r="98">
      <c r="A98" t="n">
        <v>1040606</v>
      </c>
      <c r="B98" t="inlineStr">
        <is>
          <t>HSAT-TAME-FARMACIA E INSUMOS HOPITALARIOS</t>
        </is>
      </c>
      <c r="C98" t="inlineStr">
        <is>
          <t>M05</t>
        </is>
      </c>
      <c r="D98" t="inlineStr">
        <is>
          <t>FARMACIA</t>
        </is>
      </c>
      <c r="E98" t="inlineStr">
        <is>
          <t>M05|HSAT</t>
        </is>
      </c>
      <c r="F98" t="inlineStr">
        <is>
          <t>HSAT - Tame</t>
        </is>
      </c>
      <c r="G98" t="inlineStr">
        <is>
          <t>APOYO ASISTENCIAL (intermedio)</t>
        </is>
      </c>
      <c r="H98" t="inlineStr">
        <is>
          <t>ACTIVO</t>
        </is>
      </c>
    </row>
    <row r="99">
      <c r="A99" t="n">
        <v>1040607</v>
      </c>
      <c r="B99" t="inlineStr">
        <is>
          <t>HSAT-TAME-OTRAS UNIDADES DE APOYO TERAPEUTICO</t>
        </is>
      </c>
      <c r="C99" t="inlineStr">
        <is>
          <t>M07</t>
        </is>
      </c>
      <c r="D99" t="inlineStr">
        <is>
          <t>OTRAS TERAPIAS</t>
        </is>
      </c>
      <c r="E99" t="inlineStr">
        <is>
          <t>M07|HSAT</t>
        </is>
      </c>
      <c r="F99" t="inlineStr">
        <is>
          <t>HSAT - Tame</t>
        </is>
      </c>
      <c r="G99" t="inlineStr">
        <is>
          <t>APOYO ASISTENCIAL (intermedio)</t>
        </is>
      </c>
      <c r="H99" t="inlineStr">
        <is>
          <t>VERIFICAR</t>
        </is>
      </c>
    </row>
    <row r="100">
      <c r="A100" t="n">
        <v>1040701</v>
      </c>
      <c r="B100" t="inlineStr">
        <is>
          <t>HSAT-TAME-ANCIANATOS</t>
        </is>
      </c>
      <c r="C100" t="inlineStr">
        <is>
          <t>J01</t>
        </is>
      </c>
      <c r="D100" t="inlineStr">
        <is>
          <t>ANCIANATOS Y ALBERGUES</t>
        </is>
      </c>
      <c r="E100" t="inlineStr">
        <is>
          <t>J01|HSAT</t>
        </is>
      </c>
      <c r="F100" t="inlineStr">
        <is>
          <t>HSAT - Tame</t>
        </is>
      </c>
      <c r="G100" t="inlineStr">
        <is>
          <t>PRODUCTIVO (final)</t>
        </is>
      </c>
      <c r="H100" t="inlineStr">
        <is>
          <t>NO APLICA</t>
        </is>
      </c>
    </row>
    <row r="101">
      <c r="A101" t="n">
        <v>1040702</v>
      </c>
      <c r="B101" t="inlineStr">
        <is>
          <t>HSAT-TAME-CENTROS Y PUESTOS DE SALUD</t>
        </is>
      </c>
      <c r="C101" t="inlineStr">
        <is>
          <t>J17</t>
        </is>
      </c>
      <c r="D101" t="inlineStr">
        <is>
          <t>CENTROS Y PUESTOS DE SALUD</t>
        </is>
      </c>
      <c r="E101" t="inlineStr">
        <is>
          <t>J17|HSAT</t>
        </is>
      </c>
      <c r="F101" t="inlineStr">
        <is>
          <t>HSAT - Tame</t>
        </is>
      </c>
      <c r="G101" t="inlineStr">
        <is>
          <t>PRODUCTIVO (final)</t>
        </is>
      </c>
      <c r="H101" t="inlineStr">
        <is>
          <t>ACTIVO</t>
        </is>
      </c>
    </row>
    <row r="102">
      <c r="A102" t="n">
        <v>1040703</v>
      </c>
      <c r="B102" t="inlineStr">
        <is>
          <t>HSAT-TAME-SERV. DOCENTES</t>
        </is>
      </c>
      <c r="C102" t="inlineStr">
        <is>
          <t>U03</t>
        </is>
      </c>
      <c r="D102" t="inlineStr">
        <is>
          <t>EDUCACIÓN MÉDICA</t>
        </is>
      </c>
      <c r="E102" t="inlineStr">
        <is>
          <t>U03|HSAT</t>
        </is>
      </c>
      <c r="F102" t="inlineStr">
        <is>
          <t>HSAT - Tame</t>
        </is>
      </c>
      <c r="G102" t="inlineStr">
        <is>
          <t>ADMINISTRATIVO</t>
        </is>
      </c>
      <c r="H102" t="inlineStr">
        <is>
          <t>NO APLICA</t>
        </is>
      </c>
    </row>
    <row r="103">
      <c r="A103" t="n">
        <v>1040704</v>
      </c>
      <c r="B103" t="inlineStr">
        <is>
          <t>HSAT-TAME-SERV. CONEXOS A LA SALUD MEDICINA LEGAL</t>
        </is>
      </c>
      <c r="C103" t="inlineStr">
        <is>
          <t>A32</t>
        </is>
      </c>
      <c r="D103" t="inlineStr">
        <is>
          <t>OTRAS CONSULTAS Y PROCEDIMIENTOS</t>
        </is>
      </c>
      <c r="E103" t="inlineStr">
        <is>
          <t>A32|HSAT</t>
        </is>
      </c>
      <c r="F103" t="inlineStr">
        <is>
          <t>HSAT - Tame</t>
        </is>
      </c>
      <c r="G103" t="inlineStr">
        <is>
          <t>PRODUCTIVO (final)</t>
        </is>
      </c>
      <c r="H103" t="inlineStr">
        <is>
          <t>VERIFICAR</t>
        </is>
      </c>
    </row>
    <row r="104">
      <c r="A104" t="n">
        <v>1040705</v>
      </c>
      <c r="B104" t="inlineStr">
        <is>
          <t>HSAT-TAME-SERV. CONEXOS A LA SALUD SER. AMBULANC</t>
        </is>
      </c>
      <c r="C104" t="inlineStr">
        <is>
          <t>N08</t>
        </is>
      </c>
      <c r="D104" t="inlineStr">
        <is>
          <t>SERVICIO DE AMBULANCIAS</t>
        </is>
      </c>
      <c r="E104" t="inlineStr">
        <is>
          <t>N08|HSAT</t>
        </is>
      </c>
      <c r="F104" t="inlineStr">
        <is>
          <t>HSAT - Tame</t>
        </is>
      </c>
      <c r="G104" t="inlineStr">
        <is>
          <t>PRODUCTIVO (final)</t>
        </is>
      </c>
      <c r="H104" t="inlineStr">
        <is>
          <t>ACTIVO</t>
        </is>
      </c>
    </row>
    <row r="105">
      <c r="A105" t="n">
        <v>1040706</v>
      </c>
      <c r="B105" t="inlineStr">
        <is>
          <t>HSAT-TAME-SER. CONEXOS A LA SALUD OTROS SERVICIOS</t>
        </is>
      </c>
      <c r="C105" t="inlineStr">
        <is>
          <t>N04</t>
        </is>
      </c>
      <c r="D105" t="inlineStr">
        <is>
          <t>OTROS ENFERMERÍA</t>
        </is>
      </c>
      <c r="E105" t="inlineStr">
        <is>
          <t>N04|HSAT</t>
        </is>
      </c>
      <c r="F105" t="inlineStr">
        <is>
          <t>HSAT - Tame</t>
        </is>
      </c>
      <c r="G105" t="inlineStr">
        <is>
          <t>APOYO ASISTENCIAL (intermedio)</t>
        </is>
      </c>
      <c r="H105" t="inlineStr">
        <is>
          <t>VERIFICAR</t>
        </is>
      </c>
    </row>
    <row r="106">
      <c r="A106" t="n">
        <v>1040707</v>
      </c>
      <c r="B106" t="inlineStr">
        <is>
          <t>HSAT-FONOAUDIOLOGIA</t>
        </is>
      </c>
      <c r="C106" t="inlineStr">
        <is>
          <t>M07</t>
        </is>
      </c>
      <c r="D106" t="inlineStr">
        <is>
          <t>OTRAS TERAPIAS</t>
        </is>
      </c>
      <c r="E106" t="inlineStr">
        <is>
          <t>M07|HSAT</t>
        </is>
      </c>
      <c r="F106" t="inlineStr">
        <is>
          <t>HSAT - Tame</t>
        </is>
      </c>
      <c r="G106" t="inlineStr">
        <is>
          <t>APOYO ASISTENCIAL (intermedio)</t>
        </is>
      </c>
      <c r="H106" t="inlineStr">
        <is>
          <t>ACTIVO</t>
        </is>
      </c>
    </row>
    <row r="107">
      <c r="A107" t="n">
        <v>1050101</v>
      </c>
      <c r="B107" t="inlineStr">
        <is>
          <t>HSJDP-PUERTO RONDON-CONSULTA Y PROCEDIMIENTOS</t>
        </is>
      </c>
      <c r="C107" t="inlineStr">
        <is>
          <t>B01</t>
        </is>
      </c>
      <c r="D107" t="inlineStr">
        <is>
          <t>CONSULTA URGENCIAS</t>
        </is>
      </c>
      <c r="E107" t="inlineStr">
        <is>
          <t>B01|HSJDP</t>
        </is>
      </c>
      <c r="F107" t="inlineStr">
        <is>
          <t>HSJDP - Puerto Rondón</t>
        </is>
      </c>
      <c r="G107" t="inlineStr">
        <is>
          <t>PRODUCTIVO (final)</t>
        </is>
      </c>
      <c r="H107" t="inlineStr">
        <is>
          <t>ACTIVO</t>
        </is>
      </c>
    </row>
    <row r="108">
      <c r="A108" t="n">
        <v>1050102</v>
      </c>
      <c r="B108" t="inlineStr">
        <is>
          <t>HSJDP-PUERTO RONDON-OBSERVACIONES</t>
        </is>
      </c>
      <c r="C108" t="inlineStr">
        <is>
          <t>B02</t>
        </is>
      </c>
      <c r="D108" t="inlineStr">
        <is>
          <t>OBSERVACIÓN</t>
        </is>
      </c>
      <c r="E108" t="inlineStr">
        <is>
          <t>B02|HSJDP</t>
        </is>
      </c>
      <c r="F108" t="inlineStr">
        <is>
          <t>HSJDP - Puerto Rondón</t>
        </is>
      </c>
      <c r="G108" t="inlineStr">
        <is>
          <t>PRODUCTIVO (final)</t>
        </is>
      </c>
      <c r="H108" t="inlineStr">
        <is>
          <t>ACTIVO</t>
        </is>
      </c>
    </row>
    <row r="109">
      <c r="A109" t="n">
        <v>1050201</v>
      </c>
      <c r="B109" t="inlineStr">
        <is>
          <t>HSJDP-PUERTO RONDON-CONSULTA EXTERNA</t>
        </is>
      </c>
      <c r="C109" t="inlineStr">
        <is>
          <t>A10</t>
        </is>
      </c>
      <c r="D109" t="inlineStr">
        <is>
          <t>MEDICINA GENERAL</t>
        </is>
      </c>
      <c r="E109" t="inlineStr">
        <is>
          <t>A10|HSJDP</t>
        </is>
      </c>
      <c r="F109" t="inlineStr">
        <is>
          <t>HSJDP - Puerto Rondón</t>
        </is>
      </c>
      <c r="G109" t="inlineStr">
        <is>
          <t>PRODUCTIVO (final)</t>
        </is>
      </c>
      <c r="H109" t="inlineStr">
        <is>
          <t>ACTIVO</t>
        </is>
      </c>
    </row>
    <row r="110">
      <c r="A110" t="n">
        <v>1050202</v>
      </c>
      <c r="B110" t="inlineStr">
        <is>
          <t>HSJDP-PUERTO RONDON-CONSULTA ESPECIALIZADA</t>
        </is>
      </c>
      <c r="C110" t="inlineStr">
        <is>
          <t>A32</t>
        </is>
      </c>
      <c r="D110" t="inlineStr">
        <is>
          <t>OTRAS CONSULTAS Y PROCEDIMIENTOS</t>
        </is>
      </c>
      <c r="E110" t="inlineStr">
        <is>
          <t>A32|HSJDP</t>
        </is>
      </c>
      <c r="F110" t="inlineStr">
        <is>
          <t>HSJDP - Puerto Rondón</t>
        </is>
      </c>
      <c r="G110" t="inlineStr">
        <is>
          <t>PRODUCTIVO (final)</t>
        </is>
      </c>
      <c r="H110" t="inlineStr">
        <is>
          <t>ACTIVO</t>
        </is>
      </c>
    </row>
    <row r="111">
      <c r="A111" t="n">
        <v>1050203</v>
      </c>
      <c r="B111" t="inlineStr">
        <is>
          <t>HSJDP-PUERTO RONDON-SALUD ORAL</t>
        </is>
      </c>
      <c r="C111" t="inlineStr">
        <is>
          <t>E01</t>
        </is>
      </c>
      <c r="D111" t="inlineStr">
        <is>
          <t>ODONTOLOGÍA GENERAL</t>
        </is>
      </c>
      <c r="E111" t="inlineStr">
        <is>
          <t>E01|HSJDP</t>
        </is>
      </c>
      <c r="F111" t="inlineStr">
        <is>
          <t>HSJDP - Puerto Rondón</t>
        </is>
      </c>
      <c r="G111" t="inlineStr">
        <is>
          <t>PRODUCTIVO (final)</t>
        </is>
      </c>
      <c r="H111" t="inlineStr">
        <is>
          <t>ACTIVO</t>
        </is>
      </c>
    </row>
    <row r="112">
      <c r="A112" t="n">
        <v>1050204</v>
      </c>
      <c r="B112" t="inlineStr">
        <is>
          <t>HSJDP-PUERTO RONDON-PROMOCION Y MANTENIMIENTO</t>
        </is>
      </c>
      <c r="C112" t="inlineStr">
        <is>
          <t>N03</t>
        </is>
      </c>
      <c r="D112" t="inlineStr">
        <is>
          <t>PROMOCIÓN Y PREVENCIÓN</t>
        </is>
      </c>
      <c r="E112" t="inlineStr">
        <is>
          <t>N03|HSJDP</t>
        </is>
      </c>
      <c r="F112" t="inlineStr">
        <is>
          <t>HSJDP - Puerto Rondón</t>
        </is>
      </c>
      <c r="G112" t="inlineStr">
        <is>
          <t>PRODUCTIVO (final)</t>
        </is>
      </c>
      <c r="H112" t="inlineStr">
        <is>
          <t>ACTIVO</t>
        </is>
      </c>
    </row>
    <row r="113">
      <c r="A113" t="n">
        <v>1050205</v>
      </c>
      <c r="B113" t="inlineStr">
        <is>
          <t>HSJDP-PUERTO RONDON-OTRAS ACTIVIDADES EXTRAMURALES</t>
        </is>
      </c>
      <c r="C113" t="inlineStr">
        <is>
          <t>K25</t>
        </is>
      </c>
      <c r="D113" t="inlineStr">
        <is>
          <t>SALUD PUBLICA</t>
        </is>
      </c>
      <c r="E113" t="inlineStr">
        <is>
          <t>K25|HSJDP</t>
        </is>
      </c>
      <c r="F113" t="inlineStr">
        <is>
          <t>HSJDP - Puerto Rondón</t>
        </is>
      </c>
      <c r="G113" t="inlineStr">
        <is>
          <t>PRODUCTIVO (final)</t>
        </is>
      </c>
      <c r="H113" t="inlineStr">
        <is>
          <t>ACTIVO</t>
        </is>
      </c>
    </row>
    <row r="114">
      <c r="A114" t="n">
        <v>1050301</v>
      </c>
      <c r="B114" t="inlineStr">
        <is>
          <t>HSJDP-PUERTO RONDON-HOSPITALACION-ESTANCIA GENERAL</t>
        </is>
      </c>
      <c r="C114" t="inlineStr">
        <is>
          <t>I01</t>
        </is>
      </c>
      <c r="D114" t="inlineStr">
        <is>
          <t>HOSPITALIZACIÓN GENERAL</t>
        </is>
      </c>
      <c r="E114" t="inlineStr">
        <is>
          <t>I01|HSJDP</t>
        </is>
      </c>
      <c r="F114" t="inlineStr">
        <is>
          <t>HSJDP - Puerto Rondón</t>
        </is>
      </c>
      <c r="G114" t="inlineStr">
        <is>
          <t>PRODUCTIVO (final)</t>
        </is>
      </c>
      <c r="H114" t="inlineStr">
        <is>
          <t>ACTIVO</t>
        </is>
      </c>
    </row>
    <row r="115">
      <c r="A115" t="n">
        <v>1050302</v>
      </c>
      <c r="B115" t="inlineStr">
        <is>
          <t>HSJDP-PUERTO RONDON-CUIDADOS INTENSIVOS</t>
        </is>
      </c>
      <c r="C115" t="inlineStr">
        <is>
          <t>J02</t>
        </is>
      </c>
      <c r="D115" t="inlineStr">
        <is>
          <t>UCI ADULTOS</t>
        </is>
      </c>
      <c r="E115" t="inlineStr">
        <is>
          <t>J02|HSJDP</t>
        </is>
      </c>
      <c r="F115" t="inlineStr">
        <is>
          <t>HSJDP - Puerto Rondón</t>
        </is>
      </c>
      <c r="G115" t="inlineStr">
        <is>
          <t>PRODUCTIVO (final)</t>
        </is>
      </c>
      <c r="H115" t="inlineStr">
        <is>
          <t>NO APLICA</t>
        </is>
      </c>
    </row>
    <row r="116">
      <c r="A116" t="n">
        <v>1050303</v>
      </c>
      <c r="B116" t="inlineStr">
        <is>
          <t>HSJDP-PUERTO RONDON-CUIDADOS INTERMEDIOS</t>
        </is>
      </c>
      <c r="C116" t="inlineStr">
        <is>
          <t>J05</t>
        </is>
      </c>
      <c r="D116" t="inlineStr">
        <is>
          <t>UCI INTERMEDIOS ADULTOS</t>
        </is>
      </c>
      <c r="E116" t="inlineStr">
        <is>
          <t>J05|HSJDP</t>
        </is>
      </c>
      <c r="F116" t="inlineStr">
        <is>
          <t>HSJDP - Puerto Rondón</t>
        </is>
      </c>
      <c r="G116" t="inlineStr">
        <is>
          <t>PRODUCTIVO (final)</t>
        </is>
      </c>
      <c r="H116" t="inlineStr">
        <is>
          <t>NO APLICA</t>
        </is>
      </c>
    </row>
    <row r="117">
      <c r="A117" t="n">
        <v>1050304</v>
      </c>
      <c r="B117" t="inlineStr">
        <is>
          <t>HSJDP-PUERTO RONDON-RECIEN NACIDOS</t>
        </is>
      </c>
      <c r="C117" t="inlineStr">
        <is>
          <t>J09</t>
        </is>
      </c>
      <c r="D117" t="inlineStr">
        <is>
          <t>UNIDAD DE RECIÉN NACIDOS</t>
        </is>
      </c>
      <c r="E117" t="inlineStr">
        <is>
          <t>J09|HSJDP</t>
        </is>
      </c>
      <c r="F117" t="inlineStr">
        <is>
          <t>HSJDP - Puerto Rondón</t>
        </is>
      </c>
      <c r="G117" t="inlineStr">
        <is>
          <t>PRODUCTIVO (final)</t>
        </is>
      </c>
      <c r="H117" t="inlineStr">
        <is>
          <t>VERIFICAR</t>
        </is>
      </c>
    </row>
    <row r="118">
      <c r="A118" t="n">
        <v>1050305</v>
      </c>
      <c r="B118" t="inlineStr">
        <is>
          <t>HSJDP-PUERTO RONDON-HOSPITALIZACI.N SALUD MENTAL</t>
        </is>
      </c>
      <c r="C118" t="inlineStr">
        <is>
          <t>J10</t>
        </is>
      </c>
      <c r="D118" t="inlineStr">
        <is>
          <t>UNIDAD SALUD MENTAL Y DESINTOXICACIÓN (BAJA COMPLEJIDAD)</t>
        </is>
      </c>
      <c r="E118" t="inlineStr">
        <is>
          <t>J10|HSJDP</t>
        </is>
      </c>
      <c r="F118" t="inlineStr">
        <is>
          <t>HSJDP - Puerto Rondón</t>
        </is>
      </c>
      <c r="G118" t="inlineStr">
        <is>
          <t>PRODUCTIVO (final)</t>
        </is>
      </c>
      <c r="H118" t="inlineStr">
        <is>
          <t>NO APLICA</t>
        </is>
      </c>
    </row>
    <row r="119">
      <c r="A119" t="n">
        <v>1050306</v>
      </c>
      <c r="B119" t="inlineStr">
        <is>
          <t>HSJDP-PUERTO RONDON-QUEMADOS</t>
        </is>
      </c>
      <c r="C119" t="inlineStr">
        <is>
          <t>J08</t>
        </is>
      </c>
      <c r="D119" t="inlineStr">
        <is>
          <t>UNIDAD DE QUEMADOS ADULTOS</t>
        </is>
      </c>
      <c r="E119" t="inlineStr">
        <is>
          <t>J08|HSJDP</t>
        </is>
      </c>
      <c r="F119" t="inlineStr">
        <is>
          <t>HSJDP - Puerto Rondón</t>
        </is>
      </c>
      <c r="G119" t="inlineStr">
        <is>
          <t>PRODUCTIVO (final)</t>
        </is>
      </c>
      <c r="H119" t="inlineStr">
        <is>
          <t>NO APLICA</t>
        </is>
      </c>
    </row>
    <row r="120">
      <c r="A120" t="n">
        <v>1050307</v>
      </c>
      <c r="B120" t="inlineStr">
        <is>
          <t>HSJDP-PUERTO RONDON-OTROS CUIDADOS ESPECIALE</t>
        </is>
      </c>
      <c r="C120" t="inlineStr">
        <is>
          <t>J13</t>
        </is>
      </c>
      <c r="D120" t="inlineStr">
        <is>
          <t>OTRAS UNIDADES ESPECIALES</t>
        </is>
      </c>
      <c r="E120" t="inlineStr">
        <is>
          <t>J13|HSJDP</t>
        </is>
      </c>
      <c r="F120" t="inlineStr">
        <is>
          <t>HSJDP - Puerto Rondón</t>
        </is>
      </c>
      <c r="G120" t="inlineStr">
        <is>
          <t>PRODUCTIVO (final)</t>
        </is>
      </c>
      <c r="H120" t="inlineStr">
        <is>
          <t>NO APLICA</t>
        </is>
      </c>
    </row>
    <row r="121">
      <c r="A121" t="n">
        <v>1050401</v>
      </c>
      <c r="B121" t="inlineStr">
        <is>
          <t>HSJDP-PUERTO RONDON-QUIROFANOS</t>
        </is>
      </c>
      <c r="C121" t="inlineStr">
        <is>
          <t>C01</t>
        </is>
      </c>
      <c r="D121" t="inlineStr">
        <is>
          <t>CIRUGÍA GENERAL</t>
        </is>
      </c>
      <c r="E121" t="inlineStr">
        <is>
          <t>C01|HSJDP</t>
        </is>
      </c>
      <c r="F121" t="inlineStr">
        <is>
          <t>HSJDP - Puerto Rondón</t>
        </is>
      </c>
      <c r="G121" t="inlineStr">
        <is>
          <t>PRODUCTIVO (final)</t>
        </is>
      </c>
      <c r="H121" t="inlineStr">
        <is>
          <t>VERIFICAR</t>
        </is>
      </c>
    </row>
    <row r="122">
      <c r="A122" t="n">
        <v>1050402</v>
      </c>
      <c r="B122" t="inlineStr">
        <is>
          <t>HSJDP-PUERTO RONDON-SALA DE PARTO</t>
        </is>
      </c>
      <c r="C122" t="inlineStr">
        <is>
          <t>D02</t>
        </is>
      </c>
      <c r="D122" t="inlineStr">
        <is>
          <t>ATENCIÓN DE PARTO BAJA COMPLEJIDAD</t>
        </is>
      </c>
      <c r="E122" t="inlineStr">
        <is>
          <t>D02|HSJDP</t>
        </is>
      </c>
      <c r="F122" t="inlineStr">
        <is>
          <t>HSJDP - Puerto Rondón</t>
        </is>
      </c>
      <c r="G122" t="inlineStr">
        <is>
          <t>PRODUCTIVO (final)</t>
        </is>
      </c>
      <c r="H122" t="inlineStr">
        <is>
          <t>ACTIVO</t>
        </is>
      </c>
    </row>
    <row r="123">
      <c r="A123" t="n">
        <v>1050501</v>
      </c>
      <c r="B123" t="inlineStr">
        <is>
          <t>HSJDP-PUERTO RONDON-LABORATORIO CLINICO</t>
        </is>
      </c>
      <c r="C123" t="inlineStr">
        <is>
          <t>L07</t>
        </is>
      </c>
      <c r="D123" t="inlineStr">
        <is>
          <t>LABORATORIO Y ANÁLISIS CLÍNICO</t>
        </is>
      </c>
      <c r="E123" t="inlineStr">
        <is>
          <t>L07|HSJDP</t>
        </is>
      </c>
      <c r="F123" t="inlineStr">
        <is>
          <t>HSJDP - Puerto Rondón</t>
        </is>
      </c>
      <c r="G123" t="inlineStr">
        <is>
          <t>APOYO ASISTENCIAL (intermedio)</t>
        </is>
      </c>
      <c r="H123" t="inlineStr">
        <is>
          <t>ACTIVO</t>
        </is>
      </c>
    </row>
    <row r="124">
      <c r="A124" t="n">
        <v>1050502</v>
      </c>
      <c r="B124" t="inlineStr">
        <is>
          <t>HSJDP-PUERTO RONDON-IMAGENOLOGIA</t>
        </is>
      </c>
      <c r="C124" t="inlineStr">
        <is>
          <t>L02</t>
        </is>
      </c>
      <c r="D124" t="inlineStr">
        <is>
          <t>IMAGENEOLOGÍA RADIOLÓGICA</t>
        </is>
      </c>
      <c r="E124" t="inlineStr">
        <is>
          <t>L02|HSJDP</t>
        </is>
      </c>
      <c r="F124" t="inlineStr">
        <is>
          <t>HSJDP - Puerto Rondón</t>
        </is>
      </c>
      <c r="G124" t="inlineStr">
        <is>
          <t>APOYO ASISTENCIAL (intermedio)</t>
        </is>
      </c>
      <c r="H124" t="inlineStr">
        <is>
          <t>ACTIVO</t>
        </is>
      </c>
    </row>
    <row r="125">
      <c r="A125" t="n">
        <v>1050503</v>
      </c>
      <c r="B125" t="inlineStr">
        <is>
          <t>HSJDP-PUERTO RONDON-ANATOMIA PATOLOGICA</t>
        </is>
      </c>
      <c r="C125" t="inlineStr">
        <is>
          <t>L01</t>
        </is>
      </c>
      <c r="D125" t="inlineStr">
        <is>
          <t>LABORATORIO ANATOMÍA PATOLÓGICA</t>
        </is>
      </c>
      <c r="E125" t="inlineStr">
        <is>
          <t>L01|HSJDP</t>
        </is>
      </c>
      <c r="F125" t="inlineStr">
        <is>
          <t>HSJDP - Puerto Rondón</t>
        </is>
      </c>
      <c r="G125" t="inlineStr">
        <is>
          <t>APOYO ASISTENCIAL (intermedio)</t>
        </is>
      </c>
      <c r="H125" t="inlineStr">
        <is>
          <t>NO APLICA</t>
        </is>
      </c>
    </row>
    <row r="126">
      <c r="A126" t="n">
        <v>1050504</v>
      </c>
      <c r="B126" t="inlineStr">
        <is>
          <t>HSJDP-PUERTO RONDON-OTRAS UNIDADES DE APOYO DIAGNOSTICO</t>
        </is>
      </c>
      <c r="C126" t="inlineStr">
        <is>
          <t>L04</t>
        </is>
      </c>
      <c r="D126" t="inlineStr">
        <is>
          <t>IMAGENOLOGÍA NO RADIOLÓGICA</t>
        </is>
      </c>
      <c r="E126" t="inlineStr">
        <is>
          <t>L04|HSJDP</t>
        </is>
      </c>
      <c r="F126" t="inlineStr">
        <is>
          <t>HSJDP - Puerto Rondón</t>
        </is>
      </c>
      <c r="G126" t="inlineStr">
        <is>
          <t>APOYO ASISTENCIAL (intermedio)</t>
        </is>
      </c>
      <c r="H126" t="inlineStr">
        <is>
          <t>VERIFICAR</t>
        </is>
      </c>
    </row>
    <row r="127">
      <c r="A127" t="n">
        <v>1050601</v>
      </c>
      <c r="B127" t="inlineStr">
        <is>
          <t>HSJDP-PUERTO RONDON-REHABILITACION Y TERAPIAS</t>
        </is>
      </c>
      <c r="C127" t="inlineStr">
        <is>
          <t>M06</t>
        </is>
      </c>
      <c r="D127" t="inlineStr">
        <is>
          <t>FISIOTERAPIA Y REHABILITACIÓN</t>
        </is>
      </c>
      <c r="E127" t="inlineStr">
        <is>
          <t>M06|HSJDP</t>
        </is>
      </c>
      <c r="F127" t="inlineStr">
        <is>
          <t>HSJDP - Puerto Rondón</t>
        </is>
      </c>
      <c r="G127" t="inlineStr">
        <is>
          <t>APOYO ASISTENCIAL (intermedio)</t>
        </is>
      </c>
      <c r="H127" t="inlineStr">
        <is>
          <t>ACTIVO</t>
        </is>
      </c>
    </row>
    <row r="128">
      <c r="A128" t="n">
        <v>1050602</v>
      </c>
      <c r="B128" t="inlineStr">
        <is>
          <t>HSJDP-PUERTO RONDON-BANCO DE SANGRE</t>
        </is>
      </c>
      <c r="C128" t="inlineStr">
        <is>
          <t>M01</t>
        </is>
      </c>
      <c r="D128" t="inlineStr">
        <is>
          <t>BANCO DE SANGRE</t>
        </is>
      </c>
      <c r="E128" t="inlineStr">
        <is>
          <t>M01|HSJDP</t>
        </is>
      </c>
      <c r="F128" t="inlineStr">
        <is>
          <t>HSJDP - Puerto Rondón</t>
        </is>
      </c>
      <c r="G128" t="inlineStr">
        <is>
          <t>APOYO ASISTENCIAL (intermedio)</t>
        </is>
      </c>
      <c r="H128" t="inlineStr">
        <is>
          <t>NO APLICA</t>
        </is>
      </c>
    </row>
    <row r="129">
      <c r="A129" t="n">
        <v>1050603</v>
      </c>
      <c r="B129" t="inlineStr">
        <is>
          <t>HSJDP-PUERTO RONDON-UNIDAD RENAL</t>
        </is>
      </c>
      <c r="C129" t="inlineStr">
        <is>
          <t>M03</t>
        </is>
      </c>
      <c r="D129" t="inlineStr">
        <is>
          <t>TERAPIA RENAL</t>
        </is>
      </c>
      <c r="E129" t="inlineStr">
        <is>
          <t>M03|HSJDP</t>
        </is>
      </c>
      <c r="F129" t="inlineStr">
        <is>
          <t>HSJDP - Puerto Rondón</t>
        </is>
      </c>
      <c r="G129" t="inlineStr">
        <is>
          <t>APOYO ASISTENCIAL (intermedio)</t>
        </is>
      </c>
      <c r="H129" t="inlineStr">
        <is>
          <t>NO APLICA</t>
        </is>
      </c>
    </row>
    <row r="130">
      <c r="A130" t="n">
        <v>1050604</v>
      </c>
      <c r="B130" t="inlineStr">
        <is>
          <t>HSJDP-PUERTO RONDON-UNIDAD HEMODINAMIA</t>
        </is>
      </c>
      <c r="C130" t="inlineStr">
        <is>
          <t>C05</t>
        </is>
      </c>
      <c r="D130" t="inlineStr">
        <is>
          <t>CARDIOVASCULAR</t>
        </is>
      </c>
      <c r="E130" t="inlineStr">
        <is>
          <t>C05|HSJDP</t>
        </is>
      </c>
      <c r="F130" t="inlineStr">
        <is>
          <t>HSJDP - Puerto Rondón</t>
        </is>
      </c>
      <c r="G130" t="inlineStr">
        <is>
          <t>PRODUCTIVO (final)</t>
        </is>
      </c>
      <c r="H130" t="inlineStr">
        <is>
          <t>NO APLICA</t>
        </is>
      </c>
    </row>
    <row r="131">
      <c r="A131" t="n">
        <v>1050605</v>
      </c>
      <c r="B131" t="inlineStr">
        <is>
          <t>HSJDP-PUERTO RONDON-TERAPIAS ONCOLOGICAS</t>
        </is>
      </c>
      <c r="C131" t="inlineStr">
        <is>
          <t>M07</t>
        </is>
      </c>
      <c r="D131" t="inlineStr">
        <is>
          <t>OTRAS TERAPIAS</t>
        </is>
      </c>
      <c r="E131" t="inlineStr">
        <is>
          <t>M07|HSJDP</t>
        </is>
      </c>
      <c r="F131" t="inlineStr">
        <is>
          <t>HSJDP - Puerto Rondón</t>
        </is>
      </c>
      <c r="G131" t="inlineStr">
        <is>
          <t>APOYO ASISTENCIAL (intermedio)</t>
        </is>
      </c>
      <c r="H131" t="inlineStr">
        <is>
          <t>NO APLICA</t>
        </is>
      </c>
    </row>
    <row r="132">
      <c r="A132" t="n">
        <v>1050606</v>
      </c>
      <c r="B132" t="inlineStr">
        <is>
          <t>HSJDP-PUERTO RONDON-FARMACIA E INSUMOS HOPITALARIOS</t>
        </is>
      </c>
      <c r="C132" t="inlineStr">
        <is>
          <t>M05</t>
        </is>
      </c>
      <c r="D132" t="inlineStr">
        <is>
          <t>FARMACIA</t>
        </is>
      </c>
      <c r="E132" t="inlineStr">
        <is>
          <t>M05|HSJDP</t>
        </is>
      </c>
      <c r="F132" t="inlineStr">
        <is>
          <t>HSJDP - Puerto Rondón</t>
        </is>
      </c>
      <c r="G132" t="inlineStr">
        <is>
          <t>APOYO ASISTENCIAL (intermedio)</t>
        </is>
      </c>
      <c r="H132" t="inlineStr">
        <is>
          <t>ACTIVO</t>
        </is>
      </c>
    </row>
    <row r="133">
      <c r="A133" t="n">
        <v>1050607</v>
      </c>
      <c r="B133" t="inlineStr">
        <is>
          <t>HSJDP-PUERTO RONDON-OTRAS UNIDADES DE APOYO TERAPEUTICO</t>
        </is>
      </c>
      <c r="C133" t="inlineStr">
        <is>
          <t>M07</t>
        </is>
      </c>
      <c r="D133" t="inlineStr">
        <is>
          <t>OTRAS TERAPIAS</t>
        </is>
      </c>
      <c r="E133" t="inlineStr">
        <is>
          <t>M07|HSJDP</t>
        </is>
      </c>
      <c r="F133" t="inlineStr">
        <is>
          <t>HSJDP - Puerto Rondón</t>
        </is>
      </c>
      <c r="G133" t="inlineStr">
        <is>
          <t>APOYO ASISTENCIAL (intermedio)</t>
        </is>
      </c>
      <c r="H133" t="inlineStr">
        <is>
          <t>VERIFICAR</t>
        </is>
      </c>
    </row>
    <row r="134">
      <c r="A134" t="n">
        <v>1050701</v>
      </c>
      <c r="B134" t="inlineStr">
        <is>
          <t>HSJDP-PUERTO RONDON-ANCIANATOS</t>
        </is>
      </c>
      <c r="C134" t="inlineStr">
        <is>
          <t>J01</t>
        </is>
      </c>
      <c r="D134" t="inlineStr">
        <is>
          <t>ANCIANATOS Y ALBERGUES</t>
        </is>
      </c>
      <c r="E134" t="inlineStr">
        <is>
          <t>J01|HSJDP</t>
        </is>
      </c>
      <c r="F134" t="inlineStr">
        <is>
          <t>HSJDP - Puerto Rondón</t>
        </is>
      </c>
      <c r="G134" t="inlineStr">
        <is>
          <t>PRODUCTIVO (final)</t>
        </is>
      </c>
      <c r="H134" t="inlineStr">
        <is>
          <t>NO APLICA</t>
        </is>
      </c>
    </row>
    <row r="135">
      <c r="A135" t="n">
        <v>1050702</v>
      </c>
      <c r="B135" t="inlineStr">
        <is>
          <t>HSJDP-PUERTO RONDON-CENTROS Y PUESTOS DE SALUD</t>
        </is>
      </c>
      <c r="C135" t="inlineStr">
        <is>
          <t>J17</t>
        </is>
      </c>
      <c r="D135" t="inlineStr">
        <is>
          <t>CENTROS Y PUESTOS DE SALUD</t>
        </is>
      </c>
      <c r="E135" t="inlineStr">
        <is>
          <t>J17|HSJDP</t>
        </is>
      </c>
      <c r="F135" t="inlineStr">
        <is>
          <t>HSJDP - Puerto Rondón</t>
        </is>
      </c>
      <c r="G135" t="inlineStr">
        <is>
          <t>PRODUCTIVO (final)</t>
        </is>
      </c>
      <c r="H135" t="inlineStr">
        <is>
          <t>ACTIVO</t>
        </is>
      </c>
    </row>
    <row r="136">
      <c r="A136" t="n">
        <v>1050703</v>
      </c>
      <c r="B136" t="inlineStr">
        <is>
          <t>HSJDP-PUERTO RONDON-SERV. DOCENTES</t>
        </is>
      </c>
      <c r="C136" t="inlineStr">
        <is>
          <t>U03</t>
        </is>
      </c>
      <c r="D136" t="inlineStr">
        <is>
          <t>EDUCACIÓN MÉDICA</t>
        </is>
      </c>
      <c r="E136" t="inlineStr">
        <is>
          <t>U03|HSJDP</t>
        </is>
      </c>
      <c r="F136" t="inlineStr">
        <is>
          <t>HSJDP - Puerto Rondón</t>
        </is>
      </c>
      <c r="G136" t="inlineStr">
        <is>
          <t>ADMINISTRATIVO</t>
        </is>
      </c>
      <c r="H136" t="inlineStr">
        <is>
          <t>NO APLICA</t>
        </is>
      </c>
    </row>
    <row r="137">
      <c r="A137" t="n">
        <v>1050704</v>
      </c>
      <c r="B137" t="inlineStr">
        <is>
          <t>HSJDP-PUERTO RONDON-SERV. CONEXOS A LA SALUD MEDICINA LEGAL</t>
        </is>
      </c>
      <c r="C137" t="inlineStr">
        <is>
          <t>A32</t>
        </is>
      </c>
      <c r="D137" t="inlineStr">
        <is>
          <t>OTRAS CONSULTAS Y PROCEDIMIENTOS</t>
        </is>
      </c>
      <c r="E137" t="inlineStr">
        <is>
          <t>A32|HSJDP</t>
        </is>
      </c>
      <c r="F137" t="inlineStr">
        <is>
          <t>HSJDP - Puerto Rondón</t>
        </is>
      </c>
      <c r="G137" t="inlineStr">
        <is>
          <t>PRODUCTIVO (final)</t>
        </is>
      </c>
      <c r="H137" t="inlineStr">
        <is>
          <t>VERIFICAR</t>
        </is>
      </c>
    </row>
    <row r="138">
      <c r="A138" t="n">
        <v>1050705</v>
      </c>
      <c r="B138" t="inlineStr">
        <is>
          <t>HSJDP-PUERTO RONDON-SERV. CONEXOS A LA SALUD SER. AMBULANC</t>
        </is>
      </c>
      <c r="C138" t="inlineStr">
        <is>
          <t>N08</t>
        </is>
      </c>
      <c r="D138" t="inlineStr">
        <is>
          <t>SERVICIO DE AMBULANCIAS</t>
        </is>
      </c>
      <c r="E138" t="inlineStr">
        <is>
          <t>N08|HSJDP</t>
        </is>
      </c>
      <c r="F138" t="inlineStr">
        <is>
          <t>HSJDP - Puerto Rondón</t>
        </is>
      </c>
      <c r="G138" t="inlineStr">
        <is>
          <t>PRODUCTIVO (final)</t>
        </is>
      </c>
      <c r="H138" t="inlineStr">
        <is>
          <t>ACTIVO</t>
        </is>
      </c>
    </row>
    <row r="139">
      <c r="A139" t="n">
        <v>1050706</v>
      </c>
      <c r="B139" t="inlineStr">
        <is>
          <t>HSJDP-PUERTO RONDON-SER. CONEXOS A LA SALUD OTROS SERVICIOS</t>
        </is>
      </c>
      <c r="C139" t="inlineStr">
        <is>
          <t>N04</t>
        </is>
      </c>
      <c r="D139" t="inlineStr">
        <is>
          <t>OTROS ENFERMERÍA</t>
        </is>
      </c>
      <c r="E139" t="inlineStr">
        <is>
          <t>N04|HSJDP</t>
        </is>
      </c>
      <c r="F139" t="inlineStr">
        <is>
          <t>HSJDP - Puerto Rondón</t>
        </is>
      </c>
      <c r="G139" t="inlineStr">
        <is>
          <t>APOYO ASISTENCIAL (intermedio)</t>
        </is>
      </c>
      <c r="H139" t="inlineStr">
        <is>
          <t>VERIFICAR</t>
        </is>
      </c>
    </row>
    <row r="140">
      <c r="A140" t="n">
        <v>1060101</v>
      </c>
      <c r="B140" t="inlineStr">
        <is>
          <t>HSJCN-CRAVO NORTE-CONSULTA Y PROCEDIMIENTOS</t>
        </is>
      </c>
      <c r="C140" t="inlineStr">
        <is>
          <t>B01</t>
        </is>
      </c>
      <c r="D140" t="inlineStr">
        <is>
          <t>CONSULTA URGENCIAS</t>
        </is>
      </c>
      <c r="E140" t="inlineStr">
        <is>
          <t>B01|HSJCN</t>
        </is>
      </c>
      <c r="F140" t="inlineStr">
        <is>
          <t>HSJCN - Cravo Norte</t>
        </is>
      </c>
      <c r="G140" t="inlineStr">
        <is>
          <t>PRODUCTIVO (final)</t>
        </is>
      </c>
      <c r="H140" t="inlineStr">
        <is>
          <t>ACTIVO</t>
        </is>
      </c>
    </row>
    <row r="141">
      <c r="A141" t="n">
        <v>1060102</v>
      </c>
      <c r="B141" t="inlineStr">
        <is>
          <t>HSJCN-CRAVO NORTE-OBSERVACIONES</t>
        </is>
      </c>
      <c r="C141" t="inlineStr">
        <is>
          <t>B02</t>
        </is>
      </c>
      <c r="D141" t="inlineStr">
        <is>
          <t>OBSERVACIÓN</t>
        </is>
      </c>
      <c r="E141" t="inlineStr">
        <is>
          <t>B02|HSJCN</t>
        </is>
      </c>
      <c r="F141" t="inlineStr">
        <is>
          <t>HSJCN - Cravo Norte</t>
        </is>
      </c>
      <c r="G141" t="inlineStr">
        <is>
          <t>PRODUCTIVO (final)</t>
        </is>
      </c>
      <c r="H141" t="inlineStr">
        <is>
          <t>ACTIVO</t>
        </is>
      </c>
    </row>
    <row r="142">
      <c r="A142" t="n">
        <v>1060201</v>
      </c>
      <c r="B142" t="inlineStr">
        <is>
          <t>HSJCN-CRAVO NORTE-CONSULTA EXTERNA</t>
        </is>
      </c>
      <c r="C142" t="inlineStr">
        <is>
          <t>A10</t>
        </is>
      </c>
      <c r="D142" t="inlineStr">
        <is>
          <t>MEDICINA GENERAL</t>
        </is>
      </c>
      <c r="E142" t="inlineStr">
        <is>
          <t>A10|HSJCN</t>
        </is>
      </c>
      <c r="F142" t="inlineStr">
        <is>
          <t>HSJCN - Cravo Norte</t>
        </is>
      </c>
      <c r="G142" t="inlineStr">
        <is>
          <t>PRODUCTIVO (final)</t>
        </is>
      </c>
      <c r="H142" t="inlineStr">
        <is>
          <t>ACTIVO</t>
        </is>
      </c>
    </row>
    <row r="143">
      <c r="A143" t="n">
        <v>1060202</v>
      </c>
      <c r="B143" t="inlineStr">
        <is>
          <t>HSJCN-CRAVO NORTE-CONSULTA ESPECIALIZADA</t>
        </is>
      </c>
      <c r="C143" t="inlineStr">
        <is>
          <t>A32</t>
        </is>
      </c>
      <c r="D143" t="inlineStr">
        <is>
          <t>OTRAS CONSULTAS Y PROCEDIMIENTOS</t>
        </is>
      </c>
      <c r="E143" t="inlineStr">
        <is>
          <t>A32|HSJCN</t>
        </is>
      </c>
      <c r="F143" t="inlineStr">
        <is>
          <t>HSJCN - Cravo Norte</t>
        </is>
      </c>
      <c r="G143" t="inlineStr">
        <is>
          <t>PRODUCTIVO (final)</t>
        </is>
      </c>
      <c r="H143" t="inlineStr">
        <is>
          <t>ACTIVO</t>
        </is>
      </c>
    </row>
    <row r="144">
      <c r="A144" t="n">
        <v>1060203</v>
      </c>
      <c r="B144" t="inlineStr">
        <is>
          <t>HSJCN-CRAVO NORTE-SALUD ORAL</t>
        </is>
      </c>
      <c r="C144" t="inlineStr">
        <is>
          <t>E01</t>
        </is>
      </c>
      <c r="D144" t="inlineStr">
        <is>
          <t>ODONTOLOGÍA GENERAL</t>
        </is>
      </c>
      <c r="E144" t="inlineStr">
        <is>
          <t>E01|HSJCN</t>
        </is>
      </c>
      <c r="F144" t="inlineStr">
        <is>
          <t>HSJCN - Cravo Norte</t>
        </is>
      </c>
      <c r="G144" t="inlineStr">
        <is>
          <t>PRODUCTIVO (final)</t>
        </is>
      </c>
      <c r="H144" t="inlineStr">
        <is>
          <t>ACTIVO</t>
        </is>
      </c>
    </row>
    <row r="145">
      <c r="A145" t="n">
        <v>1060204</v>
      </c>
      <c r="B145" t="inlineStr">
        <is>
          <t>HSJCN-CRAVO NORTE-PROMOCION Y MANTENIMIENTO</t>
        </is>
      </c>
      <c r="C145" t="inlineStr">
        <is>
          <t>N03</t>
        </is>
      </c>
      <c r="D145" t="inlineStr">
        <is>
          <t>PROMOCIÓN Y PREVENCIÓN</t>
        </is>
      </c>
      <c r="E145" t="inlineStr">
        <is>
          <t>N03|HSJCN</t>
        </is>
      </c>
      <c r="F145" t="inlineStr">
        <is>
          <t>HSJCN - Cravo Norte</t>
        </is>
      </c>
      <c r="G145" t="inlineStr">
        <is>
          <t>PRODUCTIVO (final)</t>
        </is>
      </c>
      <c r="H145" t="inlineStr">
        <is>
          <t>ACTIVO</t>
        </is>
      </c>
    </row>
    <row r="146">
      <c r="A146" t="n">
        <v>1060205</v>
      </c>
      <c r="B146" t="inlineStr">
        <is>
          <t>HSJCN-CRAVO NORTE-OTRAS ACTIVIDADES EXTRAMURALES</t>
        </is>
      </c>
      <c r="C146" t="inlineStr">
        <is>
          <t>K25</t>
        </is>
      </c>
      <c r="D146" t="inlineStr">
        <is>
          <t>SALUD PUBLICA</t>
        </is>
      </c>
      <c r="E146" t="inlineStr">
        <is>
          <t>K25|HSJCN</t>
        </is>
      </c>
      <c r="F146" t="inlineStr">
        <is>
          <t>HSJCN - Cravo Norte</t>
        </is>
      </c>
      <c r="G146" t="inlineStr">
        <is>
          <t>PRODUCTIVO (final)</t>
        </is>
      </c>
      <c r="H146" t="inlineStr">
        <is>
          <t>ACTIVO</t>
        </is>
      </c>
    </row>
    <row r="147">
      <c r="A147" t="n">
        <v>1060301</v>
      </c>
      <c r="B147" t="inlineStr">
        <is>
          <t>HSJCN-CRAVO NORTE-HOSPITALACION-ESTANCIA GENERAL</t>
        </is>
      </c>
      <c r="C147" t="inlineStr">
        <is>
          <t>I01</t>
        </is>
      </c>
      <c r="D147" t="inlineStr">
        <is>
          <t>HOSPITALIZACIÓN GENERAL</t>
        </is>
      </c>
      <c r="E147" t="inlineStr">
        <is>
          <t>I01|HSJCN</t>
        </is>
      </c>
      <c r="F147" t="inlineStr">
        <is>
          <t>HSJCN - Cravo Norte</t>
        </is>
      </c>
      <c r="G147" t="inlineStr">
        <is>
          <t>PRODUCTIVO (final)</t>
        </is>
      </c>
      <c r="H147" t="inlineStr">
        <is>
          <t>ACTIVO</t>
        </is>
      </c>
    </row>
    <row r="148">
      <c r="A148" t="n">
        <v>1060302</v>
      </c>
      <c r="B148" t="inlineStr">
        <is>
          <t>HSJCN-CRAVO NORTE-CUIDADOS INTENSIVOS</t>
        </is>
      </c>
      <c r="C148" t="inlineStr">
        <is>
          <t>J02</t>
        </is>
      </c>
      <c r="D148" t="inlineStr">
        <is>
          <t>UCI ADULTOS</t>
        </is>
      </c>
      <c r="E148" t="inlineStr">
        <is>
          <t>J02|HSJCN</t>
        </is>
      </c>
      <c r="F148" t="inlineStr">
        <is>
          <t>HSJCN - Cravo Norte</t>
        </is>
      </c>
      <c r="G148" t="inlineStr">
        <is>
          <t>PRODUCTIVO (final)</t>
        </is>
      </c>
      <c r="H148" t="inlineStr">
        <is>
          <t>NO APLICA</t>
        </is>
      </c>
    </row>
    <row r="149">
      <c r="A149" t="n">
        <v>1060303</v>
      </c>
      <c r="B149" t="inlineStr">
        <is>
          <t>HSJCN-CRAVO NORTE-CUIDADOS INTERMEDIOS</t>
        </is>
      </c>
      <c r="C149" t="inlineStr">
        <is>
          <t>J05</t>
        </is>
      </c>
      <c r="D149" t="inlineStr">
        <is>
          <t>UCI INTERMEDIOS ADULTOS</t>
        </is>
      </c>
      <c r="E149" t="inlineStr">
        <is>
          <t>J05|HSJCN</t>
        </is>
      </c>
      <c r="F149" t="inlineStr">
        <is>
          <t>HSJCN - Cravo Norte</t>
        </is>
      </c>
      <c r="G149" t="inlineStr">
        <is>
          <t>PRODUCTIVO (final)</t>
        </is>
      </c>
      <c r="H149" t="inlineStr">
        <is>
          <t>NO APLICA</t>
        </is>
      </c>
    </row>
    <row r="150">
      <c r="A150" t="n">
        <v>1060304</v>
      </c>
      <c r="B150" t="inlineStr">
        <is>
          <t>HSJCN-CRAVO NORTE-RECIEN NACIDOS</t>
        </is>
      </c>
      <c r="C150" t="inlineStr">
        <is>
          <t>J09</t>
        </is>
      </c>
      <c r="D150" t="inlineStr">
        <is>
          <t>UNIDAD DE RECIÉN NACIDOS</t>
        </is>
      </c>
      <c r="E150" t="inlineStr">
        <is>
          <t>J09|HSJCN</t>
        </is>
      </c>
      <c r="F150" t="inlineStr">
        <is>
          <t>HSJCN - Cravo Norte</t>
        </is>
      </c>
      <c r="G150" t="inlineStr">
        <is>
          <t>PRODUCTIVO (final)</t>
        </is>
      </c>
      <c r="H150" t="inlineStr">
        <is>
          <t>VERIFICAR</t>
        </is>
      </c>
    </row>
    <row r="151">
      <c r="A151" t="n">
        <v>1060305</v>
      </c>
      <c r="B151" t="inlineStr">
        <is>
          <t>HSJCN-CRAVO NORTE-HOSPITALIZACI.N SALUD MENTAL</t>
        </is>
      </c>
      <c r="C151" t="inlineStr">
        <is>
          <t>J10</t>
        </is>
      </c>
      <c r="D151" t="inlineStr">
        <is>
          <t>UNIDAD SALUD MENTAL Y DESINTOXICACIÓN (BAJA COMPLEJIDAD)</t>
        </is>
      </c>
      <c r="E151" t="inlineStr">
        <is>
          <t>J10|HSJCN</t>
        </is>
      </c>
      <c r="F151" t="inlineStr">
        <is>
          <t>HSJCN - Cravo Norte</t>
        </is>
      </c>
      <c r="G151" t="inlineStr">
        <is>
          <t>PRODUCTIVO (final)</t>
        </is>
      </c>
      <c r="H151" t="inlineStr">
        <is>
          <t>NO APLICA</t>
        </is>
      </c>
    </row>
    <row r="152">
      <c r="A152" t="n">
        <v>1060306</v>
      </c>
      <c r="B152" t="inlineStr">
        <is>
          <t>HSJCN-CRAVO NORTE-QUEMADOS</t>
        </is>
      </c>
      <c r="C152" t="inlineStr">
        <is>
          <t>J08</t>
        </is>
      </c>
      <c r="D152" t="inlineStr">
        <is>
          <t>UNIDAD DE QUEMADOS ADULTOS</t>
        </is>
      </c>
      <c r="E152" t="inlineStr">
        <is>
          <t>J08|HSJCN</t>
        </is>
      </c>
      <c r="F152" t="inlineStr">
        <is>
          <t>HSJCN - Cravo Norte</t>
        </is>
      </c>
      <c r="G152" t="inlineStr">
        <is>
          <t>PRODUCTIVO (final)</t>
        </is>
      </c>
      <c r="H152" t="inlineStr">
        <is>
          <t>NO APLICA</t>
        </is>
      </c>
    </row>
    <row r="153">
      <c r="A153" t="n">
        <v>1060307</v>
      </c>
      <c r="B153" t="inlineStr">
        <is>
          <t>HSJCN-CRAVO NORTE-OTROS CUIDADOS ESPECIALE</t>
        </is>
      </c>
      <c r="C153" t="inlineStr">
        <is>
          <t>J13</t>
        </is>
      </c>
      <c r="D153" t="inlineStr">
        <is>
          <t>OTRAS UNIDADES ESPECIALES</t>
        </is>
      </c>
      <c r="E153" t="inlineStr">
        <is>
          <t>J13|HSJCN</t>
        </is>
      </c>
      <c r="F153" t="inlineStr">
        <is>
          <t>HSJCN - Cravo Norte</t>
        </is>
      </c>
      <c r="G153" t="inlineStr">
        <is>
          <t>PRODUCTIVO (final)</t>
        </is>
      </c>
      <c r="H153" t="inlineStr">
        <is>
          <t>NO APLICA</t>
        </is>
      </c>
    </row>
    <row r="154">
      <c r="A154" t="n">
        <v>1060401</v>
      </c>
      <c r="B154" t="inlineStr">
        <is>
          <t>HSJCN-CRAVO NORTE-QUIROFANOS</t>
        </is>
      </c>
      <c r="C154" t="inlineStr">
        <is>
          <t>C01</t>
        </is>
      </c>
      <c r="D154" t="inlineStr">
        <is>
          <t>CIRUGÍA GENERAL</t>
        </is>
      </c>
      <c r="E154" t="inlineStr">
        <is>
          <t>C01|HSJCN</t>
        </is>
      </c>
      <c r="F154" t="inlineStr">
        <is>
          <t>HSJCN - Cravo Norte</t>
        </is>
      </c>
      <c r="G154" t="inlineStr">
        <is>
          <t>PRODUCTIVO (final)</t>
        </is>
      </c>
      <c r="H154" t="inlineStr">
        <is>
          <t>VERIFICAR</t>
        </is>
      </c>
    </row>
    <row r="155">
      <c r="A155" t="n">
        <v>1060402</v>
      </c>
      <c r="B155" t="inlineStr">
        <is>
          <t>HSJCN-CRAVO NORTE-SALA DE PARTO</t>
        </is>
      </c>
      <c r="C155" t="inlineStr">
        <is>
          <t>D02</t>
        </is>
      </c>
      <c r="D155" t="inlineStr">
        <is>
          <t>ATENCIÓN DE PARTO BAJA COMPLEJIDAD</t>
        </is>
      </c>
      <c r="E155" t="inlineStr">
        <is>
          <t>D02|HSJCN</t>
        </is>
      </c>
      <c r="F155" t="inlineStr">
        <is>
          <t>HSJCN - Cravo Norte</t>
        </is>
      </c>
      <c r="G155" t="inlineStr">
        <is>
          <t>PRODUCTIVO (final)</t>
        </is>
      </c>
      <c r="H155" t="inlineStr">
        <is>
          <t>ACTIVO</t>
        </is>
      </c>
    </row>
    <row r="156">
      <c r="A156" t="n">
        <v>1060501</v>
      </c>
      <c r="B156" t="inlineStr">
        <is>
          <t>HSJCN-CRAVO NORTE-LABORATORIO CLINICO</t>
        </is>
      </c>
      <c r="C156" t="inlineStr">
        <is>
          <t>L07</t>
        </is>
      </c>
      <c r="D156" t="inlineStr">
        <is>
          <t>LABORATORIO Y ANÁLISIS CLÍNICO</t>
        </is>
      </c>
      <c r="E156" t="inlineStr">
        <is>
          <t>L07|HSJCN</t>
        </is>
      </c>
      <c r="F156" t="inlineStr">
        <is>
          <t>HSJCN - Cravo Norte</t>
        </is>
      </c>
      <c r="G156" t="inlineStr">
        <is>
          <t>APOYO ASISTENCIAL (intermedio)</t>
        </is>
      </c>
      <c r="H156" t="inlineStr">
        <is>
          <t>ACTIVO</t>
        </is>
      </c>
    </row>
    <row r="157">
      <c r="A157" t="n">
        <v>1060502</v>
      </c>
      <c r="B157" t="inlineStr">
        <is>
          <t>HSJCN-CRAVO NORTE-IMAGENOLOGIA</t>
        </is>
      </c>
      <c r="C157" t="inlineStr">
        <is>
          <t>L02</t>
        </is>
      </c>
      <c r="D157" t="inlineStr">
        <is>
          <t>IMAGENEOLOGÍA RADIOLÓGICA</t>
        </is>
      </c>
      <c r="E157" t="inlineStr">
        <is>
          <t>L02|HSJCN</t>
        </is>
      </c>
      <c r="F157" t="inlineStr">
        <is>
          <t>HSJCN - Cravo Norte</t>
        </is>
      </c>
      <c r="G157" t="inlineStr">
        <is>
          <t>APOYO ASISTENCIAL (intermedio)</t>
        </is>
      </c>
      <c r="H157" t="inlineStr">
        <is>
          <t>ACTIVO</t>
        </is>
      </c>
    </row>
    <row r="158">
      <c r="A158" t="n">
        <v>1060503</v>
      </c>
      <c r="B158" t="inlineStr">
        <is>
          <t>HSJCN-CRAVO NORTE-ANATOMIA PATOLOGICA</t>
        </is>
      </c>
      <c r="C158" t="inlineStr">
        <is>
          <t>L01</t>
        </is>
      </c>
      <c r="D158" t="inlineStr">
        <is>
          <t>LABORATORIO ANATOMÍA PATOLÓGICA</t>
        </is>
      </c>
      <c r="E158" t="inlineStr">
        <is>
          <t>L01|HSJCN</t>
        </is>
      </c>
      <c r="F158" t="inlineStr">
        <is>
          <t>HSJCN - Cravo Norte</t>
        </is>
      </c>
      <c r="G158" t="inlineStr">
        <is>
          <t>APOYO ASISTENCIAL (intermedio)</t>
        </is>
      </c>
      <c r="H158" t="inlineStr">
        <is>
          <t>NO APLICA</t>
        </is>
      </c>
    </row>
    <row r="159">
      <c r="A159" t="n">
        <v>1060504</v>
      </c>
      <c r="B159" t="inlineStr">
        <is>
          <t>HSJCN-CRAVO NORTE-OTRAS UNIDADES DE APOYO DIAGNOSTICO</t>
        </is>
      </c>
      <c r="C159" t="inlineStr">
        <is>
          <t>L04</t>
        </is>
      </c>
      <c r="D159" t="inlineStr">
        <is>
          <t>IMAGENOLOGÍA NO RADIOLÓGICA</t>
        </is>
      </c>
      <c r="E159" t="inlineStr">
        <is>
          <t>L04|HSJCN</t>
        </is>
      </c>
      <c r="F159" t="inlineStr">
        <is>
          <t>HSJCN - Cravo Norte</t>
        </is>
      </c>
      <c r="G159" t="inlineStr">
        <is>
          <t>APOYO ASISTENCIAL (intermedio)</t>
        </is>
      </c>
      <c r="H159" t="inlineStr">
        <is>
          <t>VERIFICAR</t>
        </is>
      </c>
    </row>
    <row r="160">
      <c r="A160" t="n">
        <v>1060601</v>
      </c>
      <c r="B160" t="inlineStr">
        <is>
          <t>HSJCN-CRAVO NORTE-REHABILITACION Y TERAPIAS</t>
        </is>
      </c>
      <c r="C160" t="inlineStr">
        <is>
          <t>M06</t>
        </is>
      </c>
      <c r="D160" t="inlineStr">
        <is>
          <t>FISIOTERAPIA Y REHABILITACIÓN</t>
        </is>
      </c>
      <c r="E160" t="inlineStr">
        <is>
          <t>M06|HSJCN</t>
        </is>
      </c>
      <c r="F160" t="inlineStr">
        <is>
          <t>HSJCN - Cravo Norte</t>
        </is>
      </c>
      <c r="G160" t="inlineStr">
        <is>
          <t>APOYO ASISTENCIAL (intermedio)</t>
        </is>
      </c>
      <c r="H160" t="inlineStr">
        <is>
          <t>ACTIVO</t>
        </is>
      </c>
    </row>
    <row r="161">
      <c r="A161" t="n">
        <v>1060602</v>
      </c>
      <c r="B161" t="inlineStr">
        <is>
          <t>HSJCN-CRAVO NORTE-BANCO DE SANGRE</t>
        </is>
      </c>
      <c r="C161" t="inlineStr">
        <is>
          <t>M01</t>
        </is>
      </c>
      <c r="D161" t="inlineStr">
        <is>
          <t>BANCO DE SANGRE</t>
        </is>
      </c>
      <c r="E161" t="inlineStr">
        <is>
          <t>M01|HSJCN</t>
        </is>
      </c>
      <c r="F161" t="inlineStr">
        <is>
          <t>HSJCN - Cravo Norte</t>
        </is>
      </c>
      <c r="G161" t="inlineStr">
        <is>
          <t>APOYO ASISTENCIAL (intermedio)</t>
        </is>
      </c>
      <c r="H161" t="inlineStr">
        <is>
          <t>NO APLICA</t>
        </is>
      </c>
    </row>
    <row r="162">
      <c r="A162" t="n">
        <v>1060603</v>
      </c>
      <c r="B162" t="inlineStr">
        <is>
          <t>HSJCN-CRAVO NORTE-UNIDAD RENAL</t>
        </is>
      </c>
      <c r="C162" t="inlineStr">
        <is>
          <t>M03</t>
        </is>
      </c>
      <c r="D162" t="inlineStr">
        <is>
          <t>TERAPIA RENAL</t>
        </is>
      </c>
      <c r="E162" t="inlineStr">
        <is>
          <t>M03|HSJCN</t>
        </is>
      </c>
      <c r="F162" t="inlineStr">
        <is>
          <t>HSJCN - Cravo Norte</t>
        </is>
      </c>
      <c r="G162" t="inlineStr">
        <is>
          <t>APOYO ASISTENCIAL (intermedio)</t>
        </is>
      </c>
      <c r="H162" t="inlineStr">
        <is>
          <t>NO APLICA</t>
        </is>
      </c>
    </row>
    <row r="163">
      <c r="A163" t="n">
        <v>1060604</v>
      </c>
      <c r="B163" t="inlineStr">
        <is>
          <t>HSJCN-CRAVO NORTE-UNIDAD HEMODINAMIA</t>
        </is>
      </c>
      <c r="C163" t="inlineStr">
        <is>
          <t>C05</t>
        </is>
      </c>
      <c r="D163" t="inlineStr">
        <is>
          <t>CARDIOVASCULAR</t>
        </is>
      </c>
      <c r="E163" t="inlineStr">
        <is>
          <t>C05|HSJCN</t>
        </is>
      </c>
      <c r="F163" t="inlineStr">
        <is>
          <t>HSJCN - Cravo Norte</t>
        </is>
      </c>
      <c r="G163" t="inlineStr">
        <is>
          <t>PRODUCTIVO (final)</t>
        </is>
      </c>
      <c r="H163" t="inlineStr">
        <is>
          <t>NO APLICA</t>
        </is>
      </c>
    </row>
    <row r="164">
      <c r="A164" t="n">
        <v>1060605</v>
      </c>
      <c r="B164" t="inlineStr">
        <is>
          <t>HSJCN-CRAVO NORTE-TERAPIAS ONCOLOGICAS</t>
        </is>
      </c>
      <c r="C164" t="inlineStr">
        <is>
          <t>M07</t>
        </is>
      </c>
      <c r="D164" t="inlineStr">
        <is>
          <t>OTRAS TERAPIAS</t>
        </is>
      </c>
      <c r="E164" t="inlineStr">
        <is>
          <t>M07|HSJCN</t>
        </is>
      </c>
      <c r="F164" t="inlineStr">
        <is>
          <t>HSJCN - Cravo Norte</t>
        </is>
      </c>
      <c r="G164" t="inlineStr">
        <is>
          <t>APOYO ASISTENCIAL (intermedio)</t>
        </is>
      </c>
      <c r="H164" t="inlineStr">
        <is>
          <t>NO APLICA</t>
        </is>
      </c>
    </row>
    <row r="165">
      <c r="A165" t="n">
        <v>1060606</v>
      </c>
      <c r="B165" t="inlineStr">
        <is>
          <t>HSJCN-CRAVO NORTE-FARMACIA E INSUMOS HOPITALARIOS</t>
        </is>
      </c>
      <c r="C165" t="inlineStr">
        <is>
          <t>M05</t>
        </is>
      </c>
      <c r="D165" t="inlineStr">
        <is>
          <t>FARMACIA</t>
        </is>
      </c>
      <c r="E165" t="inlineStr">
        <is>
          <t>M05|HSJCN</t>
        </is>
      </c>
      <c r="F165" t="inlineStr">
        <is>
          <t>HSJCN - Cravo Norte</t>
        </is>
      </c>
      <c r="G165" t="inlineStr">
        <is>
          <t>APOYO ASISTENCIAL (intermedio)</t>
        </is>
      </c>
      <c r="H165" t="inlineStr">
        <is>
          <t>ACTIVO</t>
        </is>
      </c>
    </row>
    <row r="166">
      <c r="A166" t="n">
        <v>1060607</v>
      </c>
      <c r="B166" t="inlineStr">
        <is>
          <t>HSJCN-CRAVO NORTE-OTRAS UNIDADES DE APOYO TERAPEUTICO</t>
        </is>
      </c>
      <c r="C166" t="inlineStr">
        <is>
          <t>M07</t>
        </is>
      </c>
      <c r="D166" t="inlineStr">
        <is>
          <t>OTRAS TERAPIAS</t>
        </is>
      </c>
      <c r="E166" t="inlineStr">
        <is>
          <t>M07|HSJCN</t>
        </is>
      </c>
      <c r="F166" t="inlineStr">
        <is>
          <t>HSJCN - Cravo Norte</t>
        </is>
      </c>
      <c r="G166" t="inlineStr">
        <is>
          <t>APOYO ASISTENCIAL (intermedio)</t>
        </is>
      </c>
      <c r="H166" t="inlineStr">
        <is>
          <t>VERIFICAR</t>
        </is>
      </c>
    </row>
    <row r="167">
      <c r="A167" t="n">
        <v>1060701</v>
      </c>
      <c r="B167" t="inlineStr">
        <is>
          <t>HSJCN-CRAVO NORTE-ANCIANATOS</t>
        </is>
      </c>
      <c r="C167" t="inlineStr">
        <is>
          <t>J01</t>
        </is>
      </c>
      <c r="D167" t="inlineStr">
        <is>
          <t>ANCIANATOS Y ALBERGUES</t>
        </is>
      </c>
      <c r="E167" t="inlineStr">
        <is>
          <t>J01|HSJCN</t>
        </is>
      </c>
      <c r="F167" t="inlineStr">
        <is>
          <t>HSJCN - Cravo Norte</t>
        </is>
      </c>
      <c r="G167" t="inlineStr">
        <is>
          <t>PRODUCTIVO (final)</t>
        </is>
      </c>
      <c r="H167" t="inlineStr">
        <is>
          <t>NO APLICA</t>
        </is>
      </c>
    </row>
    <row r="168">
      <c r="A168" t="n">
        <v>1060702</v>
      </c>
      <c r="B168" t="inlineStr">
        <is>
          <t>HSJCN-CRAVO NORTE-CENTROS Y PUESTOS DE SALUD</t>
        </is>
      </c>
      <c r="C168" t="inlineStr">
        <is>
          <t>J17</t>
        </is>
      </c>
      <c r="D168" t="inlineStr">
        <is>
          <t>CENTROS Y PUESTOS DE SALUD</t>
        </is>
      </c>
      <c r="E168" t="inlineStr">
        <is>
          <t>J17|HSJCN</t>
        </is>
      </c>
      <c r="F168" t="inlineStr">
        <is>
          <t>HSJCN - Cravo Norte</t>
        </is>
      </c>
      <c r="G168" t="inlineStr">
        <is>
          <t>PRODUCTIVO (final)</t>
        </is>
      </c>
      <c r="H168" t="inlineStr">
        <is>
          <t>ACTIVO</t>
        </is>
      </c>
    </row>
    <row r="169">
      <c r="A169" t="n">
        <v>1060703</v>
      </c>
      <c r="B169" t="inlineStr">
        <is>
          <t>HSJCN-CRAVO NORTE-SERV. DOCENTES</t>
        </is>
      </c>
      <c r="C169" t="inlineStr">
        <is>
          <t>U03</t>
        </is>
      </c>
      <c r="D169" t="inlineStr">
        <is>
          <t>EDUCACIÓN MÉDICA</t>
        </is>
      </c>
      <c r="E169" t="inlineStr">
        <is>
          <t>U03|HSJCN</t>
        </is>
      </c>
      <c r="F169" t="inlineStr">
        <is>
          <t>HSJCN - Cravo Norte</t>
        </is>
      </c>
      <c r="G169" t="inlineStr">
        <is>
          <t>ADMINISTRATIVO</t>
        </is>
      </c>
      <c r="H169" t="inlineStr">
        <is>
          <t>NO APLICA</t>
        </is>
      </c>
    </row>
    <row r="170">
      <c r="A170" t="n">
        <v>1060704</v>
      </c>
      <c r="B170" t="inlineStr">
        <is>
          <t>HSJCN-CRAVO NORTE-SERV. CONEXOS A LA SALUD MEDICINA LEGAL</t>
        </is>
      </c>
      <c r="C170" t="inlineStr">
        <is>
          <t>A32</t>
        </is>
      </c>
      <c r="D170" t="inlineStr">
        <is>
          <t>OTRAS CONSULTAS Y PROCEDIMIENTOS</t>
        </is>
      </c>
      <c r="E170" t="inlineStr">
        <is>
          <t>A32|HSJCN</t>
        </is>
      </c>
      <c r="F170" t="inlineStr">
        <is>
          <t>HSJCN - Cravo Norte</t>
        </is>
      </c>
      <c r="G170" t="inlineStr">
        <is>
          <t>PRODUCTIVO (final)</t>
        </is>
      </c>
      <c r="H170" t="inlineStr">
        <is>
          <t>VERIFICAR</t>
        </is>
      </c>
    </row>
    <row r="171">
      <c r="A171" t="n">
        <v>1060705</v>
      </c>
      <c r="B171" t="inlineStr">
        <is>
          <t>HSJCN-CRAVO NORTE-SERV. CONEXOS A LA SALUD SER. AMBULANC</t>
        </is>
      </c>
      <c r="C171" t="inlineStr">
        <is>
          <t>N08</t>
        </is>
      </c>
      <c r="D171" t="inlineStr">
        <is>
          <t>SERVICIO DE AMBULANCIAS</t>
        </is>
      </c>
      <c r="E171" t="inlineStr">
        <is>
          <t>N08|HSJCN</t>
        </is>
      </c>
      <c r="F171" t="inlineStr">
        <is>
          <t>HSJCN - Cravo Norte</t>
        </is>
      </c>
      <c r="G171" t="inlineStr">
        <is>
          <t>PRODUCTIVO (final)</t>
        </is>
      </c>
      <c r="H171" t="inlineStr">
        <is>
          <t>ACTIVO</t>
        </is>
      </c>
    </row>
    <row r="172">
      <c r="A172" t="n">
        <v>1060706</v>
      </c>
      <c r="B172" t="inlineStr">
        <is>
          <t>HSJCN-CRAVO NORTE-SER. CONEXOS A LA SALUD OTROS SERVICIOS</t>
        </is>
      </c>
      <c r="C172" t="inlineStr">
        <is>
          <t>N04</t>
        </is>
      </c>
      <c r="D172" t="inlineStr">
        <is>
          <t>OTROS ENFERMERÍA</t>
        </is>
      </c>
      <c r="E172" t="inlineStr">
        <is>
          <t>N04|HSJCN</t>
        </is>
      </c>
      <c r="F172" t="inlineStr">
        <is>
          <t>HSJCN - Cravo Norte</t>
        </is>
      </c>
      <c r="G172" t="inlineStr">
        <is>
          <t>APOYO ASISTENCIAL (intermedio)</t>
        </is>
      </c>
      <c r="H172" t="inlineStr">
        <is>
          <t>VERIFICAR</t>
        </is>
      </c>
    </row>
    <row r="173">
      <c r="A173" t="n">
        <v>1070101</v>
      </c>
      <c r="B173" t="inlineStr">
        <is>
          <t>HSRP-PAMPURI-CONSULTA Y PROCEDIMIENTOS</t>
        </is>
      </c>
      <c r="C173" t="inlineStr">
        <is>
          <t>B01</t>
        </is>
      </c>
      <c r="D173" t="inlineStr">
        <is>
          <t>CONSULTA URGENCIAS</t>
        </is>
      </c>
      <c r="E173" t="inlineStr">
        <is>
          <t>B01|HSRP</t>
        </is>
      </c>
      <c r="F173" t="inlineStr">
        <is>
          <t>HSRP - Pampurí / La Esmeralda</t>
        </is>
      </c>
      <c r="G173" t="inlineStr">
        <is>
          <t>PRODUCTIVO (final)</t>
        </is>
      </c>
      <c r="H173" t="inlineStr">
        <is>
          <t>ACTIVO</t>
        </is>
      </c>
    </row>
    <row r="174">
      <c r="A174" t="n">
        <v>1070102</v>
      </c>
      <c r="B174" t="inlineStr">
        <is>
          <t>HSRP-LA ESMERALDA-OBSERVACIONES</t>
        </is>
      </c>
      <c r="C174" t="inlineStr">
        <is>
          <t>B02</t>
        </is>
      </c>
      <c r="D174" t="inlineStr">
        <is>
          <t>OBSERVACIÓN</t>
        </is>
      </c>
      <c r="E174" t="inlineStr">
        <is>
          <t>B02|HSRP</t>
        </is>
      </c>
      <c r="F174" t="inlineStr">
        <is>
          <t>HSRP - Pampurí / La Esmeralda</t>
        </is>
      </c>
      <c r="G174" t="inlineStr">
        <is>
          <t>PRODUCTIVO (final)</t>
        </is>
      </c>
      <c r="H174" t="inlineStr">
        <is>
          <t>ACTIVO</t>
        </is>
      </c>
    </row>
    <row r="175">
      <c r="A175" t="n">
        <v>1070201</v>
      </c>
      <c r="B175" t="inlineStr">
        <is>
          <t>HSRP-PAMPURI-CONSULTA EXTERNA</t>
        </is>
      </c>
      <c r="C175" t="inlineStr">
        <is>
          <t>A10</t>
        </is>
      </c>
      <c r="D175" t="inlineStr">
        <is>
          <t>MEDICINA GENERAL</t>
        </is>
      </c>
      <c r="E175" t="inlineStr">
        <is>
          <t>A10|HSRP</t>
        </is>
      </c>
      <c r="F175" t="inlineStr">
        <is>
          <t>HSRP - Pampurí / La Esmeralda</t>
        </is>
      </c>
      <c r="G175" t="inlineStr">
        <is>
          <t>PRODUCTIVO (final)</t>
        </is>
      </c>
      <c r="H175" t="inlineStr">
        <is>
          <t>ACTIVO</t>
        </is>
      </c>
    </row>
    <row r="176">
      <c r="A176" t="n">
        <v>1070202</v>
      </c>
      <c r="B176" t="inlineStr">
        <is>
          <t>HSRP-LA ESMERALDA-CONSULTA ESPECIALIZADA</t>
        </is>
      </c>
      <c r="C176" t="inlineStr">
        <is>
          <t>A32</t>
        </is>
      </c>
      <c r="D176" t="inlineStr">
        <is>
          <t>OTRAS CONSULTAS Y PROCEDIMIENTOS</t>
        </is>
      </c>
      <c r="E176" t="inlineStr">
        <is>
          <t>A32|HSRP</t>
        </is>
      </c>
      <c r="F176" t="inlineStr">
        <is>
          <t>HSRP - Pampurí / La Esmeralda</t>
        </is>
      </c>
      <c r="G176" t="inlineStr">
        <is>
          <t>PRODUCTIVO (final)</t>
        </is>
      </c>
      <c r="H176" t="inlineStr">
        <is>
          <t>ACTIVO</t>
        </is>
      </c>
    </row>
    <row r="177">
      <c r="A177" t="n">
        <v>1070203</v>
      </c>
      <c r="B177" t="inlineStr">
        <is>
          <t>HSRP-PAMPURI-SALUD ORAL</t>
        </is>
      </c>
      <c r="C177" t="inlineStr">
        <is>
          <t>E01</t>
        </is>
      </c>
      <c r="D177" t="inlineStr">
        <is>
          <t>ODONTOLOGÍA GENERAL</t>
        </is>
      </c>
      <c r="E177" t="inlineStr">
        <is>
          <t>E01|HSRP</t>
        </is>
      </c>
      <c r="F177" t="inlineStr">
        <is>
          <t>HSRP - Pampurí / La Esmeralda</t>
        </is>
      </c>
      <c r="G177" t="inlineStr">
        <is>
          <t>PRODUCTIVO (final)</t>
        </is>
      </c>
      <c r="H177" t="inlineStr">
        <is>
          <t>ACTIVO</t>
        </is>
      </c>
    </row>
    <row r="178">
      <c r="A178" t="n">
        <v>1070204</v>
      </c>
      <c r="B178" t="inlineStr">
        <is>
          <t>HSRP-LA ESMERALDA-PROMOCION Y MANTENIMIENTO</t>
        </is>
      </c>
      <c r="C178" t="inlineStr">
        <is>
          <t>N03</t>
        </is>
      </c>
      <c r="D178" t="inlineStr">
        <is>
          <t>PROMOCIÓN Y PREVENCIÓN</t>
        </is>
      </c>
      <c r="E178" t="inlineStr">
        <is>
          <t>N03|HSRP</t>
        </is>
      </c>
      <c r="F178" t="inlineStr">
        <is>
          <t>HSRP - Pampurí / La Esmeralda</t>
        </is>
      </c>
      <c r="G178" t="inlineStr">
        <is>
          <t>PRODUCTIVO (final)</t>
        </is>
      </c>
      <c r="H178" t="inlineStr">
        <is>
          <t>ACTIVO</t>
        </is>
      </c>
    </row>
    <row r="179">
      <c r="A179" t="n">
        <v>1070205</v>
      </c>
      <c r="B179" t="inlineStr">
        <is>
          <t>HSRP-LA ESMERALDA-OTRAS ACTIVIDADES EXTRAMURALES</t>
        </is>
      </c>
      <c r="C179" t="inlineStr">
        <is>
          <t>K25</t>
        </is>
      </c>
      <c r="D179" t="inlineStr">
        <is>
          <t>SALUD PUBLICA</t>
        </is>
      </c>
      <c r="E179" t="inlineStr">
        <is>
          <t>K25|HSRP</t>
        </is>
      </c>
      <c r="F179" t="inlineStr">
        <is>
          <t>HSRP - Pampurí / La Esmeralda</t>
        </is>
      </c>
      <c r="G179" t="inlineStr">
        <is>
          <t>PRODUCTIVO (final)</t>
        </is>
      </c>
      <c r="H179" t="inlineStr">
        <is>
          <t>ACTIVO</t>
        </is>
      </c>
    </row>
    <row r="180">
      <c r="A180" t="n">
        <v>1070301</v>
      </c>
      <c r="B180" t="inlineStr">
        <is>
          <t>HSRP-LA ESMERALDA-HOSPITALACION-ESTANCIA GENERAL</t>
        </is>
      </c>
      <c r="C180" t="inlineStr">
        <is>
          <t>I01</t>
        </is>
      </c>
      <c r="D180" t="inlineStr">
        <is>
          <t>HOSPITALIZACIÓN GENERAL</t>
        </is>
      </c>
      <c r="E180" t="inlineStr">
        <is>
          <t>I01|HSRP</t>
        </is>
      </c>
      <c r="F180" t="inlineStr">
        <is>
          <t>HSRP - Pampurí / La Esmeralda</t>
        </is>
      </c>
      <c r="G180" t="inlineStr">
        <is>
          <t>PRODUCTIVO (final)</t>
        </is>
      </c>
      <c r="H180" t="inlineStr">
        <is>
          <t>ACTIVO</t>
        </is>
      </c>
    </row>
    <row r="181">
      <c r="A181" t="n">
        <v>1070302</v>
      </c>
      <c r="B181" t="inlineStr">
        <is>
          <t>HSRP-LA ESMERALDA-CUIDADOS INTENSIVOS</t>
        </is>
      </c>
      <c r="C181" t="inlineStr">
        <is>
          <t>J02</t>
        </is>
      </c>
      <c r="D181" t="inlineStr">
        <is>
          <t>UCI ADULTOS</t>
        </is>
      </c>
      <c r="E181" t="inlineStr">
        <is>
          <t>J02|HSRP</t>
        </is>
      </c>
      <c r="F181" t="inlineStr">
        <is>
          <t>HSRP - Pampurí / La Esmeralda</t>
        </is>
      </c>
      <c r="G181" t="inlineStr">
        <is>
          <t>PRODUCTIVO (final)</t>
        </is>
      </c>
      <c r="H181" t="inlineStr">
        <is>
          <t>NO APLICA</t>
        </is>
      </c>
    </row>
    <row r="182">
      <c r="A182" t="n">
        <v>1070303</v>
      </c>
      <c r="B182" t="inlineStr">
        <is>
          <t>HSRP-LA ESMERALDA-CUIDADOS INTERMEDIOS</t>
        </is>
      </c>
      <c r="C182" t="inlineStr">
        <is>
          <t>J05</t>
        </is>
      </c>
      <c r="D182" t="inlineStr">
        <is>
          <t>UCI INTERMEDIOS ADULTOS</t>
        </is>
      </c>
      <c r="E182" t="inlineStr">
        <is>
          <t>J05|HSRP</t>
        </is>
      </c>
      <c r="F182" t="inlineStr">
        <is>
          <t>HSRP - Pampurí / La Esmeralda</t>
        </is>
      </c>
      <c r="G182" t="inlineStr">
        <is>
          <t>PRODUCTIVO (final)</t>
        </is>
      </c>
      <c r="H182" t="inlineStr">
        <is>
          <t>NO APLICA</t>
        </is>
      </c>
    </row>
    <row r="183">
      <c r="A183" t="n">
        <v>1070304</v>
      </c>
      <c r="B183" t="inlineStr">
        <is>
          <t>HSRP-LA ESMERALDA-RECIEN NACIDOS</t>
        </is>
      </c>
      <c r="C183" t="inlineStr">
        <is>
          <t>J09</t>
        </is>
      </c>
      <c r="D183" t="inlineStr">
        <is>
          <t>UNIDAD DE RECIÉN NACIDOS</t>
        </is>
      </c>
      <c r="E183" t="inlineStr">
        <is>
          <t>J09|HSRP</t>
        </is>
      </c>
      <c r="F183" t="inlineStr">
        <is>
          <t>HSRP - Pampurí / La Esmeralda</t>
        </is>
      </c>
      <c r="G183" t="inlineStr">
        <is>
          <t>PRODUCTIVO (final)</t>
        </is>
      </c>
      <c r="H183" t="inlineStr">
        <is>
          <t>VERIFICAR</t>
        </is>
      </c>
    </row>
    <row r="184">
      <c r="A184" t="n">
        <v>1070305</v>
      </c>
      <c r="B184" t="inlineStr">
        <is>
          <t>HSRP-LA ESMERALDA-HOSPITALIZACI.N SALUD MENTAL</t>
        </is>
      </c>
      <c r="C184" t="inlineStr">
        <is>
          <t>J10</t>
        </is>
      </c>
      <c r="D184" t="inlineStr">
        <is>
          <t>UNIDAD SALUD MENTAL Y DESINTOXICACIÓN (BAJA COMPLEJIDAD)</t>
        </is>
      </c>
      <c r="E184" t="inlineStr">
        <is>
          <t>J10|HSRP</t>
        </is>
      </c>
      <c r="F184" t="inlineStr">
        <is>
          <t>HSRP - Pampurí / La Esmeralda</t>
        </is>
      </c>
      <c r="G184" t="inlineStr">
        <is>
          <t>PRODUCTIVO (final)</t>
        </is>
      </c>
      <c r="H184" t="inlineStr">
        <is>
          <t>NO APLICA</t>
        </is>
      </c>
    </row>
    <row r="185">
      <c r="A185" t="n">
        <v>1070306</v>
      </c>
      <c r="B185" t="inlineStr">
        <is>
          <t>HSRP-LA ESMERALDA-QUEMADOS</t>
        </is>
      </c>
      <c r="C185" t="inlineStr">
        <is>
          <t>J08</t>
        </is>
      </c>
      <c r="D185" t="inlineStr">
        <is>
          <t>UNIDAD DE QUEMADOS ADULTOS</t>
        </is>
      </c>
      <c r="E185" t="inlineStr">
        <is>
          <t>J08|HSRP</t>
        </is>
      </c>
      <c r="F185" t="inlineStr">
        <is>
          <t>HSRP - Pampurí / La Esmeralda</t>
        </is>
      </c>
      <c r="G185" t="inlineStr">
        <is>
          <t>PRODUCTIVO (final)</t>
        </is>
      </c>
      <c r="H185" t="inlineStr">
        <is>
          <t>NO APLICA</t>
        </is>
      </c>
    </row>
    <row r="186">
      <c r="A186" t="n">
        <v>1070307</v>
      </c>
      <c r="B186" t="inlineStr">
        <is>
          <t>HSRP-LA ESMERALDA-OTROS CUIDADOS ESPECIALE</t>
        </is>
      </c>
      <c r="C186" t="inlineStr">
        <is>
          <t>J13</t>
        </is>
      </c>
      <c r="D186" t="inlineStr">
        <is>
          <t>OTRAS UNIDADES ESPECIALES</t>
        </is>
      </c>
      <c r="E186" t="inlineStr">
        <is>
          <t>J13|HSRP</t>
        </is>
      </c>
      <c r="F186" t="inlineStr">
        <is>
          <t>HSRP - Pampurí / La Esmeralda</t>
        </is>
      </c>
      <c r="G186" t="inlineStr">
        <is>
          <t>PRODUCTIVO (final)</t>
        </is>
      </c>
      <c r="H186" t="inlineStr">
        <is>
          <t>NO APLICA</t>
        </is>
      </c>
    </row>
    <row r="187">
      <c r="A187" t="n">
        <v>1070401</v>
      </c>
      <c r="B187" t="inlineStr">
        <is>
          <t>HSRP-LA ESMERALDA-QUIROFANOS</t>
        </is>
      </c>
      <c r="C187" t="inlineStr">
        <is>
          <t>C01</t>
        </is>
      </c>
      <c r="D187" t="inlineStr">
        <is>
          <t>CIRUGÍA GENERAL</t>
        </is>
      </c>
      <c r="E187" t="inlineStr">
        <is>
          <t>C01|HSRP</t>
        </is>
      </c>
      <c r="F187" t="inlineStr">
        <is>
          <t>HSRP - Pampurí / La Esmeralda</t>
        </is>
      </c>
      <c r="G187" t="inlineStr">
        <is>
          <t>PRODUCTIVO (final)</t>
        </is>
      </c>
      <c r="H187" t="inlineStr">
        <is>
          <t>VERIFICAR</t>
        </is>
      </c>
    </row>
    <row r="188">
      <c r="A188" t="n">
        <v>1070402</v>
      </c>
      <c r="B188" t="inlineStr">
        <is>
          <t>HSRP-LA ESMERALDA-SALA DE PARTO</t>
        </is>
      </c>
      <c r="C188" t="inlineStr">
        <is>
          <t>D02</t>
        </is>
      </c>
      <c r="D188" t="inlineStr">
        <is>
          <t>ATENCIÓN DE PARTO BAJA COMPLEJIDAD</t>
        </is>
      </c>
      <c r="E188" t="inlineStr">
        <is>
          <t>D02|HSRP</t>
        </is>
      </c>
      <c r="F188" t="inlineStr">
        <is>
          <t>HSRP - Pampurí / La Esmeralda</t>
        </is>
      </c>
      <c r="G188" t="inlineStr">
        <is>
          <t>PRODUCTIVO (final)</t>
        </is>
      </c>
      <c r="H188" t="inlineStr">
        <is>
          <t>ACTIVO</t>
        </is>
      </c>
    </row>
    <row r="189">
      <c r="A189" t="n">
        <v>1070501</v>
      </c>
      <c r="B189" t="inlineStr">
        <is>
          <t>HSRP-LA ESMERALDA-LABORATORIO CLINICO</t>
        </is>
      </c>
      <c r="C189" t="inlineStr">
        <is>
          <t>L07</t>
        </is>
      </c>
      <c r="D189" t="inlineStr">
        <is>
          <t>LABORATORIO Y ANÁLISIS CLÍNICO</t>
        </is>
      </c>
      <c r="E189" t="inlineStr">
        <is>
          <t>L07|HSRP</t>
        </is>
      </c>
      <c r="F189" t="inlineStr">
        <is>
          <t>HSRP - Pampurí / La Esmeralda</t>
        </is>
      </c>
      <c r="G189" t="inlineStr">
        <is>
          <t>APOYO ASISTENCIAL (intermedio)</t>
        </is>
      </c>
      <c r="H189" t="inlineStr">
        <is>
          <t>ACTIVO</t>
        </is>
      </c>
    </row>
    <row r="190">
      <c r="A190" t="n">
        <v>1070502</v>
      </c>
      <c r="B190" t="inlineStr">
        <is>
          <t>HSRP-LA ESMERALDA-IMAGENOLOGIA</t>
        </is>
      </c>
      <c r="C190" t="inlineStr">
        <is>
          <t>L02</t>
        </is>
      </c>
      <c r="D190" t="inlineStr">
        <is>
          <t>IMAGENEOLOGÍA RADIOLÓGICA</t>
        </is>
      </c>
      <c r="E190" t="inlineStr">
        <is>
          <t>L02|HSRP</t>
        </is>
      </c>
      <c r="F190" t="inlineStr">
        <is>
          <t>HSRP - Pampurí / La Esmeralda</t>
        </is>
      </c>
      <c r="G190" t="inlineStr">
        <is>
          <t>APOYO ASISTENCIAL (intermedio)</t>
        </is>
      </c>
      <c r="H190" t="inlineStr">
        <is>
          <t>ACTIVO</t>
        </is>
      </c>
    </row>
    <row r="191">
      <c r="A191" t="n">
        <v>1070503</v>
      </c>
      <c r="B191" t="inlineStr">
        <is>
          <t>HSRP-LA ESMERALDA-ANATOMIA PATOLOGICA</t>
        </is>
      </c>
      <c r="C191" t="inlineStr">
        <is>
          <t>L01</t>
        </is>
      </c>
      <c r="D191" t="inlineStr">
        <is>
          <t>LABORATORIO ANATOMÍA PATOLÓGICA</t>
        </is>
      </c>
      <c r="E191" t="inlineStr">
        <is>
          <t>L01|HSRP</t>
        </is>
      </c>
      <c r="F191" t="inlineStr">
        <is>
          <t>HSRP - Pampurí / La Esmeralda</t>
        </is>
      </c>
      <c r="G191" t="inlineStr">
        <is>
          <t>APOYO ASISTENCIAL (intermedio)</t>
        </is>
      </c>
      <c r="H191" t="inlineStr">
        <is>
          <t>NO APLICA</t>
        </is>
      </c>
    </row>
    <row r="192">
      <c r="A192" t="n">
        <v>1070504</v>
      </c>
      <c r="B192" t="inlineStr">
        <is>
          <t>HSRP-LA ESMERALDA-OTRAS UNIDADES DE APOYO DIAGNOSTICO</t>
        </is>
      </c>
      <c r="C192" t="inlineStr">
        <is>
          <t>L04</t>
        </is>
      </c>
      <c r="D192" t="inlineStr">
        <is>
          <t>IMAGENOLOGÍA NO RADIOLÓGICA</t>
        </is>
      </c>
      <c r="E192" t="inlineStr">
        <is>
          <t>L04|HSRP</t>
        </is>
      </c>
      <c r="F192" t="inlineStr">
        <is>
          <t>HSRP - Pampurí / La Esmeralda</t>
        </is>
      </c>
      <c r="G192" t="inlineStr">
        <is>
          <t>APOYO ASISTENCIAL (intermedio)</t>
        </is>
      </c>
      <c r="H192" t="inlineStr">
        <is>
          <t>VERIFICAR</t>
        </is>
      </c>
    </row>
    <row r="193">
      <c r="A193" t="n">
        <v>1070601</v>
      </c>
      <c r="B193" t="inlineStr">
        <is>
          <t>HSRP-LA ESMERALDA-REHABILITACION Y TERAPIAS</t>
        </is>
      </c>
      <c r="C193" t="inlineStr">
        <is>
          <t>M06</t>
        </is>
      </c>
      <c r="D193" t="inlineStr">
        <is>
          <t>FISIOTERAPIA Y REHABILITACIÓN</t>
        </is>
      </c>
      <c r="E193" t="inlineStr">
        <is>
          <t>M06|HSRP</t>
        </is>
      </c>
      <c r="F193" t="inlineStr">
        <is>
          <t>HSRP - Pampurí / La Esmeralda</t>
        </is>
      </c>
      <c r="G193" t="inlineStr">
        <is>
          <t>APOYO ASISTENCIAL (intermedio)</t>
        </is>
      </c>
      <c r="H193" t="inlineStr">
        <is>
          <t>ACTIVO</t>
        </is>
      </c>
    </row>
    <row r="194">
      <c r="A194" t="n">
        <v>1070602</v>
      </c>
      <c r="B194" t="inlineStr">
        <is>
          <t>HSRP-LA ESMERALDA-BANCO DE SANGRE</t>
        </is>
      </c>
      <c r="C194" t="inlineStr">
        <is>
          <t>M01</t>
        </is>
      </c>
      <c r="D194" t="inlineStr">
        <is>
          <t>BANCO DE SANGRE</t>
        </is>
      </c>
      <c r="E194" t="inlineStr">
        <is>
          <t>M01|HSRP</t>
        </is>
      </c>
      <c r="F194" t="inlineStr">
        <is>
          <t>HSRP - Pampurí / La Esmeralda</t>
        </is>
      </c>
      <c r="G194" t="inlineStr">
        <is>
          <t>APOYO ASISTENCIAL (intermedio)</t>
        </is>
      </c>
      <c r="H194" t="inlineStr">
        <is>
          <t>NO APLICA</t>
        </is>
      </c>
    </row>
    <row r="195">
      <c r="A195" t="n">
        <v>1070603</v>
      </c>
      <c r="B195" t="inlineStr">
        <is>
          <t>HSRP-LA ESMERALDA-UNIDAD RENAL</t>
        </is>
      </c>
      <c r="C195" t="inlineStr">
        <is>
          <t>M03</t>
        </is>
      </c>
      <c r="D195" t="inlineStr">
        <is>
          <t>TERAPIA RENAL</t>
        </is>
      </c>
      <c r="E195" t="inlineStr">
        <is>
          <t>M03|HSRP</t>
        </is>
      </c>
      <c r="F195" t="inlineStr">
        <is>
          <t>HSRP - Pampurí / La Esmeralda</t>
        </is>
      </c>
      <c r="G195" t="inlineStr">
        <is>
          <t>APOYO ASISTENCIAL (intermedio)</t>
        </is>
      </c>
      <c r="H195" t="inlineStr">
        <is>
          <t>NO APLICA</t>
        </is>
      </c>
    </row>
    <row r="196">
      <c r="A196" t="n">
        <v>1070604</v>
      </c>
      <c r="B196" t="inlineStr">
        <is>
          <t>HSRP-LA ESMERALDA-UNIDAD HEMODINAMIA</t>
        </is>
      </c>
      <c r="C196" t="inlineStr">
        <is>
          <t>C05</t>
        </is>
      </c>
      <c r="D196" t="inlineStr">
        <is>
          <t>CARDIOVASCULAR</t>
        </is>
      </c>
      <c r="E196" t="inlineStr">
        <is>
          <t>C05|HSRP</t>
        </is>
      </c>
      <c r="F196" t="inlineStr">
        <is>
          <t>HSRP - Pampurí / La Esmeralda</t>
        </is>
      </c>
      <c r="G196" t="inlineStr">
        <is>
          <t>PRODUCTIVO (final)</t>
        </is>
      </c>
      <c r="H196" t="inlineStr">
        <is>
          <t>NO APLICA</t>
        </is>
      </c>
    </row>
    <row r="197">
      <c r="A197" t="n">
        <v>1070605</v>
      </c>
      <c r="B197" t="inlineStr">
        <is>
          <t>HSRP-LA ESMERALDA-TERAPIAS ONCOLOGICAS</t>
        </is>
      </c>
      <c r="C197" t="inlineStr">
        <is>
          <t>M07</t>
        </is>
      </c>
      <c r="D197" t="inlineStr">
        <is>
          <t>OTRAS TERAPIAS</t>
        </is>
      </c>
      <c r="E197" t="inlineStr">
        <is>
          <t>M07|HSRP</t>
        </is>
      </c>
      <c r="F197" t="inlineStr">
        <is>
          <t>HSRP - Pampurí / La Esmeralda</t>
        </is>
      </c>
      <c r="G197" t="inlineStr">
        <is>
          <t>APOYO ASISTENCIAL (intermedio)</t>
        </is>
      </c>
      <c r="H197" t="inlineStr">
        <is>
          <t>NO APLICA</t>
        </is>
      </c>
    </row>
    <row r="198">
      <c r="A198" t="n">
        <v>1070606</v>
      </c>
      <c r="B198" t="inlineStr">
        <is>
          <t>HSRP-LA ESMERALDA-FARMACIA E INSUMOS HOPITALARIOS</t>
        </is>
      </c>
      <c r="C198" t="inlineStr">
        <is>
          <t>M05</t>
        </is>
      </c>
      <c r="D198" t="inlineStr">
        <is>
          <t>FARMACIA</t>
        </is>
      </c>
      <c r="E198" t="inlineStr">
        <is>
          <t>M05|HSRP</t>
        </is>
      </c>
      <c r="F198" t="inlineStr">
        <is>
          <t>HSRP - Pampurí / La Esmeralda</t>
        </is>
      </c>
      <c r="G198" t="inlineStr">
        <is>
          <t>APOYO ASISTENCIAL (intermedio)</t>
        </is>
      </c>
      <c r="H198" t="inlineStr">
        <is>
          <t>ACTIVO</t>
        </is>
      </c>
    </row>
    <row r="199">
      <c r="A199" t="n">
        <v>1070607</v>
      </c>
      <c r="B199" t="inlineStr">
        <is>
          <t>HSRP-LA ESMERALDA-OTRAS UNIDADES DE APOYO TERAPEUTICO</t>
        </is>
      </c>
      <c r="C199" t="inlineStr">
        <is>
          <t>M07</t>
        </is>
      </c>
      <c r="D199" t="inlineStr">
        <is>
          <t>OTRAS TERAPIAS</t>
        </is>
      </c>
      <c r="E199" t="inlineStr">
        <is>
          <t>M07|HSRP</t>
        </is>
      </c>
      <c r="F199" t="inlineStr">
        <is>
          <t>HSRP - Pampurí / La Esmeralda</t>
        </is>
      </c>
      <c r="G199" t="inlineStr">
        <is>
          <t>APOYO ASISTENCIAL (intermedio)</t>
        </is>
      </c>
      <c r="H199" t="inlineStr">
        <is>
          <t>VERIFICAR</t>
        </is>
      </c>
    </row>
    <row r="200">
      <c r="A200" t="n">
        <v>1070701</v>
      </c>
      <c r="B200" t="inlineStr">
        <is>
          <t>HSRP-LA ESMERALDA-ANCIANATOS</t>
        </is>
      </c>
      <c r="C200" t="inlineStr">
        <is>
          <t>J01</t>
        </is>
      </c>
      <c r="D200" t="inlineStr">
        <is>
          <t>ANCIANATOS Y ALBERGUES</t>
        </is>
      </c>
      <c r="E200" t="inlineStr">
        <is>
          <t>J01|HSRP</t>
        </is>
      </c>
      <c r="F200" t="inlineStr">
        <is>
          <t>HSRP - Pampurí / La Esmeralda</t>
        </is>
      </c>
      <c r="G200" t="inlineStr">
        <is>
          <t>PRODUCTIVO (final)</t>
        </is>
      </c>
      <c r="H200" t="inlineStr">
        <is>
          <t>NO APLICA</t>
        </is>
      </c>
    </row>
    <row r="201">
      <c r="A201" t="n">
        <v>1070702</v>
      </c>
      <c r="B201" t="inlineStr">
        <is>
          <t>HSRP-LA ESMERALDA-CENTROS Y PUESTOS DE SALUD</t>
        </is>
      </c>
      <c r="C201" t="inlineStr">
        <is>
          <t>J17</t>
        </is>
      </c>
      <c r="D201" t="inlineStr">
        <is>
          <t>CENTROS Y PUESTOS DE SALUD</t>
        </is>
      </c>
      <c r="E201" t="inlineStr">
        <is>
          <t>J17|HSRP</t>
        </is>
      </c>
      <c r="F201" t="inlineStr">
        <is>
          <t>HSRP - Pampurí / La Esmeralda</t>
        </is>
      </c>
      <c r="G201" t="inlineStr">
        <is>
          <t>PRODUCTIVO (final)</t>
        </is>
      </c>
      <c r="H201" t="inlineStr">
        <is>
          <t>ACTIVO</t>
        </is>
      </c>
    </row>
    <row r="202">
      <c r="A202" t="n">
        <v>1070703</v>
      </c>
      <c r="B202" t="inlineStr">
        <is>
          <t>HSRP-LA ESMERALDA-SERV. DOCENTES</t>
        </is>
      </c>
      <c r="C202" t="inlineStr">
        <is>
          <t>U03</t>
        </is>
      </c>
      <c r="D202" t="inlineStr">
        <is>
          <t>EDUCACIÓN MÉDICA</t>
        </is>
      </c>
      <c r="E202" t="inlineStr">
        <is>
          <t>U03|HSRP</t>
        </is>
      </c>
      <c r="F202" t="inlineStr">
        <is>
          <t>HSRP - Pampurí / La Esmeralda</t>
        </is>
      </c>
      <c r="G202" t="inlineStr">
        <is>
          <t>ADMINISTRATIVO</t>
        </is>
      </c>
      <c r="H202" t="inlineStr">
        <is>
          <t>NO APLICA</t>
        </is>
      </c>
    </row>
    <row r="203">
      <c r="A203" t="n">
        <v>1070704</v>
      </c>
      <c r="B203" t="inlineStr">
        <is>
          <t>HSRP-LA ESMERALDA-SERV. CONEXOS A LA SALUD MEDICINA LEGAL</t>
        </is>
      </c>
      <c r="C203" t="inlineStr">
        <is>
          <t>A32</t>
        </is>
      </c>
      <c r="D203" t="inlineStr">
        <is>
          <t>OTRAS CONSULTAS Y PROCEDIMIENTOS</t>
        </is>
      </c>
      <c r="E203" t="inlineStr">
        <is>
          <t>A32|HSRP</t>
        </is>
      </c>
      <c r="F203" t="inlineStr">
        <is>
          <t>HSRP - Pampurí / La Esmeralda</t>
        </is>
      </c>
      <c r="G203" t="inlineStr">
        <is>
          <t>PRODUCTIVO (final)</t>
        </is>
      </c>
      <c r="H203" t="inlineStr">
        <is>
          <t>VERIFICAR</t>
        </is>
      </c>
    </row>
    <row r="204">
      <c r="A204" t="n">
        <v>1070705</v>
      </c>
      <c r="B204" t="inlineStr">
        <is>
          <t>HSRP-LA ESMERALDA-SERV. CONEXOS A LA SALUD SER. AMBULANC</t>
        </is>
      </c>
      <c r="C204" t="inlineStr">
        <is>
          <t>N08</t>
        </is>
      </c>
      <c r="D204" t="inlineStr">
        <is>
          <t>SERVICIO DE AMBULANCIAS</t>
        </is>
      </c>
      <c r="E204" t="inlineStr">
        <is>
          <t>N08|HSRP</t>
        </is>
      </c>
      <c r="F204" t="inlineStr">
        <is>
          <t>HSRP - Pampurí / La Esmeralda</t>
        </is>
      </c>
      <c r="G204" t="inlineStr">
        <is>
          <t>PRODUCTIVO (final)</t>
        </is>
      </c>
      <c r="H204" t="inlineStr">
        <is>
          <t>ACTIVO</t>
        </is>
      </c>
    </row>
    <row r="205">
      <c r="A205" t="n">
        <v>1070706</v>
      </c>
      <c r="B205" t="inlineStr">
        <is>
          <t>HSRP-LA ESMERALDA-SER. CONEXOS A LA SALUD OTROS SERVICIOS</t>
        </is>
      </c>
      <c r="C205" t="inlineStr">
        <is>
          <t>N04</t>
        </is>
      </c>
      <c r="D205" t="inlineStr">
        <is>
          <t>OTROS ENFERMERÍA</t>
        </is>
      </c>
      <c r="E205" t="inlineStr">
        <is>
          <t>N04|HSRP</t>
        </is>
      </c>
      <c r="F205" t="inlineStr">
        <is>
          <t>HSRP - Pampurí / La Esmeralda</t>
        </is>
      </c>
      <c r="G205" t="inlineStr">
        <is>
          <t>APOYO ASISTENCIAL (intermedio)</t>
        </is>
      </c>
      <c r="H205" t="inlineStr">
        <is>
          <t>VERIFICAR</t>
        </is>
      </c>
    </row>
    <row r="206">
      <c r="A206" t="n">
        <v>1080101</v>
      </c>
      <c r="B206" t="inlineStr">
        <is>
          <t>CSPA-ARAUQUITA-CONSULTA Y PROCEDIMIENTOS</t>
        </is>
      </c>
      <c r="C206" t="inlineStr">
        <is>
          <t>B01</t>
        </is>
      </c>
      <c r="D206" t="inlineStr">
        <is>
          <t>CONSULTA URGENCIAS</t>
        </is>
      </c>
      <c r="E206" t="inlineStr">
        <is>
          <t>B01|CSPA</t>
        </is>
      </c>
      <c r="F206" t="inlineStr">
        <is>
          <t>CSPA - Panamá de Arauca</t>
        </is>
      </c>
      <c r="G206" t="inlineStr">
        <is>
          <t>PRODUCTIVO (final)</t>
        </is>
      </c>
      <c r="H206" t="inlineStr">
        <is>
          <t>ACTIVO</t>
        </is>
      </c>
    </row>
    <row r="207">
      <c r="A207" t="n">
        <v>1080102</v>
      </c>
      <c r="B207" t="inlineStr">
        <is>
          <t>CSPA-ARAUQUITA-OBSERVACIONES</t>
        </is>
      </c>
      <c r="C207" t="inlineStr">
        <is>
          <t>B02</t>
        </is>
      </c>
      <c r="D207" t="inlineStr">
        <is>
          <t>OBSERVACIÓN</t>
        </is>
      </c>
      <c r="E207" t="inlineStr">
        <is>
          <t>B02|CSPA</t>
        </is>
      </c>
      <c r="F207" t="inlineStr">
        <is>
          <t>CSPA - Panamá de Arauca</t>
        </is>
      </c>
      <c r="G207" t="inlineStr">
        <is>
          <t>PRODUCTIVO (final)</t>
        </is>
      </c>
      <c r="H207" t="inlineStr">
        <is>
          <t>ACTIVO</t>
        </is>
      </c>
    </row>
    <row r="208">
      <c r="A208" t="n">
        <v>1080201</v>
      </c>
      <c r="B208" t="inlineStr">
        <is>
          <t>CSPA-ARAUQUITA-CONSULTA EXTERNA</t>
        </is>
      </c>
      <c r="C208" t="inlineStr">
        <is>
          <t>A10</t>
        </is>
      </c>
      <c r="D208" t="inlineStr">
        <is>
          <t>MEDICINA GENERAL</t>
        </is>
      </c>
      <c r="E208" t="inlineStr">
        <is>
          <t>A10|CSPA</t>
        </is>
      </c>
      <c r="F208" t="inlineStr">
        <is>
          <t>CSPA - Panamá de Arauca</t>
        </is>
      </c>
      <c r="G208" t="inlineStr">
        <is>
          <t>PRODUCTIVO (final)</t>
        </is>
      </c>
      <c r="H208" t="inlineStr">
        <is>
          <t>ACTIVO</t>
        </is>
      </c>
    </row>
    <row r="209">
      <c r="A209" t="n">
        <v>1080202</v>
      </c>
      <c r="B209" t="inlineStr">
        <is>
          <t>CSPA-ARAUQUITA-CONSULTA ESPECIALIZADA</t>
        </is>
      </c>
      <c r="C209" t="inlineStr">
        <is>
          <t>A32</t>
        </is>
      </c>
      <c r="D209" t="inlineStr">
        <is>
          <t>OTRAS CONSULTAS Y PROCEDIMIENTOS</t>
        </is>
      </c>
      <c r="E209" t="inlineStr">
        <is>
          <t>A32|CSPA</t>
        </is>
      </c>
      <c r="F209" t="inlineStr">
        <is>
          <t>CSPA - Panamá de Arauca</t>
        </is>
      </c>
      <c r="G209" t="inlineStr">
        <is>
          <t>PRODUCTIVO (final)</t>
        </is>
      </c>
      <c r="H209" t="inlineStr">
        <is>
          <t>ACTIVO</t>
        </is>
      </c>
    </row>
    <row r="210">
      <c r="A210" t="n">
        <v>1080203</v>
      </c>
      <c r="B210" t="inlineStr">
        <is>
          <t>CSPA-ARAUQUITA-SALUD ORAL</t>
        </is>
      </c>
      <c r="C210" t="inlineStr">
        <is>
          <t>E01</t>
        </is>
      </c>
      <c r="D210" t="inlineStr">
        <is>
          <t>ODONTOLOGÍA GENERAL</t>
        </is>
      </c>
      <c r="E210" t="inlineStr">
        <is>
          <t>E01|CSPA</t>
        </is>
      </c>
      <c r="F210" t="inlineStr">
        <is>
          <t>CSPA - Panamá de Arauca</t>
        </is>
      </c>
      <c r="G210" t="inlineStr">
        <is>
          <t>PRODUCTIVO (final)</t>
        </is>
      </c>
      <c r="H210" t="inlineStr">
        <is>
          <t>ACTIVO</t>
        </is>
      </c>
    </row>
    <row r="211">
      <c r="A211" t="n">
        <v>1080204</v>
      </c>
      <c r="B211" t="inlineStr">
        <is>
          <t>CSPA-ARAUQUITA-PROMOCION Y MANTENIMIENTO</t>
        </is>
      </c>
      <c r="C211" t="inlineStr">
        <is>
          <t>N03</t>
        </is>
      </c>
      <c r="D211" t="inlineStr">
        <is>
          <t>PROMOCIÓN Y PREVENCIÓN</t>
        </is>
      </c>
      <c r="E211" t="inlineStr">
        <is>
          <t>N03|CSPA</t>
        </is>
      </c>
      <c r="F211" t="inlineStr">
        <is>
          <t>CSPA - Panamá de Arauca</t>
        </is>
      </c>
      <c r="G211" t="inlineStr">
        <is>
          <t>PRODUCTIVO (final)</t>
        </is>
      </c>
      <c r="H211" t="inlineStr">
        <is>
          <t>ACTIVO</t>
        </is>
      </c>
    </row>
    <row r="212">
      <c r="A212" t="n">
        <v>1080205</v>
      </c>
      <c r="B212" t="inlineStr">
        <is>
          <t>CSPA-ARAUQUITA-OTRAS ACTIVIDADES EXTRAMURALES</t>
        </is>
      </c>
      <c r="C212" t="inlineStr">
        <is>
          <t>K25</t>
        </is>
      </c>
      <c r="D212" t="inlineStr">
        <is>
          <t>SALUD PUBLICA</t>
        </is>
      </c>
      <c r="E212" t="inlineStr">
        <is>
          <t>K25|CSPA</t>
        </is>
      </c>
      <c r="F212" t="inlineStr">
        <is>
          <t>CSPA - Panamá de Arauca</t>
        </is>
      </c>
      <c r="G212" t="inlineStr">
        <is>
          <t>PRODUCTIVO (final)</t>
        </is>
      </c>
      <c r="H212" t="inlineStr">
        <is>
          <t>ACTIVO</t>
        </is>
      </c>
    </row>
    <row r="213">
      <c r="A213" t="n">
        <v>1080301</v>
      </c>
      <c r="B213" t="inlineStr">
        <is>
          <t>CSPA-ARAUQUITA-HOSPITALACION-ESTANCIA GENERAL</t>
        </is>
      </c>
      <c r="C213" t="inlineStr">
        <is>
          <t>I01</t>
        </is>
      </c>
      <c r="D213" t="inlineStr">
        <is>
          <t>HOSPITALIZACIÓN GENERAL</t>
        </is>
      </c>
      <c r="E213" t="inlineStr">
        <is>
          <t>I01|CSPA</t>
        </is>
      </c>
      <c r="F213" t="inlineStr">
        <is>
          <t>CSPA - Panamá de Arauca</t>
        </is>
      </c>
      <c r="G213" t="inlineStr">
        <is>
          <t>PRODUCTIVO (final)</t>
        </is>
      </c>
      <c r="H213" t="inlineStr">
        <is>
          <t>ACTIVO</t>
        </is>
      </c>
    </row>
    <row r="214">
      <c r="A214" t="n">
        <v>1080302</v>
      </c>
      <c r="B214" t="inlineStr">
        <is>
          <t>CSPA-ARAUQUITA-CUIDADOS INTENSIVOS</t>
        </is>
      </c>
      <c r="C214" t="inlineStr">
        <is>
          <t>J02</t>
        </is>
      </c>
      <c r="D214" t="inlineStr">
        <is>
          <t>UCI ADULTOS</t>
        </is>
      </c>
      <c r="E214" t="inlineStr">
        <is>
          <t>J02|CSPA</t>
        </is>
      </c>
      <c r="F214" t="inlineStr">
        <is>
          <t>CSPA - Panamá de Arauca</t>
        </is>
      </c>
      <c r="G214" t="inlineStr">
        <is>
          <t>PRODUCTIVO (final)</t>
        </is>
      </c>
      <c r="H214" t="inlineStr">
        <is>
          <t>NO APLICA</t>
        </is>
      </c>
    </row>
    <row r="215">
      <c r="A215" t="n">
        <v>1080303</v>
      </c>
      <c r="B215" t="inlineStr">
        <is>
          <t>CSPA-ARAUQUITA-CUIDADOS INTERMEDIOS</t>
        </is>
      </c>
      <c r="C215" t="inlineStr">
        <is>
          <t>J05</t>
        </is>
      </c>
      <c r="D215" t="inlineStr">
        <is>
          <t>UCI INTERMEDIOS ADULTOS</t>
        </is>
      </c>
      <c r="E215" t="inlineStr">
        <is>
          <t>J05|CSPA</t>
        </is>
      </c>
      <c r="F215" t="inlineStr">
        <is>
          <t>CSPA - Panamá de Arauca</t>
        </is>
      </c>
      <c r="G215" t="inlineStr">
        <is>
          <t>PRODUCTIVO (final)</t>
        </is>
      </c>
      <c r="H215" t="inlineStr">
        <is>
          <t>NO APLICA</t>
        </is>
      </c>
    </row>
    <row r="216">
      <c r="A216" t="n">
        <v>1080304</v>
      </c>
      <c r="B216" t="inlineStr">
        <is>
          <t>CSPA-ARAUQUITA-RECIEN NACIDOS</t>
        </is>
      </c>
      <c r="C216" t="inlineStr">
        <is>
          <t>J09</t>
        </is>
      </c>
      <c r="D216" t="inlineStr">
        <is>
          <t>UNIDAD DE RECIÉN NACIDOS</t>
        </is>
      </c>
      <c r="E216" t="inlineStr">
        <is>
          <t>J09|CSPA</t>
        </is>
      </c>
      <c r="F216" t="inlineStr">
        <is>
          <t>CSPA - Panamá de Arauca</t>
        </is>
      </c>
      <c r="G216" t="inlineStr">
        <is>
          <t>PRODUCTIVO (final)</t>
        </is>
      </c>
      <c r="H216" t="inlineStr">
        <is>
          <t>VERIFICAR</t>
        </is>
      </c>
    </row>
    <row r="217">
      <c r="A217" t="n">
        <v>1080305</v>
      </c>
      <c r="B217" t="inlineStr">
        <is>
          <t>CSPA-ARAUQUITA-HOSPITALIZACI.N SALUD MENTAL</t>
        </is>
      </c>
      <c r="C217" t="inlineStr">
        <is>
          <t>J10</t>
        </is>
      </c>
      <c r="D217" t="inlineStr">
        <is>
          <t>UNIDAD SALUD MENTAL Y DESINTOXICACIÓN (BAJA COMPLEJIDAD)</t>
        </is>
      </c>
      <c r="E217" t="inlineStr">
        <is>
          <t>J10|CSPA</t>
        </is>
      </c>
      <c r="F217" t="inlineStr">
        <is>
          <t>CSPA - Panamá de Arauca</t>
        </is>
      </c>
      <c r="G217" t="inlineStr">
        <is>
          <t>PRODUCTIVO (final)</t>
        </is>
      </c>
      <c r="H217" t="inlineStr">
        <is>
          <t>NO APLICA</t>
        </is>
      </c>
    </row>
    <row r="218">
      <c r="A218" t="n">
        <v>1080306</v>
      </c>
      <c r="B218" t="inlineStr">
        <is>
          <t>CSPA-ARAUQUITA-QUEMADOS</t>
        </is>
      </c>
      <c r="C218" t="inlineStr">
        <is>
          <t>J08</t>
        </is>
      </c>
      <c r="D218" t="inlineStr">
        <is>
          <t>UNIDAD DE QUEMADOS ADULTOS</t>
        </is>
      </c>
      <c r="E218" t="inlineStr">
        <is>
          <t>J08|CSPA</t>
        </is>
      </c>
      <c r="F218" t="inlineStr">
        <is>
          <t>CSPA - Panamá de Arauca</t>
        </is>
      </c>
      <c r="G218" t="inlineStr">
        <is>
          <t>PRODUCTIVO (final)</t>
        </is>
      </c>
      <c r="H218" t="inlineStr">
        <is>
          <t>NO APLICA</t>
        </is>
      </c>
    </row>
    <row r="219">
      <c r="A219" t="n">
        <v>1080307</v>
      </c>
      <c r="B219" t="inlineStr">
        <is>
          <t>CSPA-ARAUQUITA-OTROS CUIDADOS ESPECIALE</t>
        </is>
      </c>
      <c r="C219" t="inlineStr">
        <is>
          <t>J13</t>
        </is>
      </c>
      <c r="D219" t="inlineStr">
        <is>
          <t>OTRAS UNIDADES ESPECIALES</t>
        </is>
      </c>
      <c r="E219" t="inlineStr">
        <is>
          <t>J13|CSPA</t>
        </is>
      </c>
      <c r="F219" t="inlineStr">
        <is>
          <t>CSPA - Panamá de Arauca</t>
        </is>
      </c>
      <c r="G219" t="inlineStr">
        <is>
          <t>PRODUCTIVO (final)</t>
        </is>
      </c>
      <c r="H219" t="inlineStr">
        <is>
          <t>NO APLICA</t>
        </is>
      </c>
    </row>
    <row r="220">
      <c r="A220" t="n">
        <v>1080401</v>
      </c>
      <c r="B220" t="inlineStr">
        <is>
          <t>CSPA-ARAUQUITA-QUIROFANOS</t>
        </is>
      </c>
      <c r="C220" t="inlineStr">
        <is>
          <t>C01</t>
        </is>
      </c>
      <c r="D220" t="inlineStr">
        <is>
          <t>CIRUGÍA GENERAL</t>
        </is>
      </c>
      <c r="E220" t="inlineStr">
        <is>
          <t>C01|CSPA</t>
        </is>
      </c>
      <c r="F220" t="inlineStr">
        <is>
          <t>CSPA - Panamá de Arauca</t>
        </is>
      </c>
      <c r="G220" t="inlineStr">
        <is>
          <t>PRODUCTIVO (final)</t>
        </is>
      </c>
      <c r="H220" t="inlineStr">
        <is>
          <t>VERIFICAR</t>
        </is>
      </c>
    </row>
    <row r="221">
      <c r="A221" t="n">
        <v>1080402</v>
      </c>
      <c r="B221" t="inlineStr">
        <is>
          <t>CSPA-ARAUQUITA-SALA DE PARTO</t>
        </is>
      </c>
      <c r="C221" t="inlineStr">
        <is>
          <t>D02</t>
        </is>
      </c>
      <c r="D221" t="inlineStr">
        <is>
          <t>ATENCIÓN DE PARTO BAJA COMPLEJIDAD</t>
        </is>
      </c>
      <c r="E221" t="inlineStr">
        <is>
          <t>D02|CSPA</t>
        </is>
      </c>
      <c r="F221" t="inlineStr">
        <is>
          <t>CSPA - Panamá de Arauca</t>
        </is>
      </c>
      <c r="G221" t="inlineStr">
        <is>
          <t>PRODUCTIVO (final)</t>
        </is>
      </c>
      <c r="H221" t="inlineStr">
        <is>
          <t>ACTIVO</t>
        </is>
      </c>
    </row>
    <row r="222">
      <c r="A222" t="n">
        <v>1080501</v>
      </c>
      <c r="B222" t="inlineStr">
        <is>
          <t>CSPA-ARAUQUITA-LABORATORIO CLINICO</t>
        </is>
      </c>
      <c r="C222" t="inlineStr">
        <is>
          <t>L07</t>
        </is>
      </c>
      <c r="D222" t="inlineStr">
        <is>
          <t>LABORATORIO Y ANÁLISIS CLÍNICO</t>
        </is>
      </c>
      <c r="E222" t="inlineStr">
        <is>
          <t>L07|CSPA</t>
        </is>
      </c>
      <c r="F222" t="inlineStr">
        <is>
          <t>CSPA - Panamá de Arauca</t>
        </is>
      </c>
      <c r="G222" t="inlineStr">
        <is>
          <t>APOYO ASISTENCIAL (intermedio)</t>
        </is>
      </c>
      <c r="H222" t="inlineStr">
        <is>
          <t>ACTIVO</t>
        </is>
      </c>
    </row>
    <row r="223">
      <c r="A223" t="n">
        <v>1080502</v>
      </c>
      <c r="B223" t="inlineStr">
        <is>
          <t>CSPA-ARAUQUITA-IMAGENOLOGIA</t>
        </is>
      </c>
      <c r="C223" t="inlineStr">
        <is>
          <t>L02</t>
        </is>
      </c>
      <c r="D223" t="inlineStr">
        <is>
          <t>IMAGENEOLOGÍA RADIOLÓGICA</t>
        </is>
      </c>
      <c r="E223" t="inlineStr">
        <is>
          <t>L02|CSPA</t>
        </is>
      </c>
      <c r="F223" t="inlineStr">
        <is>
          <t>CSPA - Panamá de Arauca</t>
        </is>
      </c>
      <c r="G223" t="inlineStr">
        <is>
          <t>APOYO ASISTENCIAL (intermedio)</t>
        </is>
      </c>
      <c r="H223" t="inlineStr">
        <is>
          <t>ACTIVO</t>
        </is>
      </c>
    </row>
    <row r="224">
      <c r="A224" t="n">
        <v>1080503</v>
      </c>
      <c r="B224" t="inlineStr">
        <is>
          <t>CSPA-ARAUQUITA-ANATOMIA PATOLOGICA</t>
        </is>
      </c>
      <c r="C224" t="inlineStr">
        <is>
          <t>L01</t>
        </is>
      </c>
      <c r="D224" t="inlineStr">
        <is>
          <t>LABORATORIO ANATOMÍA PATOLÓGICA</t>
        </is>
      </c>
      <c r="E224" t="inlineStr">
        <is>
          <t>L01|CSPA</t>
        </is>
      </c>
      <c r="F224" t="inlineStr">
        <is>
          <t>CSPA - Panamá de Arauca</t>
        </is>
      </c>
      <c r="G224" t="inlineStr">
        <is>
          <t>APOYO ASISTENCIAL (intermedio)</t>
        </is>
      </c>
      <c r="H224" t="inlineStr">
        <is>
          <t>NO APLICA</t>
        </is>
      </c>
    </row>
    <row r="225">
      <c r="A225" t="n">
        <v>1080504</v>
      </c>
      <c r="B225" t="inlineStr">
        <is>
          <t>CSPA-ARAUQUITA-OTRAS UNIDADES DE APOYO DIAGNOSTICO</t>
        </is>
      </c>
      <c r="C225" t="inlineStr">
        <is>
          <t>L04</t>
        </is>
      </c>
      <c r="D225" t="inlineStr">
        <is>
          <t>IMAGENOLOGÍA NO RADIOLÓGICA</t>
        </is>
      </c>
      <c r="E225" t="inlineStr">
        <is>
          <t>L04|CSPA</t>
        </is>
      </c>
      <c r="F225" t="inlineStr">
        <is>
          <t>CSPA - Panamá de Arauca</t>
        </is>
      </c>
      <c r="G225" t="inlineStr">
        <is>
          <t>APOYO ASISTENCIAL (intermedio)</t>
        </is>
      </c>
      <c r="H225" t="inlineStr">
        <is>
          <t>VERIFICAR</t>
        </is>
      </c>
    </row>
    <row r="226">
      <c r="A226" t="n">
        <v>1080601</v>
      </c>
      <c r="B226" t="inlineStr">
        <is>
          <t>CSPA-ARAUQUITA-REHABILITACION Y TERAPIAS</t>
        </is>
      </c>
      <c r="C226" t="inlineStr">
        <is>
          <t>M06</t>
        </is>
      </c>
      <c r="D226" t="inlineStr">
        <is>
          <t>FISIOTERAPIA Y REHABILITACIÓN</t>
        </is>
      </c>
      <c r="E226" t="inlineStr">
        <is>
          <t>M06|CSPA</t>
        </is>
      </c>
      <c r="F226" t="inlineStr">
        <is>
          <t>CSPA - Panamá de Arauca</t>
        </is>
      </c>
      <c r="G226" t="inlineStr">
        <is>
          <t>APOYO ASISTENCIAL (intermedio)</t>
        </is>
      </c>
      <c r="H226" t="inlineStr">
        <is>
          <t>ACTIVO</t>
        </is>
      </c>
    </row>
    <row r="227">
      <c r="A227" t="n">
        <v>1080602</v>
      </c>
      <c r="B227" t="inlineStr">
        <is>
          <t>CSPA-ARAUQUITA-BANCO DE SANGRE</t>
        </is>
      </c>
      <c r="C227" t="inlineStr">
        <is>
          <t>M01</t>
        </is>
      </c>
      <c r="D227" t="inlineStr">
        <is>
          <t>BANCO DE SANGRE</t>
        </is>
      </c>
      <c r="E227" t="inlineStr">
        <is>
          <t>M01|CSPA</t>
        </is>
      </c>
      <c r="F227" t="inlineStr">
        <is>
          <t>CSPA - Panamá de Arauca</t>
        </is>
      </c>
      <c r="G227" t="inlineStr">
        <is>
          <t>APOYO ASISTENCIAL (intermedio)</t>
        </is>
      </c>
      <c r="H227" t="inlineStr">
        <is>
          <t>NO APLICA</t>
        </is>
      </c>
    </row>
    <row r="228">
      <c r="A228" t="n">
        <v>1080603</v>
      </c>
      <c r="B228" t="inlineStr">
        <is>
          <t>CSPA-ARAUQUITA-UNIDAD RENAL</t>
        </is>
      </c>
      <c r="C228" t="inlineStr">
        <is>
          <t>M03</t>
        </is>
      </c>
      <c r="D228" t="inlineStr">
        <is>
          <t>TERAPIA RENAL</t>
        </is>
      </c>
      <c r="E228" t="inlineStr">
        <is>
          <t>M03|CSPA</t>
        </is>
      </c>
      <c r="F228" t="inlineStr">
        <is>
          <t>CSPA - Panamá de Arauca</t>
        </is>
      </c>
      <c r="G228" t="inlineStr">
        <is>
          <t>APOYO ASISTENCIAL (intermedio)</t>
        </is>
      </c>
      <c r="H228" t="inlineStr">
        <is>
          <t>NO APLICA</t>
        </is>
      </c>
    </row>
    <row r="229">
      <c r="A229" t="n">
        <v>1080604</v>
      </c>
      <c r="B229" t="inlineStr">
        <is>
          <t>CSPA-ARAUQUITA-UNIDAD HEMODINAMIA</t>
        </is>
      </c>
      <c r="C229" t="inlineStr">
        <is>
          <t>C05</t>
        </is>
      </c>
      <c r="D229" t="inlineStr">
        <is>
          <t>CARDIOVASCULAR</t>
        </is>
      </c>
      <c r="E229" t="inlineStr">
        <is>
          <t>C05|CSPA</t>
        </is>
      </c>
      <c r="F229" t="inlineStr">
        <is>
          <t>CSPA - Panamá de Arauca</t>
        </is>
      </c>
      <c r="G229" t="inlineStr">
        <is>
          <t>PRODUCTIVO (final)</t>
        </is>
      </c>
      <c r="H229" t="inlineStr">
        <is>
          <t>NO APLICA</t>
        </is>
      </c>
    </row>
    <row r="230">
      <c r="A230" t="n">
        <v>1080605</v>
      </c>
      <c r="B230" t="inlineStr">
        <is>
          <t>CSPA-ARAUQUITA-TERAPIAS ONCOLOGICAS</t>
        </is>
      </c>
      <c r="C230" t="inlineStr">
        <is>
          <t>M07</t>
        </is>
      </c>
      <c r="D230" t="inlineStr">
        <is>
          <t>OTRAS TERAPIAS</t>
        </is>
      </c>
      <c r="E230" t="inlineStr">
        <is>
          <t>M07|CSPA</t>
        </is>
      </c>
      <c r="F230" t="inlineStr">
        <is>
          <t>CSPA - Panamá de Arauca</t>
        </is>
      </c>
      <c r="G230" t="inlineStr">
        <is>
          <t>APOYO ASISTENCIAL (intermedio)</t>
        </is>
      </c>
      <c r="H230" t="inlineStr">
        <is>
          <t>NO APLICA</t>
        </is>
      </c>
    </row>
    <row r="231">
      <c r="A231" t="n">
        <v>1080606</v>
      </c>
      <c r="B231" t="inlineStr">
        <is>
          <t>CSPA-ARAUQUITA-FARMACIA E INSUMOS HOPITALARIOS</t>
        </is>
      </c>
      <c r="C231" t="inlineStr">
        <is>
          <t>M05</t>
        </is>
      </c>
      <c r="D231" t="inlineStr">
        <is>
          <t>FARMACIA</t>
        </is>
      </c>
      <c r="E231" t="inlineStr">
        <is>
          <t>M05|CSPA</t>
        </is>
      </c>
      <c r="F231" t="inlineStr">
        <is>
          <t>CSPA - Panamá de Arauca</t>
        </is>
      </c>
      <c r="G231" t="inlineStr">
        <is>
          <t>APOYO ASISTENCIAL (intermedio)</t>
        </is>
      </c>
      <c r="H231" t="inlineStr">
        <is>
          <t>ACTIVO</t>
        </is>
      </c>
    </row>
    <row r="232">
      <c r="A232" t="n">
        <v>1080607</v>
      </c>
      <c r="B232" t="inlineStr">
        <is>
          <t>CSPA-ARAUQUITA-OTRAS UNIDADES DE APOYO TERAPEUTICO</t>
        </is>
      </c>
      <c r="C232" t="inlineStr">
        <is>
          <t>M07</t>
        </is>
      </c>
      <c r="D232" t="inlineStr">
        <is>
          <t>OTRAS TERAPIAS</t>
        </is>
      </c>
      <c r="E232" t="inlineStr">
        <is>
          <t>M07|CSPA</t>
        </is>
      </c>
      <c r="F232" t="inlineStr">
        <is>
          <t>CSPA - Panamá de Arauca</t>
        </is>
      </c>
      <c r="G232" t="inlineStr">
        <is>
          <t>APOYO ASISTENCIAL (intermedio)</t>
        </is>
      </c>
      <c r="H232" t="inlineStr">
        <is>
          <t>VERIFICAR</t>
        </is>
      </c>
    </row>
    <row r="233">
      <c r="A233" t="n">
        <v>1080701</v>
      </c>
      <c r="B233" t="inlineStr">
        <is>
          <t>CSPA-ARAUQUITA-ANCIANATOS</t>
        </is>
      </c>
      <c r="C233" t="inlineStr">
        <is>
          <t>J01</t>
        </is>
      </c>
      <c r="D233" t="inlineStr">
        <is>
          <t>ANCIANATOS Y ALBERGUES</t>
        </is>
      </c>
      <c r="E233" t="inlineStr">
        <is>
          <t>J01|CSPA</t>
        </is>
      </c>
      <c r="F233" t="inlineStr">
        <is>
          <t>CSPA - Panamá de Arauca</t>
        </is>
      </c>
      <c r="G233" t="inlineStr">
        <is>
          <t>PRODUCTIVO (final)</t>
        </is>
      </c>
      <c r="H233" t="inlineStr">
        <is>
          <t>NO APLICA</t>
        </is>
      </c>
    </row>
    <row r="234">
      <c r="A234" t="n">
        <v>1080702</v>
      </c>
      <c r="B234" t="inlineStr">
        <is>
          <t>CSPA-ARAUQUITA-CENTROS Y PUESTOS DE SALUD</t>
        </is>
      </c>
      <c r="C234" t="inlineStr">
        <is>
          <t>J17</t>
        </is>
      </c>
      <c r="D234" t="inlineStr">
        <is>
          <t>CENTROS Y PUESTOS DE SALUD</t>
        </is>
      </c>
      <c r="E234" t="inlineStr">
        <is>
          <t>J17|CSPA</t>
        </is>
      </c>
      <c r="F234" t="inlineStr">
        <is>
          <t>CSPA - Panamá de Arauca</t>
        </is>
      </c>
      <c r="G234" t="inlineStr">
        <is>
          <t>PRODUCTIVO (final)</t>
        </is>
      </c>
      <c r="H234" t="inlineStr">
        <is>
          <t>ACTIVO</t>
        </is>
      </c>
    </row>
    <row r="235">
      <c r="A235" t="n">
        <v>1080703</v>
      </c>
      <c r="B235" t="inlineStr">
        <is>
          <t>CSPA-ARAUQUITA-SERV. DOCENTES</t>
        </is>
      </c>
      <c r="C235" t="inlineStr">
        <is>
          <t>U03</t>
        </is>
      </c>
      <c r="D235" t="inlineStr">
        <is>
          <t>EDUCACIÓN MÉDICA</t>
        </is>
      </c>
      <c r="E235" t="inlineStr">
        <is>
          <t>U03|CSPA</t>
        </is>
      </c>
      <c r="F235" t="inlineStr">
        <is>
          <t>CSPA - Panamá de Arauca</t>
        </is>
      </c>
      <c r="G235" t="inlineStr">
        <is>
          <t>ADMINISTRATIVO</t>
        </is>
      </c>
      <c r="H235" t="inlineStr">
        <is>
          <t>NO APLICA</t>
        </is>
      </c>
    </row>
    <row r="236">
      <c r="A236" t="n">
        <v>1080704</v>
      </c>
      <c r="B236" t="inlineStr">
        <is>
          <t>CSPA-ARAUQUITA-SERV. CONEXOS A LA SALUD MEDICINA LEGAL</t>
        </is>
      </c>
      <c r="C236" t="inlineStr">
        <is>
          <t>A32</t>
        </is>
      </c>
      <c r="D236" t="inlineStr">
        <is>
          <t>OTRAS CONSULTAS Y PROCEDIMIENTOS</t>
        </is>
      </c>
      <c r="E236" t="inlineStr">
        <is>
          <t>A32|CSPA</t>
        </is>
      </c>
      <c r="F236" t="inlineStr">
        <is>
          <t>CSPA - Panamá de Arauca</t>
        </is>
      </c>
      <c r="G236" t="inlineStr">
        <is>
          <t>PRODUCTIVO (final)</t>
        </is>
      </c>
      <c r="H236" t="inlineStr">
        <is>
          <t>VERIFICAR</t>
        </is>
      </c>
    </row>
    <row r="237">
      <c r="A237" t="n">
        <v>1080705</v>
      </c>
      <c r="B237" t="inlineStr">
        <is>
          <t>CSPA-ARAUQUITA-SERV. CONEXOS A LA SALUD SER. AMBULANC</t>
        </is>
      </c>
      <c r="C237" t="inlineStr">
        <is>
          <t>N08</t>
        </is>
      </c>
      <c r="D237" t="inlineStr">
        <is>
          <t>SERVICIO DE AMBULANCIAS</t>
        </is>
      </c>
      <c r="E237" t="inlineStr">
        <is>
          <t>N08|CSPA</t>
        </is>
      </c>
      <c r="F237" t="inlineStr">
        <is>
          <t>CSPA - Panamá de Arauca</t>
        </is>
      </c>
      <c r="G237" t="inlineStr">
        <is>
          <t>PRODUCTIVO (final)</t>
        </is>
      </c>
      <c r="H237" t="inlineStr">
        <is>
          <t>ACTIVO</t>
        </is>
      </c>
    </row>
    <row r="238">
      <c r="A238" t="n">
        <v>1080706</v>
      </c>
      <c r="B238" t="inlineStr">
        <is>
          <t>CSPA-ARAUQUITA-SER. CONEXOS A LA SALUD OTROS SERVICIOS</t>
        </is>
      </c>
      <c r="C238" t="inlineStr">
        <is>
          <t>N04</t>
        </is>
      </c>
      <c r="D238" t="inlineStr">
        <is>
          <t>OTROS ENFERMERÍA</t>
        </is>
      </c>
      <c r="E238" t="inlineStr">
        <is>
          <t>N04|CSPA</t>
        </is>
      </c>
      <c r="F238" t="inlineStr">
        <is>
          <t>CSPA - Panamá de Arauca</t>
        </is>
      </c>
      <c r="G238" t="inlineStr">
        <is>
          <t>APOYO ASISTENCIAL (intermedio)</t>
        </is>
      </c>
      <c r="H238" t="inlineStr">
        <is>
          <t>VERIFICAR</t>
        </is>
      </c>
    </row>
    <row r="239">
      <c r="A239" t="n">
        <v>1090101</v>
      </c>
      <c r="B239" t="inlineStr">
        <is>
          <t>CSJSC-TAME-CONSULTA Y PROCEDIMIENTOS</t>
        </is>
      </c>
      <c r="C239" t="inlineStr">
        <is>
          <t>B01</t>
        </is>
      </c>
      <c r="D239" t="inlineStr">
        <is>
          <t>CONSULTA URGENCIAS</t>
        </is>
      </c>
      <c r="E239" t="inlineStr">
        <is>
          <t>B01|CSJSC</t>
        </is>
      </c>
      <c r="F239" t="inlineStr">
        <is>
          <t>CSJSC - Tame</t>
        </is>
      </c>
      <c r="G239" t="inlineStr">
        <is>
          <t>PRODUCTIVO (final)</t>
        </is>
      </c>
      <c r="H239" t="inlineStr">
        <is>
          <t>ACTIVO</t>
        </is>
      </c>
    </row>
    <row r="240">
      <c r="A240" t="n">
        <v>1090102</v>
      </c>
      <c r="B240" t="inlineStr">
        <is>
          <t>CSJSC-TAME-OBSERVACIONES</t>
        </is>
      </c>
      <c r="C240" t="inlineStr">
        <is>
          <t>B02</t>
        </is>
      </c>
      <c r="D240" t="inlineStr">
        <is>
          <t>OBSERVACIÓN</t>
        </is>
      </c>
      <c r="E240" t="inlineStr">
        <is>
          <t>B02|CSJSC</t>
        </is>
      </c>
      <c r="F240" t="inlineStr">
        <is>
          <t>CSJSC - Tame</t>
        </is>
      </c>
      <c r="G240" t="inlineStr">
        <is>
          <t>PRODUCTIVO (final)</t>
        </is>
      </c>
      <c r="H240" t="inlineStr">
        <is>
          <t>ACTIVO</t>
        </is>
      </c>
    </row>
    <row r="241">
      <c r="A241" t="n">
        <v>1090201</v>
      </c>
      <c r="B241" t="inlineStr">
        <is>
          <t>CSJSC-TAME-CONSULTA EXTERNA</t>
        </is>
      </c>
      <c r="C241" t="inlineStr">
        <is>
          <t>A10</t>
        </is>
      </c>
      <c r="D241" t="inlineStr">
        <is>
          <t>MEDICINA GENERAL</t>
        </is>
      </c>
      <c r="E241" t="inlineStr">
        <is>
          <t>A10|CSJSC</t>
        </is>
      </c>
      <c r="F241" t="inlineStr">
        <is>
          <t>CSJSC - Tame</t>
        </is>
      </c>
      <c r="G241" t="inlineStr">
        <is>
          <t>PRODUCTIVO (final)</t>
        </is>
      </c>
      <c r="H241" t="inlineStr">
        <is>
          <t>ACTIVO</t>
        </is>
      </c>
    </row>
    <row r="242">
      <c r="A242" t="n">
        <v>1090202</v>
      </c>
      <c r="B242" t="inlineStr">
        <is>
          <t>CSJSC-TAME-CONSULTA ESPECIALIZADA</t>
        </is>
      </c>
      <c r="C242" t="inlineStr">
        <is>
          <t>A32</t>
        </is>
      </c>
      <c r="D242" t="inlineStr">
        <is>
          <t>OTRAS CONSULTAS Y PROCEDIMIENTOS</t>
        </is>
      </c>
      <c r="E242" t="inlineStr">
        <is>
          <t>A32|CSJSC</t>
        </is>
      </c>
      <c r="F242" t="inlineStr">
        <is>
          <t>CSJSC - Tame</t>
        </is>
      </c>
      <c r="G242" t="inlineStr">
        <is>
          <t>PRODUCTIVO (final)</t>
        </is>
      </c>
      <c r="H242" t="inlineStr">
        <is>
          <t>ACTIVO</t>
        </is>
      </c>
    </row>
    <row r="243">
      <c r="A243" t="n">
        <v>1090203</v>
      </c>
      <c r="B243" t="inlineStr">
        <is>
          <t>CSJSC-TAME-SALUD ORAL</t>
        </is>
      </c>
      <c r="C243" t="inlineStr">
        <is>
          <t>E01</t>
        </is>
      </c>
      <c r="D243" t="inlineStr">
        <is>
          <t>ODONTOLOGÍA GENERAL</t>
        </is>
      </c>
      <c r="E243" t="inlineStr">
        <is>
          <t>E01|CSJSC</t>
        </is>
      </c>
      <c r="F243" t="inlineStr">
        <is>
          <t>CSJSC - Tame</t>
        </is>
      </c>
      <c r="G243" t="inlineStr">
        <is>
          <t>PRODUCTIVO (final)</t>
        </is>
      </c>
      <c r="H243" t="inlineStr">
        <is>
          <t>ACTIVO</t>
        </is>
      </c>
    </row>
    <row r="244">
      <c r="A244" t="n">
        <v>1090204</v>
      </c>
      <c r="B244" t="inlineStr">
        <is>
          <t>CSJSC-TAME-PROMOCION Y MANTENIMIENTO</t>
        </is>
      </c>
      <c r="C244" t="inlineStr">
        <is>
          <t>N03</t>
        </is>
      </c>
      <c r="D244" t="inlineStr">
        <is>
          <t>PROMOCIÓN Y PREVENCIÓN</t>
        </is>
      </c>
      <c r="E244" t="inlineStr">
        <is>
          <t>N03|CSJSC</t>
        </is>
      </c>
      <c r="F244" t="inlineStr">
        <is>
          <t>CSJSC - Tame</t>
        </is>
      </c>
      <c r="G244" t="inlineStr">
        <is>
          <t>PRODUCTIVO (final)</t>
        </is>
      </c>
      <c r="H244" t="inlineStr">
        <is>
          <t>ACTIVO</t>
        </is>
      </c>
    </row>
    <row r="245">
      <c r="A245" t="n">
        <v>1090205</v>
      </c>
      <c r="B245" t="inlineStr">
        <is>
          <t>CSJSC-TAME-OTRAS ACTIVIDADES EXTRAMURALES</t>
        </is>
      </c>
      <c r="C245" t="inlineStr">
        <is>
          <t>K25</t>
        </is>
      </c>
      <c r="D245" t="inlineStr">
        <is>
          <t>SALUD PUBLICA</t>
        </is>
      </c>
      <c r="E245" t="inlineStr">
        <is>
          <t>K25|CSJSC</t>
        </is>
      </c>
      <c r="F245" t="inlineStr">
        <is>
          <t>CSJSC - Tame</t>
        </is>
      </c>
      <c r="G245" t="inlineStr">
        <is>
          <t>PRODUCTIVO (final)</t>
        </is>
      </c>
      <c r="H245" t="inlineStr">
        <is>
          <t>ACTIVO</t>
        </is>
      </c>
    </row>
    <row r="246">
      <c r="A246" t="n">
        <v>1090301</v>
      </c>
      <c r="B246" t="inlineStr">
        <is>
          <t>CSJSC-TAME-HOSPITALACION-ESTANCIA GENERAL</t>
        </is>
      </c>
      <c r="C246" t="inlineStr">
        <is>
          <t>I01</t>
        </is>
      </c>
      <c r="D246" t="inlineStr">
        <is>
          <t>HOSPITALIZACIÓN GENERAL</t>
        </is>
      </c>
      <c r="E246" t="inlineStr">
        <is>
          <t>I01|CSJSC</t>
        </is>
      </c>
      <c r="F246" t="inlineStr">
        <is>
          <t>CSJSC - Tame</t>
        </is>
      </c>
      <c r="G246" t="inlineStr">
        <is>
          <t>PRODUCTIVO (final)</t>
        </is>
      </c>
      <c r="H246" t="inlineStr">
        <is>
          <t>ACTIVO</t>
        </is>
      </c>
    </row>
    <row r="247">
      <c r="A247" t="n">
        <v>1090302</v>
      </c>
      <c r="B247" t="inlineStr">
        <is>
          <t>CSJSC-TAME-CUIDADOS INTENSIVOS</t>
        </is>
      </c>
      <c r="C247" t="inlineStr">
        <is>
          <t>J02</t>
        </is>
      </c>
      <c r="D247" t="inlineStr">
        <is>
          <t>UCI ADULTOS</t>
        </is>
      </c>
      <c r="E247" t="inlineStr">
        <is>
          <t>J02|CSJSC</t>
        </is>
      </c>
      <c r="F247" t="inlineStr">
        <is>
          <t>CSJSC - Tame</t>
        </is>
      </c>
      <c r="G247" t="inlineStr">
        <is>
          <t>PRODUCTIVO (final)</t>
        </is>
      </c>
      <c r="H247" t="inlineStr">
        <is>
          <t>NO APLICA</t>
        </is>
      </c>
    </row>
    <row r="248">
      <c r="A248" t="n">
        <v>1090303</v>
      </c>
      <c r="B248" t="inlineStr">
        <is>
          <t>CSJSC-TAME-CUIDADOS INTERMEDIOS</t>
        </is>
      </c>
      <c r="C248" t="inlineStr">
        <is>
          <t>J05</t>
        </is>
      </c>
      <c r="D248" t="inlineStr">
        <is>
          <t>UCI INTERMEDIOS ADULTOS</t>
        </is>
      </c>
      <c r="E248" t="inlineStr">
        <is>
          <t>J05|CSJSC</t>
        </is>
      </c>
      <c r="F248" t="inlineStr">
        <is>
          <t>CSJSC - Tame</t>
        </is>
      </c>
      <c r="G248" t="inlineStr">
        <is>
          <t>PRODUCTIVO (final)</t>
        </is>
      </c>
      <c r="H248" t="inlineStr">
        <is>
          <t>NO APLICA</t>
        </is>
      </c>
    </row>
    <row r="249">
      <c r="A249" t="n">
        <v>1090304</v>
      </c>
      <c r="B249" t="inlineStr">
        <is>
          <t>CSJSC-TAME-RECIEN NACIDOS</t>
        </is>
      </c>
      <c r="C249" t="inlineStr">
        <is>
          <t>J09</t>
        </is>
      </c>
      <c r="D249" t="inlineStr">
        <is>
          <t>UNIDAD DE RECIÉN NACIDOS</t>
        </is>
      </c>
      <c r="E249" t="inlineStr">
        <is>
          <t>J09|CSJSC</t>
        </is>
      </c>
      <c r="F249" t="inlineStr">
        <is>
          <t>CSJSC - Tame</t>
        </is>
      </c>
      <c r="G249" t="inlineStr">
        <is>
          <t>PRODUCTIVO (final)</t>
        </is>
      </c>
      <c r="H249" t="inlineStr">
        <is>
          <t>VERIFICAR</t>
        </is>
      </c>
    </row>
    <row r="250">
      <c r="A250" t="n">
        <v>1090305</v>
      </c>
      <c r="B250" t="inlineStr">
        <is>
          <t>CSJSC-TAME-HOSPITALIZACI.N SALUD MENTAL</t>
        </is>
      </c>
      <c r="C250" t="inlineStr">
        <is>
          <t>J10</t>
        </is>
      </c>
      <c r="D250" t="inlineStr">
        <is>
          <t>UNIDAD SALUD MENTAL Y DESINTOXICACIÓN (BAJA COMPLEJIDAD)</t>
        </is>
      </c>
      <c r="E250" t="inlineStr">
        <is>
          <t>J10|CSJSC</t>
        </is>
      </c>
      <c r="F250" t="inlineStr">
        <is>
          <t>CSJSC - Tame</t>
        </is>
      </c>
      <c r="G250" t="inlineStr">
        <is>
          <t>PRODUCTIVO (final)</t>
        </is>
      </c>
      <c r="H250" t="inlineStr">
        <is>
          <t>NO APLICA</t>
        </is>
      </c>
    </row>
    <row r="251">
      <c r="A251" t="n">
        <v>1090306</v>
      </c>
      <c r="B251" t="inlineStr">
        <is>
          <t>CSJSC-TAME-QUEMADOS</t>
        </is>
      </c>
      <c r="C251" t="inlineStr">
        <is>
          <t>J08</t>
        </is>
      </c>
      <c r="D251" t="inlineStr">
        <is>
          <t>UNIDAD DE QUEMADOS ADULTOS</t>
        </is>
      </c>
      <c r="E251" t="inlineStr">
        <is>
          <t>J08|CSJSC</t>
        </is>
      </c>
      <c r="F251" t="inlineStr">
        <is>
          <t>CSJSC - Tame</t>
        </is>
      </c>
      <c r="G251" t="inlineStr">
        <is>
          <t>PRODUCTIVO (final)</t>
        </is>
      </c>
      <c r="H251" t="inlineStr">
        <is>
          <t>NO APLICA</t>
        </is>
      </c>
    </row>
    <row r="252">
      <c r="A252" t="n">
        <v>1090307</v>
      </c>
      <c r="B252" t="inlineStr">
        <is>
          <t>CSJSC-TAME-OTROS CUIDADOS ESPECIALE</t>
        </is>
      </c>
      <c r="C252" t="inlineStr">
        <is>
          <t>J13</t>
        </is>
      </c>
      <c r="D252" t="inlineStr">
        <is>
          <t>OTRAS UNIDADES ESPECIALES</t>
        </is>
      </c>
      <c r="E252" t="inlineStr">
        <is>
          <t>J13|CSJSC</t>
        </is>
      </c>
      <c r="F252" t="inlineStr">
        <is>
          <t>CSJSC - Tame</t>
        </is>
      </c>
      <c r="G252" t="inlineStr">
        <is>
          <t>PRODUCTIVO (final)</t>
        </is>
      </c>
      <c r="H252" t="inlineStr">
        <is>
          <t>NO APLICA</t>
        </is>
      </c>
    </row>
    <row r="253">
      <c r="A253" t="n">
        <v>1090401</v>
      </c>
      <c r="B253" t="inlineStr">
        <is>
          <t>CSJSC-TAME-QUIROFANOS</t>
        </is>
      </c>
      <c r="C253" t="inlineStr">
        <is>
          <t>C01</t>
        </is>
      </c>
      <c r="D253" t="inlineStr">
        <is>
          <t>CIRUGÍA GENERAL</t>
        </is>
      </c>
      <c r="E253" t="inlineStr">
        <is>
          <t>C01|CSJSC</t>
        </is>
      </c>
      <c r="F253" t="inlineStr">
        <is>
          <t>CSJSC - Tame</t>
        </is>
      </c>
      <c r="G253" t="inlineStr">
        <is>
          <t>PRODUCTIVO (final)</t>
        </is>
      </c>
      <c r="H253" t="inlineStr">
        <is>
          <t>VERIFICAR</t>
        </is>
      </c>
    </row>
    <row r="254">
      <c r="A254" t="n">
        <v>1090402</v>
      </c>
      <c r="B254" t="inlineStr">
        <is>
          <t>CSJSC-TAME-SALA DE PARTO</t>
        </is>
      </c>
      <c r="C254" t="inlineStr">
        <is>
          <t>D02</t>
        </is>
      </c>
      <c r="D254" t="inlineStr">
        <is>
          <t>ATENCIÓN DE PARTO BAJA COMPLEJIDAD</t>
        </is>
      </c>
      <c r="E254" t="inlineStr">
        <is>
          <t>D02|CSJSC</t>
        </is>
      </c>
      <c r="F254" t="inlineStr">
        <is>
          <t>CSJSC - Tame</t>
        </is>
      </c>
      <c r="G254" t="inlineStr">
        <is>
          <t>PRODUCTIVO (final)</t>
        </is>
      </c>
      <c r="H254" t="inlineStr">
        <is>
          <t>ACTIVO</t>
        </is>
      </c>
    </row>
    <row r="255">
      <c r="A255" t="n">
        <v>1090501</v>
      </c>
      <c r="B255" t="inlineStr">
        <is>
          <t>CSJSC-TAME-LABORATORIO CLINICO</t>
        </is>
      </c>
      <c r="C255" t="inlineStr">
        <is>
          <t>L07</t>
        </is>
      </c>
      <c r="D255" t="inlineStr">
        <is>
          <t>LABORATORIO Y ANÁLISIS CLÍNICO</t>
        </is>
      </c>
      <c r="E255" t="inlineStr">
        <is>
          <t>L07|CSJSC</t>
        </is>
      </c>
      <c r="F255" t="inlineStr">
        <is>
          <t>CSJSC - Tame</t>
        </is>
      </c>
      <c r="G255" t="inlineStr">
        <is>
          <t>APOYO ASISTENCIAL (intermedio)</t>
        </is>
      </c>
      <c r="H255" t="inlineStr">
        <is>
          <t>ACTIVO</t>
        </is>
      </c>
    </row>
    <row r="256">
      <c r="A256" t="n">
        <v>1090502</v>
      </c>
      <c r="B256" t="inlineStr">
        <is>
          <t>CSJSC-TAME-IMAGENOLOGIA</t>
        </is>
      </c>
      <c r="C256" t="inlineStr">
        <is>
          <t>L02</t>
        </is>
      </c>
      <c r="D256" t="inlineStr">
        <is>
          <t>IMAGENEOLOGÍA RADIOLÓGICA</t>
        </is>
      </c>
      <c r="E256" t="inlineStr">
        <is>
          <t>L02|CSJSC</t>
        </is>
      </c>
      <c r="F256" t="inlineStr">
        <is>
          <t>CSJSC - Tame</t>
        </is>
      </c>
      <c r="G256" t="inlineStr">
        <is>
          <t>APOYO ASISTENCIAL (intermedio)</t>
        </is>
      </c>
      <c r="H256" t="inlineStr">
        <is>
          <t>ACTIVO</t>
        </is>
      </c>
    </row>
    <row r="257">
      <c r="A257" t="n">
        <v>1090503</v>
      </c>
      <c r="B257" t="inlineStr">
        <is>
          <t>CSJSC-TAME-ANATOMIA PATOLOGICA</t>
        </is>
      </c>
      <c r="C257" t="inlineStr">
        <is>
          <t>L01</t>
        </is>
      </c>
      <c r="D257" t="inlineStr">
        <is>
          <t>LABORATORIO ANATOMÍA PATOLÓGICA</t>
        </is>
      </c>
      <c r="E257" t="inlineStr">
        <is>
          <t>L01|CSJSC</t>
        </is>
      </c>
      <c r="F257" t="inlineStr">
        <is>
          <t>CSJSC - Tame</t>
        </is>
      </c>
      <c r="G257" t="inlineStr">
        <is>
          <t>APOYO ASISTENCIAL (intermedio)</t>
        </is>
      </c>
      <c r="H257" t="inlineStr">
        <is>
          <t>NO APLICA</t>
        </is>
      </c>
    </row>
    <row r="258">
      <c r="A258" t="n">
        <v>1090504</v>
      </c>
      <c r="B258" t="inlineStr">
        <is>
          <t>CSJSC-TAME-OTRAS UNIDADES DE APOYO DIAGNOSTICO</t>
        </is>
      </c>
      <c r="C258" t="inlineStr">
        <is>
          <t>L04</t>
        </is>
      </c>
      <c r="D258" t="inlineStr">
        <is>
          <t>IMAGENOLOGÍA NO RADIOLÓGICA</t>
        </is>
      </c>
      <c r="E258" t="inlineStr">
        <is>
          <t>L04|CSJSC</t>
        </is>
      </c>
      <c r="F258" t="inlineStr">
        <is>
          <t>CSJSC - Tame</t>
        </is>
      </c>
      <c r="G258" t="inlineStr">
        <is>
          <t>APOYO ASISTENCIAL (intermedio)</t>
        </is>
      </c>
      <c r="H258" t="inlineStr">
        <is>
          <t>VERIFICAR</t>
        </is>
      </c>
    </row>
    <row r="259">
      <c r="A259" t="n">
        <v>1090601</v>
      </c>
      <c r="B259" t="inlineStr">
        <is>
          <t>CSJSC-TAME-REHABILITACION Y TERAPIAS</t>
        </is>
      </c>
      <c r="C259" t="inlineStr">
        <is>
          <t>M06</t>
        </is>
      </c>
      <c r="D259" t="inlineStr">
        <is>
          <t>FISIOTERAPIA Y REHABILITACIÓN</t>
        </is>
      </c>
      <c r="E259" t="inlineStr">
        <is>
          <t>M06|CSJSC</t>
        </is>
      </c>
      <c r="F259" t="inlineStr">
        <is>
          <t>CSJSC - Tame</t>
        </is>
      </c>
      <c r="G259" t="inlineStr">
        <is>
          <t>APOYO ASISTENCIAL (intermedio)</t>
        </is>
      </c>
      <c r="H259" t="inlineStr">
        <is>
          <t>ACTIVO</t>
        </is>
      </c>
    </row>
    <row r="260">
      <c r="A260" t="n">
        <v>1090602</v>
      </c>
      <c r="B260" t="inlineStr">
        <is>
          <t>CSJSC-TAME-BANCO DE SANGRE</t>
        </is>
      </c>
      <c r="C260" t="inlineStr">
        <is>
          <t>M01</t>
        </is>
      </c>
      <c r="D260" t="inlineStr">
        <is>
          <t>BANCO DE SANGRE</t>
        </is>
      </c>
      <c r="E260" t="inlineStr">
        <is>
          <t>M01|CSJSC</t>
        </is>
      </c>
      <c r="F260" t="inlineStr">
        <is>
          <t>CSJSC - Tame</t>
        </is>
      </c>
      <c r="G260" t="inlineStr">
        <is>
          <t>APOYO ASISTENCIAL (intermedio)</t>
        </is>
      </c>
      <c r="H260" t="inlineStr">
        <is>
          <t>NO APLICA</t>
        </is>
      </c>
    </row>
    <row r="261">
      <c r="A261" t="n">
        <v>1090603</v>
      </c>
      <c r="B261" t="inlineStr">
        <is>
          <t>CSJSC-TAME-UNIDAD RENAL</t>
        </is>
      </c>
      <c r="C261" t="inlineStr">
        <is>
          <t>M03</t>
        </is>
      </c>
      <c r="D261" t="inlineStr">
        <is>
          <t>TERAPIA RENAL</t>
        </is>
      </c>
      <c r="E261" t="inlineStr">
        <is>
          <t>M03|CSJSC</t>
        </is>
      </c>
      <c r="F261" t="inlineStr">
        <is>
          <t>CSJSC - Tame</t>
        </is>
      </c>
      <c r="G261" t="inlineStr">
        <is>
          <t>APOYO ASISTENCIAL (intermedio)</t>
        </is>
      </c>
      <c r="H261" t="inlineStr">
        <is>
          <t>NO APLICA</t>
        </is>
      </c>
    </row>
    <row r="262">
      <c r="A262" t="n">
        <v>1090604</v>
      </c>
      <c r="B262" t="inlineStr">
        <is>
          <t>CSJSC-TAME-UNIDAD HEMODINAMIA</t>
        </is>
      </c>
      <c r="C262" t="inlineStr">
        <is>
          <t>C05</t>
        </is>
      </c>
      <c r="D262" t="inlineStr">
        <is>
          <t>CARDIOVASCULAR</t>
        </is>
      </c>
      <c r="E262" t="inlineStr">
        <is>
          <t>C05|CSJSC</t>
        </is>
      </c>
      <c r="F262" t="inlineStr">
        <is>
          <t>CSJSC - Tame</t>
        </is>
      </c>
      <c r="G262" t="inlineStr">
        <is>
          <t>PRODUCTIVO (final)</t>
        </is>
      </c>
      <c r="H262" t="inlineStr">
        <is>
          <t>NO APLICA</t>
        </is>
      </c>
    </row>
    <row r="263">
      <c r="A263" t="n">
        <v>1090605</v>
      </c>
      <c r="B263" t="inlineStr">
        <is>
          <t>CSJSC-TAME-TERAPIAS ONCOLOGICAS</t>
        </is>
      </c>
      <c r="C263" t="inlineStr">
        <is>
          <t>M07</t>
        </is>
      </c>
      <c r="D263" t="inlineStr">
        <is>
          <t>OTRAS TERAPIAS</t>
        </is>
      </c>
      <c r="E263" t="inlineStr">
        <is>
          <t>M07|CSJSC</t>
        </is>
      </c>
      <c r="F263" t="inlineStr">
        <is>
          <t>CSJSC - Tame</t>
        </is>
      </c>
      <c r="G263" t="inlineStr">
        <is>
          <t>APOYO ASISTENCIAL (intermedio)</t>
        </is>
      </c>
      <c r="H263" t="inlineStr">
        <is>
          <t>NO APLICA</t>
        </is>
      </c>
    </row>
    <row r="264">
      <c r="A264" t="n">
        <v>1090606</v>
      </c>
      <c r="B264" t="inlineStr">
        <is>
          <t>CSJSC-TAME-FARMACIA E INSUMOS HOPITALARIOS</t>
        </is>
      </c>
      <c r="C264" t="inlineStr">
        <is>
          <t>M05</t>
        </is>
      </c>
      <c r="D264" t="inlineStr">
        <is>
          <t>FARMACIA</t>
        </is>
      </c>
      <c r="E264" t="inlineStr">
        <is>
          <t>M05|CSJSC</t>
        </is>
      </c>
      <c r="F264" t="inlineStr">
        <is>
          <t>CSJSC - Tame</t>
        </is>
      </c>
      <c r="G264" t="inlineStr">
        <is>
          <t>APOYO ASISTENCIAL (intermedio)</t>
        </is>
      </c>
      <c r="H264" t="inlineStr">
        <is>
          <t>ACTIVO</t>
        </is>
      </c>
    </row>
    <row r="265">
      <c r="A265" t="n">
        <v>1090607</v>
      </c>
      <c r="B265" t="inlineStr">
        <is>
          <t>CSJSC-TAME-OTRAS UNIDADES DE APOYO TERAPEUTICO</t>
        </is>
      </c>
      <c r="C265" t="inlineStr">
        <is>
          <t>M07</t>
        </is>
      </c>
      <c r="D265" t="inlineStr">
        <is>
          <t>OTRAS TERAPIAS</t>
        </is>
      </c>
      <c r="E265" t="inlineStr">
        <is>
          <t>M07|CSJSC</t>
        </is>
      </c>
      <c r="F265" t="inlineStr">
        <is>
          <t>CSJSC - Tame</t>
        </is>
      </c>
      <c r="G265" t="inlineStr">
        <is>
          <t>APOYO ASISTENCIAL (intermedio)</t>
        </is>
      </c>
      <c r="H265" t="inlineStr">
        <is>
          <t>VERIFICAR</t>
        </is>
      </c>
    </row>
    <row r="266">
      <c r="A266" t="n">
        <v>1090701</v>
      </c>
      <c r="B266" t="inlineStr">
        <is>
          <t>CSJSC-TAME-ANCIANATOS</t>
        </is>
      </c>
      <c r="C266" t="inlineStr">
        <is>
          <t>J01</t>
        </is>
      </c>
      <c r="D266" t="inlineStr">
        <is>
          <t>ANCIANATOS Y ALBERGUES</t>
        </is>
      </c>
      <c r="E266" t="inlineStr">
        <is>
          <t>J01|CSJSC</t>
        </is>
      </c>
      <c r="F266" t="inlineStr">
        <is>
          <t>CSJSC - Tame</t>
        </is>
      </c>
      <c r="G266" t="inlineStr">
        <is>
          <t>PRODUCTIVO (final)</t>
        </is>
      </c>
      <c r="H266" t="inlineStr">
        <is>
          <t>NO APLICA</t>
        </is>
      </c>
    </row>
    <row r="267">
      <c r="A267" t="n">
        <v>1090702</v>
      </c>
      <c r="B267" t="inlineStr">
        <is>
          <t>CSJSC-TAME-CENTROS Y PUESTOS DE SALUD</t>
        </is>
      </c>
      <c r="C267" t="inlineStr">
        <is>
          <t>J17</t>
        </is>
      </c>
      <c r="D267" t="inlineStr">
        <is>
          <t>CENTROS Y PUESTOS DE SALUD</t>
        </is>
      </c>
      <c r="E267" t="inlineStr">
        <is>
          <t>J17|CSJSC</t>
        </is>
      </c>
      <c r="F267" t="inlineStr">
        <is>
          <t>CSJSC - Tame</t>
        </is>
      </c>
      <c r="G267" t="inlineStr">
        <is>
          <t>PRODUCTIVO (final)</t>
        </is>
      </c>
      <c r="H267" t="inlineStr">
        <is>
          <t>ACTIVO</t>
        </is>
      </c>
    </row>
    <row r="268">
      <c r="A268" t="n">
        <v>1090703</v>
      </c>
      <c r="B268" t="inlineStr">
        <is>
          <t>CSJSC-TAME-SERV. DOCENTES</t>
        </is>
      </c>
      <c r="C268" t="inlineStr">
        <is>
          <t>U03</t>
        </is>
      </c>
      <c r="D268" t="inlineStr">
        <is>
          <t>EDUCACIÓN MÉDICA</t>
        </is>
      </c>
      <c r="E268" t="inlineStr">
        <is>
          <t>U03|CSJSC</t>
        </is>
      </c>
      <c r="F268" t="inlineStr">
        <is>
          <t>CSJSC - Tame</t>
        </is>
      </c>
      <c r="G268" t="inlineStr">
        <is>
          <t>ADMINISTRATIVO</t>
        </is>
      </c>
      <c r="H268" t="inlineStr">
        <is>
          <t>NO APLICA</t>
        </is>
      </c>
    </row>
    <row r="269">
      <c r="A269" t="n">
        <v>1090704</v>
      </c>
      <c r="B269" t="inlineStr">
        <is>
          <t>CSJSC-TAME-SERV. CONEXOS A LA SALUD MEDICINA LEGAL</t>
        </is>
      </c>
      <c r="C269" t="inlineStr">
        <is>
          <t>A32</t>
        </is>
      </c>
      <c r="D269" t="inlineStr">
        <is>
          <t>OTRAS CONSULTAS Y PROCEDIMIENTOS</t>
        </is>
      </c>
      <c r="E269" t="inlineStr">
        <is>
          <t>A32|CSJSC</t>
        </is>
      </c>
      <c r="F269" t="inlineStr">
        <is>
          <t>CSJSC - Tame</t>
        </is>
      </c>
      <c r="G269" t="inlineStr">
        <is>
          <t>PRODUCTIVO (final)</t>
        </is>
      </c>
      <c r="H269" t="inlineStr">
        <is>
          <t>VERIFICAR</t>
        </is>
      </c>
    </row>
    <row r="270">
      <c r="A270" t="n">
        <v>1090705</v>
      </c>
      <c r="B270" t="inlineStr">
        <is>
          <t>CSJSC-TAME-SERV. CONEXOS A LA SALUD SER. AMBULANC</t>
        </is>
      </c>
      <c r="C270" t="inlineStr">
        <is>
          <t>N08</t>
        </is>
      </c>
      <c r="D270" t="inlineStr">
        <is>
          <t>SERVICIO DE AMBULANCIAS</t>
        </is>
      </c>
      <c r="E270" t="inlineStr">
        <is>
          <t>N08|CSJSC</t>
        </is>
      </c>
      <c r="F270" t="inlineStr">
        <is>
          <t>CSJSC - Tame</t>
        </is>
      </c>
      <c r="G270" t="inlineStr">
        <is>
          <t>PRODUCTIVO (final)</t>
        </is>
      </c>
      <c r="H270" t="inlineStr">
        <is>
          <t>ACTIVO</t>
        </is>
      </c>
    </row>
    <row r="271">
      <c r="A271" t="n">
        <v>1090706</v>
      </c>
      <c r="B271" t="inlineStr">
        <is>
          <t>CSJSC-TAME-SER. CONEXOS A LA SALUD OTROS SERVICIOS</t>
        </is>
      </c>
      <c r="C271" t="inlineStr">
        <is>
          <t>N04</t>
        </is>
      </c>
      <c r="D271" t="inlineStr">
        <is>
          <t>OTROS ENFERMERÍA</t>
        </is>
      </c>
      <c r="E271" t="inlineStr">
        <is>
          <t>N04|CSJSC</t>
        </is>
      </c>
      <c r="F271" t="inlineStr">
        <is>
          <t>CSJSC - Tame</t>
        </is>
      </c>
      <c r="G271" t="inlineStr">
        <is>
          <t>APOYO ASISTENCIAL (intermedio)</t>
        </is>
      </c>
      <c r="H271" t="inlineStr">
        <is>
          <t>VERIFICAR</t>
        </is>
      </c>
    </row>
    <row r="272">
      <c r="A272" t="n">
        <v>1091606</v>
      </c>
      <c r="B272" t="inlineStr">
        <is>
          <t>FARMACIA PRINCIPAL FILIPINAS</t>
        </is>
      </c>
      <c r="C272" t="inlineStr">
        <is>
          <t>M05</t>
        </is>
      </c>
      <c r="D272" t="inlineStr">
        <is>
          <t>FARMACIA</t>
        </is>
      </c>
      <c r="E272" t="inlineStr">
        <is>
          <t>M05|HSAT</t>
        </is>
      </c>
      <c r="F272" t="inlineStr">
        <is>
          <t>HSAT - Filipinas</t>
        </is>
      </c>
      <c r="G272" t="inlineStr">
        <is>
          <t>APOYO ASISTENCIAL (intermedio)</t>
        </is>
      </c>
      <c r="H272" t="inlineStr">
        <is>
          <t>ACTIVO</t>
        </is>
      </c>
    </row>
    <row r="273">
      <c r="A273" t="n">
        <v>1100606</v>
      </c>
      <c r="B273" t="inlineStr">
        <is>
          <t>PSLP-FARMACIA E INSUMOS HOPITALARIOS</t>
        </is>
      </c>
      <c r="C273" t="inlineStr">
        <is>
          <t>M05</t>
        </is>
      </c>
      <c r="D273" t="inlineStr">
        <is>
          <t>FARMACIA</t>
        </is>
      </c>
      <c r="E273" t="inlineStr">
        <is>
          <t>M05|PSLP</t>
        </is>
      </c>
      <c r="F273" t="inlineStr">
        <is>
          <t>PSLP</t>
        </is>
      </c>
      <c r="G273" t="inlineStr">
        <is>
          <t>APOYO ASISTENCIAL (intermedio)</t>
        </is>
      </c>
      <c r="H273" t="inlineStr">
        <is>
          <t>ACTIVO</t>
        </is>
      </c>
    </row>
    <row r="274">
      <c r="A274" t="n">
        <v>1110606</v>
      </c>
      <c r="B274" t="inlineStr">
        <is>
          <t>PSAC-FARMACIA E INSUMOS HOPITALARIOS</t>
        </is>
      </c>
      <c r="C274" t="inlineStr">
        <is>
          <t>M05</t>
        </is>
      </c>
      <c r="D274" t="inlineStr">
        <is>
          <t>FARMACIA</t>
        </is>
      </c>
      <c r="E274" t="inlineStr">
        <is>
          <t>M05|PSAC</t>
        </is>
      </c>
      <c r="F274" t="inlineStr">
        <is>
          <t>PSAC</t>
        </is>
      </c>
      <c r="G274" t="inlineStr">
        <is>
          <t>APOYO ASISTENCIAL (intermedio)</t>
        </is>
      </c>
      <c r="H274" t="inlineStr">
        <is>
          <t>ACTIVO</t>
        </is>
      </c>
    </row>
    <row r="275">
      <c r="A275" t="n">
        <v>1120606</v>
      </c>
      <c r="B275" t="inlineStr">
        <is>
          <t>PSO1-FARMACIA E INSUMOS HOPITALARIOS</t>
        </is>
      </c>
      <c r="C275" t="inlineStr">
        <is>
          <t>M05</t>
        </is>
      </c>
      <c r="D275" t="inlineStr">
        <is>
          <t>FARMACIA</t>
        </is>
      </c>
      <c r="E275" t="inlineStr">
        <is>
          <t>M05|PSO1</t>
        </is>
      </c>
      <c r="F275" t="inlineStr">
        <is>
          <t>PSO1</t>
        </is>
      </c>
      <c r="G275" t="inlineStr">
        <is>
          <t>APOYO ASISTENCIAL (intermedio)</t>
        </is>
      </c>
      <c r="H275" t="inlineStr">
        <is>
          <t>ACTIVO</t>
        </is>
      </c>
    </row>
    <row r="276">
      <c r="A276" t="n">
        <v>2012001</v>
      </c>
      <c r="B276" t="inlineStr">
        <is>
          <t>ESE01-TAME-GERENCIA</t>
        </is>
      </c>
      <c r="C276" t="inlineStr">
        <is>
          <t>T01</t>
        </is>
      </c>
      <c r="D276" t="inlineStr">
        <is>
          <t>GERENCIA Y JUNTA DIRECTIVA</t>
        </is>
      </c>
      <c r="E276" t="inlineStr">
        <is>
          <t>T01|ESE01</t>
        </is>
      </c>
      <c r="F276" t="inlineStr">
        <is>
          <t>ESE01 - Sede Administrativa (Tame)</t>
        </is>
      </c>
      <c r="G276" t="inlineStr">
        <is>
          <t>ADMINISTRATIVO</t>
        </is>
      </c>
      <c r="H276" t="inlineStr">
        <is>
          <t>ACTIVO</t>
        </is>
      </c>
    </row>
    <row r="277">
      <c r="A277" t="n">
        <v>2012002</v>
      </c>
      <c r="B277" t="inlineStr">
        <is>
          <t>ESE01-TAME-JURIDICA</t>
        </is>
      </c>
      <c r="C277" t="inlineStr">
        <is>
          <t>T05</t>
        </is>
      </c>
      <c r="D277" t="inlineStr">
        <is>
          <t>JURÍDICA Y CONTRATACIÓN</t>
        </is>
      </c>
      <c r="E277" t="inlineStr">
        <is>
          <t>T05|ESE01</t>
        </is>
      </c>
      <c r="F277" t="inlineStr">
        <is>
          <t>ESE01 - Sede Administrativa (Tame)</t>
        </is>
      </c>
      <c r="G277" t="inlineStr">
        <is>
          <t>ADMINISTRATIVO</t>
        </is>
      </c>
      <c r="H277" t="inlineStr">
        <is>
          <t>ACTIVO</t>
        </is>
      </c>
    </row>
    <row r="278">
      <c r="A278" t="n">
        <v>2012003</v>
      </c>
      <c r="B278" t="inlineStr">
        <is>
          <t>ESE01-TAME-RECURSOS HUMANOS</t>
        </is>
      </c>
      <c r="C278" t="inlineStr">
        <is>
          <t>R05</t>
        </is>
      </c>
      <c r="D278" t="inlineStr">
        <is>
          <t>TALENTO HUMANO</t>
        </is>
      </c>
      <c r="E278" t="inlineStr">
        <is>
          <t>R05|ESE01</t>
        </is>
      </c>
      <c r="F278" t="inlineStr">
        <is>
          <t>ESE01 - Sede Administrativa (Tame)</t>
        </is>
      </c>
      <c r="G278" t="inlineStr">
        <is>
          <t>ADMINISTRATIVO</t>
        </is>
      </c>
      <c r="H278" t="inlineStr">
        <is>
          <t>ACTIVO</t>
        </is>
      </c>
    </row>
    <row r="279">
      <c r="A279" t="n">
        <v>2012004</v>
      </c>
      <c r="B279" t="inlineStr">
        <is>
          <t>ESE01-TAME-ALMACEN SEDE ADMINISTRATIVA</t>
        </is>
      </c>
      <c r="C279" t="inlineStr">
        <is>
          <t>R02</t>
        </is>
      </c>
      <c r="D279" t="inlineStr">
        <is>
          <t>RECURSOS FÍSICOS</t>
        </is>
      </c>
      <c r="E279" t="inlineStr">
        <is>
          <t>R02|ESE01</t>
        </is>
      </c>
      <c r="F279" t="inlineStr">
        <is>
          <t>ESE01 - Sede Administrativa (Tame)</t>
        </is>
      </c>
      <c r="G279" t="inlineStr">
        <is>
          <t>ADMINISTRATIVO</t>
        </is>
      </c>
      <c r="H279" t="inlineStr">
        <is>
          <t>ACTIVO</t>
        </is>
      </c>
    </row>
    <row r="280">
      <c r="A280" t="n">
        <v>2012005</v>
      </c>
      <c r="B280" t="inlineStr">
        <is>
          <t>ESE01-TAME-CONTROL INTERNO</t>
        </is>
      </c>
      <c r="C280" t="inlineStr">
        <is>
          <t>T11</t>
        </is>
      </c>
      <c r="D280" t="inlineStr">
        <is>
          <t>CONTROL INTERNO</t>
        </is>
      </c>
      <c r="E280" t="inlineStr">
        <is>
          <t>T11|ESE01</t>
        </is>
      </c>
      <c r="F280" t="inlineStr">
        <is>
          <t>ESE01 - Sede Administrativa (Tame)</t>
        </is>
      </c>
      <c r="G280" t="inlineStr">
        <is>
          <t>ADMINISTRATIVO</t>
        </is>
      </c>
      <c r="H280" t="inlineStr">
        <is>
          <t>ACTIVO</t>
        </is>
      </c>
    </row>
    <row r="281">
      <c r="A281" t="n">
        <v>2012006</v>
      </c>
      <c r="B281" t="inlineStr">
        <is>
          <t>ESE01-TAME-CALIDAD</t>
        </is>
      </c>
      <c r="C281" t="inlineStr">
        <is>
          <t>T10</t>
        </is>
      </c>
      <c r="D281" t="inlineStr">
        <is>
          <t>PROGRAMAS DE CALIDAD Y ACREDITACIÓN</t>
        </is>
      </c>
      <c r="E281" t="inlineStr">
        <is>
          <t>T10|ESE01</t>
        </is>
      </c>
      <c r="F281" t="inlineStr">
        <is>
          <t>ESE01 - Sede Administrativa (Tame)</t>
        </is>
      </c>
      <c r="G281" t="inlineStr">
        <is>
          <t>ADMINISTRATIVO</t>
        </is>
      </c>
      <c r="H281" t="inlineStr">
        <is>
          <t>ACTIVO</t>
        </is>
      </c>
    </row>
    <row r="282">
      <c r="A282" t="n">
        <v>2012007</v>
      </c>
      <c r="B282" t="inlineStr">
        <is>
          <t>ESE01-TAME-ATENCION AL USUARIO</t>
        </is>
      </c>
      <c r="C282" t="inlineStr">
        <is>
          <t>O02</t>
        </is>
      </c>
      <c r="D282" t="inlineStr">
        <is>
          <t>ATENCIÓN AL USUARIO</t>
        </is>
      </c>
      <c r="E282" t="inlineStr">
        <is>
          <t>O02|ESE01</t>
        </is>
      </c>
      <c r="F282" t="inlineStr">
        <is>
          <t>ESE01 - Sede Administrativa (Tame)</t>
        </is>
      </c>
      <c r="G282" t="inlineStr">
        <is>
          <t>APOYO LOGÍSTICO</t>
        </is>
      </c>
      <c r="H282" t="inlineStr">
        <is>
          <t>ACTIVO</t>
        </is>
      </c>
    </row>
    <row r="283">
      <c r="A283" t="n">
        <v>2012008</v>
      </c>
      <c r="B283" t="inlineStr">
        <is>
          <t>ESE01-TAME-SISTEMAS DE INFORMACION Y ARCHIVO</t>
        </is>
      </c>
      <c r="C283" t="inlineStr">
        <is>
          <t>R09</t>
        </is>
      </c>
      <c r="D283" t="inlineStr">
        <is>
          <t>GESTIÓN DOCUMENTAL Y ARCHIVÍSTICA</t>
        </is>
      </c>
      <c r="E283" t="inlineStr">
        <is>
          <t>R09|ESE01</t>
        </is>
      </c>
      <c r="F283" t="inlineStr">
        <is>
          <t>ESE01 - Sede Administrativa (Tame)</t>
        </is>
      </c>
      <c r="G283" t="inlineStr">
        <is>
          <t>ADMINISTRATIVO</t>
        </is>
      </c>
      <c r="H283" t="inlineStr">
        <is>
          <t>ACTIVO</t>
        </is>
      </c>
    </row>
    <row r="284">
      <c r="A284" t="n">
        <v>2012009</v>
      </c>
      <c r="B284" t="inlineStr">
        <is>
          <t>ESE01-TAME-INFORMATICA Y TELECOMUNICACIONES</t>
        </is>
      </c>
      <c r="C284" t="inlineStr">
        <is>
          <t>T07</t>
        </is>
      </c>
      <c r="D284" t="inlineStr">
        <is>
          <t>SISTEMAS</t>
        </is>
      </c>
      <c r="E284" t="inlineStr">
        <is>
          <t>T07|ESE01</t>
        </is>
      </c>
      <c r="F284" t="inlineStr">
        <is>
          <t>ESE01 - Sede Administrativa (Tame)</t>
        </is>
      </c>
      <c r="G284" t="inlineStr">
        <is>
          <t>ADMINISTRATIVO</t>
        </is>
      </c>
      <c r="H284" t="inlineStr">
        <is>
          <t>ACTIVO</t>
        </is>
      </c>
    </row>
    <row r="285">
      <c r="A285" t="n">
        <v>2012010</v>
      </c>
      <c r="B285" t="inlineStr">
        <is>
          <t>ESE01-TAME-AUDITORIA MEDICA</t>
        </is>
      </c>
      <c r="C285" t="inlineStr">
        <is>
          <t>U02</t>
        </is>
      </c>
      <c r="D285" t="inlineStr">
        <is>
          <t>AUDITORIA MÉDICA</t>
        </is>
      </c>
      <c r="E285" t="inlineStr">
        <is>
          <t>U02|ESE01</t>
        </is>
      </c>
      <c r="F285" t="inlineStr">
        <is>
          <t>ESE01 - Sede Administrativa (Tame)</t>
        </is>
      </c>
      <c r="G285" t="inlineStr">
        <is>
          <t>ADMINISTRATIVO</t>
        </is>
      </c>
      <c r="H285" t="inlineStr">
        <is>
          <t>ACTIVO</t>
        </is>
      </c>
    </row>
    <row r="286">
      <c r="A286" t="n">
        <v>2012011</v>
      </c>
      <c r="B286" t="inlineStr">
        <is>
          <t>ESE01-TAME-PGRHYS</t>
        </is>
      </c>
      <c r="C286" t="inlineStr">
        <is>
          <t>R04</t>
        </is>
      </c>
      <c r="D286" t="inlineStr">
        <is>
          <t>ASEO Y LIMPIEZA</t>
        </is>
      </c>
      <c r="E286" t="inlineStr">
        <is>
          <t>R04|ESE01</t>
        </is>
      </c>
      <c r="F286" t="inlineStr">
        <is>
          <t>ESE01 - Sede Administrativa (Tame)</t>
        </is>
      </c>
      <c r="G286" t="inlineStr">
        <is>
          <t>ADMINISTRATIVO</t>
        </is>
      </c>
      <c r="H286" t="inlineStr">
        <is>
          <t>ACTIVO</t>
        </is>
      </c>
    </row>
    <row r="287">
      <c r="A287" t="n">
        <v>2012012</v>
      </c>
      <c r="B287" t="inlineStr">
        <is>
          <t>ESE01-ARAUCA-ESTADISTICA</t>
        </is>
      </c>
      <c r="C287" t="inlineStr">
        <is>
          <t>Q05</t>
        </is>
      </c>
      <c r="D287" t="inlineStr">
        <is>
          <t>ESTADISTICA</t>
        </is>
      </c>
      <c r="E287" t="inlineStr">
        <is>
          <t>Q05|ESE01</t>
        </is>
      </c>
      <c r="F287" t="inlineStr">
        <is>
          <t>ESE01 - Sede Administrativa (Tame)</t>
        </is>
      </c>
      <c r="G287" t="inlineStr">
        <is>
          <t>APOYO LOGÍSTICO</t>
        </is>
      </c>
      <c r="H287" t="inlineStr">
        <is>
          <t>ACTIVO</t>
        </is>
      </c>
    </row>
    <row r="288">
      <c r="A288" t="n">
        <v>2012013</v>
      </c>
      <c r="B288" t="inlineStr">
        <is>
          <t>ESE01-TAME-PLANEACION</t>
        </is>
      </c>
      <c r="C288" t="inlineStr">
        <is>
          <t>T08</t>
        </is>
      </c>
      <c r="D288" t="inlineStr">
        <is>
          <t>PLANEACIÓN Y DESARROLLO INSTITUCIONAL</t>
        </is>
      </c>
      <c r="E288" t="inlineStr">
        <is>
          <t>T08|ESE01</t>
        </is>
      </c>
      <c r="F288" t="inlineStr">
        <is>
          <t>ESE01 - Sede Administrativa (Tame)</t>
        </is>
      </c>
      <c r="G288" t="inlineStr">
        <is>
          <t>ADMINISTRATIVO</t>
        </is>
      </c>
      <c r="H288" t="inlineStr">
        <is>
          <t>ACTIVO</t>
        </is>
      </c>
    </row>
    <row r="289">
      <c r="A289" t="n">
        <v>2012014</v>
      </c>
      <c r="B289" t="inlineStr">
        <is>
          <t>ESE01-ARAUCA-COORDINACION DE PROYECTOS</t>
        </is>
      </c>
      <c r="C289" t="inlineStr">
        <is>
          <t>T08</t>
        </is>
      </c>
      <c r="D289" t="inlineStr">
        <is>
          <t>PLANEACIÓN Y DESARROLLO INSTITUCIONAL</t>
        </is>
      </c>
      <c r="E289" t="inlineStr">
        <is>
          <t>T08|ESE01</t>
        </is>
      </c>
      <c r="F289" t="inlineStr">
        <is>
          <t>ESE01 - Sede Administrativa (Tame)</t>
        </is>
      </c>
      <c r="G289" t="inlineStr">
        <is>
          <t>ADMINISTRATIVO</t>
        </is>
      </c>
      <c r="H289" t="inlineStr">
        <is>
          <t>ACTIVO</t>
        </is>
      </c>
    </row>
    <row r="290">
      <c r="A290" t="n">
        <v>2012015</v>
      </c>
      <c r="B290" t="inlineStr">
        <is>
          <t>ESE01-ARAUCA-COORDINACION DE ASISTENCIAL</t>
        </is>
      </c>
      <c r="C290" t="inlineStr">
        <is>
          <t>U05</t>
        </is>
      </c>
      <c r="D290" t="inlineStr">
        <is>
          <t>COORDINACION EN SALUD</t>
        </is>
      </c>
      <c r="E290" t="inlineStr">
        <is>
          <t>U05|ESE01</t>
        </is>
      </c>
      <c r="F290" t="inlineStr">
        <is>
          <t>ESE01 - Sede Administrativa (Tame)</t>
        </is>
      </c>
      <c r="G290" t="inlineStr">
        <is>
          <t>ADMINISTRATIVO</t>
        </is>
      </c>
      <c r="H290" t="inlineStr">
        <is>
          <t>ACTIVO</t>
        </is>
      </c>
    </row>
    <row r="291">
      <c r="A291" t="n">
        <v>2012016</v>
      </c>
      <c r="B291" t="inlineStr">
        <is>
          <t>ESE01-TAME-ADMINISTRACION SEDE CENTRAL</t>
        </is>
      </c>
      <c r="C291" t="inlineStr">
        <is>
          <t>R01</t>
        </is>
      </c>
      <c r="D291" t="inlineStr">
        <is>
          <t>COORDINACIÓN ADMINISTRATIVA</t>
        </is>
      </c>
      <c r="E291" t="inlineStr">
        <is>
          <t>R01|ESE01</t>
        </is>
      </c>
      <c r="F291" t="inlineStr">
        <is>
          <t>ESE01 - Sede Administrativa (Tame)</t>
        </is>
      </c>
      <c r="G291" t="inlineStr">
        <is>
          <t>ADMINISTRATIVO</t>
        </is>
      </c>
      <c r="H291" t="inlineStr">
        <is>
          <t>ACTIVO</t>
        </is>
      </c>
    </row>
    <row r="292">
      <c r="A292" t="n">
        <v>2022004</v>
      </c>
      <c r="B292" t="inlineStr">
        <is>
          <t>HSLA-ARAUQUITA-ALMACEN</t>
        </is>
      </c>
      <c r="C292" t="inlineStr">
        <is>
          <t>R02</t>
        </is>
      </c>
      <c r="D292" t="inlineStr">
        <is>
          <t>RECURSOS FÍSICOS</t>
        </is>
      </c>
      <c r="E292" t="inlineStr">
        <is>
          <t>R02|HSLA</t>
        </is>
      </c>
      <c r="F292" t="inlineStr">
        <is>
          <t>HSLA - Arauquita</t>
        </is>
      </c>
      <c r="G292" t="inlineStr">
        <is>
          <t>ADMINISTRATIVO</t>
        </is>
      </c>
      <c r="H292" t="inlineStr">
        <is>
          <t>ACTIVO</t>
        </is>
      </c>
    </row>
    <row r="293">
      <c r="A293" t="n">
        <v>2022007</v>
      </c>
      <c r="B293" t="inlineStr">
        <is>
          <t>HSLA-ARAUQUITA-ATENCION AL USUARIO</t>
        </is>
      </c>
      <c r="C293" t="inlineStr">
        <is>
          <t>O02</t>
        </is>
      </c>
      <c r="D293" t="inlineStr">
        <is>
          <t>ATENCIÓN AL USUARIO</t>
        </is>
      </c>
      <c r="E293" t="inlineStr">
        <is>
          <t>O02|HSLA</t>
        </is>
      </c>
      <c r="F293" t="inlineStr">
        <is>
          <t>HSLA - Arauquita</t>
        </is>
      </c>
      <c r="G293" t="inlineStr">
        <is>
          <t>APOYO LOGÍSTICO</t>
        </is>
      </c>
      <c r="H293" t="inlineStr">
        <is>
          <t>ACTIVO</t>
        </is>
      </c>
    </row>
    <row r="294">
      <c r="A294" t="n">
        <v>2022009</v>
      </c>
      <c r="B294" t="inlineStr">
        <is>
          <t>HSLA-ARAUQUITA- INFORMATICA Y TELECOMUNICACIONES</t>
        </is>
      </c>
      <c r="C294" t="inlineStr">
        <is>
          <t>T07</t>
        </is>
      </c>
      <c r="D294" t="inlineStr">
        <is>
          <t>SISTEMAS</t>
        </is>
      </c>
      <c r="E294" t="inlineStr">
        <is>
          <t>T07|HSLA</t>
        </is>
      </c>
      <c r="F294" t="inlineStr">
        <is>
          <t>HSLA - Arauquita</t>
        </is>
      </c>
      <c r="G294" t="inlineStr">
        <is>
          <t>ADMINISTRATIVO</t>
        </is>
      </c>
      <c r="H294" t="inlineStr">
        <is>
          <t>ACTIVO</t>
        </is>
      </c>
    </row>
    <row r="295">
      <c r="A295" t="n">
        <v>2022011</v>
      </c>
      <c r="B295" t="inlineStr">
        <is>
          <t>HSLA - ARAUQUITA - CONTROL DE RESIDUOS SOLIDOS</t>
        </is>
      </c>
      <c r="C295" t="inlineStr">
        <is>
          <t>R04</t>
        </is>
      </c>
      <c r="D295" t="inlineStr">
        <is>
          <t>ASEO Y LIMPIEZA</t>
        </is>
      </c>
      <c r="E295" t="inlineStr">
        <is>
          <t>R04|HSLA</t>
        </is>
      </c>
      <c r="F295" t="inlineStr">
        <is>
          <t>HSLA - Arauquita</t>
        </is>
      </c>
      <c r="G295" t="inlineStr">
        <is>
          <t>ADMINISTRATIVO</t>
        </is>
      </c>
      <c r="H295" t="inlineStr">
        <is>
          <t>ACTIVO</t>
        </is>
      </c>
    </row>
    <row r="296">
      <c r="A296" t="n">
        <v>2022012</v>
      </c>
      <c r="B296" t="inlineStr">
        <is>
          <t>HSLA-ARAUQUITA- ESTADISTICA</t>
        </is>
      </c>
      <c r="C296" t="inlineStr">
        <is>
          <t>Q05</t>
        </is>
      </c>
      <c r="D296" t="inlineStr">
        <is>
          <t>ESTADISTICA</t>
        </is>
      </c>
      <c r="E296" t="inlineStr">
        <is>
          <t>Q05|HSLA</t>
        </is>
      </c>
      <c r="F296" t="inlineStr">
        <is>
          <t>HSLA - Arauquita</t>
        </is>
      </c>
      <c r="G296" t="inlineStr">
        <is>
          <t>APOYO LOGÍSTICO</t>
        </is>
      </c>
      <c r="H296" t="inlineStr">
        <is>
          <t>ACTIVO</t>
        </is>
      </c>
    </row>
    <row r="297">
      <c r="A297" t="n">
        <v>2022016</v>
      </c>
      <c r="B297" t="inlineStr">
        <is>
          <t>HSLA-ARAUQUITA-ADMINISTRACION HOSPITALARIA</t>
        </is>
      </c>
      <c r="C297" t="inlineStr">
        <is>
          <t>R01</t>
        </is>
      </c>
      <c r="D297" t="inlineStr">
        <is>
          <t>COORDINACIÓN ADMINISTRATIVA</t>
        </is>
      </c>
      <c r="E297" t="inlineStr">
        <is>
          <t>R01|HSLA</t>
        </is>
      </c>
      <c r="F297" t="inlineStr">
        <is>
          <t>HSLA - Arauquita</t>
        </is>
      </c>
      <c r="G297" t="inlineStr">
        <is>
          <t>ADMINISTRATIVO</t>
        </is>
      </c>
      <c r="H297" t="inlineStr">
        <is>
          <t>ACTIVO</t>
        </is>
      </c>
    </row>
    <row r="298">
      <c r="A298" t="n">
        <v>2032004</v>
      </c>
      <c r="B298" t="inlineStr">
        <is>
          <t>HSFF-FORTUL-ALMACEN</t>
        </is>
      </c>
      <c r="C298" t="inlineStr">
        <is>
          <t>R02</t>
        </is>
      </c>
      <c r="D298" t="inlineStr">
        <is>
          <t>RECURSOS FÍSICOS</t>
        </is>
      </c>
      <c r="E298" t="inlineStr">
        <is>
          <t>R02|HSFF</t>
        </is>
      </c>
      <c r="F298" t="inlineStr">
        <is>
          <t>HSFF - Fortul</t>
        </is>
      </c>
      <c r="G298" t="inlineStr">
        <is>
          <t>ADMINISTRATIVO</t>
        </is>
      </c>
      <c r="H298" t="inlineStr">
        <is>
          <t>ACTIVO</t>
        </is>
      </c>
    </row>
    <row r="299">
      <c r="A299" t="n">
        <v>2032007</v>
      </c>
      <c r="B299" t="inlineStr">
        <is>
          <t>HSFF-FORTUL-ATENCION AL USUARIO</t>
        </is>
      </c>
      <c r="C299" t="inlineStr">
        <is>
          <t>O02</t>
        </is>
      </c>
      <c r="D299" t="inlineStr">
        <is>
          <t>ATENCIÓN AL USUARIO</t>
        </is>
      </c>
      <c r="E299" t="inlineStr">
        <is>
          <t>O02|HSFF</t>
        </is>
      </c>
      <c r="F299" t="inlineStr">
        <is>
          <t>HSFF - Fortul</t>
        </is>
      </c>
      <c r="G299" t="inlineStr">
        <is>
          <t>APOYO LOGÍSTICO</t>
        </is>
      </c>
      <c r="H299" t="inlineStr">
        <is>
          <t>ACTIVO</t>
        </is>
      </c>
    </row>
    <row r="300">
      <c r="A300" t="n">
        <v>2032009</v>
      </c>
      <c r="B300" t="inlineStr">
        <is>
          <t>HSFF-FORTUL- INFORMATICA Y TELECOMUNICACIONES</t>
        </is>
      </c>
      <c r="C300" t="inlineStr">
        <is>
          <t>T07</t>
        </is>
      </c>
      <c r="D300" t="inlineStr">
        <is>
          <t>SISTEMAS</t>
        </is>
      </c>
      <c r="E300" t="inlineStr">
        <is>
          <t>T07|HSFF</t>
        </is>
      </c>
      <c r="F300" t="inlineStr">
        <is>
          <t>HSFF - Fortul</t>
        </is>
      </c>
      <c r="G300" t="inlineStr">
        <is>
          <t>ADMINISTRATIVO</t>
        </is>
      </c>
      <c r="H300" t="inlineStr">
        <is>
          <t>ACTIVO</t>
        </is>
      </c>
    </row>
    <row r="301">
      <c r="A301" t="n">
        <v>2032011</v>
      </c>
      <c r="B301" t="inlineStr">
        <is>
          <t>HSFF-FORTUL-CONTROL DE RESIDUOS HOSPITALARIOS</t>
        </is>
      </c>
      <c r="C301" t="inlineStr">
        <is>
          <t>R04</t>
        </is>
      </c>
      <c r="D301" t="inlineStr">
        <is>
          <t>ASEO Y LIMPIEZA</t>
        </is>
      </c>
      <c r="E301" t="inlineStr">
        <is>
          <t>R04|HSFF</t>
        </is>
      </c>
      <c r="F301" t="inlineStr">
        <is>
          <t>HSFF - Fortul</t>
        </is>
      </c>
      <c r="G301" t="inlineStr">
        <is>
          <t>ADMINISTRATIVO</t>
        </is>
      </c>
      <c r="H301" t="inlineStr">
        <is>
          <t>ACTIVO</t>
        </is>
      </c>
    </row>
    <row r="302">
      <c r="A302" t="n">
        <v>2032012</v>
      </c>
      <c r="B302" t="inlineStr">
        <is>
          <t>HSFF-FORTUL- ESTADISTICA</t>
        </is>
      </c>
      <c r="C302" t="inlineStr">
        <is>
          <t>Q05</t>
        </is>
      </c>
      <c r="D302" t="inlineStr">
        <is>
          <t>ESTADISTICA</t>
        </is>
      </c>
      <c r="E302" t="inlineStr">
        <is>
          <t>Q05|HSFF</t>
        </is>
      </c>
      <c r="F302" t="inlineStr">
        <is>
          <t>HSFF - Fortul</t>
        </is>
      </c>
      <c r="G302" t="inlineStr">
        <is>
          <t>APOYO LOGÍSTICO</t>
        </is>
      </c>
      <c r="H302" t="inlineStr">
        <is>
          <t>ACTIVO</t>
        </is>
      </c>
    </row>
    <row r="303">
      <c r="A303" t="n">
        <v>2032016</v>
      </c>
      <c r="B303" t="inlineStr">
        <is>
          <t>HSFF-FORTUL-ADMINISTRACION HOSPITALARIA</t>
        </is>
      </c>
      <c r="C303" t="inlineStr">
        <is>
          <t>R01</t>
        </is>
      </c>
      <c r="D303" t="inlineStr">
        <is>
          <t>COORDINACIÓN ADMINISTRATIVA</t>
        </is>
      </c>
      <c r="E303" t="inlineStr">
        <is>
          <t>R01|HSFF</t>
        </is>
      </c>
      <c r="F303" t="inlineStr">
        <is>
          <t>HSFF - Fortul</t>
        </is>
      </c>
      <c r="G303" t="inlineStr">
        <is>
          <t>ADMINISTRATIVO</t>
        </is>
      </c>
      <c r="H303" t="inlineStr">
        <is>
          <t>ACTIVO</t>
        </is>
      </c>
    </row>
    <row r="304">
      <c r="A304" t="n">
        <v>2042004</v>
      </c>
      <c r="B304" t="inlineStr">
        <is>
          <t>HSAT-TAME-ALMACEN</t>
        </is>
      </c>
      <c r="C304" t="inlineStr">
        <is>
          <t>R02</t>
        </is>
      </c>
      <c r="D304" t="inlineStr">
        <is>
          <t>RECURSOS FÍSICOS</t>
        </is>
      </c>
      <c r="E304" t="inlineStr">
        <is>
          <t>R02|HSAT</t>
        </is>
      </c>
      <c r="F304" t="inlineStr">
        <is>
          <t>HSAT - Tame</t>
        </is>
      </c>
      <c r="G304" t="inlineStr">
        <is>
          <t>ADMINISTRATIVO</t>
        </is>
      </c>
      <c r="H304" t="inlineStr">
        <is>
          <t>ACTIVO</t>
        </is>
      </c>
    </row>
    <row r="305">
      <c r="A305" t="n">
        <v>2042007</v>
      </c>
      <c r="B305" t="inlineStr">
        <is>
          <t>HSAT-TAME-ATENCION AL USUARIO</t>
        </is>
      </c>
      <c r="C305" t="inlineStr">
        <is>
          <t>O02</t>
        </is>
      </c>
      <c r="D305" t="inlineStr">
        <is>
          <t>ATENCIÓN AL USUARIO</t>
        </is>
      </c>
      <c r="E305" t="inlineStr">
        <is>
          <t>O02|HSAT</t>
        </is>
      </c>
      <c r="F305" t="inlineStr">
        <is>
          <t>HSAT - Tame</t>
        </is>
      </c>
      <c r="G305" t="inlineStr">
        <is>
          <t>APOYO LOGÍSTICO</t>
        </is>
      </c>
      <c r="H305" t="inlineStr">
        <is>
          <t>ACTIVO</t>
        </is>
      </c>
    </row>
    <row r="306">
      <c r="A306" t="n">
        <v>2042009</v>
      </c>
      <c r="B306" t="inlineStr">
        <is>
          <t>HSAT-TAME- INFORMATICA Y TELECOMUNICACIONES</t>
        </is>
      </c>
      <c r="C306" t="inlineStr">
        <is>
          <t>T07</t>
        </is>
      </c>
      <c r="D306" t="inlineStr">
        <is>
          <t>SISTEMAS</t>
        </is>
      </c>
      <c r="E306" t="inlineStr">
        <is>
          <t>T07|HSAT</t>
        </is>
      </c>
      <c r="F306" t="inlineStr">
        <is>
          <t>HSAT - Tame</t>
        </is>
      </c>
      <c r="G306" t="inlineStr">
        <is>
          <t>ADMINISTRATIVO</t>
        </is>
      </c>
      <c r="H306" t="inlineStr">
        <is>
          <t>ACTIVO</t>
        </is>
      </c>
    </row>
    <row r="307">
      <c r="A307" t="n">
        <v>2042011</v>
      </c>
      <c r="B307" t="inlineStr">
        <is>
          <t>HSAT-TAME- CONTROL DE RESIDUOS HOSPITALARIOS</t>
        </is>
      </c>
      <c r="C307" t="inlineStr">
        <is>
          <t>R04</t>
        </is>
      </c>
      <c r="D307" t="inlineStr">
        <is>
          <t>ASEO Y LIMPIEZA</t>
        </is>
      </c>
      <c r="E307" t="inlineStr">
        <is>
          <t>R04|HSAT</t>
        </is>
      </c>
      <c r="F307" t="inlineStr">
        <is>
          <t>HSAT - Tame</t>
        </is>
      </c>
      <c r="G307" t="inlineStr">
        <is>
          <t>ADMINISTRATIVO</t>
        </is>
      </c>
      <c r="H307" t="inlineStr">
        <is>
          <t>ACTIVO</t>
        </is>
      </c>
    </row>
    <row r="308">
      <c r="A308" t="n">
        <v>2042012</v>
      </c>
      <c r="B308" t="inlineStr">
        <is>
          <t>HSAT-TAME- ESTADISTICA</t>
        </is>
      </c>
      <c r="C308" t="inlineStr">
        <is>
          <t>Q05</t>
        </is>
      </c>
      <c r="D308" t="inlineStr">
        <is>
          <t>ESTADISTICA</t>
        </is>
      </c>
      <c r="E308" t="inlineStr">
        <is>
          <t>Q05|HSAT</t>
        </is>
      </c>
      <c r="F308" t="inlineStr">
        <is>
          <t>HSAT - Tame</t>
        </is>
      </c>
      <c r="G308" t="inlineStr">
        <is>
          <t>APOYO LOGÍSTICO</t>
        </is>
      </c>
      <c r="H308" t="inlineStr">
        <is>
          <t>ACTIVO</t>
        </is>
      </c>
    </row>
    <row r="309">
      <c r="A309" t="n">
        <v>2042016</v>
      </c>
      <c r="B309" t="inlineStr">
        <is>
          <t>HSAT-TAME-ADMINISTRACION HOSPITALARIA</t>
        </is>
      </c>
      <c r="C309" t="inlineStr">
        <is>
          <t>R01</t>
        </is>
      </c>
      <c r="D309" t="inlineStr">
        <is>
          <t>COORDINACIÓN ADMINISTRATIVA</t>
        </is>
      </c>
      <c r="E309" t="inlineStr">
        <is>
          <t>R01|HSAT</t>
        </is>
      </c>
      <c r="F309" t="inlineStr">
        <is>
          <t>HSAT - Tame</t>
        </is>
      </c>
      <c r="G309" t="inlineStr">
        <is>
          <t>ADMINISTRATIVO</t>
        </is>
      </c>
      <c r="H309" t="inlineStr">
        <is>
          <t>ACTIVO</t>
        </is>
      </c>
    </row>
    <row r="310">
      <c r="A310" t="n">
        <v>2052004</v>
      </c>
      <c r="B310" t="inlineStr">
        <is>
          <t>HSJDP-PUERTO RONDON-ALMACEN</t>
        </is>
      </c>
      <c r="C310" t="inlineStr">
        <is>
          <t>R02</t>
        </is>
      </c>
      <c r="D310" t="inlineStr">
        <is>
          <t>RECURSOS FÍSICOS</t>
        </is>
      </c>
      <c r="E310" t="inlineStr">
        <is>
          <t>R02|HSJDP</t>
        </is>
      </c>
      <c r="F310" t="inlineStr">
        <is>
          <t>HSJDP - Puerto Rondón</t>
        </is>
      </c>
      <c r="G310" t="inlineStr">
        <is>
          <t>ADMINISTRATIVO</t>
        </is>
      </c>
      <c r="H310" t="inlineStr">
        <is>
          <t>ACTIVO</t>
        </is>
      </c>
    </row>
    <row r="311">
      <c r="A311" t="n">
        <v>2052007</v>
      </c>
      <c r="B311" t="inlineStr">
        <is>
          <t>HSJDP-PUERTO RONDON-ATENCION AL USUARIO</t>
        </is>
      </c>
      <c r="C311" t="inlineStr">
        <is>
          <t>O02</t>
        </is>
      </c>
      <c r="D311" t="inlineStr">
        <is>
          <t>ATENCIÓN AL USUARIO</t>
        </is>
      </c>
      <c r="E311" t="inlineStr">
        <is>
          <t>O02|HSJDP</t>
        </is>
      </c>
      <c r="F311" t="inlineStr">
        <is>
          <t>HSJDP - Puerto Rondón</t>
        </is>
      </c>
      <c r="G311" t="inlineStr">
        <is>
          <t>APOYO LOGÍSTICO</t>
        </is>
      </c>
      <c r="H311" t="inlineStr">
        <is>
          <t>ACTIVO</t>
        </is>
      </c>
    </row>
    <row r="312">
      <c r="A312" t="n">
        <v>2052009</v>
      </c>
      <c r="B312" t="inlineStr">
        <is>
          <t>HSJDP-PUERTO RONDON- INFORMATICA Y TELECOMUNICACIONES</t>
        </is>
      </c>
      <c r="C312" t="inlineStr">
        <is>
          <t>T07</t>
        </is>
      </c>
      <c r="D312" t="inlineStr">
        <is>
          <t>SISTEMAS</t>
        </is>
      </c>
      <c r="E312" t="inlineStr">
        <is>
          <t>T07|HSJDP</t>
        </is>
      </c>
      <c r="F312" t="inlineStr">
        <is>
          <t>HSJDP - Puerto Rondón</t>
        </is>
      </c>
      <c r="G312" t="inlineStr">
        <is>
          <t>ADMINISTRATIVO</t>
        </is>
      </c>
      <c r="H312" t="inlineStr">
        <is>
          <t>ACTIVO</t>
        </is>
      </c>
    </row>
    <row r="313">
      <c r="A313" t="n">
        <v>2052011</v>
      </c>
      <c r="B313" t="inlineStr">
        <is>
          <t>HSJDP-RONDON - CONTROL DE RESIDUOS HOSPITALARIOS</t>
        </is>
      </c>
      <c r="C313" t="inlineStr">
        <is>
          <t>R04</t>
        </is>
      </c>
      <c r="D313" t="inlineStr">
        <is>
          <t>ASEO Y LIMPIEZA</t>
        </is>
      </c>
      <c r="E313" t="inlineStr">
        <is>
          <t>R04|HSJDP</t>
        </is>
      </c>
      <c r="F313" t="inlineStr">
        <is>
          <t>HSJDP - Puerto Rondón</t>
        </is>
      </c>
      <c r="G313" t="inlineStr">
        <is>
          <t>ADMINISTRATIVO</t>
        </is>
      </c>
      <c r="H313" t="inlineStr">
        <is>
          <t>ACTIVO</t>
        </is>
      </c>
    </row>
    <row r="314">
      <c r="A314" t="n">
        <v>2052012</v>
      </c>
      <c r="B314" t="inlineStr">
        <is>
          <t>HSJDP-PUERTO RONDON- ESTADISTICA</t>
        </is>
      </c>
      <c r="C314" t="inlineStr">
        <is>
          <t>Q05</t>
        </is>
      </c>
      <c r="D314" t="inlineStr">
        <is>
          <t>ESTADISTICA</t>
        </is>
      </c>
      <c r="E314" t="inlineStr">
        <is>
          <t>Q05|HSJDP</t>
        </is>
      </c>
      <c r="F314" t="inlineStr">
        <is>
          <t>HSJDP - Puerto Rondón</t>
        </is>
      </c>
      <c r="G314" t="inlineStr">
        <is>
          <t>APOYO LOGÍSTICO</t>
        </is>
      </c>
      <c r="H314" t="inlineStr">
        <is>
          <t>ACTIVO</t>
        </is>
      </c>
    </row>
    <row r="315">
      <c r="A315" t="n">
        <v>2052016</v>
      </c>
      <c r="B315" t="inlineStr">
        <is>
          <t>HSJDP-PUERTO RONDON-ADMINISTRACION HOSPITALARIA</t>
        </is>
      </c>
      <c r="C315" t="inlineStr">
        <is>
          <t>R01</t>
        </is>
      </c>
      <c r="D315" t="inlineStr">
        <is>
          <t>COORDINACIÓN ADMINISTRATIVA</t>
        </is>
      </c>
      <c r="E315" t="inlineStr">
        <is>
          <t>R01|HSJDP</t>
        </is>
      </c>
      <c r="F315" t="inlineStr">
        <is>
          <t>HSJDP - Puerto Rondón</t>
        </is>
      </c>
      <c r="G315" t="inlineStr">
        <is>
          <t>ADMINISTRATIVO</t>
        </is>
      </c>
      <c r="H315" t="inlineStr">
        <is>
          <t>ACTIVO</t>
        </is>
      </c>
    </row>
    <row r="316">
      <c r="A316" t="n">
        <v>2062004</v>
      </c>
      <c r="B316" t="inlineStr">
        <is>
          <t>HSJCN-CRAVO NORTE-ALMACEN</t>
        </is>
      </c>
      <c r="C316" t="inlineStr">
        <is>
          <t>R02</t>
        </is>
      </c>
      <c r="D316" t="inlineStr">
        <is>
          <t>RECURSOS FÍSICOS</t>
        </is>
      </c>
      <c r="E316" t="inlineStr">
        <is>
          <t>R02|HSJCN</t>
        </is>
      </c>
      <c r="F316" t="inlineStr">
        <is>
          <t>HSJCN - Cravo Norte</t>
        </is>
      </c>
      <c r="G316" t="inlineStr">
        <is>
          <t>ADMINISTRATIVO</t>
        </is>
      </c>
      <c r="H316" t="inlineStr">
        <is>
          <t>ACTIVO</t>
        </is>
      </c>
    </row>
    <row r="317">
      <c r="A317" t="n">
        <v>2062007</v>
      </c>
      <c r="B317" t="inlineStr">
        <is>
          <t>HSJCN-CRAVO NORTE-ATENCION AL USUARIO</t>
        </is>
      </c>
      <c r="C317" t="inlineStr">
        <is>
          <t>O02</t>
        </is>
      </c>
      <c r="D317" t="inlineStr">
        <is>
          <t>ATENCIÓN AL USUARIO</t>
        </is>
      </c>
      <c r="E317" t="inlineStr">
        <is>
          <t>O02|HSJCN</t>
        </is>
      </c>
      <c r="F317" t="inlineStr">
        <is>
          <t>HSJCN - Cravo Norte</t>
        </is>
      </c>
      <c r="G317" t="inlineStr">
        <is>
          <t>APOYO LOGÍSTICO</t>
        </is>
      </c>
      <c r="H317" t="inlineStr">
        <is>
          <t>ACTIVO</t>
        </is>
      </c>
    </row>
    <row r="318">
      <c r="A318" t="n">
        <v>2062009</v>
      </c>
      <c r="B318" t="inlineStr">
        <is>
          <t>HSJCN-CRAVO NORTE- INFORMATICA Y TELECOMUNICACIONES</t>
        </is>
      </c>
      <c r="C318" t="inlineStr">
        <is>
          <t>T07</t>
        </is>
      </c>
      <c r="D318" t="inlineStr">
        <is>
          <t>SISTEMAS</t>
        </is>
      </c>
      <c r="E318" t="inlineStr">
        <is>
          <t>T07|HSJCN</t>
        </is>
      </c>
      <c r="F318" t="inlineStr">
        <is>
          <t>HSJCN - Cravo Norte</t>
        </is>
      </c>
      <c r="G318" t="inlineStr">
        <is>
          <t>ADMINISTRATIVO</t>
        </is>
      </c>
      <c r="H318" t="inlineStr">
        <is>
          <t>ACTIVO</t>
        </is>
      </c>
    </row>
    <row r="319">
      <c r="A319" t="n">
        <v>2062011</v>
      </c>
      <c r="B319" t="inlineStr">
        <is>
          <t>HSJCN - CONTROL DE RESIDUOS SOLIDOS</t>
        </is>
      </c>
      <c r="C319" t="inlineStr">
        <is>
          <t>R04</t>
        </is>
      </c>
      <c r="D319" t="inlineStr">
        <is>
          <t>ASEO Y LIMPIEZA</t>
        </is>
      </c>
      <c r="E319" t="inlineStr">
        <is>
          <t>R04|HSJCN</t>
        </is>
      </c>
      <c r="F319" t="inlineStr">
        <is>
          <t>HSJCN - Cravo Norte</t>
        </is>
      </c>
      <c r="G319" t="inlineStr">
        <is>
          <t>ADMINISTRATIVO</t>
        </is>
      </c>
      <c r="H319" t="inlineStr">
        <is>
          <t>ACTIVO</t>
        </is>
      </c>
    </row>
    <row r="320">
      <c r="A320" t="n">
        <v>2062012</v>
      </c>
      <c r="B320" t="inlineStr">
        <is>
          <t>HSJCN-CRAVO NORTE- ESTADISTICA</t>
        </is>
      </c>
      <c r="C320" t="inlineStr">
        <is>
          <t>Q05</t>
        </is>
      </c>
      <c r="D320" t="inlineStr">
        <is>
          <t>ESTADISTICA</t>
        </is>
      </c>
      <c r="E320" t="inlineStr">
        <is>
          <t>Q05|HSJCN</t>
        </is>
      </c>
      <c r="F320" t="inlineStr">
        <is>
          <t>HSJCN - Cravo Norte</t>
        </is>
      </c>
      <c r="G320" t="inlineStr">
        <is>
          <t>APOYO LOGÍSTICO</t>
        </is>
      </c>
      <c r="H320" t="inlineStr">
        <is>
          <t>ACTIVO</t>
        </is>
      </c>
    </row>
    <row r="321">
      <c r="A321" t="n">
        <v>2062016</v>
      </c>
      <c r="B321" t="inlineStr">
        <is>
          <t>HSJCN-CRAVO NORTE-ADMINISTRACION HOSPITALARIA</t>
        </is>
      </c>
      <c r="C321" t="inlineStr">
        <is>
          <t>R01</t>
        </is>
      </c>
      <c r="D321" t="inlineStr">
        <is>
          <t>COORDINACIÓN ADMINISTRATIVA</t>
        </is>
      </c>
      <c r="E321" t="inlineStr">
        <is>
          <t>R01|HSJCN</t>
        </is>
      </c>
      <c r="F321" t="inlineStr">
        <is>
          <t>HSJCN - Cravo Norte</t>
        </is>
      </c>
      <c r="G321" t="inlineStr">
        <is>
          <t>ADMINISTRATIVO</t>
        </is>
      </c>
      <c r="H321" t="inlineStr">
        <is>
          <t>ACTIVO</t>
        </is>
      </c>
    </row>
    <row r="322">
      <c r="A322" t="n">
        <v>2072004</v>
      </c>
      <c r="B322" t="inlineStr">
        <is>
          <t>HSRP-ESMERALDA-ALMACEN</t>
        </is>
      </c>
      <c r="C322" t="inlineStr">
        <is>
          <t>R02</t>
        </is>
      </c>
      <c r="D322" t="inlineStr">
        <is>
          <t>RECURSOS FÍSICOS</t>
        </is>
      </c>
      <c r="E322" t="inlineStr">
        <is>
          <t>R02|HSRP</t>
        </is>
      </c>
      <c r="F322" t="inlineStr">
        <is>
          <t>HSRP - Pampurí / La Esmeralda</t>
        </is>
      </c>
      <c r="G322" t="inlineStr">
        <is>
          <t>ADMINISTRATIVO</t>
        </is>
      </c>
      <c r="H322" t="inlineStr">
        <is>
          <t>ACTIVO</t>
        </is>
      </c>
    </row>
    <row r="323">
      <c r="A323" t="n">
        <v>2072007</v>
      </c>
      <c r="B323" t="inlineStr">
        <is>
          <t>HSRP-SARAVENA-ATENCION AL USUARIO</t>
        </is>
      </c>
      <c r="C323" t="inlineStr">
        <is>
          <t>O02</t>
        </is>
      </c>
      <c r="D323" t="inlineStr">
        <is>
          <t>ATENCIÓN AL USUARIO</t>
        </is>
      </c>
      <c r="E323" t="inlineStr">
        <is>
          <t>O02|HSRP</t>
        </is>
      </c>
      <c r="F323" t="inlineStr">
        <is>
          <t>HSRP - Pampurí / La Esmeralda</t>
        </is>
      </c>
      <c r="G323" t="inlineStr">
        <is>
          <t>APOYO LOGÍSTICO</t>
        </is>
      </c>
      <c r="H323" t="inlineStr">
        <is>
          <t>ACTIVO</t>
        </is>
      </c>
    </row>
    <row r="324">
      <c r="A324" t="n">
        <v>2072009</v>
      </c>
      <c r="B324" t="inlineStr">
        <is>
          <t>HSRP-PAMPURI- INFORMATICA Y TELECOMUNICACIONES</t>
        </is>
      </c>
      <c r="C324" t="inlineStr">
        <is>
          <t>T07</t>
        </is>
      </c>
      <c r="D324" t="inlineStr">
        <is>
          <t>SISTEMAS</t>
        </is>
      </c>
      <c r="E324" t="inlineStr">
        <is>
          <t>T07|HSRP</t>
        </is>
      </c>
      <c r="F324" t="inlineStr">
        <is>
          <t>HSRP - Pampurí / La Esmeralda</t>
        </is>
      </c>
      <c r="G324" t="inlineStr">
        <is>
          <t>ADMINISTRATIVO</t>
        </is>
      </c>
      <c r="H324" t="inlineStr">
        <is>
          <t>ACTIVO</t>
        </is>
      </c>
    </row>
    <row r="325">
      <c r="A325" t="n">
        <v>2072011</v>
      </c>
      <c r="B325" t="inlineStr">
        <is>
          <t>HSRP - LA ESMERALDA - CONTROL DE RESIDUOS SOLIDOS</t>
        </is>
      </c>
      <c r="C325" t="inlineStr">
        <is>
          <t>R04</t>
        </is>
      </c>
      <c r="D325" t="inlineStr">
        <is>
          <t>ASEO Y LIMPIEZA</t>
        </is>
      </c>
      <c r="E325" t="inlineStr">
        <is>
          <t>R04|HSRP</t>
        </is>
      </c>
      <c r="F325" t="inlineStr">
        <is>
          <t>HSRP - Pampurí / La Esmeralda</t>
        </is>
      </c>
      <c r="G325" t="inlineStr">
        <is>
          <t>ADMINISTRATIVO</t>
        </is>
      </c>
      <c r="H325" t="inlineStr">
        <is>
          <t>ACTIVO</t>
        </is>
      </c>
    </row>
    <row r="326">
      <c r="A326" t="n">
        <v>2072012</v>
      </c>
      <c r="B326" t="inlineStr">
        <is>
          <t>HSRP-ESMERALDA- ESTADISTICA</t>
        </is>
      </c>
      <c r="C326" t="inlineStr">
        <is>
          <t>Q05</t>
        </is>
      </c>
      <c r="D326" t="inlineStr">
        <is>
          <t>ESTADISTICA</t>
        </is>
      </c>
      <c r="E326" t="inlineStr">
        <is>
          <t>Q05|HSRP</t>
        </is>
      </c>
      <c r="F326" t="inlineStr">
        <is>
          <t>HSRP - Pampurí / La Esmeralda</t>
        </is>
      </c>
      <c r="G326" t="inlineStr">
        <is>
          <t>APOYO LOGÍSTICO</t>
        </is>
      </c>
      <c r="H326" t="inlineStr">
        <is>
          <t>ACTIVO</t>
        </is>
      </c>
    </row>
    <row r="327">
      <c r="A327" t="n">
        <v>2072016</v>
      </c>
      <c r="B327" t="inlineStr">
        <is>
          <t>HSRP-PAMPURI-ADMINISTRACION HOSPITALARIA</t>
        </is>
      </c>
      <c r="C327" t="inlineStr">
        <is>
          <t>R01</t>
        </is>
      </c>
      <c r="D327" t="inlineStr">
        <is>
          <t>COORDINACIÓN ADMINISTRATIVA</t>
        </is>
      </c>
      <c r="E327" t="inlineStr">
        <is>
          <t>R01|HSRP</t>
        </is>
      </c>
      <c r="F327" t="inlineStr">
        <is>
          <t>HSRP - Pampurí / La Esmeralda</t>
        </is>
      </c>
      <c r="G327" t="inlineStr">
        <is>
          <t>ADMINISTRATIVO</t>
        </is>
      </c>
      <c r="H327" t="inlineStr">
        <is>
          <t>ACTIVO</t>
        </is>
      </c>
    </row>
    <row r="328">
      <c r="A328" t="n">
        <v>2082004</v>
      </c>
      <c r="B328" t="inlineStr">
        <is>
          <t>CSPA-ARAUQUITA-ALMACEN</t>
        </is>
      </c>
      <c r="C328" t="inlineStr">
        <is>
          <t>R02</t>
        </is>
      </c>
      <c r="D328" t="inlineStr">
        <is>
          <t>RECURSOS FÍSICOS</t>
        </is>
      </c>
      <c r="E328" t="inlineStr">
        <is>
          <t>R02|CSPA</t>
        </is>
      </c>
      <c r="F328" t="inlineStr">
        <is>
          <t>CSPA - Panamá de Arauca</t>
        </is>
      </c>
      <c r="G328" t="inlineStr">
        <is>
          <t>ADMINISTRATIVO</t>
        </is>
      </c>
      <c r="H328" t="inlineStr">
        <is>
          <t>ACTIVO</t>
        </is>
      </c>
    </row>
    <row r="329">
      <c r="A329" t="n">
        <v>2082007</v>
      </c>
      <c r="B329" t="inlineStr">
        <is>
          <t>CSPA-ARAUQUITA-ATENCION AL USUARIO</t>
        </is>
      </c>
      <c r="C329" t="inlineStr">
        <is>
          <t>O02</t>
        </is>
      </c>
      <c r="D329" t="inlineStr">
        <is>
          <t>ATENCIÓN AL USUARIO</t>
        </is>
      </c>
      <c r="E329" t="inlineStr">
        <is>
          <t>O02|CSPA</t>
        </is>
      </c>
      <c r="F329" t="inlineStr">
        <is>
          <t>CSPA - Panamá de Arauca</t>
        </is>
      </c>
      <c r="G329" t="inlineStr">
        <is>
          <t>APOYO LOGÍSTICO</t>
        </is>
      </c>
      <c r="H329" t="inlineStr">
        <is>
          <t>ACTIVO</t>
        </is>
      </c>
    </row>
    <row r="330">
      <c r="A330" t="n">
        <v>2082009</v>
      </c>
      <c r="B330" t="inlineStr">
        <is>
          <t>CSPA-ARAUQUITA- INFORMATICA Y TELECOMUNICACIONES</t>
        </is>
      </c>
      <c r="C330" t="inlineStr">
        <is>
          <t>T07</t>
        </is>
      </c>
      <c r="D330" t="inlineStr">
        <is>
          <t>SISTEMAS</t>
        </is>
      </c>
      <c r="E330" t="inlineStr">
        <is>
          <t>T07|CSPA</t>
        </is>
      </c>
      <c r="F330" t="inlineStr">
        <is>
          <t>CSPA - Panamá de Arauca</t>
        </is>
      </c>
      <c r="G330" t="inlineStr">
        <is>
          <t>ADMINISTRATIVO</t>
        </is>
      </c>
      <c r="H330" t="inlineStr">
        <is>
          <t>ACTIVO</t>
        </is>
      </c>
    </row>
    <row r="331">
      <c r="A331" t="n">
        <v>2082011</v>
      </c>
      <c r="B331" t="inlineStr">
        <is>
          <t>CSPA - PANAMA- CONTROL DE RESIDUOS SOLIDOS</t>
        </is>
      </c>
      <c r="C331" t="inlineStr">
        <is>
          <t>R04</t>
        </is>
      </c>
      <c r="D331" t="inlineStr">
        <is>
          <t>ASEO Y LIMPIEZA</t>
        </is>
      </c>
      <c r="E331" t="inlineStr">
        <is>
          <t>R04|CSPA</t>
        </is>
      </c>
      <c r="F331" t="inlineStr">
        <is>
          <t>CSPA - Panamá de Arauca</t>
        </is>
      </c>
      <c r="G331" t="inlineStr">
        <is>
          <t>ADMINISTRATIVO</t>
        </is>
      </c>
      <c r="H331" t="inlineStr">
        <is>
          <t>ACTIVO</t>
        </is>
      </c>
    </row>
    <row r="332">
      <c r="A332" t="n">
        <v>2082012</v>
      </c>
      <c r="B332" t="inlineStr">
        <is>
          <t>CSPA-ARAUQUITA- ESTADISTICA</t>
        </is>
      </c>
      <c r="C332" t="inlineStr">
        <is>
          <t>Q05</t>
        </is>
      </c>
      <c r="D332" t="inlineStr">
        <is>
          <t>ESTADISTICA</t>
        </is>
      </c>
      <c r="E332" t="inlineStr">
        <is>
          <t>Q05|CSPA</t>
        </is>
      </c>
      <c r="F332" t="inlineStr">
        <is>
          <t>CSPA - Panamá de Arauca</t>
        </is>
      </c>
      <c r="G332" t="inlineStr">
        <is>
          <t>APOYO LOGÍSTICO</t>
        </is>
      </c>
      <c r="H332" t="inlineStr">
        <is>
          <t>ACTIVO</t>
        </is>
      </c>
    </row>
    <row r="333">
      <c r="A333" t="n">
        <v>2082016</v>
      </c>
      <c r="B333" t="inlineStr">
        <is>
          <t>CSPA-ARAUQUITA-ADMINISTRACION HOSPITALARIA</t>
        </is>
      </c>
      <c r="C333" t="inlineStr">
        <is>
          <t>R01</t>
        </is>
      </c>
      <c r="D333" t="inlineStr">
        <is>
          <t>COORDINACIÓN ADMINISTRATIVA</t>
        </is>
      </c>
      <c r="E333" t="inlineStr">
        <is>
          <t>R01|CSPA</t>
        </is>
      </c>
      <c r="F333" t="inlineStr">
        <is>
          <t>CSPA - Panamá de Arauca</t>
        </is>
      </c>
      <c r="G333" t="inlineStr">
        <is>
          <t>ADMINISTRATIVO</t>
        </is>
      </c>
      <c r="H333" t="inlineStr">
        <is>
          <t>ACTIVO</t>
        </is>
      </c>
    </row>
    <row r="334">
      <c r="A334" t="n">
        <v>2092004</v>
      </c>
      <c r="B334" t="inlineStr">
        <is>
          <t>CSJSC-TAME-ALMACEN</t>
        </is>
      </c>
      <c r="C334" t="inlineStr">
        <is>
          <t>R02</t>
        </is>
      </c>
      <c r="D334" t="inlineStr">
        <is>
          <t>RECURSOS FÍSICOS</t>
        </is>
      </c>
      <c r="E334" t="inlineStr">
        <is>
          <t>R02|CSJSC</t>
        </is>
      </c>
      <c r="F334" t="inlineStr">
        <is>
          <t>CSJSC - Tame</t>
        </is>
      </c>
      <c r="G334" t="inlineStr">
        <is>
          <t>ADMINISTRATIVO</t>
        </is>
      </c>
      <c r="H334" t="inlineStr">
        <is>
          <t>ACTIVO</t>
        </is>
      </c>
    </row>
    <row r="335">
      <c r="A335" t="n">
        <v>2092007</v>
      </c>
      <c r="B335" t="inlineStr">
        <is>
          <t>CSJSC-TAME-ATENCION AL USUARIO</t>
        </is>
      </c>
      <c r="C335" t="inlineStr">
        <is>
          <t>O02</t>
        </is>
      </c>
      <c r="D335" t="inlineStr">
        <is>
          <t>ATENCIÓN AL USUARIO</t>
        </is>
      </c>
      <c r="E335" t="inlineStr">
        <is>
          <t>O02|CSJSC</t>
        </is>
      </c>
      <c r="F335" t="inlineStr">
        <is>
          <t>CSJSC - Tame</t>
        </is>
      </c>
      <c r="G335" t="inlineStr">
        <is>
          <t>APOYO LOGÍSTICO</t>
        </is>
      </c>
      <c r="H335" t="inlineStr">
        <is>
          <t>ACTIVO</t>
        </is>
      </c>
    </row>
    <row r="336">
      <c r="A336" t="n">
        <v>2092009</v>
      </c>
      <c r="B336" t="inlineStr">
        <is>
          <t>CSJSC-TAME- INFORMATICA Y TELECOMUNICACIONES</t>
        </is>
      </c>
      <c r="C336" t="inlineStr">
        <is>
          <t>T07</t>
        </is>
      </c>
      <c r="D336" t="inlineStr">
        <is>
          <t>SISTEMAS</t>
        </is>
      </c>
      <c r="E336" t="inlineStr">
        <is>
          <t>T07|CSJSC</t>
        </is>
      </c>
      <c r="F336" t="inlineStr">
        <is>
          <t>CSJSC - Tame</t>
        </is>
      </c>
      <c r="G336" t="inlineStr">
        <is>
          <t>ADMINISTRATIVO</t>
        </is>
      </c>
      <c r="H336" t="inlineStr">
        <is>
          <t>ACTIVO</t>
        </is>
      </c>
    </row>
    <row r="337">
      <c r="A337" t="n">
        <v>2092011</v>
      </c>
      <c r="B337" t="inlineStr">
        <is>
          <t>CSJSC - TAME - CONTROL DE RESIDUOS SOLIDOS</t>
        </is>
      </c>
      <c r="C337" t="inlineStr">
        <is>
          <t>R04</t>
        </is>
      </c>
      <c r="D337" t="inlineStr">
        <is>
          <t>ASEO Y LIMPIEZA</t>
        </is>
      </c>
      <c r="E337" t="inlineStr">
        <is>
          <t>R04|CSJSC</t>
        </is>
      </c>
      <c r="F337" t="inlineStr">
        <is>
          <t>CSJSC - Tame</t>
        </is>
      </c>
      <c r="G337" t="inlineStr">
        <is>
          <t>ADMINISTRATIVO</t>
        </is>
      </c>
      <c r="H337" t="inlineStr">
        <is>
          <t>ACTIVO</t>
        </is>
      </c>
    </row>
    <row r="338">
      <c r="A338" t="n">
        <v>2092012</v>
      </c>
      <c r="B338" t="inlineStr">
        <is>
          <t>CSJSC-TAME- ESTADISTICA</t>
        </is>
      </c>
      <c r="C338" t="inlineStr">
        <is>
          <t>Q05</t>
        </is>
      </c>
      <c r="D338" t="inlineStr">
        <is>
          <t>ESTADISTICA</t>
        </is>
      </c>
      <c r="E338" t="inlineStr">
        <is>
          <t>Q05|CSJSC</t>
        </is>
      </c>
      <c r="F338" t="inlineStr">
        <is>
          <t>CSJSC - Tame</t>
        </is>
      </c>
      <c r="G338" t="inlineStr">
        <is>
          <t>APOYO LOGÍSTICO</t>
        </is>
      </c>
      <c r="H338" t="inlineStr">
        <is>
          <t>ACTIVO</t>
        </is>
      </c>
    </row>
    <row r="339">
      <c r="A339" t="n">
        <v>2092016</v>
      </c>
      <c r="B339" t="inlineStr">
        <is>
          <t>CSJSC-TAME-ADMINISTRACION HOSPITALARIA</t>
        </is>
      </c>
      <c r="C339" t="inlineStr">
        <is>
          <t>R01</t>
        </is>
      </c>
      <c r="D339" t="inlineStr">
        <is>
          <t>COORDINACIÓN ADMINISTRATIVA</t>
        </is>
      </c>
      <c r="E339" t="inlineStr">
        <is>
          <t>R01|CSJSC</t>
        </is>
      </c>
      <c r="F339" t="inlineStr">
        <is>
          <t>CSJSC - Tame</t>
        </is>
      </c>
      <c r="G339" t="inlineStr">
        <is>
          <t>ADMINISTRATIVO</t>
        </is>
      </c>
      <c r="H339" t="inlineStr">
        <is>
          <t>ACTIVO</t>
        </is>
      </c>
    </row>
    <row r="340">
      <c r="A340" t="n">
        <v>3012101</v>
      </c>
      <c r="B340" t="inlineStr">
        <is>
          <t>ESE01-TAME- CONTABILIDAD</t>
        </is>
      </c>
      <c r="C340" t="inlineStr">
        <is>
          <t>S02</t>
        </is>
      </c>
      <c r="D340" t="inlineStr">
        <is>
          <t>CONTABILIDAD Y COSTOS</t>
        </is>
      </c>
      <c r="E340" t="inlineStr">
        <is>
          <t>S02|ESE01</t>
        </is>
      </c>
      <c r="F340" t="inlineStr">
        <is>
          <t>ESE01 - Sede Administrativa (Tame)</t>
        </is>
      </c>
      <c r="G340" t="inlineStr">
        <is>
          <t>ADMINISTRATIVO</t>
        </is>
      </c>
      <c r="H340" t="inlineStr">
        <is>
          <t>ACTIVO</t>
        </is>
      </c>
    </row>
    <row r="341">
      <c r="A341" t="n">
        <v>3012102</v>
      </c>
      <c r="B341" t="inlineStr">
        <is>
          <t>ESE01-TAME-PRESUPUESTO</t>
        </is>
      </c>
      <c r="C341" t="inlineStr">
        <is>
          <t>S06</t>
        </is>
      </c>
      <c r="D341" t="inlineStr">
        <is>
          <t>PRESUPUESTO</t>
        </is>
      </c>
      <c r="E341" t="inlineStr">
        <is>
          <t>S06|ESE01</t>
        </is>
      </c>
      <c r="F341" t="inlineStr">
        <is>
          <t>ESE01 - Sede Administrativa (Tame)</t>
        </is>
      </c>
      <c r="G341" t="inlineStr">
        <is>
          <t>ADMINISTRATIVO</t>
        </is>
      </c>
      <c r="H341" t="inlineStr">
        <is>
          <t>ACTIVO</t>
        </is>
      </c>
    </row>
    <row r="342">
      <c r="A342" t="n">
        <v>3012103</v>
      </c>
      <c r="B342" t="inlineStr">
        <is>
          <t>ESE01-TAME-CARTERA</t>
        </is>
      </c>
      <c r="C342" t="inlineStr">
        <is>
          <t>S03</t>
        </is>
      </c>
      <c r="D342" t="inlineStr">
        <is>
          <t>CARTERA</t>
        </is>
      </c>
      <c r="E342" t="inlineStr">
        <is>
          <t>S03|ESE01</t>
        </is>
      </c>
      <c r="F342" t="inlineStr">
        <is>
          <t>ESE01 - Sede Administrativa (Tame)</t>
        </is>
      </c>
      <c r="G342" t="inlineStr">
        <is>
          <t>ADMINISTRATIVO</t>
        </is>
      </c>
      <c r="H342" t="inlineStr">
        <is>
          <t>ACTIVO</t>
        </is>
      </c>
    </row>
    <row r="343">
      <c r="A343" t="n">
        <v>3012104</v>
      </c>
      <c r="B343" t="inlineStr">
        <is>
          <t>ESE01-ARAUCA-PAGOS</t>
        </is>
      </c>
      <c r="C343" t="inlineStr">
        <is>
          <t>S05</t>
        </is>
      </c>
      <c r="D343" t="inlineStr">
        <is>
          <t>TESORERÍA</t>
        </is>
      </c>
      <c r="E343" t="inlineStr">
        <is>
          <t>S05|ESE01</t>
        </is>
      </c>
      <c r="F343" t="inlineStr">
        <is>
          <t>ESE01 - Sede Administrativa (Tame)</t>
        </is>
      </c>
      <c r="G343" t="inlineStr">
        <is>
          <t>ADMINISTRATIVO</t>
        </is>
      </c>
      <c r="H343" t="inlineStr">
        <is>
          <t>ACTIVO</t>
        </is>
      </c>
    </row>
    <row r="344">
      <c r="A344" t="n">
        <v>3012105</v>
      </c>
      <c r="B344" t="inlineStr">
        <is>
          <t>ESE01-TAME-FACTURACION</t>
        </is>
      </c>
      <c r="C344" t="inlineStr">
        <is>
          <t>S04</t>
        </is>
      </c>
      <c r="D344" t="inlineStr">
        <is>
          <t>FACTURACIÓN Y AUDITORIA DE CUENTAS MÉDICAS</t>
        </is>
      </c>
      <c r="E344" t="inlineStr">
        <is>
          <t>S04|ESE01</t>
        </is>
      </c>
      <c r="F344" t="inlineStr">
        <is>
          <t>ESE01 - Sede Administrativa (Tame)</t>
        </is>
      </c>
      <c r="G344" t="inlineStr">
        <is>
          <t>ADMINISTRATIVO</t>
        </is>
      </c>
      <c r="H344" t="inlineStr">
        <is>
          <t>ACTIVO</t>
        </is>
      </c>
    </row>
    <row r="345">
      <c r="A345" t="n">
        <v>3012106</v>
      </c>
      <c r="B345" t="inlineStr">
        <is>
          <t>ESE01-TAME-TESORERIA</t>
        </is>
      </c>
      <c r="C345" t="inlineStr">
        <is>
          <t>S05</t>
        </is>
      </c>
      <c r="D345" t="inlineStr">
        <is>
          <t>TESORERÍA</t>
        </is>
      </c>
      <c r="E345" t="inlineStr">
        <is>
          <t>S05|ESE01</t>
        </is>
      </c>
      <c r="F345" t="inlineStr">
        <is>
          <t>ESE01 - Sede Administrativa (Tame)</t>
        </is>
      </c>
      <c r="G345" t="inlineStr">
        <is>
          <t>ADMINISTRATIVO</t>
        </is>
      </c>
      <c r="H345" t="inlineStr">
        <is>
          <t>ACTIVO</t>
        </is>
      </c>
    </row>
    <row r="346">
      <c r="A346" t="n">
        <v>3012107</v>
      </c>
      <c r="B346" t="inlineStr">
        <is>
          <t>ESE01-SUBGERENCIA ADMINISTRATIVA</t>
        </is>
      </c>
      <c r="C346" t="inlineStr">
        <is>
          <t>R01</t>
        </is>
      </c>
      <c r="D346" t="inlineStr">
        <is>
          <t>COORDINACIÓN ADMINISTRATIVA</t>
        </is>
      </c>
      <c r="E346" t="inlineStr">
        <is>
          <t>R01|ESE01</t>
        </is>
      </c>
      <c r="F346" t="inlineStr">
        <is>
          <t>ESE01 - Sede Administrativa (Tame)</t>
        </is>
      </c>
      <c r="G346" t="inlineStr">
        <is>
          <t>ADMINISTRATIVO</t>
        </is>
      </c>
      <c r="H346" t="inlineStr">
        <is>
          <t>ACTIVO</t>
        </is>
      </c>
    </row>
    <row r="347">
      <c r="A347" t="n">
        <v>3012108</v>
      </c>
      <c r="B347" t="inlineStr">
        <is>
          <t>SUBGERENCIA EN SALUD</t>
        </is>
      </c>
      <c r="C347" t="inlineStr">
        <is>
          <t>U05</t>
        </is>
      </c>
      <c r="D347" t="inlineStr">
        <is>
          <t>COORDINACION EN SALUD</t>
        </is>
      </c>
      <c r="E347" t="inlineStr">
        <is>
          <t>U05|ESE01</t>
        </is>
      </c>
      <c r="F347" t="inlineStr">
        <is>
          <t>ESE01 - Sede Administrativa (Tame)</t>
        </is>
      </c>
      <c r="G347" t="inlineStr">
        <is>
          <t>ADMINISTRATIVO</t>
        </is>
      </c>
      <c r="H347" t="inlineStr">
        <is>
          <t>ACTIVO</t>
        </is>
      </c>
    </row>
    <row r="348">
      <c r="A348" t="n">
        <v>3012109</v>
      </c>
      <c r="B348" t="inlineStr">
        <is>
          <t>ESE-TAME-BIOMEDICO</t>
        </is>
      </c>
      <c r="C348" t="inlineStr">
        <is>
          <t>P02</t>
        </is>
      </c>
      <c r="D348" t="inlineStr">
        <is>
          <t>MANTENIMIENTO HOSPITALARIO</t>
        </is>
      </c>
      <c r="E348" t="inlineStr">
        <is>
          <t>P02|ESE01</t>
        </is>
      </c>
      <c r="F348" t="inlineStr">
        <is>
          <t>ESE01 - Sede Administrativa (Tame)</t>
        </is>
      </c>
      <c r="G348" t="inlineStr">
        <is>
          <t>APOYO LOGÍSTICO</t>
        </is>
      </c>
      <c r="H348" t="inlineStr">
        <is>
          <t>ACTIVO</t>
        </is>
      </c>
    </row>
    <row r="349">
      <c r="A349" t="n">
        <v>3012199</v>
      </c>
      <c r="B349" t="inlineStr">
        <is>
          <t>ESE01-SALDOS INCIALES</t>
        </is>
      </c>
      <c r="C349" t="inlineStr">
        <is>
          <t>S02</t>
        </is>
      </c>
      <c r="D349" t="inlineStr">
        <is>
          <t>CONTABILIDAD Y COSTOS</t>
        </is>
      </c>
      <c r="E349" t="inlineStr">
        <is>
          <t>S02|ESE01</t>
        </is>
      </c>
      <c r="F349" t="inlineStr">
        <is>
          <t>ESE01 - Sede Administrativa (Tame)</t>
        </is>
      </c>
      <c r="G349" t="inlineStr">
        <is>
          <t>ADMINISTRATIVO</t>
        </is>
      </c>
      <c r="H349" t="inlineStr">
        <is>
          <t>EXCLUIR</t>
        </is>
      </c>
    </row>
    <row r="350">
      <c r="A350" t="n">
        <v>3022105</v>
      </c>
      <c r="B350" t="inlineStr">
        <is>
          <t>HSLA-ARAUQUITA- FACTURACION</t>
        </is>
      </c>
      <c r="C350" t="inlineStr">
        <is>
          <t>S04</t>
        </is>
      </c>
      <c r="D350" t="inlineStr">
        <is>
          <t>FACTURACIÓN Y AUDITORIA DE CUENTAS MÉDICAS</t>
        </is>
      </c>
      <c r="E350" t="inlineStr">
        <is>
          <t>S04|HSLA</t>
        </is>
      </c>
      <c r="F350" t="inlineStr">
        <is>
          <t>HSLA - Arauquita</t>
        </is>
      </c>
      <c r="G350" t="inlineStr">
        <is>
          <t>ADMINISTRATIVO</t>
        </is>
      </c>
      <c r="H350" t="inlineStr">
        <is>
          <t>ACTIVO</t>
        </is>
      </c>
    </row>
    <row r="351">
      <c r="A351" t="n">
        <v>3022106</v>
      </c>
      <c r="B351" t="inlineStr">
        <is>
          <t>HSLA-ARAUQUITA-TESORERIA CAJA</t>
        </is>
      </c>
      <c r="C351" t="inlineStr">
        <is>
          <t>S05</t>
        </is>
      </c>
      <c r="D351" t="inlineStr">
        <is>
          <t>TESORERÍA</t>
        </is>
      </c>
      <c r="E351" t="inlineStr">
        <is>
          <t>S05|HSLA</t>
        </is>
      </c>
      <c r="F351" t="inlineStr">
        <is>
          <t>HSLA - Arauquita</t>
        </is>
      </c>
      <c r="G351" t="inlineStr">
        <is>
          <t>ADMINISTRATIVO</t>
        </is>
      </c>
      <c r="H351" t="inlineStr">
        <is>
          <t>ACTIVO</t>
        </is>
      </c>
    </row>
    <row r="352">
      <c r="A352" t="n">
        <v>3032105</v>
      </c>
      <c r="B352" t="inlineStr">
        <is>
          <t>HSFF-FORTUL- FACTURACION</t>
        </is>
      </c>
      <c r="C352" t="inlineStr">
        <is>
          <t>S04</t>
        </is>
      </c>
      <c r="D352" t="inlineStr">
        <is>
          <t>FACTURACIÓN Y AUDITORIA DE CUENTAS MÉDICAS</t>
        </is>
      </c>
      <c r="E352" t="inlineStr">
        <is>
          <t>S04|HSFF</t>
        </is>
      </c>
      <c r="F352" t="inlineStr">
        <is>
          <t>HSFF - Fortul</t>
        </is>
      </c>
      <c r="G352" t="inlineStr">
        <is>
          <t>ADMINISTRATIVO</t>
        </is>
      </c>
      <c r="H352" t="inlineStr">
        <is>
          <t>ACTIVO</t>
        </is>
      </c>
    </row>
    <row r="353">
      <c r="A353" t="n">
        <v>3032106</v>
      </c>
      <c r="B353" t="inlineStr">
        <is>
          <t>HSFF-FORTUL-TESORERIA CAJA</t>
        </is>
      </c>
      <c r="C353" t="inlineStr">
        <is>
          <t>S05</t>
        </is>
      </c>
      <c r="D353" t="inlineStr">
        <is>
          <t>TESORERÍA</t>
        </is>
      </c>
      <c r="E353" t="inlineStr">
        <is>
          <t>S05|HSFF</t>
        </is>
      </c>
      <c r="F353" t="inlineStr">
        <is>
          <t>HSFF - Fortul</t>
        </is>
      </c>
      <c r="G353" t="inlineStr">
        <is>
          <t>ADMINISTRATIVO</t>
        </is>
      </c>
      <c r="H353" t="inlineStr">
        <is>
          <t>ACTIVO</t>
        </is>
      </c>
    </row>
    <row r="354">
      <c r="A354" t="n">
        <v>3042105</v>
      </c>
      <c r="B354" t="inlineStr">
        <is>
          <t>HSAT-TAME- FACTURACION</t>
        </is>
      </c>
      <c r="C354" t="inlineStr">
        <is>
          <t>S04</t>
        </is>
      </c>
      <c r="D354" t="inlineStr">
        <is>
          <t>FACTURACIÓN Y AUDITORIA DE CUENTAS MÉDICAS</t>
        </is>
      </c>
      <c r="E354" t="inlineStr">
        <is>
          <t>S04|HSAT</t>
        </is>
      </c>
      <c r="F354" t="inlineStr">
        <is>
          <t>HSAT - Tame</t>
        </is>
      </c>
      <c r="G354" t="inlineStr">
        <is>
          <t>ADMINISTRATIVO</t>
        </is>
      </c>
      <c r="H354" t="inlineStr">
        <is>
          <t>ACTIVO</t>
        </is>
      </c>
    </row>
    <row r="355">
      <c r="A355" t="n">
        <v>3042106</v>
      </c>
      <c r="B355" t="inlineStr">
        <is>
          <t>HSAT-TAME-TESORERIA CAJA</t>
        </is>
      </c>
      <c r="C355" t="inlineStr">
        <is>
          <t>S05</t>
        </is>
      </c>
      <c r="D355" t="inlineStr">
        <is>
          <t>TESORERÍA</t>
        </is>
      </c>
      <c r="E355" t="inlineStr">
        <is>
          <t>S05|HSAT</t>
        </is>
      </c>
      <c r="F355" t="inlineStr">
        <is>
          <t>HSAT - Tame</t>
        </is>
      </c>
      <c r="G355" t="inlineStr">
        <is>
          <t>ADMINISTRATIVO</t>
        </is>
      </c>
      <c r="H355" t="inlineStr">
        <is>
          <t>ACTIVO</t>
        </is>
      </c>
    </row>
    <row r="356">
      <c r="A356" t="n">
        <v>3052105</v>
      </c>
      <c r="B356" t="inlineStr">
        <is>
          <t>HSJDP-PUERTO RONDON- FACTURACION</t>
        </is>
      </c>
      <c r="C356" t="inlineStr">
        <is>
          <t>S04</t>
        </is>
      </c>
      <c r="D356" t="inlineStr">
        <is>
          <t>FACTURACIÓN Y AUDITORIA DE CUENTAS MÉDICAS</t>
        </is>
      </c>
      <c r="E356" t="inlineStr">
        <is>
          <t>S04|HSJDP</t>
        </is>
      </c>
      <c r="F356" t="inlineStr">
        <is>
          <t>HSJDP - Puerto Rondón</t>
        </is>
      </c>
      <c r="G356" t="inlineStr">
        <is>
          <t>ADMINISTRATIVO</t>
        </is>
      </c>
      <c r="H356" t="inlineStr">
        <is>
          <t>ACTIVO</t>
        </is>
      </c>
    </row>
    <row r="357">
      <c r="A357" t="n">
        <v>3052106</v>
      </c>
      <c r="B357" t="inlineStr">
        <is>
          <t>HSJDP-PUERTO RONDON-TESORERIA CAJA</t>
        </is>
      </c>
      <c r="C357" t="inlineStr">
        <is>
          <t>S05</t>
        </is>
      </c>
      <c r="D357" t="inlineStr">
        <is>
          <t>TESORERÍA</t>
        </is>
      </c>
      <c r="E357" t="inlineStr">
        <is>
          <t>S05|HSJDP</t>
        </is>
      </c>
      <c r="F357" t="inlineStr">
        <is>
          <t>HSJDP - Puerto Rondón</t>
        </is>
      </c>
      <c r="G357" t="inlineStr">
        <is>
          <t>ADMINISTRATIVO</t>
        </is>
      </c>
      <c r="H357" t="inlineStr">
        <is>
          <t>ACTIVO</t>
        </is>
      </c>
    </row>
    <row r="358">
      <c r="A358" t="n">
        <v>3062105</v>
      </c>
      <c r="B358" t="inlineStr">
        <is>
          <t>HSJCN-CRAVO NORTE- FACTURACION</t>
        </is>
      </c>
      <c r="C358" t="inlineStr">
        <is>
          <t>S04</t>
        </is>
      </c>
      <c r="D358" t="inlineStr">
        <is>
          <t>FACTURACIÓN Y AUDITORIA DE CUENTAS MÉDICAS</t>
        </is>
      </c>
      <c r="E358" t="inlineStr">
        <is>
          <t>S04|HSJCN</t>
        </is>
      </c>
      <c r="F358" t="inlineStr">
        <is>
          <t>HSJCN - Cravo Norte</t>
        </is>
      </c>
      <c r="G358" t="inlineStr">
        <is>
          <t>ADMINISTRATIVO</t>
        </is>
      </c>
      <c r="H358" t="inlineStr">
        <is>
          <t>ACTIVO</t>
        </is>
      </c>
    </row>
    <row r="359">
      <c r="A359" t="n">
        <v>3062106</v>
      </c>
      <c r="B359" t="inlineStr">
        <is>
          <t>HSJCN-CRAVO NORTE-TESORERIA CAJA</t>
        </is>
      </c>
      <c r="C359" t="inlineStr">
        <is>
          <t>S05</t>
        </is>
      </c>
      <c r="D359" t="inlineStr">
        <is>
          <t>TESORERÍA</t>
        </is>
      </c>
      <c r="E359" t="inlineStr">
        <is>
          <t>S05|HSJCN</t>
        </is>
      </c>
      <c r="F359" t="inlineStr">
        <is>
          <t>HSJCN - Cravo Norte</t>
        </is>
      </c>
      <c r="G359" t="inlineStr">
        <is>
          <t>ADMINISTRATIVO</t>
        </is>
      </c>
      <c r="H359" t="inlineStr">
        <is>
          <t>ACTIVO</t>
        </is>
      </c>
    </row>
    <row r="360">
      <c r="A360" t="n">
        <v>3072105</v>
      </c>
      <c r="B360" t="inlineStr">
        <is>
          <t>HSRP-PAMPURI- FACTURACION</t>
        </is>
      </c>
      <c r="C360" t="inlineStr">
        <is>
          <t>S04</t>
        </is>
      </c>
      <c r="D360" t="inlineStr">
        <is>
          <t>FACTURACIÓN Y AUDITORIA DE CUENTAS MÉDICAS</t>
        </is>
      </c>
      <c r="E360" t="inlineStr">
        <is>
          <t>S04|HSRP</t>
        </is>
      </c>
      <c r="F360" t="inlineStr">
        <is>
          <t>HSRP - Pampurí / La Esmeralda</t>
        </is>
      </c>
      <c r="G360" t="inlineStr">
        <is>
          <t>ADMINISTRATIVO</t>
        </is>
      </c>
      <c r="H360" t="inlineStr">
        <is>
          <t>ACTIVO</t>
        </is>
      </c>
    </row>
    <row r="361">
      <c r="A361" t="n">
        <v>3072106</v>
      </c>
      <c r="B361" t="inlineStr">
        <is>
          <t>HSRP-SARAVENA-TESORERIA CAJA</t>
        </is>
      </c>
      <c r="C361" t="inlineStr">
        <is>
          <t>S05</t>
        </is>
      </c>
      <c r="D361" t="inlineStr">
        <is>
          <t>TESORERÍA</t>
        </is>
      </c>
      <c r="E361" t="inlineStr">
        <is>
          <t>S05|HSRP</t>
        </is>
      </c>
      <c r="F361" t="inlineStr">
        <is>
          <t>HSRP - Pampurí / La Esmeralda</t>
        </is>
      </c>
      <c r="G361" t="inlineStr">
        <is>
          <t>ADMINISTRATIVO</t>
        </is>
      </c>
      <c r="H361" t="inlineStr">
        <is>
          <t>ACTIVO</t>
        </is>
      </c>
    </row>
    <row r="362">
      <c r="A362" t="n">
        <v>3082105</v>
      </c>
      <c r="B362" t="inlineStr">
        <is>
          <t>CSPA-ARAUQUITA- FACTURACION</t>
        </is>
      </c>
      <c r="C362" t="inlineStr">
        <is>
          <t>S04</t>
        </is>
      </c>
      <c r="D362" t="inlineStr">
        <is>
          <t>FACTURACIÓN Y AUDITORIA DE CUENTAS MÉDICAS</t>
        </is>
      </c>
      <c r="E362" t="inlineStr">
        <is>
          <t>S04|CSPA</t>
        </is>
      </c>
      <c r="F362" t="inlineStr">
        <is>
          <t>CSPA - Panamá de Arauca</t>
        </is>
      </c>
      <c r="G362" t="inlineStr">
        <is>
          <t>ADMINISTRATIVO</t>
        </is>
      </c>
      <c r="H362" t="inlineStr">
        <is>
          <t>ACTIVO</t>
        </is>
      </c>
    </row>
    <row r="363">
      <c r="A363" t="n">
        <v>3082106</v>
      </c>
      <c r="B363" t="inlineStr">
        <is>
          <t>CSPA-ARAUQUITA-TESORERIA CAJA</t>
        </is>
      </c>
      <c r="C363" t="inlineStr">
        <is>
          <t>S05</t>
        </is>
      </c>
      <c r="D363" t="inlineStr">
        <is>
          <t>TESORERÍA</t>
        </is>
      </c>
      <c r="E363" t="inlineStr">
        <is>
          <t>S05|CSPA</t>
        </is>
      </c>
      <c r="F363" t="inlineStr">
        <is>
          <t>CSPA - Panamá de Arauca</t>
        </is>
      </c>
      <c r="G363" t="inlineStr">
        <is>
          <t>ADMINISTRATIVO</t>
        </is>
      </c>
      <c r="H363" t="inlineStr">
        <is>
          <t>ACTIVO</t>
        </is>
      </c>
    </row>
    <row r="364">
      <c r="A364" t="n">
        <v>3092105</v>
      </c>
      <c r="B364" t="inlineStr">
        <is>
          <t>CSJSC-TAME- FACTURACION</t>
        </is>
      </c>
      <c r="C364" t="inlineStr">
        <is>
          <t>S04</t>
        </is>
      </c>
      <c r="D364" t="inlineStr">
        <is>
          <t>FACTURACIÓN Y AUDITORIA DE CUENTAS MÉDICAS</t>
        </is>
      </c>
      <c r="E364" t="inlineStr">
        <is>
          <t>S04|CSJSC</t>
        </is>
      </c>
      <c r="F364" t="inlineStr">
        <is>
          <t>CSJSC - Tame</t>
        </is>
      </c>
      <c r="G364" t="inlineStr">
        <is>
          <t>ADMINISTRATIVO</t>
        </is>
      </c>
      <c r="H364" t="inlineStr">
        <is>
          <t>ACTIVO</t>
        </is>
      </c>
    </row>
    <row r="365">
      <c r="A365" t="n">
        <v>3092106</v>
      </c>
      <c r="B365" t="inlineStr">
        <is>
          <t>CSJSC-TAME-TESORERIA CAJA</t>
        </is>
      </c>
      <c r="C365" t="inlineStr">
        <is>
          <t>S05</t>
        </is>
      </c>
      <c r="D365" t="inlineStr">
        <is>
          <t>TESORERÍA</t>
        </is>
      </c>
      <c r="E365" t="inlineStr">
        <is>
          <t>S05|CSJSC</t>
        </is>
      </c>
      <c r="F365" t="inlineStr">
        <is>
          <t>CSJSC - Tame</t>
        </is>
      </c>
      <c r="G365" t="inlineStr">
        <is>
          <t>ADMINISTRATIVO</t>
        </is>
      </c>
      <c r="H365" t="inlineStr">
        <is>
          <t>ACTIVO</t>
        </is>
      </c>
    </row>
    <row r="366">
      <c r="A366" t="n">
        <v>4012201</v>
      </c>
      <c r="B366" t="inlineStr">
        <is>
          <t>ESE01 TAME-CONDUCTOR</t>
        </is>
      </c>
      <c r="C366" t="inlineStr">
        <is>
          <t>R07</t>
        </is>
      </c>
      <c r="D366" t="inlineStr">
        <is>
          <t>OTROS VEHÍCULOS Y CONDUCTORES</t>
        </is>
      </c>
      <c r="E366" t="inlineStr">
        <is>
          <t>R07|ESE01</t>
        </is>
      </c>
      <c r="F366" t="inlineStr">
        <is>
          <t>ESE01 - Sede Administrativa (Tame)</t>
        </is>
      </c>
      <c r="G366" t="inlineStr">
        <is>
          <t>ADMINISTRATIVO</t>
        </is>
      </c>
      <c r="H366" t="inlineStr">
        <is>
          <t>ACTIVO</t>
        </is>
      </c>
    </row>
    <row r="367">
      <c r="A367" t="n">
        <v>4012202</v>
      </c>
      <c r="B367" t="inlineStr">
        <is>
          <t>ESE01-TAME-MANTENIMIENTO VEHICULOS</t>
        </is>
      </c>
      <c r="C367" t="inlineStr">
        <is>
          <t>R07</t>
        </is>
      </c>
      <c r="D367" t="inlineStr">
        <is>
          <t>OTROS VEHÍCULOS Y CONDUCTORES</t>
        </is>
      </c>
      <c r="E367" t="inlineStr">
        <is>
          <t>R07|ESE01</t>
        </is>
      </c>
      <c r="F367" t="inlineStr">
        <is>
          <t>ESE01 - Sede Administrativa (Tame)</t>
        </is>
      </c>
      <c r="G367" t="inlineStr">
        <is>
          <t>ADMINISTRATIVO</t>
        </is>
      </c>
      <c r="H367" t="inlineStr">
        <is>
          <t>ACTIVO</t>
        </is>
      </c>
    </row>
    <row r="368">
      <c r="A368" t="n">
        <v>4012203</v>
      </c>
      <c r="B368" t="inlineStr">
        <is>
          <t>ESE01-CENTRAL-MANTENIMIENTO PLANTA FISICA</t>
        </is>
      </c>
      <c r="C368" t="inlineStr">
        <is>
          <t>R03</t>
        </is>
      </c>
      <c r="D368" t="inlineStr">
        <is>
          <t>MANTENIMIENTO</t>
        </is>
      </c>
      <c r="E368" t="inlineStr">
        <is>
          <t>R03|ESE01</t>
        </is>
      </c>
      <c r="F368" t="inlineStr">
        <is>
          <t>ESE01 - Sede Administrativa (Tame)</t>
        </is>
      </c>
      <c r="G368" t="inlineStr">
        <is>
          <t>ADMINISTRATIVO</t>
        </is>
      </c>
      <c r="H368" t="inlineStr">
        <is>
          <t>ACTIVO</t>
        </is>
      </c>
    </row>
    <row r="369">
      <c r="A369" t="n">
        <v>4012204</v>
      </c>
      <c r="B369" t="inlineStr">
        <is>
          <t>ESE01-TAME-MANTENIMIENTO EQUIPOS BIOMEDICOS</t>
        </is>
      </c>
      <c r="C369" t="inlineStr">
        <is>
          <t>P02</t>
        </is>
      </c>
      <c r="D369" t="inlineStr">
        <is>
          <t>MANTENIMIENTO HOSPITALARIO</t>
        </is>
      </c>
      <c r="E369" t="inlineStr">
        <is>
          <t>P02|ESE01</t>
        </is>
      </c>
      <c r="F369" t="inlineStr">
        <is>
          <t>ESE01 - Sede Administrativa (Tame)</t>
        </is>
      </c>
      <c r="G369" t="inlineStr">
        <is>
          <t>APOYO LOGÍSTICO</t>
        </is>
      </c>
      <c r="H369" t="inlineStr">
        <is>
          <t>ACTIVO</t>
        </is>
      </c>
    </row>
    <row r="370">
      <c r="A370" t="n">
        <v>4012205</v>
      </c>
      <c r="B370" t="inlineStr">
        <is>
          <t>ESE01-TAME-MANTENIMIENTO EQUIPOS NO BIOMEDICOS</t>
        </is>
      </c>
      <c r="C370" t="inlineStr">
        <is>
          <t>R03</t>
        </is>
      </c>
      <c r="D370" t="inlineStr">
        <is>
          <t>MANTENIMIENTO</t>
        </is>
      </c>
      <c r="E370" t="inlineStr">
        <is>
          <t>R03|ESE01</t>
        </is>
      </c>
      <c r="F370" t="inlineStr">
        <is>
          <t>ESE01 - Sede Administrativa (Tame)</t>
        </is>
      </c>
      <c r="G370" t="inlineStr">
        <is>
          <t>ADMINISTRATIVO</t>
        </is>
      </c>
      <c r="H370" t="inlineStr">
        <is>
          <t>ACTIVO</t>
        </is>
      </c>
    </row>
    <row r="371">
      <c r="A371" t="n">
        <v>4012206</v>
      </c>
      <c r="B371" t="inlineStr">
        <is>
          <t>ESE01-ARAUCA-LAVANDERIA</t>
        </is>
      </c>
      <c r="C371" t="inlineStr">
        <is>
          <t>P03</t>
        </is>
      </c>
      <c r="D371" t="inlineStr">
        <is>
          <t>LAVANDERIA, VESTUARIO Y COSTURERO</t>
        </is>
      </c>
      <c r="E371" t="inlineStr">
        <is>
          <t>P03|ESE01</t>
        </is>
      </c>
      <c r="F371" t="inlineStr">
        <is>
          <t>ESE01 - Sede Administrativa (Tame)</t>
        </is>
      </c>
      <c r="G371" t="inlineStr">
        <is>
          <t>APOYO LOGÍSTICO</t>
        </is>
      </c>
      <c r="H371" t="inlineStr">
        <is>
          <t>ACTIVO</t>
        </is>
      </c>
    </row>
    <row r="372">
      <c r="A372" t="n">
        <v>4012207</v>
      </c>
      <c r="B372" t="inlineStr">
        <is>
          <t>ESE01-TAME-ALIMENTACION ADMINISTRATIVO Y ASISTENCIAL</t>
        </is>
      </c>
      <c r="C372" t="inlineStr">
        <is>
          <t>P01</t>
        </is>
      </c>
      <c r="D372" t="inlineStr">
        <is>
          <t>COCINA</t>
        </is>
      </c>
      <c r="E372" t="inlineStr">
        <is>
          <t>P01|ESE01</t>
        </is>
      </c>
      <c r="F372" t="inlineStr">
        <is>
          <t>ESE01 - Sede Administrativa (Tame)</t>
        </is>
      </c>
      <c r="G372" t="inlineStr">
        <is>
          <t>APOYO LOGÍSTICO</t>
        </is>
      </c>
      <c r="H372" t="inlineStr">
        <is>
          <t>ACTIVO</t>
        </is>
      </c>
    </row>
    <row r="373">
      <c r="A373" t="n">
        <v>4012208</v>
      </c>
      <c r="B373" t="inlineStr">
        <is>
          <t>ESE01-TAME-SERVICIOS PUBLICOS</t>
        </is>
      </c>
      <c r="C373" t="inlineStr">
        <is>
          <t>R02</t>
        </is>
      </c>
      <c r="D373" t="inlineStr">
        <is>
          <t>RECURSOS FÍSICOS</t>
        </is>
      </c>
      <c r="E373" t="inlineStr">
        <is>
          <t>R02|ESE01</t>
        </is>
      </c>
      <c r="F373" t="inlineStr">
        <is>
          <t>ESE01 - Sede Administrativa (Tame)</t>
        </is>
      </c>
      <c r="G373" t="inlineStr">
        <is>
          <t>ADMINISTRATIVO</t>
        </is>
      </c>
      <c r="H373" t="inlineStr">
        <is>
          <t>ACTIVO</t>
        </is>
      </c>
    </row>
    <row r="374">
      <c r="A374" t="n">
        <v>4012209</v>
      </c>
      <c r="B374" t="inlineStr">
        <is>
          <t>ESE01-TAME-VIGILANCIA Y ASEO</t>
        </is>
      </c>
      <c r="C374" t="inlineStr">
        <is>
          <t>R04</t>
        </is>
      </c>
      <c r="D374" t="inlineStr">
        <is>
          <t>ASEO Y LIMPIEZA</t>
        </is>
      </c>
      <c r="E374" t="inlineStr">
        <is>
          <t>R04|ESE01</t>
        </is>
      </c>
      <c r="F374" t="inlineStr">
        <is>
          <t>ESE01 - Sede Administrativa (Tame)</t>
        </is>
      </c>
      <c r="G374" t="inlineStr">
        <is>
          <t>ADMINISTRATIVO</t>
        </is>
      </c>
      <c r="H374" t="inlineStr">
        <is>
          <t>ACTIVO</t>
        </is>
      </c>
    </row>
    <row r="375">
      <c r="A375" t="n">
        <v>4012210</v>
      </c>
      <c r="B375" t="inlineStr">
        <is>
          <t>ESE01 TAME TRANSPORTE PERSONAL</t>
        </is>
      </c>
      <c r="C375" t="inlineStr">
        <is>
          <t>R07</t>
        </is>
      </c>
      <c r="D375" t="inlineStr">
        <is>
          <t>OTROS VEHÍCULOS Y CONDUCTORES</t>
        </is>
      </c>
      <c r="E375" t="inlineStr">
        <is>
          <t>R07|ESE01</t>
        </is>
      </c>
      <c r="F375" t="inlineStr">
        <is>
          <t>ESE01 - Sede Administrativa (Tame)</t>
        </is>
      </c>
      <c r="G375" t="inlineStr">
        <is>
          <t>ADMINISTRATIVO</t>
        </is>
      </c>
      <c r="H375" t="inlineStr">
        <is>
          <t>ACTIVO</t>
        </is>
      </c>
    </row>
    <row r="376">
      <c r="A376" t="n">
        <v>4012211</v>
      </c>
      <c r="B376" t="inlineStr">
        <is>
          <t>PAGO IMPUESTOS RETENIDOS</t>
        </is>
      </c>
      <c r="C376" t="inlineStr">
        <is>
          <t>S05</t>
        </is>
      </c>
      <c r="D376" t="inlineStr">
        <is>
          <t>TESORERÍA</t>
        </is>
      </c>
      <c r="E376" t="inlineStr">
        <is>
          <t>S05|ESE01</t>
        </is>
      </c>
      <c r="F376" t="inlineStr">
        <is>
          <t>ESE01 - Sede Administrativa (Tame)</t>
        </is>
      </c>
      <c r="G376" t="inlineStr">
        <is>
          <t>ADMINISTRATIVO</t>
        </is>
      </c>
      <c r="H376" t="inlineStr">
        <is>
          <t>EXCLUIR</t>
        </is>
      </c>
    </row>
    <row r="377">
      <c r="A377" t="n">
        <v>4012212</v>
      </c>
      <c r="B377" t="inlineStr">
        <is>
          <t>ESE01-TRANSPORTE PACIENTES - COMBUSTIBLE</t>
        </is>
      </c>
      <c r="C377" t="inlineStr">
        <is>
          <t>N08</t>
        </is>
      </c>
      <c r="D377" t="inlineStr">
        <is>
          <t>SERVICIO DE AMBULANCIAS</t>
        </is>
      </c>
      <c r="E377" t="inlineStr">
        <is>
          <t>N08|ESE01</t>
        </is>
      </c>
      <c r="F377" t="inlineStr">
        <is>
          <t>ESE01 - Sede Administrativa (Tame)</t>
        </is>
      </c>
      <c r="G377" t="inlineStr">
        <is>
          <t>PRODUCTIVO (final)</t>
        </is>
      </c>
      <c r="H377" t="inlineStr">
        <is>
          <t>ACTIVO</t>
        </is>
      </c>
    </row>
    <row r="378">
      <c r="A378" t="n">
        <v>4012213</v>
      </c>
      <c r="B378" t="inlineStr">
        <is>
          <t>ESE01-MEDICAMENTOS</t>
        </is>
      </c>
      <c r="C378" t="inlineStr">
        <is>
          <t>M05</t>
        </is>
      </c>
      <c r="D378" t="inlineStr">
        <is>
          <t>FARMACIA</t>
        </is>
      </c>
      <c r="E378" t="inlineStr">
        <is>
          <t>M05|ESE01</t>
        </is>
      </c>
      <c r="F378" t="inlineStr">
        <is>
          <t>ESE01 - Sede Administrativa (Tame)</t>
        </is>
      </c>
      <c r="G378" t="inlineStr">
        <is>
          <t>APOYO ASISTENCIAL (intermedio)</t>
        </is>
      </c>
      <c r="H378" t="inlineStr">
        <is>
          <t>ACTIVO</t>
        </is>
      </c>
    </row>
    <row r="379">
      <c r="A379" t="n">
        <v>4012214</v>
      </c>
      <c r="B379" t="inlineStr">
        <is>
          <t>ESE01-TAME-SEGURIDAD INDUSTRIAL</t>
        </is>
      </c>
      <c r="C379" t="inlineStr">
        <is>
          <t>R08</t>
        </is>
      </c>
      <c r="D379" t="inlineStr">
        <is>
          <t>SALUD OCUPACIONAL</t>
        </is>
      </c>
      <c r="E379" t="inlineStr">
        <is>
          <t>R08|ESE01</t>
        </is>
      </c>
      <c r="F379" t="inlineStr">
        <is>
          <t>ESE01 - Sede Administrativa (Tame)</t>
        </is>
      </c>
      <c r="G379" t="inlineStr">
        <is>
          <t>ADMINISTRATIVO</t>
        </is>
      </c>
      <c r="H379" t="inlineStr">
        <is>
          <t>ACTIVO</t>
        </is>
      </c>
    </row>
    <row r="380">
      <c r="A380" t="n">
        <v>4012215</v>
      </c>
      <c r="B380" t="inlineStr">
        <is>
          <t>ESE01- TAME - MENSAJERIA Y ARCHIVO</t>
        </is>
      </c>
      <c r="C380" t="inlineStr">
        <is>
          <t>R09</t>
        </is>
      </c>
      <c r="D380" t="inlineStr">
        <is>
          <t>GESTIÓN DOCUMENTAL Y ARCHIVÍSTICA</t>
        </is>
      </c>
      <c r="E380" t="inlineStr">
        <is>
          <t>R09|ESE01</t>
        </is>
      </c>
      <c r="F380" t="inlineStr">
        <is>
          <t>ESE01 - Sede Administrativa (Tame)</t>
        </is>
      </c>
      <c r="G380" t="inlineStr">
        <is>
          <t>ADMINISTRATIVO</t>
        </is>
      </c>
      <c r="H380" t="inlineStr">
        <is>
          <t>ACTIVO</t>
        </is>
      </c>
    </row>
    <row r="381">
      <c r="A381" t="n">
        <v>4012216</v>
      </c>
      <c r="B381" t="inlineStr">
        <is>
          <t>ESE01-CAPACITACION, BIENESTAR SOCIAL Y ESTIMULOS</t>
        </is>
      </c>
      <c r="C381" t="inlineStr">
        <is>
          <t>R05</t>
        </is>
      </c>
      <c r="D381" t="inlineStr">
        <is>
          <t>TALENTO HUMANO</t>
        </is>
      </c>
      <c r="E381" t="inlineStr">
        <is>
          <t>R05|ESE01</t>
        </is>
      </c>
      <c r="F381" t="inlineStr">
        <is>
          <t>ESE01 - Sede Administrativa (Tame)</t>
        </is>
      </c>
      <c r="G381" t="inlineStr">
        <is>
          <t>ADMINISTRATIVO</t>
        </is>
      </c>
      <c r="H381" t="inlineStr">
        <is>
          <t>ACTIVO</t>
        </is>
      </c>
    </row>
    <row r="382">
      <c r="A382" t="n">
        <v>4012217</v>
      </c>
      <c r="B382" t="inlineStr">
        <is>
          <t>ESE01- TAME-SALUD OCUPACIONAL</t>
        </is>
      </c>
      <c r="C382" t="inlineStr">
        <is>
          <t>R08</t>
        </is>
      </c>
      <c r="D382" t="inlineStr">
        <is>
          <t>SALUD OCUPACIONAL</t>
        </is>
      </c>
      <c r="E382" t="inlineStr">
        <is>
          <t>R08|ESE01</t>
        </is>
      </c>
      <c r="F382" t="inlineStr">
        <is>
          <t>ESE01 - Sede Administrativa (Tame)</t>
        </is>
      </c>
      <c r="G382" t="inlineStr">
        <is>
          <t>ADMINISTRATIVO</t>
        </is>
      </c>
      <c r="H382" t="inlineStr">
        <is>
          <t>ACTIVO</t>
        </is>
      </c>
    </row>
    <row r="383">
      <c r="A383" t="n">
        <v>4012219</v>
      </c>
      <c r="B383" t="inlineStr">
        <is>
          <t>ESE01-TAME-HOSPEDAJE- ADMINISTRATIVO Y ASISTENCIAL</t>
        </is>
      </c>
      <c r="C383" t="inlineStr">
        <is>
          <t>R01</t>
        </is>
      </c>
      <c r="D383" t="inlineStr">
        <is>
          <t>COORDINACIÓN ADMINISTRATIVA</t>
        </is>
      </c>
      <c r="E383" t="inlineStr">
        <is>
          <t>R01|ESE01</t>
        </is>
      </c>
      <c r="F383" t="inlineStr">
        <is>
          <t>ESE01 - Sede Administrativa (Tame)</t>
        </is>
      </c>
      <c r="G383" t="inlineStr">
        <is>
          <t>ADMINISTRATIVO</t>
        </is>
      </c>
      <c r="H383" t="inlineStr">
        <is>
          <t>ACTIVO</t>
        </is>
      </c>
    </row>
    <row r="384">
      <c r="A384" t="n">
        <v>4012220</v>
      </c>
      <c r="B384" t="inlineStr">
        <is>
          <t>ESE-ACTIVIDADES DE SALUD PUBLICA</t>
        </is>
      </c>
      <c r="C384" t="inlineStr">
        <is>
          <t>K25</t>
        </is>
      </c>
      <c r="D384" t="inlineStr">
        <is>
          <t>SALUD PUBLICA</t>
        </is>
      </c>
      <c r="E384" t="inlineStr">
        <is>
          <t>K25|ESE01</t>
        </is>
      </c>
      <c r="F384" t="inlineStr">
        <is>
          <t>ESE01 - Sede Administrativa (Tame)</t>
        </is>
      </c>
      <c r="G384" t="inlineStr">
        <is>
          <t>PRODUCTIVO (final)</t>
        </is>
      </c>
      <c r="H384" t="inlineStr">
        <is>
          <t>ACTIVO</t>
        </is>
      </c>
    </row>
    <row r="385">
      <c r="A385" t="n">
        <v>4012221</v>
      </c>
      <c r="B385" t="inlineStr">
        <is>
          <t>ESE01 - UNIDAD DE CORRESPONDENCIA</t>
        </is>
      </c>
      <c r="C385" t="inlineStr">
        <is>
          <t>R09</t>
        </is>
      </c>
      <c r="D385" t="inlineStr">
        <is>
          <t>GESTIÓN DOCUMENTAL Y ARCHIVÍSTICA</t>
        </is>
      </c>
      <c r="E385" t="inlineStr">
        <is>
          <t>R09|ESE01</t>
        </is>
      </c>
      <c r="F385" t="inlineStr">
        <is>
          <t>ESE01 - Sede Administrativa (Tame)</t>
        </is>
      </c>
      <c r="G385" t="inlineStr">
        <is>
          <t>ADMINISTRATIVO</t>
        </is>
      </c>
      <c r="H385" t="inlineStr">
        <is>
          <t>ACTIVO</t>
        </is>
      </c>
    </row>
    <row r="386">
      <c r="A386" t="n">
        <v>4012222</v>
      </c>
      <c r="B386" t="inlineStr">
        <is>
          <t>ESE01-DOSIMETRIA</t>
        </is>
      </c>
      <c r="C386" t="inlineStr">
        <is>
          <t>L02</t>
        </is>
      </c>
      <c r="D386" t="inlineStr">
        <is>
          <t>IMAGENEOLOGÍA RADIOLÓGICA</t>
        </is>
      </c>
      <c r="E386" t="inlineStr">
        <is>
          <t>L02|ESE01</t>
        </is>
      </c>
      <c r="F386" t="inlineStr">
        <is>
          <t>ESE01 - Sede Administrativa (Tame)</t>
        </is>
      </c>
      <c r="G386" t="inlineStr">
        <is>
          <t>APOYO ASISTENCIAL (intermedio)</t>
        </is>
      </c>
      <c r="H386" t="inlineStr">
        <is>
          <t>ACTIVO</t>
        </is>
      </c>
    </row>
    <row r="387">
      <c r="A387" t="n">
        <v>4022201</v>
      </c>
      <c r="B387" t="inlineStr">
        <is>
          <t>HSLA-ARAUQUITA-TRANSPORTE PACIENTES CONDUCTORES</t>
        </is>
      </c>
      <c r="C387" t="inlineStr">
        <is>
          <t>N08</t>
        </is>
      </c>
      <c r="D387" t="inlineStr">
        <is>
          <t>SERVICIO DE AMBULANCIAS</t>
        </is>
      </c>
      <c r="E387" t="inlineStr">
        <is>
          <t>N08|HSLA</t>
        </is>
      </c>
      <c r="F387" t="inlineStr">
        <is>
          <t>HSLA - Arauquita</t>
        </is>
      </c>
      <c r="G387" t="inlineStr">
        <is>
          <t>PRODUCTIVO (final)</t>
        </is>
      </c>
      <c r="H387" t="inlineStr">
        <is>
          <t>ACTIVO</t>
        </is>
      </c>
    </row>
    <row r="388">
      <c r="A388" t="n">
        <v>4022202</v>
      </c>
      <c r="B388" t="inlineStr">
        <is>
          <t>HSLA-ARAUQUITA-MANTENIMIENTO VEHICULOS</t>
        </is>
      </c>
      <c r="C388" t="inlineStr">
        <is>
          <t>N08</t>
        </is>
      </c>
      <c r="D388" t="inlineStr">
        <is>
          <t>SERVICIO DE AMBULANCIAS</t>
        </is>
      </c>
      <c r="E388" t="inlineStr">
        <is>
          <t>N08|HSLA</t>
        </is>
      </c>
      <c r="F388" t="inlineStr">
        <is>
          <t>HSLA - Arauquita</t>
        </is>
      </c>
      <c r="G388" t="inlineStr">
        <is>
          <t>PRODUCTIVO (final)</t>
        </is>
      </c>
      <c r="H388" t="inlineStr">
        <is>
          <t>ACTIVO</t>
        </is>
      </c>
    </row>
    <row r="389">
      <c r="A389" t="n">
        <v>4022203</v>
      </c>
      <c r="B389" t="inlineStr">
        <is>
          <t>HSLA-ARAUQUITA-MANTENIMIENTO PLANTA FISICA</t>
        </is>
      </c>
      <c r="C389" t="inlineStr">
        <is>
          <t>P02</t>
        </is>
      </c>
      <c r="D389" t="inlineStr">
        <is>
          <t>MANTENIMIENTO HOSPITALARIO</t>
        </is>
      </c>
      <c r="E389" t="inlineStr">
        <is>
          <t>P02|HSLA</t>
        </is>
      </c>
      <c r="F389" t="inlineStr">
        <is>
          <t>HSLA - Arauquita</t>
        </is>
      </c>
      <c r="G389" t="inlineStr">
        <is>
          <t>APOYO LOGÍSTICO</t>
        </is>
      </c>
      <c r="H389" t="inlineStr">
        <is>
          <t>ACTIVO</t>
        </is>
      </c>
    </row>
    <row r="390">
      <c r="A390" t="n">
        <v>4022204</v>
      </c>
      <c r="B390" t="inlineStr">
        <is>
          <t>HSLA-ARAUQUITA-MANTENIMIENTO EQUIPOS BIOMEDICOS</t>
        </is>
      </c>
      <c r="C390" t="inlineStr">
        <is>
          <t>P02</t>
        </is>
      </c>
      <c r="D390" t="inlineStr">
        <is>
          <t>MANTENIMIENTO HOSPITALARIO</t>
        </is>
      </c>
      <c r="E390" t="inlineStr">
        <is>
          <t>P02|HSLA</t>
        </is>
      </c>
      <c r="F390" t="inlineStr">
        <is>
          <t>HSLA - Arauquita</t>
        </is>
      </c>
      <c r="G390" t="inlineStr">
        <is>
          <t>APOYO LOGÍSTICO</t>
        </is>
      </c>
      <c r="H390" t="inlineStr">
        <is>
          <t>ACTIVO</t>
        </is>
      </c>
    </row>
    <row r="391">
      <c r="A391" t="n">
        <v>4022205</v>
      </c>
      <c r="B391" t="inlineStr">
        <is>
          <t>HSLA-ARAUQUITA-MANTENIMIENTO EQUIPOS NO BIOMEDICOS</t>
        </is>
      </c>
      <c r="C391" t="inlineStr">
        <is>
          <t>P02</t>
        </is>
      </c>
      <c r="D391" t="inlineStr">
        <is>
          <t>MANTENIMIENTO HOSPITALARIO</t>
        </is>
      </c>
      <c r="E391" t="inlineStr">
        <is>
          <t>P02|HSLA</t>
        </is>
      </c>
      <c r="F391" t="inlineStr">
        <is>
          <t>HSLA - Arauquita</t>
        </is>
      </c>
      <c r="G391" t="inlineStr">
        <is>
          <t>APOYO LOGÍSTICO</t>
        </is>
      </c>
      <c r="H391" t="inlineStr">
        <is>
          <t>ACTIVO</t>
        </is>
      </c>
    </row>
    <row r="392">
      <c r="A392" t="n">
        <v>4022206</v>
      </c>
      <c r="B392" t="inlineStr">
        <is>
          <t>HSLA-ARAUQUITA-LAVANDERIA</t>
        </is>
      </c>
      <c r="C392" t="inlineStr">
        <is>
          <t>P03</t>
        </is>
      </c>
      <c r="D392" t="inlineStr">
        <is>
          <t>LAVANDERIA, VESTUARIO Y COSTURERO</t>
        </is>
      </c>
      <c r="E392" t="inlineStr">
        <is>
          <t>P03|HSLA</t>
        </is>
      </c>
      <c r="F392" t="inlineStr">
        <is>
          <t>HSLA - Arauquita</t>
        </is>
      </c>
      <c r="G392" t="inlineStr">
        <is>
          <t>APOYO LOGÍSTICO</t>
        </is>
      </c>
      <c r="H392" t="inlineStr">
        <is>
          <t>ACTIVO</t>
        </is>
      </c>
    </row>
    <row r="393">
      <c r="A393" t="n">
        <v>4022207</v>
      </c>
      <c r="B393" t="inlineStr">
        <is>
          <t>HSLA-ARAUQUITA-ALIMENTACION A PACIENTES</t>
        </is>
      </c>
      <c r="C393" t="inlineStr">
        <is>
          <t>P01</t>
        </is>
      </c>
      <c r="D393" t="inlineStr">
        <is>
          <t>COCINA</t>
        </is>
      </c>
      <c r="E393" t="inlineStr">
        <is>
          <t>P01|HSLA</t>
        </is>
      </c>
      <c r="F393" t="inlineStr">
        <is>
          <t>HSLA - Arauquita</t>
        </is>
      </c>
      <c r="G393" t="inlineStr">
        <is>
          <t>APOYO LOGÍSTICO</t>
        </is>
      </c>
      <c r="H393" t="inlineStr">
        <is>
          <t>ACTIVO</t>
        </is>
      </c>
    </row>
    <row r="394">
      <c r="A394" t="n">
        <v>4022208</v>
      </c>
      <c r="B394" t="inlineStr">
        <is>
          <t>HSLA-ARAUQUITA-SERVICIOS PUBLICOS</t>
        </is>
      </c>
      <c r="C394" t="inlineStr">
        <is>
          <t>R02</t>
        </is>
      </c>
      <c r="D394" t="inlineStr">
        <is>
          <t>RECURSOS FÍSICOS</t>
        </is>
      </c>
      <c r="E394" t="inlineStr">
        <is>
          <t>R02|HSLA</t>
        </is>
      </c>
      <c r="F394" t="inlineStr">
        <is>
          <t>HSLA - Arauquita</t>
        </is>
      </c>
      <c r="G394" t="inlineStr">
        <is>
          <t>ADMINISTRATIVO</t>
        </is>
      </c>
      <c r="H394" t="inlineStr">
        <is>
          <t>ACTIVO</t>
        </is>
      </c>
    </row>
    <row r="395">
      <c r="A395" t="n">
        <v>4022209</v>
      </c>
      <c r="B395" t="inlineStr">
        <is>
          <t>HSLA-ARAUQUITA-VIGILANCIA Y ASEO</t>
        </is>
      </c>
      <c r="C395" t="inlineStr">
        <is>
          <t>R04</t>
        </is>
      </c>
      <c r="D395" t="inlineStr">
        <is>
          <t>ASEO Y LIMPIEZA</t>
        </is>
      </c>
      <c r="E395" t="inlineStr">
        <is>
          <t>R04|HSLA</t>
        </is>
      </c>
      <c r="F395" t="inlineStr">
        <is>
          <t>HSLA - Arauquita</t>
        </is>
      </c>
      <c r="G395" t="inlineStr">
        <is>
          <t>ADMINISTRATIVO</t>
        </is>
      </c>
      <c r="H395" t="inlineStr">
        <is>
          <t>ACTIVO</t>
        </is>
      </c>
    </row>
    <row r="396">
      <c r="A396" t="n">
        <v>4022212</v>
      </c>
      <c r="B396" t="inlineStr">
        <is>
          <t>HSLA - ARAUQUITA - TRANSPORTE PACIENTES - COMBUSTIBLE</t>
        </is>
      </c>
      <c r="C396" t="inlineStr">
        <is>
          <t>N08</t>
        </is>
      </c>
      <c r="D396" t="inlineStr">
        <is>
          <t>SERVICIO DE AMBULANCIAS</t>
        </is>
      </c>
      <c r="E396" t="inlineStr">
        <is>
          <t>N08|HSLA</t>
        </is>
      </c>
      <c r="F396" t="inlineStr">
        <is>
          <t>HSLA - Arauquita</t>
        </is>
      </c>
      <c r="G396" t="inlineStr">
        <is>
          <t>PRODUCTIVO (final)</t>
        </is>
      </c>
      <c r="H396" t="inlineStr">
        <is>
          <t>ACTIVO</t>
        </is>
      </c>
    </row>
    <row r="397">
      <c r="A397" t="n">
        <v>4022214</v>
      </c>
      <c r="B397" t="inlineStr">
        <is>
          <t>HSLA-ARAUQUITA-SEGURIDAD INSDUSTRIAL</t>
        </is>
      </c>
      <c r="C397" t="inlineStr">
        <is>
          <t>R08</t>
        </is>
      </c>
      <c r="D397" t="inlineStr">
        <is>
          <t>SALUD OCUPACIONAL</t>
        </is>
      </c>
      <c r="E397" t="inlineStr">
        <is>
          <t>R08|HSLA</t>
        </is>
      </c>
      <c r="F397" t="inlineStr">
        <is>
          <t>HSLA - Arauquita</t>
        </is>
      </c>
      <c r="G397" t="inlineStr">
        <is>
          <t>ADMINISTRATIVO</t>
        </is>
      </c>
      <c r="H397" t="inlineStr">
        <is>
          <t>ACTIVO</t>
        </is>
      </c>
    </row>
    <row r="398">
      <c r="A398" t="n">
        <v>4022215</v>
      </c>
      <c r="B398" t="inlineStr">
        <is>
          <t>HSLA - ARAUQUITA - ARCHIVO Y MENSAJERIA</t>
        </is>
      </c>
      <c r="C398" t="inlineStr">
        <is>
          <t>R09</t>
        </is>
      </c>
      <c r="D398" t="inlineStr">
        <is>
          <t>GESTIÓN DOCUMENTAL Y ARCHIVÍSTICA</t>
        </is>
      </c>
      <c r="E398" t="inlineStr">
        <is>
          <t>R09|HSLA</t>
        </is>
      </c>
      <c r="F398" t="inlineStr">
        <is>
          <t>HSLA - Arauquita</t>
        </is>
      </c>
      <c r="G398" t="inlineStr">
        <is>
          <t>ADMINISTRATIVO</t>
        </is>
      </c>
      <c r="H398" t="inlineStr">
        <is>
          <t>ACTIVO</t>
        </is>
      </c>
    </row>
    <row r="399">
      <c r="A399" t="n">
        <v>4022216</v>
      </c>
      <c r="B399" t="inlineStr">
        <is>
          <t>HSLA - ARAUQUITA- CAPACITACION, BIENESTAR SOCIAL Y ESTIMULOS</t>
        </is>
      </c>
      <c r="C399" t="inlineStr">
        <is>
          <t>R05</t>
        </is>
      </c>
      <c r="D399" t="inlineStr">
        <is>
          <t>TALENTO HUMANO</t>
        </is>
      </c>
      <c r="E399" t="inlineStr">
        <is>
          <t>R05|HSLA</t>
        </is>
      </c>
      <c r="F399" t="inlineStr">
        <is>
          <t>HSLA - Arauquita</t>
        </is>
      </c>
      <c r="G399" t="inlineStr">
        <is>
          <t>ADMINISTRATIVO</t>
        </is>
      </c>
      <c r="H399" t="inlineStr">
        <is>
          <t>ACTIVO</t>
        </is>
      </c>
    </row>
    <row r="400">
      <c r="A400" t="n">
        <v>4022217</v>
      </c>
      <c r="B400" t="inlineStr">
        <is>
          <t>HSLA-TRANSPORTE MEDICOS Y PARAMEDICOS</t>
        </is>
      </c>
      <c r="C400" t="inlineStr">
        <is>
          <t>R07</t>
        </is>
      </c>
      <c r="D400" t="inlineStr">
        <is>
          <t>OTROS VEHÍCULOS Y CONDUCTORES</t>
        </is>
      </c>
      <c r="E400" t="inlineStr">
        <is>
          <t>R07|HSLA</t>
        </is>
      </c>
      <c r="F400" t="inlineStr">
        <is>
          <t>HSLA - Arauquita</t>
        </is>
      </c>
      <c r="G400" t="inlineStr">
        <is>
          <t>ADMINISTRATIVO</t>
        </is>
      </c>
      <c r="H400" t="inlineStr">
        <is>
          <t>ACTIVO</t>
        </is>
      </c>
    </row>
    <row r="401">
      <c r="A401" t="n">
        <v>4022220</v>
      </c>
      <c r="B401" t="inlineStr">
        <is>
          <t>HSLA-ARAUQUITA-MANTENIMIENTO PREVENTIVO Y CORRECTIVO</t>
        </is>
      </c>
      <c r="C401" t="inlineStr">
        <is>
          <t>P02</t>
        </is>
      </c>
      <c r="D401" t="inlineStr">
        <is>
          <t>MANTENIMIENTO HOSPITALARIO</t>
        </is>
      </c>
      <c r="E401" t="inlineStr">
        <is>
          <t>P02|HSLA</t>
        </is>
      </c>
      <c r="F401" t="inlineStr">
        <is>
          <t>HSLA - Arauquita</t>
        </is>
      </c>
      <c r="G401" t="inlineStr">
        <is>
          <t>APOYO LOGÍSTICO</t>
        </is>
      </c>
      <c r="H401" t="inlineStr">
        <is>
          <t>ACTIVO</t>
        </is>
      </c>
    </row>
    <row r="402">
      <c r="A402" t="n">
        <v>4022221</v>
      </c>
      <c r="B402" t="inlineStr">
        <is>
          <t>HSLA-ARAUQUITA-DOSIMETRIA</t>
        </is>
      </c>
      <c r="C402" t="inlineStr">
        <is>
          <t>L02</t>
        </is>
      </c>
      <c r="D402" t="inlineStr">
        <is>
          <t>IMAGENEOLOGÍA RADIOLÓGICA</t>
        </is>
      </c>
      <c r="E402" t="inlineStr">
        <is>
          <t>L02|HSLA</t>
        </is>
      </c>
      <c r="F402" t="inlineStr">
        <is>
          <t>HSLA - Arauquita</t>
        </is>
      </c>
      <c r="G402" t="inlineStr">
        <is>
          <t>APOYO ASISTENCIAL (intermedio)</t>
        </is>
      </c>
      <c r="H402" t="inlineStr">
        <is>
          <t>ACTIVO</t>
        </is>
      </c>
    </row>
    <row r="403">
      <c r="A403" t="n">
        <v>4032201</v>
      </c>
      <c r="B403" t="inlineStr">
        <is>
          <t>HSFF-FORTUL-TRANSPORTE PACIENTES CONDUCTORES</t>
        </is>
      </c>
      <c r="C403" t="inlineStr">
        <is>
          <t>N08</t>
        </is>
      </c>
      <c r="D403" t="inlineStr">
        <is>
          <t>SERVICIO DE AMBULANCIAS</t>
        </is>
      </c>
      <c r="E403" t="inlineStr">
        <is>
          <t>N08|HSFF</t>
        </is>
      </c>
      <c r="F403" t="inlineStr">
        <is>
          <t>HSFF - Fortul</t>
        </is>
      </c>
      <c r="G403" t="inlineStr">
        <is>
          <t>PRODUCTIVO (final)</t>
        </is>
      </c>
      <c r="H403" t="inlineStr">
        <is>
          <t>ACTIVO</t>
        </is>
      </c>
    </row>
    <row r="404">
      <c r="A404" t="n">
        <v>4032202</v>
      </c>
      <c r="B404" t="inlineStr">
        <is>
          <t>HSFF-FORTUL-MANTENIMIENTO VEHICULOS</t>
        </is>
      </c>
      <c r="C404" t="inlineStr">
        <is>
          <t>N08</t>
        </is>
      </c>
      <c r="D404" t="inlineStr">
        <is>
          <t>SERVICIO DE AMBULANCIAS</t>
        </is>
      </c>
      <c r="E404" t="inlineStr">
        <is>
          <t>N08|HSFF</t>
        </is>
      </c>
      <c r="F404" t="inlineStr">
        <is>
          <t>HSFF - Fortul</t>
        </is>
      </c>
      <c r="G404" t="inlineStr">
        <is>
          <t>PRODUCTIVO (final)</t>
        </is>
      </c>
      <c r="H404" t="inlineStr">
        <is>
          <t>ACTIVO</t>
        </is>
      </c>
    </row>
    <row r="405">
      <c r="A405" t="n">
        <v>4032203</v>
      </c>
      <c r="B405" t="inlineStr">
        <is>
          <t>HSFF-FORTUL-MANTENIMIENTO PLANTA FISICA</t>
        </is>
      </c>
      <c r="C405" t="inlineStr">
        <is>
          <t>P02</t>
        </is>
      </c>
      <c r="D405" t="inlineStr">
        <is>
          <t>MANTENIMIENTO HOSPITALARIO</t>
        </is>
      </c>
      <c r="E405" t="inlineStr">
        <is>
          <t>P02|HSFF</t>
        </is>
      </c>
      <c r="F405" t="inlineStr">
        <is>
          <t>HSFF - Fortul</t>
        </is>
      </c>
      <c r="G405" t="inlineStr">
        <is>
          <t>APOYO LOGÍSTICO</t>
        </is>
      </c>
      <c r="H405" t="inlineStr">
        <is>
          <t>ACTIVO</t>
        </is>
      </c>
    </row>
    <row r="406">
      <c r="A406" t="n">
        <v>4032204</v>
      </c>
      <c r="B406" t="inlineStr">
        <is>
          <t>HSFF-FORTUL-MANTENIMIENTO EQUIPOS BIOMEDICOS</t>
        </is>
      </c>
      <c r="C406" t="inlineStr">
        <is>
          <t>P02</t>
        </is>
      </c>
      <c r="D406" t="inlineStr">
        <is>
          <t>MANTENIMIENTO HOSPITALARIO</t>
        </is>
      </c>
      <c r="E406" t="inlineStr">
        <is>
          <t>P02|HSFF</t>
        </is>
      </c>
      <c r="F406" t="inlineStr">
        <is>
          <t>HSFF - Fortul</t>
        </is>
      </c>
      <c r="G406" t="inlineStr">
        <is>
          <t>APOYO LOGÍSTICO</t>
        </is>
      </c>
      <c r="H406" t="inlineStr">
        <is>
          <t>ACTIVO</t>
        </is>
      </c>
    </row>
    <row r="407">
      <c r="A407" t="n">
        <v>4032205</v>
      </c>
      <c r="B407" t="inlineStr">
        <is>
          <t>HSFF-FORTUL-MANTENIMIENTO EQUIPOS NO BIOMEDICOS</t>
        </is>
      </c>
      <c r="C407" t="inlineStr">
        <is>
          <t>P02</t>
        </is>
      </c>
      <c r="D407" t="inlineStr">
        <is>
          <t>MANTENIMIENTO HOSPITALARIO</t>
        </is>
      </c>
      <c r="E407" t="inlineStr">
        <is>
          <t>P02|HSFF</t>
        </is>
      </c>
      <c r="F407" t="inlineStr">
        <is>
          <t>HSFF - Fortul</t>
        </is>
      </c>
      <c r="G407" t="inlineStr">
        <is>
          <t>APOYO LOGÍSTICO</t>
        </is>
      </c>
      <c r="H407" t="inlineStr">
        <is>
          <t>ACTIVO</t>
        </is>
      </c>
    </row>
    <row r="408">
      <c r="A408" t="n">
        <v>4032206</v>
      </c>
      <c r="B408" t="inlineStr">
        <is>
          <t>HSFF-FORTUL-LAVANDERIA</t>
        </is>
      </c>
      <c r="C408" t="inlineStr">
        <is>
          <t>P03</t>
        </is>
      </c>
      <c r="D408" t="inlineStr">
        <is>
          <t>LAVANDERIA, VESTUARIO Y COSTURERO</t>
        </is>
      </c>
      <c r="E408" t="inlineStr">
        <is>
          <t>P03|HSFF</t>
        </is>
      </c>
      <c r="F408" t="inlineStr">
        <is>
          <t>HSFF - Fortul</t>
        </is>
      </c>
      <c r="G408" t="inlineStr">
        <is>
          <t>APOYO LOGÍSTICO</t>
        </is>
      </c>
      <c r="H408" t="inlineStr">
        <is>
          <t>ACTIVO</t>
        </is>
      </c>
    </row>
    <row r="409">
      <c r="A409" t="n">
        <v>4032207</v>
      </c>
      <c r="B409" t="inlineStr">
        <is>
          <t>HSFF-FORTUL-ALIMENTACION A PACIENTES</t>
        </is>
      </c>
      <c r="C409" t="inlineStr">
        <is>
          <t>P01</t>
        </is>
      </c>
      <c r="D409" t="inlineStr">
        <is>
          <t>COCINA</t>
        </is>
      </c>
      <c r="E409" t="inlineStr">
        <is>
          <t>P01|HSFF</t>
        </is>
      </c>
      <c r="F409" t="inlineStr">
        <is>
          <t>HSFF - Fortul</t>
        </is>
      </c>
      <c r="G409" t="inlineStr">
        <is>
          <t>APOYO LOGÍSTICO</t>
        </is>
      </c>
      <c r="H409" t="inlineStr">
        <is>
          <t>ACTIVO</t>
        </is>
      </c>
    </row>
    <row r="410">
      <c r="A410" t="n">
        <v>4032208</v>
      </c>
      <c r="B410" t="inlineStr">
        <is>
          <t>HSFF-FORTUL-SERVICIOS PUBLICOS</t>
        </is>
      </c>
      <c r="C410" t="inlineStr">
        <is>
          <t>R02</t>
        </is>
      </c>
      <c r="D410" t="inlineStr">
        <is>
          <t>RECURSOS FÍSICOS</t>
        </is>
      </c>
      <c r="E410" t="inlineStr">
        <is>
          <t>R02|HSFF</t>
        </is>
      </c>
      <c r="F410" t="inlineStr">
        <is>
          <t>HSFF - Fortul</t>
        </is>
      </c>
      <c r="G410" t="inlineStr">
        <is>
          <t>ADMINISTRATIVO</t>
        </is>
      </c>
      <c r="H410" t="inlineStr">
        <is>
          <t>ACTIVO</t>
        </is>
      </c>
    </row>
    <row r="411">
      <c r="A411" t="n">
        <v>4032209</v>
      </c>
      <c r="B411" t="inlineStr">
        <is>
          <t>HSFF-FORTUL-VIGILANCIA Y ASEO</t>
        </is>
      </c>
      <c r="C411" t="inlineStr">
        <is>
          <t>R04</t>
        </is>
      </c>
      <c r="D411" t="inlineStr">
        <is>
          <t>ASEO Y LIMPIEZA</t>
        </is>
      </c>
      <c r="E411" t="inlineStr">
        <is>
          <t>R04|HSFF</t>
        </is>
      </c>
      <c r="F411" t="inlineStr">
        <is>
          <t>HSFF - Fortul</t>
        </is>
      </c>
      <c r="G411" t="inlineStr">
        <is>
          <t>ADMINISTRATIVO</t>
        </is>
      </c>
      <c r="H411" t="inlineStr">
        <is>
          <t>ACTIVO</t>
        </is>
      </c>
    </row>
    <row r="412">
      <c r="A412" t="n">
        <v>4032212</v>
      </c>
      <c r="B412" t="inlineStr">
        <is>
          <t>HSFF-FORTUL-TRANSPORTE PACIENTES - COMBUSTIBLE</t>
        </is>
      </c>
      <c r="C412" t="inlineStr">
        <is>
          <t>N08</t>
        </is>
      </c>
      <c r="D412" t="inlineStr">
        <is>
          <t>SERVICIO DE AMBULANCIAS</t>
        </is>
      </c>
      <c r="E412" t="inlineStr">
        <is>
          <t>N08|HSFF</t>
        </is>
      </c>
      <c r="F412" t="inlineStr">
        <is>
          <t>HSFF - Fortul</t>
        </is>
      </c>
      <c r="G412" t="inlineStr">
        <is>
          <t>PRODUCTIVO (final)</t>
        </is>
      </c>
      <c r="H412" t="inlineStr">
        <is>
          <t>ACTIVO</t>
        </is>
      </c>
    </row>
    <row r="413">
      <c r="A413" t="n">
        <v>4032213</v>
      </c>
      <c r="B413" t="inlineStr">
        <is>
          <t>HSFF - FORTUL - GASTOS ADMINISTRATIVOS</t>
        </is>
      </c>
      <c r="C413" t="inlineStr">
        <is>
          <t>R01</t>
        </is>
      </c>
      <c r="D413" t="inlineStr">
        <is>
          <t>COORDINACIÓN ADMINISTRATIVA</t>
        </is>
      </c>
      <c r="E413" t="inlineStr">
        <is>
          <t>R01|HSFF</t>
        </is>
      </c>
      <c r="F413" t="inlineStr">
        <is>
          <t>HSFF - Fortul</t>
        </is>
      </c>
      <c r="G413" t="inlineStr">
        <is>
          <t>ADMINISTRATIVO</t>
        </is>
      </c>
      <c r="H413" t="inlineStr">
        <is>
          <t>ACTIVO</t>
        </is>
      </c>
    </row>
    <row r="414">
      <c r="A414" t="n">
        <v>4032214</v>
      </c>
      <c r="B414" t="inlineStr">
        <is>
          <t>HSFF - FORTUL-SEGURIDAD INDUSTRIAL</t>
        </is>
      </c>
      <c r="C414" t="inlineStr">
        <is>
          <t>R08</t>
        </is>
      </c>
      <c r="D414" t="inlineStr">
        <is>
          <t>SALUD OCUPACIONAL</t>
        </is>
      </c>
      <c r="E414" t="inlineStr">
        <is>
          <t>R08|HSFF</t>
        </is>
      </c>
      <c r="F414" t="inlineStr">
        <is>
          <t>HSFF - Fortul</t>
        </is>
      </c>
      <c r="G414" t="inlineStr">
        <is>
          <t>ADMINISTRATIVO</t>
        </is>
      </c>
      <c r="H414" t="inlineStr">
        <is>
          <t>ACTIVO</t>
        </is>
      </c>
    </row>
    <row r="415">
      <c r="A415" t="n">
        <v>4032215</v>
      </c>
      <c r="B415" t="inlineStr">
        <is>
          <t>HSFF - FORTUL - ARCHIVO Y MENSAJERIA</t>
        </is>
      </c>
      <c r="C415" t="inlineStr">
        <is>
          <t>R09</t>
        </is>
      </c>
      <c r="D415" t="inlineStr">
        <is>
          <t>GESTIÓN DOCUMENTAL Y ARCHIVÍSTICA</t>
        </is>
      </c>
      <c r="E415" t="inlineStr">
        <is>
          <t>R09|HSFF</t>
        </is>
      </c>
      <c r="F415" t="inlineStr">
        <is>
          <t>HSFF - Fortul</t>
        </is>
      </c>
      <c r="G415" t="inlineStr">
        <is>
          <t>ADMINISTRATIVO</t>
        </is>
      </c>
      <c r="H415" t="inlineStr">
        <is>
          <t>ACTIVO</t>
        </is>
      </c>
    </row>
    <row r="416">
      <c r="A416" t="n">
        <v>4032216</v>
      </c>
      <c r="B416" t="inlineStr">
        <is>
          <t>HSSF-FORTUL- CAPACITACION, BIENESTAR SOCIAL Y ESTIMULOS</t>
        </is>
      </c>
      <c r="C416" t="inlineStr">
        <is>
          <t>R05</t>
        </is>
      </c>
      <c r="D416" t="inlineStr">
        <is>
          <t>TALENTO HUMANO</t>
        </is>
      </c>
      <c r="E416" t="inlineStr">
        <is>
          <t>R05|HSFF</t>
        </is>
      </c>
      <c r="F416" t="inlineStr">
        <is>
          <t>HSFF - Fortul</t>
        </is>
      </c>
      <c r="G416" t="inlineStr">
        <is>
          <t>ADMINISTRATIVO</t>
        </is>
      </c>
      <c r="H416" t="inlineStr">
        <is>
          <t>ACTIVO</t>
        </is>
      </c>
    </row>
    <row r="417">
      <c r="A417" t="n">
        <v>4032220</v>
      </c>
      <c r="B417" t="inlineStr">
        <is>
          <t>HSFF-FORTUL-MANTENIMIENTO PREVENTIVO Y CORRECTIVO</t>
        </is>
      </c>
      <c r="C417" t="inlineStr">
        <is>
          <t>P02</t>
        </is>
      </c>
      <c r="D417" t="inlineStr">
        <is>
          <t>MANTENIMIENTO HOSPITALARIO</t>
        </is>
      </c>
      <c r="E417" t="inlineStr">
        <is>
          <t>P02|HSFF</t>
        </is>
      </c>
      <c r="F417" t="inlineStr">
        <is>
          <t>HSFF - Fortul</t>
        </is>
      </c>
      <c r="G417" t="inlineStr">
        <is>
          <t>APOYO LOGÍSTICO</t>
        </is>
      </c>
      <c r="H417" t="inlineStr">
        <is>
          <t>ACTIVO</t>
        </is>
      </c>
    </row>
    <row r="418">
      <c r="A418" t="n">
        <v>4032221</v>
      </c>
      <c r="B418" t="inlineStr">
        <is>
          <t>HSFF-FORTUL-DOSIMETRIA</t>
        </is>
      </c>
      <c r="C418" t="inlineStr">
        <is>
          <t>L02</t>
        </is>
      </c>
      <c r="D418" t="inlineStr">
        <is>
          <t>IMAGENEOLOGÍA RADIOLÓGICA</t>
        </is>
      </c>
      <c r="E418" t="inlineStr">
        <is>
          <t>L02|HSFF</t>
        </is>
      </c>
      <c r="F418" t="inlineStr">
        <is>
          <t>HSFF - Fortul</t>
        </is>
      </c>
      <c r="G418" t="inlineStr">
        <is>
          <t>APOYO ASISTENCIAL (intermedio)</t>
        </is>
      </c>
      <c r="H418" t="inlineStr">
        <is>
          <t>ACTIVO</t>
        </is>
      </c>
    </row>
    <row r="419">
      <c r="A419" t="n">
        <v>4042201</v>
      </c>
      <c r="B419" t="inlineStr">
        <is>
          <t>HSAT-TAME-TRANSPORTE PACIENTES CONDUCTORES</t>
        </is>
      </c>
      <c r="C419" t="inlineStr">
        <is>
          <t>N08</t>
        </is>
      </c>
      <c r="D419" t="inlineStr">
        <is>
          <t>SERVICIO DE AMBULANCIAS</t>
        </is>
      </c>
      <c r="E419" t="inlineStr">
        <is>
          <t>N08|HSAT</t>
        </is>
      </c>
      <c r="F419" t="inlineStr">
        <is>
          <t>HSAT - Tame</t>
        </is>
      </c>
      <c r="G419" t="inlineStr">
        <is>
          <t>PRODUCTIVO (final)</t>
        </is>
      </c>
      <c r="H419" t="inlineStr">
        <is>
          <t>ACTIVO</t>
        </is>
      </c>
    </row>
    <row r="420">
      <c r="A420" t="n">
        <v>4042202</v>
      </c>
      <c r="B420" t="inlineStr">
        <is>
          <t>HSAT-TAME-MANTENIMIENTO VEHICULOS</t>
        </is>
      </c>
      <c r="C420" t="inlineStr">
        <is>
          <t>N08</t>
        </is>
      </c>
      <c r="D420" t="inlineStr">
        <is>
          <t>SERVICIO DE AMBULANCIAS</t>
        </is>
      </c>
      <c r="E420" t="inlineStr">
        <is>
          <t>N08|HSAT</t>
        </is>
      </c>
      <c r="F420" t="inlineStr">
        <is>
          <t>HSAT - Tame</t>
        </is>
      </c>
      <c r="G420" t="inlineStr">
        <is>
          <t>PRODUCTIVO (final)</t>
        </is>
      </c>
      <c r="H420" t="inlineStr">
        <is>
          <t>ACTIVO</t>
        </is>
      </c>
    </row>
    <row r="421">
      <c r="A421" t="n">
        <v>4042203</v>
      </c>
      <c r="B421" t="inlineStr">
        <is>
          <t>HSAT-TAME-MANTENIMIENTO PLANTA FISICA</t>
        </is>
      </c>
      <c r="C421" t="inlineStr">
        <is>
          <t>P02</t>
        </is>
      </c>
      <c r="D421" t="inlineStr">
        <is>
          <t>MANTENIMIENTO HOSPITALARIO</t>
        </is>
      </c>
      <c r="E421" t="inlineStr">
        <is>
          <t>P02|HSAT</t>
        </is>
      </c>
      <c r="F421" t="inlineStr">
        <is>
          <t>HSAT - Tame</t>
        </is>
      </c>
      <c r="G421" t="inlineStr">
        <is>
          <t>APOYO LOGÍSTICO</t>
        </is>
      </c>
      <c r="H421" t="inlineStr">
        <is>
          <t>ACTIVO</t>
        </is>
      </c>
    </row>
    <row r="422">
      <c r="A422" t="n">
        <v>4042204</v>
      </c>
      <c r="B422" t="inlineStr">
        <is>
          <t>HSAT-TAME-MANTENIMIENTO EQUIPOS BIOMEDICOS</t>
        </is>
      </c>
      <c r="C422" t="inlineStr">
        <is>
          <t>P02</t>
        </is>
      </c>
      <c r="D422" t="inlineStr">
        <is>
          <t>MANTENIMIENTO HOSPITALARIO</t>
        </is>
      </c>
      <c r="E422" t="inlineStr">
        <is>
          <t>P02|HSAT</t>
        </is>
      </c>
      <c r="F422" t="inlineStr">
        <is>
          <t>HSAT - Tame</t>
        </is>
      </c>
      <c r="G422" t="inlineStr">
        <is>
          <t>APOYO LOGÍSTICO</t>
        </is>
      </c>
      <c r="H422" t="inlineStr">
        <is>
          <t>ACTIVO</t>
        </is>
      </c>
    </row>
    <row r="423">
      <c r="A423" t="n">
        <v>4042205</v>
      </c>
      <c r="B423" t="inlineStr">
        <is>
          <t>HSAT-TAME-MANTENIMIENTO EQUIPOS NO BIOMEDICOS</t>
        </is>
      </c>
      <c r="C423" t="inlineStr">
        <is>
          <t>P02</t>
        </is>
      </c>
      <c r="D423" t="inlineStr">
        <is>
          <t>MANTENIMIENTO HOSPITALARIO</t>
        </is>
      </c>
      <c r="E423" t="inlineStr">
        <is>
          <t>P02|HSAT</t>
        </is>
      </c>
      <c r="F423" t="inlineStr">
        <is>
          <t>HSAT - Tame</t>
        </is>
      </c>
      <c r="G423" t="inlineStr">
        <is>
          <t>APOYO LOGÍSTICO</t>
        </is>
      </c>
      <c r="H423" t="inlineStr">
        <is>
          <t>ACTIVO</t>
        </is>
      </c>
    </row>
    <row r="424">
      <c r="A424" t="n">
        <v>4042206</v>
      </c>
      <c r="B424" t="inlineStr">
        <is>
          <t>HSAT-TAME-LAVANDERIA</t>
        </is>
      </c>
      <c r="C424" t="inlineStr">
        <is>
          <t>P03</t>
        </is>
      </c>
      <c r="D424" t="inlineStr">
        <is>
          <t>LAVANDERIA, VESTUARIO Y COSTURERO</t>
        </is>
      </c>
      <c r="E424" t="inlineStr">
        <is>
          <t>P03|HSAT</t>
        </is>
      </c>
      <c r="F424" t="inlineStr">
        <is>
          <t>HSAT - Tame</t>
        </is>
      </c>
      <c r="G424" t="inlineStr">
        <is>
          <t>APOYO LOGÍSTICO</t>
        </is>
      </c>
      <c r="H424" t="inlineStr">
        <is>
          <t>ACTIVO</t>
        </is>
      </c>
    </row>
    <row r="425">
      <c r="A425" t="n">
        <v>4042207</v>
      </c>
      <c r="B425" t="inlineStr">
        <is>
          <t>HSAT-TAME-ALIMENTACION A PACIENTES</t>
        </is>
      </c>
      <c r="C425" t="inlineStr">
        <is>
          <t>P01</t>
        </is>
      </c>
      <c r="D425" t="inlineStr">
        <is>
          <t>COCINA</t>
        </is>
      </c>
      <c r="E425" t="inlineStr">
        <is>
          <t>P01|HSAT</t>
        </is>
      </c>
      <c r="F425" t="inlineStr">
        <is>
          <t>HSAT - Tame</t>
        </is>
      </c>
      <c r="G425" t="inlineStr">
        <is>
          <t>APOYO LOGÍSTICO</t>
        </is>
      </c>
      <c r="H425" t="inlineStr">
        <is>
          <t>ACTIVO</t>
        </is>
      </c>
    </row>
    <row r="426">
      <c r="A426" t="n">
        <v>4042208</v>
      </c>
      <c r="B426" t="inlineStr">
        <is>
          <t>HSAT-TAME-SERVICIOS PUBLICOS</t>
        </is>
      </c>
      <c r="C426" t="inlineStr">
        <is>
          <t>R02</t>
        </is>
      </c>
      <c r="D426" t="inlineStr">
        <is>
          <t>RECURSOS FÍSICOS</t>
        </is>
      </c>
      <c r="E426" t="inlineStr">
        <is>
          <t>R02|HSAT</t>
        </is>
      </c>
      <c r="F426" t="inlineStr">
        <is>
          <t>HSAT - Tame</t>
        </is>
      </c>
      <c r="G426" t="inlineStr">
        <is>
          <t>ADMINISTRATIVO</t>
        </is>
      </c>
      <c r="H426" t="inlineStr">
        <is>
          <t>ACTIVO</t>
        </is>
      </c>
    </row>
    <row r="427">
      <c r="A427" t="n">
        <v>4042209</v>
      </c>
      <c r="B427" t="inlineStr">
        <is>
          <t>HSAT-TAME-VIGILANCIA Y ASEO</t>
        </is>
      </c>
      <c r="C427" t="inlineStr">
        <is>
          <t>R04</t>
        </is>
      </c>
      <c r="D427" t="inlineStr">
        <is>
          <t>ASEO Y LIMPIEZA</t>
        </is>
      </c>
      <c r="E427" t="inlineStr">
        <is>
          <t>R04|HSAT</t>
        </is>
      </c>
      <c r="F427" t="inlineStr">
        <is>
          <t>HSAT - Tame</t>
        </is>
      </c>
      <c r="G427" t="inlineStr">
        <is>
          <t>ADMINISTRATIVO</t>
        </is>
      </c>
      <c r="H427" t="inlineStr">
        <is>
          <t>ACTIVO</t>
        </is>
      </c>
    </row>
    <row r="428">
      <c r="A428" t="n">
        <v>4042212</v>
      </c>
      <c r="B428" t="inlineStr">
        <is>
          <t>HSAT-TAME-TRANSPORTE PACIENTES - COMBUSTIBLE</t>
        </is>
      </c>
      <c r="C428" t="inlineStr">
        <is>
          <t>N08</t>
        </is>
      </c>
      <c r="D428" t="inlineStr">
        <is>
          <t>SERVICIO DE AMBULANCIAS</t>
        </is>
      </c>
      <c r="E428" t="inlineStr">
        <is>
          <t>N08|HSAT</t>
        </is>
      </c>
      <c r="F428" t="inlineStr">
        <is>
          <t>HSAT - Tame</t>
        </is>
      </c>
      <c r="G428" t="inlineStr">
        <is>
          <t>PRODUCTIVO (final)</t>
        </is>
      </c>
      <c r="H428" t="inlineStr">
        <is>
          <t>ACTIVO</t>
        </is>
      </c>
    </row>
    <row r="429">
      <c r="A429" t="n">
        <v>4042214</v>
      </c>
      <c r="B429" t="inlineStr">
        <is>
          <t>HSAT- TAME-SEGURIDAD INDUSTRIAL</t>
        </is>
      </c>
      <c r="C429" t="inlineStr">
        <is>
          <t>R08</t>
        </is>
      </c>
      <c r="D429" t="inlineStr">
        <is>
          <t>SALUD OCUPACIONAL</t>
        </is>
      </c>
      <c r="E429" t="inlineStr">
        <is>
          <t>R08|HSAT</t>
        </is>
      </c>
      <c r="F429" t="inlineStr">
        <is>
          <t>HSAT - Tame</t>
        </is>
      </c>
      <c r="G429" t="inlineStr">
        <is>
          <t>ADMINISTRATIVO</t>
        </is>
      </c>
      <c r="H429" t="inlineStr">
        <is>
          <t>ACTIVO</t>
        </is>
      </c>
    </row>
    <row r="430">
      <c r="A430" t="n">
        <v>4042215</v>
      </c>
      <c r="B430" t="inlineStr">
        <is>
          <t>HSAT-TAME-MENSAJERIA Y ARCHIVO</t>
        </is>
      </c>
      <c r="C430" t="inlineStr">
        <is>
          <t>R09</t>
        </is>
      </c>
      <c r="D430" t="inlineStr">
        <is>
          <t>GESTIÓN DOCUMENTAL Y ARCHIVÍSTICA</t>
        </is>
      </c>
      <c r="E430" t="inlineStr">
        <is>
          <t>R09|HSAT</t>
        </is>
      </c>
      <c r="F430" t="inlineStr">
        <is>
          <t>HSAT - Tame</t>
        </is>
      </c>
      <c r="G430" t="inlineStr">
        <is>
          <t>ADMINISTRATIVO</t>
        </is>
      </c>
      <c r="H430" t="inlineStr">
        <is>
          <t>ACTIVO</t>
        </is>
      </c>
    </row>
    <row r="431">
      <c r="A431" t="n">
        <v>4042216</v>
      </c>
      <c r="B431" t="inlineStr">
        <is>
          <t>HSAT- TAME- CAPACITACION, BIENESTAR SOCIAL Y ESTIMULOS</t>
        </is>
      </c>
      <c r="C431" t="inlineStr">
        <is>
          <t>R05</t>
        </is>
      </c>
      <c r="D431" t="inlineStr">
        <is>
          <t>TALENTO HUMANO</t>
        </is>
      </c>
      <c r="E431" t="inlineStr">
        <is>
          <t>R05|HSAT</t>
        </is>
      </c>
      <c r="F431" t="inlineStr">
        <is>
          <t>HSAT - Tame</t>
        </is>
      </c>
      <c r="G431" t="inlineStr">
        <is>
          <t>ADMINISTRATIVO</t>
        </is>
      </c>
      <c r="H431" t="inlineStr">
        <is>
          <t>ACTIVO</t>
        </is>
      </c>
    </row>
    <row r="432">
      <c r="A432" t="n">
        <v>4042217</v>
      </c>
      <c r="B432" t="inlineStr">
        <is>
          <t>HSAT-MANTENIMIENTO SISTEMA ELECTRICO</t>
        </is>
      </c>
      <c r="C432" t="inlineStr">
        <is>
          <t>P02</t>
        </is>
      </c>
      <c r="D432" t="inlineStr">
        <is>
          <t>MANTENIMIENTO HOSPITALARIO</t>
        </is>
      </c>
      <c r="E432" t="inlineStr">
        <is>
          <t>P02|HSAT</t>
        </is>
      </c>
      <c r="F432" t="inlineStr">
        <is>
          <t>HSAT - Tame</t>
        </is>
      </c>
      <c r="G432" t="inlineStr">
        <is>
          <t>APOYO LOGÍSTICO</t>
        </is>
      </c>
      <c r="H432" t="inlineStr">
        <is>
          <t>ACTIVO</t>
        </is>
      </c>
    </row>
    <row r="433">
      <c r="A433" t="n">
        <v>4042218</v>
      </c>
      <c r="B433" t="inlineStr">
        <is>
          <t>HSAT-TAME-SISTEMA DE PRESION Y PURIFICACION DE AGUA</t>
        </is>
      </c>
      <c r="C433" t="inlineStr">
        <is>
          <t>P02</t>
        </is>
      </c>
      <c r="D433" t="inlineStr">
        <is>
          <t>MANTENIMIENTO HOSPITALARIO</t>
        </is>
      </c>
      <c r="E433" t="inlineStr">
        <is>
          <t>P02|HSAT</t>
        </is>
      </c>
      <c r="F433" t="inlineStr">
        <is>
          <t>HSAT - Tame</t>
        </is>
      </c>
      <c r="G433" t="inlineStr">
        <is>
          <t>APOYO LOGÍSTICO</t>
        </is>
      </c>
      <c r="H433" t="inlineStr">
        <is>
          <t>ACTIVO</t>
        </is>
      </c>
    </row>
    <row r="434">
      <c r="A434" t="n">
        <v>4042219</v>
      </c>
      <c r="B434" t="inlineStr">
        <is>
          <t>HSAT-TAME-REDES DE DISTRIBUCION AGUA</t>
        </is>
      </c>
      <c r="C434" t="inlineStr">
        <is>
          <t>P02</t>
        </is>
      </c>
      <c r="D434" t="inlineStr">
        <is>
          <t>MANTENIMIENTO HOSPITALARIO</t>
        </is>
      </c>
      <c r="E434" t="inlineStr">
        <is>
          <t>P02|HSAT</t>
        </is>
      </c>
      <c r="F434" t="inlineStr">
        <is>
          <t>HSAT - Tame</t>
        </is>
      </c>
      <c r="G434" t="inlineStr">
        <is>
          <t>APOYO LOGÍSTICO</t>
        </is>
      </c>
      <c r="H434" t="inlineStr">
        <is>
          <t>ACTIVO</t>
        </is>
      </c>
    </row>
    <row r="435">
      <c r="A435" t="n">
        <v>4042220</v>
      </c>
      <c r="B435" t="inlineStr">
        <is>
          <t>HSAT-TAME-MANTENIMIENTO PREVENTIVO Y CORRECTIVO</t>
        </is>
      </c>
      <c r="C435" t="inlineStr">
        <is>
          <t>P02</t>
        </is>
      </c>
      <c r="D435" t="inlineStr">
        <is>
          <t>MANTENIMIENTO HOSPITALARIO</t>
        </is>
      </c>
      <c r="E435" t="inlineStr">
        <is>
          <t>P02|HSAT</t>
        </is>
      </c>
      <c r="F435" t="inlineStr">
        <is>
          <t>HSAT - Tame</t>
        </is>
      </c>
      <c r="G435" t="inlineStr">
        <is>
          <t>APOYO LOGÍSTICO</t>
        </is>
      </c>
      <c r="H435" t="inlineStr">
        <is>
          <t>ACTIVO</t>
        </is>
      </c>
    </row>
    <row r="436">
      <c r="A436" t="n">
        <v>4042221</v>
      </c>
      <c r="B436" t="inlineStr">
        <is>
          <t>HSAT-TAME-DOSIMETRIA</t>
        </is>
      </c>
      <c r="C436" t="inlineStr">
        <is>
          <t>L02</t>
        </is>
      </c>
      <c r="D436" t="inlineStr">
        <is>
          <t>IMAGENEOLOGÍA RADIOLÓGICA</t>
        </is>
      </c>
      <c r="E436" t="inlineStr">
        <is>
          <t>L02|HSAT</t>
        </is>
      </c>
      <c r="F436" t="inlineStr">
        <is>
          <t>HSAT - Tame</t>
        </is>
      </c>
      <c r="G436" t="inlineStr">
        <is>
          <t>APOYO ASISTENCIAL (intermedio)</t>
        </is>
      </c>
      <c r="H436" t="inlineStr">
        <is>
          <t>ACTIVO</t>
        </is>
      </c>
    </row>
    <row r="437">
      <c r="A437" t="n">
        <v>4052201</v>
      </c>
      <c r="B437" t="inlineStr">
        <is>
          <t>HSJDP-PUERTO RONDON-TRANSPORTE PACIENTES CONDUCTORES</t>
        </is>
      </c>
      <c r="C437" t="inlineStr">
        <is>
          <t>N08</t>
        </is>
      </c>
      <c r="D437" t="inlineStr">
        <is>
          <t>SERVICIO DE AMBULANCIAS</t>
        </is>
      </c>
      <c r="E437" t="inlineStr">
        <is>
          <t>N08|HSJDP</t>
        </is>
      </c>
      <c r="F437" t="inlineStr">
        <is>
          <t>HSJDP - Puerto Rondón</t>
        </is>
      </c>
      <c r="G437" t="inlineStr">
        <is>
          <t>PRODUCTIVO (final)</t>
        </is>
      </c>
      <c r="H437" t="inlineStr">
        <is>
          <t>ACTIVO</t>
        </is>
      </c>
    </row>
    <row r="438">
      <c r="A438" t="n">
        <v>4052202</v>
      </c>
      <c r="B438" t="inlineStr">
        <is>
          <t>HSJDP-PUERTO RONDON-MANTENIMIENTO VEHICULOS</t>
        </is>
      </c>
      <c r="C438" t="inlineStr">
        <is>
          <t>N08</t>
        </is>
      </c>
      <c r="D438" t="inlineStr">
        <is>
          <t>SERVICIO DE AMBULANCIAS</t>
        </is>
      </c>
      <c r="E438" t="inlineStr">
        <is>
          <t>N08|HSJDP</t>
        </is>
      </c>
      <c r="F438" t="inlineStr">
        <is>
          <t>HSJDP - Puerto Rondón</t>
        </is>
      </c>
      <c r="G438" t="inlineStr">
        <is>
          <t>PRODUCTIVO (final)</t>
        </is>
      </c>
      <c r="H438" t="inlineStr">
        <is>
          <t>ACTIVO</t>
        </is>
      </c>
    </row>
    <row r="439">
      <c r="A439" t="n">
        <v>4052203</v>
      </c>
      <c r="B439" t="inlineStr">
        <is>
          <t>HSJDP-PUERTO RONDON-MANTENIMIENTO PLANTA FISICA</t>
        </is>
      </c>
      <c r="C439" t="inlineStr">
        <is>
          <t>P02</t>
        </is>
      </c>
      <c r="D439" t="inlineStr">
        <is>
          <t>MANTENIMIENTO HOSPITALARIO</t>
        </is>
      </c>
      <c r="E439" t="inlineStr">
        <is>
          <t>P02|HSJDP</t>
        </is>
      </c>
      <c r="F439" t="inlineStr">
        <is>
          <t>HSJDP - Puerto Rondón</t>
        </is>
      </c>
      <c r="G439" t="inlineStr">
        <is>
          <t>APOYO LOGÍSTICO</t>
        </is>
      </c>
      <c r="H439" t="inlineStr">
        <is>
          <t>ACTIVO</t>
        </is>
      </c>
    </row>
    <row r="440">
      <c r="A440" t="n">
        <v>4052204</v>
      </c>
      <c r="B440" t="inlineStr">
        <is>
          <t>HSJDP-PUERTO RONDON-MANTENIMIENTO EQUIPOS BIOMEDICOS</t>
        </is>
      </c>
      <c r="C440" t="inlineStr">
        <is>
          <t>P02</t>
        </is>
      </c>
      <c r="D440" t="inlineStr">
        <is>
          <t>MANTENIMIENTO HOSPITALARIO</t>
        </is>
      </c>
      <c r="E440" t="inlineStr">
        <is>
          <t>P02|HSJDP</t>
        </is>
      </c>
      <c r="F440" t="inlineStr">
        <is>
          <t>HSJDP - Puerto Rondón</t>
        </is>
      </c>
      <c r="G440" t="inlineStr">
        <is>
          <t>APOYO LOGÍSTICO</t>
        </is>
      </c>
      <c r="H440" t="inlineStr">
        <is>
          <t>ACTIVO</t>
        </is>
      </c>
    </row>
    <row r="441">
      <c r="A441" t="n">
        <v>4052205</v>
      </c>
      <c r="B441" t="inlineStr">
        <is>
          <t>HSJDP-PUERTO RONDON-MANTENIMIENTO EQUIPOS NO BIOMEDICOS</t>
        </is>
      </c>
      <c r="C441" t="inlineStr">
        <is>
          <t>P02</t>
        </is>
      </c>
      <c r="D441" t="inlineStr">
        <is>
          <t>MANTENIMIENTO HOSPITALARIO</t>
        </is>
      </c>
      <c r="E441" t="inlineStr">
        <is>
          <t>P02|HSJDP</t>
        </is>
      </c>
      <c r="F441" t="inlineStr">
        <is>
          <t>HSJDP - Puerto Rondón</t>
        </is>
      </c>
      <c r="G441" t="inlineStr">
        <is>
          <t>APOYO LOGÍSTICO</t>
        </is>
      </c>
      <c r="H441" t="inlineStr">
        <is>
          <t>ACTIVO</t>
        </is>
      </c>
    </row>
    <row r="442">
      <c r="A442" t="n">
        <v>4052206</v>
      </c>
      <c r="B442" t="inlineStr">
        <is>
          <t>HSJDP-PUERTO RONDON-LAVANDERIA</t>
        </is>
      </c>
      <c r="C442" t="inlineStr">
        <is>
          <t>P03</t>
        </is>
      </c>
      <c r="D442" t="inlineStr">
        <is>
          <t>LAVANDERIA, VESTUARIO Y COSTURERO</t>
        </is>
      </c>
      <c r="E442" t="inlineStr">
        <is>
          <t>P03|HSJDP</t>
        </is>
      </c>
      <c r="F442" t="inlineStr">
        <is>
          <t>HSJDP - Puerto Rondón</t>
        </is>
      </c>
      <c r="G442" t="inlineStr">
        <is>
          <t>APOYO LOGÍSTICO</t>
        </is>
      </c>
      <c r="H442" t="inlineStr">
        <is>
          <t>ACTIVO</t>
        </is>
      </c>
    </row>
    <row r="443">
      <c r="A443" t="n">
        <v>4052207</v>
      </c>
      <c r="B443" t="inlineStr">
        <is>
          <t>HSJDP-PUERTO RONDON-ALIMENTACION A PACIENTES</t>
        </is>
      </c>
      <c r="C443" t="inlineStr">
        <is>
          <t>P01</t>
        </is>
      </c>
      <c r="D443" t="inlineStr">
        <is>
          <t>COCINA</t>
        </is>
      </c>
      <c r="E443" t="inlineStr">
        <is>
          <t>P01|HSJDP</t>
        </is>
      </c>
      <c r="F443" t="inlineStr">
        <is>
          <t>HSJDP - Puerto Rondón</t>
        </is>
      </c>
      <c r="G443" t="inlineStr">
        <is>
          <t>APOYO LOGÍSTICO</t>
        </is>
      </c>
      <c r="H443" t="inlineStr">
        <is>
          <t>ACTIVO</t>
        </is>
      </c>
    </row>
    <row r="444">
      <c r="A444" t="n">
        <v>4052208</v>
      </c>
      <c r="B444" t="inlineStr">
        <is>
          <t>HSJDP-PUERTO RONDON-SERVICIOS PUBLICOS</t>
        </is>
      </c>
      <c r="C444" t="inlineStr">
        <is>
          <t>R02</t>
        </is>
      </c>
      <c r="D444" t="inlineStr">
        <is>
          <t>RECURSOS FÍSICOS</t>
        </is>
      </c>
      <c r="E444" t="inlineStr">
        <is>
          <t>R02|HSJDP</t>
        </is>
      </c>
      <c r="F444" t="inlineStr">
        <is>
          <t>HSJDP - Puerto Rondón</t>
        </is>
      </c>
      <c r="G444" t="inlineStr">
        <is>
          <t>ADMINISTRATIVO</t>
        </is>
      </c>
      <c r="H444" t="inlineStr">
        <is>
          <t>ACTIVO</t>
        </is>
      </c>
    </row>
    <row r="445">
      <c r="A445" t="n">
        <v>4052209</v>
      </c>
      <c r="B445" t="inlineStr">
        <is>
          <t>HSJDP-PUERTO RONDON-VIGILANCIA Y ASEO</t>
        </is>
      </c>
      <c r="C445" t="inlineStr">
        <is>
          <t>R04</t>
        </is>
      </c>
      <c r="D445" t="inlineStr">
        <is>
          <t>ASEO Y LIMPIEZA</t>
        </is>
      </c>
      <c r="E445" t="inlineStr">
        <is>
          <t>R04|HSJDP</t>
        </is>
      </c>
      <c r="F445" t="inlineStr">
        <is>
          <t>HSJDP - Puerto Rondón</t>
        </is>
      </c>
      <c r="G445" t="inlineStr">
        <is>
          <t>ADMINISTRATIVO</t>
        </is>
      </c>
      <c r="H445" t="inlineStr">
        <is>
          <t>ACTIVO</t>
        </is>
      </c>
    </row>
    <row r="446">
      <c r="A446" t="n">
        <v>4052212</v>
      </c>
      <c r="B446" t="inlineStr">
        <is>
          <t>HSJDP-RONDON-TRANSPORTE PACIENTES - COMBUSTIBLE</t>
        </is>
      </c>
      <c r="C446" t="inlineStr">
        <is>
          <t>N08</t>
        </is>
      </c>
      <c r="D446" t="inlineStr">
        <is>
          <t>SERVICIO DE AMBULANCIAS</t>
        </is>
      </c>
      <c r="E446" t="inlineStr">
        <is>
          <t>N08|HSJDP</t>
        </is>
      </c>
      <c r="F446" t="inlineStr">
        <is>
          <t>HSJDP - Puerto Rondón</t>
        </is>
      </c>
      <c r="G446" t="inlineStr">
        <is>
          <t>PRODUCTIVO (final)</t>
        </is>
      </c>
      <c r="H446" t="inlineStr">
        <is>
          <t>ACTIVO</t>
        </is>
      </c>
    </row>
    <row r="447">
      <c r="A447" t="n">
        <v>4052214</v>
      </c>
      <c r="B447" t="inlineStr">
        <is>
          <t>HSJDP-RONDON-SEGURIDAD INDUSTRIAL</t>
        </is>
      </c>
      <c r="C447" t="inlineStr">
        <is>
          <t>R08</t>
        </is>
      </c>
      <c r="D447" t="inlineStr">
        <is>
          <t>SALUD OCUPACIONAL</t>
        </is>
      </c>
      <c r="E447" t="inlineStr">
        <is>
          <t>R08|HSJDP</t>
        </is>
      </c>
      <c r="F447" t="inlineStr">
        <is>
          <t>HSJDP - Puerto Rondón</t>
        </is>
      </c>
      <c r="G447" t="inlineStr">
        <is>
          <t>ADMINISTRATIVO</t>
        </is>
      </c>
      <c r="H447" t="inlineStr">
        <is>
          <t>ACTIVO</t>
        </is>
      </c>
    </row>
    <row r="448">
      <c r="A448" t="n">
        <v>4052215</v>
      </c>
      <c r="B448" t="inlineStr">
        <is>
          <t>HSJDP-RONDON - MENSAJERIA Y ARCHIVO</t>
        </is>
      </c>
      <c r="C448" t="inlineStr">
        <is>
          <t>R09</t>
        </is>
      </c>
      <c r="D448" t="inlineStr">
        <is>
          <t>GESTIÓN DOCUMENTAL Y ARCHIVÍSTICA</t>
        </is>
      </c>
      <c r="E448" t="inlineStr">
        <is>
          <t>R09|HSJDP</t>
        </is>
      </c>
      <c r="F448" t="inlineStr">
        <is>
          <t>HSJDP - Puerto Rondón</t>
        </is>
      </c>
      <c r="G448" t="inlineStr">
        <is>
          <t>ADMINISTRATIVO</t>
        </is>
      </c>
      <c r="H448" t="inlineStr">
        <is>
          <t>ACTIVO</t>
        </is>
      </c>
    </row>
    <row r="449">
      <c r="A449" t="n">
        <v>4052216</v>
      </c>
      <c r="B449" t="inlineStr">
        <is>
          <t>HSJDP-PUERTO RONDON-CAPACITACION, BIENESTAR SOCIAL Y ESTIMULOS</t>
        </is>
      </c>
      <c r="C449" t="inlineStr">
        <is>
          <t>R05</t>
        </is>
      </c>
      <c r="D449" t="inlineStr">
        <is>
          <t>TALENTO HUMANO</t>
        </is>
      </c>
      <c r="E449" t="inlineStr">
        <is>
          <t>R05|HSJDP</t>
        </is>
      </c>
      <c r="F449" t="inlineStr">
        <is>
          <t>HSJDP - Puerto Rondón</t>
        </is>
      </c>
      <c r="G449" t="inlineStr">
        <is>
          <t>ADMINISTRATIVO</t>
        </is>
      </c>
      <c r="H449" t="inlineStr">
        <is>
          <t>ACTIVO</t>
        </is>
      </c>
    </row>
    <row r="450">
      <c r="A450" t="n">
        <v>4052220</v>
      </c>
      <c r="B450" t="inlineStr">
        <is>
          <t>HSJDP-PUERTO RONDON-MANTENIMIENTO PREVENTIVO Y CORRECTIVO</t>
        </is>
      </c>
      <c r="C450" t="inlineStr">
        <is>
          <t>P02</t>
        </is>
      </c>
      <c r="D450" t="inlineStr">
        <is>
          <t>MANTENIMIENTO HOSPITALARIO</t>
        </is>
      </c>
      <c r="E450" t="inlineStr">
        <is>
          <t>P02|HSJDP</t>
        </is>
      </c>
      <c r="F450" t="inlineStr">
        <is>
          <t>HSJDP - Puerto Rondón</t>
        </is>
      </c>
      <c r="G450" t="inlineStr">
        <is>
          <t>APOYO LOGÍSTICO</t>
        </is>
      </c>
      <c r="H450" t="inlineStr">
        <is>
          <t>ACTIVO</t>
        </is>
      </c>
    </row>
    <row r="451">
      <c r="A451" t="n">
        <v>4052221</v>
      </c>
      <c r="B451" t="inlineStr">
        <is>
          <t>HSJDP-PUERTO RONDON-DOSIMETRIA</t>
        </is>
      </c>
      <c r="C451" t="inlineStr">
        <is>
          <t>L02</t>
        </is>
      </c>
      <c r="D451" t="inlineStr">
        <is>
          <t>IMAGENEOLOGÍA RADIOLÓGICA</t>
        </is>
      </c>
      <c r="E451" t="inlineStr">
        <is>
          <t>L02|HSJDP</t>
        </is>
      </c>
      <c r="F451" t="inlineStr">
        <is>
          <t>HSJDP - Puerto Rondón</t>
        </is>
      </c>
      <c r="G451" t="inlineStr">
        <is>
          <t>APOYO ASISTENCIAL (intermedio)</t>
        </is>
      </c>
      <c r="H451" t="inlineStr">
        <is>
          <t>ACTIVO</t>
        </is>
      </c>
    </row>
    <row r="452">
      <c r="A452" t="n">
        <v>4062201</v>
      </c>
      <c r="B452" t="inlineStr">
        <is>
          <t>HSJCN-CRAVO NORTE-TRANSPORTE PACIENTES CONDUCTORES</t>
        </is>
      </c>
      <c r="C452" t="inlineStr">
        <is>
          <t>N08</t>
        </is>
      </c>
      <c r="D452" t="inlineStr">
        <is>
          <t>SERVICIO DE AMBULANCIAS</t>
        </is>
      </c>
      <c r="E452" t="inlineStr">
        <is>
          <t>N08|HSJCN</t>
        </is>
      </c>
      <c r="F452" t="inlineStr">
        <is>
          <t>HSJCN - Cravo Norte</t>
        </is>
      </c>
      <c r="G452" t="inlineStr">
        <is>
          <t>PRODUCTIVO (final)</t>
        </is>
      </c>
      <c r="H452" t="inlineStr">
        <is>
          <t>ACTIVO</t>
        </is>
      </c>
    </row>
    <row r="453">
      <c r="A453" t="n">
        <v>4062202</v>
      </c>
      <c r="B453" t="inlineStr">
        <is>
          <t>HSJCN-CRAVO NORTE-MANTENIMIENTO VEHICULOS</t>
        </is>
      </c>
      <c r="C453" t="inlineStr">
        <is>
          <t>N08</t>
        </is>
      </c>
      <c r="D453" t="inlineStr">
        <is>
          <t>SERVICIO DE AMBULANCIAS</t>
        </is>
      </c>
      <c r="E453" t="inlineStr">
        <is>
          <t>N08|HSJCN</t>
        </is>
      </c>
      <c r="F453" t="inlineStr">
        <is>
          <t>HSJCN - Cravo Norte</t>
        </is>
      </c>
      <c r="G453" t="inlineStr">
        <is>
          <t>PRODUCTIVO (final)</t>
        </is>
      </c>
      <c r="H453" t="inlineStr">
        <is>
          <t>ACTIVO</t>
        </is>
      </c>
    </row>
    <row r="454">
      <c r="A454" t="n">
        <v>4062203</v>
      </c>
      <c r="B454" t="inlineStr">
        <is>
          <t>HSJCN-CRAVO NORTE-MANTENIMIENTO PLANTA FISICA</t>
        </is>
      </c>
      <c r="C454" t="inlineStr">
        <is>
          <t>P02</t>
        </is>
      </c>
      <c r="D454" t="inlineStr">
        <is>
          <t>MANTENIMIENTO HOSPITALARIO</t>
        </is>
      </c>
      <c r="E454" t="inlineStr">
        <is>
          <t>P02|HSJCN</t>
        </is>
      </c>
      <c r="F454" t="inlineStr">
        <is>
          <t>HSJCN - Cravo Norte</t>
        </is>
      </c>
      <c r="G454" t="inlineStr">
        <is>
          <t>APOYO LOGÍSTICO</t>
        </is>
      </c>
      <c r="H454" t="inlineStr">
        <is>
          <t>ACTIVO</t>
        </is>
      </c>
    </row>
    <row r="455">
      <c r="A455" t="n">
        <v>4062204</v>
      </c>
      <c r="B455" t="inlineStr">
        <is>
          <t>HSJCN-CRAVO NORTE-MANTENIMIENTO EQUIPOS BIOMEDICOS</t>
        </is>
      </c>
      <c r="C455" t="inlineStr">
        <is>
          <t>P02</t>
        </is>
      </c>
      <c r="D455" t="inlineStr">
        <is>
          <t>MANTENIMIENTO HOSPITALARIO</t>
        </is>
      </c>
      <c r="E455" t="inlineStr">
        <is>
          <t>P02|HSJCN</t>
        </is>
      </c>
      <c r="F455" t="inlineStr">
        <is>
          <t>HSJCN - Cravo Norte</t>
        </is>
      </c>
      <c r="G455" t="inlineStr">
        <is>
          <t>APOYO LOGÍSTICO</t>
        </is>
      </c>
      <c r="H455" t="inlineStr">
        <is>
          <t>ACTIVO</t>
        </is>
      </c>
    </row>
    <row r="456">
      <c r="A456" t="n">
        <v>4062205</v>
      </c>
      <c r="B456" t="inlineStr">
        <is>
          <t>HSJCN-CRAVO NORTE-MANTENIMIENTO EQUIPOS NO BIOMEDICOS</t>
        </is>
      </c>
      <c r="C456" t="inlineStr">
        <is>
          <t>P02</t>
        </is>
      </c>
      <c r="D456" t="inlineStr">
        <is>
          <t>MANTENIMIENTO HOSPITALARIO</t>
        </is>
      </c>
      <c r="E456" t="inlineStr">
        <is>
          <t>P02|HSJCN</t>
        </is>
      </c>
      <c r="F456" t="inlineStr">
        <is>
          <t>HSJCN - Cravo Norte</t>
        </is>
      </c>
      <c r="G456" t="inlineStr">
        <is>
          <t>APOYO LOGÍSTICO</t>
        </is>
      </c>
      <c r="H456" t="inlineStr">
        <is>
          <t>ACTIVO</t>
        </is>
      </c>
    </row>
    <row r="457">
      <c r="A457" t="n">
        <v>4062206</v>
      </c>
      <c r="B457" t="inlineStr">
        <is>
          <t>HSJCN-CRAVO NORTE-LAVANDERIA</t>
        </is>
      </c>
      <c r="C457" t="inlineStr">
        <is>
          <t>P03</t>
        </is>
      </c>
      <c r="D457" t="inlineStr">
        <is>
          <t>LAVANDERIA, VESTUARIO Y COSTURERO</t>
        </is>
      </c>
      <c r="E457" t="inlineStr">
        <is>
          <t>P03|HSJCN</t>
        </is>
      </c>
      <c r="F457" t="inlineStr">
        <is>
          <t>HSJCN - Cravo Norte</t>
        </is>
      </c>
      <c r="G457" t="inlineStr">
        <is>
          <t>APOYO LOGÍSTICO</t>
        </is>
      </c>
      <c r="H457" t="inlineStr">
        <is>
          <t>ACTIVO</t>
        </is>
      </c>
    </row>
    <row r="458">
      <c r="A458" t="n">
        <v>4062207</v>
      </c>
      <c r="B458" t="inlineStr">
        <is>
          <t>HSJCN-CRAVO NORTE-ALIMENTACION A PACIENTES</t>
        </is>
      </c>
      <c r="C458" t="inlineStr">
        <is>
          <t>P01</t>
        </is>
      </c>
      <c r="D458" t="inlineStr">
        <is>
          <t>COCINA</t>
        </is>
      </c>
      <c r="E458" t="inlineStr">
        <is>
          <t>P01|HSJCN</t>
        </is>
      </c>
      <c r="F458" t="inlineStr">
        <is>
          <t>HSJCN - Cravo Norte</t>
        </is>
      </c>
      <c r="G458" t="inlineStr">
        <is>
          <t>APOYO LOGÍSTICO</t>
        </is>
      </c>
      <c r="H458" t="inlineStr">
        <is>
          <t>ACTIVO</t>
        </is>
      </c>
    </row>
    <row r="459">
      <c r="A459" t="n">
        <v>4062208</v>
      </c>
      <c r="B459" t="inlineStr">
        <is>
          <t>HSJCN-CRAVO NORTE-SERVICIOS PUBLICOS</t>
        </is>
      </c>
      <c r="C459" t="inlineStr">
        <is>
          <t>R02</t>
        </is>
      </c>
      <c r="D459" t="inlineStr">
        <is>
          <t>RECURSOS FÍSICOS</t>
        </is>
      </c>
      <c r="E459" t="inlineStr">
        <is>
          <t>R02|HSJCN</t>
        </is>
      </c>
      <c r="F459" t="inlineStr">
        <is>
          <t>HSJCN - Cravo Norte</t>
        </is>
      </c>
      <c r="G459" t="inlineStr">
        <is>
          <t>ADMINISTRATIVO</t>
        </is>
      </c>
      <c r="H459" t="inlineStr">
        <is>
          <t>ACTIVO</t>
        </is>
      </c>
    </row>
    <row r="460">
      <c r="A460" t="n">
        <v>4062209</v>
      </c>
      <c r="B460" t="inlineStr">
        <is>
          <t>HSJCN-CRAVO NORTE-VIGILANCIA Y ASEO</t>
        </is>
      </c>
      <c r="C460" t="inlineStr">
        <is>
          <t>R04</t>
        </is>
      </c>
      <c r="D460" t="inlineStr">
        <is>
          <t>ASEO Y LIMPIEZA</t>
        </is>
      </c>
      <c r="E460" t="inlineStr">
        <is>
          <t>R04|HSJCN</t>
        </is>
      </c>
      <c r="F460" t="inlineStr">
        <is>
          <t>HSJCN - Cravo Norte</t>
        </is>
      </c>
      <c r="G460" t="inlineStr">
        <is>
          <t>ADMINISTRATIVO</t>
        </is>
      </c>
      <c r="H460" t="inlineStr">
        <is>
          <t>ACTIVO</t>
        </is>
      </c>
    </row>
    <row r="461">
      <c r="A461" t="n">
        <v>4062212</v>
      </c>
      <c r="B461" t="inlineStr">
        <is>
          <t>HSJCN-CRAVO NORTE-TRANSPORTE PACIENTES - COMBUSTIBLE</t>
        </is>
      </c>
      <c r="C461" t="inlineStr">
        <is>
          <t>N08</t>
        </is>
      </c>
      <c r="D461" t="inlineStr">
        <is>
          <t>SERVICIO DE AMBULANCIAS</t>
        </is>
      </c>
      <c r="E461" t="inlineStr">
        <is>
          <t>N08|HSJCN</t>
        </is>
      </c>
      <c r="F461" t="inlineStr">
        <is>
          <t>HSJCN - Cravo Norte</t>
        </is>
      </c>
      <c r="G461" t="inlineStr">
        <is>
          <t>PRODUCTIVO (final)</t>
        </is>
      </c>
      <c r="H461" t="inlineStr">
        <is>
          <t>ACTIVO</t>
        </is>
      </c>
    </row>
    <row r="462">
      <c r="A462" t="n">
        <v>4062214</v>
      </c>
      <c r="B462" t="inlineStr">
        <is>
          <t>HSJCN-CRAVO NORTE- SEGURIDAD INDUSTRIAL</t>
        </is>
      </c>
      <c r="C462" t="inlineStr">
        <is>
          <t>R08</t>
        </is>
      </c>
      <c r="D462" t="inlineStr">
        <is>
          <t>SALUD OCUPACIONAL</t>
        </is>
      </c>
      <c r="E462" t="inlineStr">
        <is>
          <t>R08|HSJCN</t>
        </is>
      </c>
      <c r="F462" t="inlineStr">
        <is>
          <t>HSJCN - Cravo Norte</t>
        </is>
      </c>
      <c r="G462" t="inlineStr">
        <is>
          <t>ADMINISTRATIVO</t>
        </is>
      </c>
      <c r="H462" t="inlineStr">
        <is>
          <t>ACTIVO</t>
        </is>
      </c>
    </row>
    <row r="463">
      <c r="A463" t="n">
        <v>4062215</v>
      </c>
      <c r="B463" t="inlineStr">
        <is>
          <t>HSJC - CRAVO NORTE MENSAJERIA Y ARCHIVO</t>
        </is>
      </c>
      <c r="C463" t="inlineStr">
        <is>
          <t>R09</t>
        </is>
      </c>
      <c r="D463" t="inlineStr">
        <is>
          <t>GESTIÓN DOCUMENTAL Y ARCHIVÍSTICA</t>
        </is>
      </c>
      <c r="E463" t="inlineStr">
        <is>
          <t>R09|HSJCN</t>
        </is>
      </c>
      <c r="F463" t="inlineStr">
        <is>
          <t>HSJCN - Cravo Norte</t>
        </is>
      </c>
      <c r="G463" t="inlineStr">
        <is>
          <t>ADMINISTRATIVO</t>
        </is>
      </c>
      <c r="H463" t="inlineStr">
        <is>
          <t>ACTIVO</t>
        </is>
      </c>
    </row>
    <row r="464">
      <c r="A464" t="n">
        <v>4062216</v>
      </c>
      <c r="B464" t="inlineStr">
        <is>
          <t>HSJCN - CRAVO NORTE - CAPACITACION, BIENESTAR SOCIAL Y ESTIMULOS</t>
        </is>
      </c>
      <c r="C464" t="inlineStr">
        <is>
          <t>R05</t>
        </is>
      </c>
      <c r="D464" t="inlineStr">
        <is>
          <t>TALENTO HUMANO</t>
        </is>
      </c>
      <c r="E464" t="inlineStr">
        <is>
          <t>R05|HSJCN</t>
        </is>
      </c>
      <c r="F464" t="inlineStr">
        <is>
          <t>HSJCN - Cravo Norte</t>
        </is>
      </c>
      <c r="G464" t="inlineStr">
        <is>
          <t>ADMINISTRATIVO</t>
        </is>
      </c>
      <c r="H464" t="inlineStr">
        <is>
          <t>ACTIVO</t>
        </is>
      </c>
    </row>
    <row r="465">
      <c r="A465" t="n">
        <v>4062220</v>
      </c>
      <c r="B465" t="inlineStr">
        <is>
          <t>HSJC-CRAVO NORTE-MANTENIMIENTO PREVENTIVO Y CORRECTIVO</t>
        </is>
      </c>
      <c r="C465" t="inlineStr">
        <is>
          <t>P02</t>
        </is>
      </c>
      <c r="D465" t="inlineStr">
        <is>
          <t>MANTENIMIENTO HOSPITALARIO</t>
        </is>
      </c>
      <c r="E465" t="inlineStr">
        <is>
          <t>P02|HSJCN</t>
        </is>
      </c>
      <c r="F465" t="inlineStr">
        <is>
          <t>HSJCN - Cravo Norte</t>
        </is>
      </c>
      <c r="G465" t="inlineStr">
        <is>
          <t>APOYO LOGÍSTICO</t>
        </is>
      </c>
      <c r="H465" t="inlineStr">
        <is>
          <t>ACTIVO</t>
        </is>
      </c>
    </row>
    <row r="466">
      <c r="A466" t="n">
        <v>4062221</v>
      </c>
      <c r="B466" t="inlineStr">
        <is>
          <t>HSJC-CRAVO NORTE-DOSIMETRIA</t>
        </is>
      </c>
      <c r="C466" t="inlineStr">
        <is>
          <t>L02</t>
        </is>
      </c>
      <c r="D466" t="inlineStr">
        <is>
          <t>IMAGENEOLOGÍA RADIOLÓGICA</t>
        </is>
      </c>
      <c r="E466" t="inlineStr">
        <is>
          <t>L02|HSJCN</t>
        </is>
      </c>
      <c r="F466" t="inlineStr">
        <is>
          <t>HSJCN - Cravo Norte</t>
        </is>
      </c>
      <c r="G466" t="inlineStr">
        <is>
          <t>APOYO ASISTENCIAL (intermedio)</t>
        </is>
      </c>
      <c r="H466" t="inlineStr">
        <is>
          <t>ACTIVO</t>
        </is>
      </c>
    </row>
    <row r="467">
      <c r="A467" t="n">
        <v>4072201</v>
      </c>
      <c r="B467" t="inlineStr">
        <is>
          <t>HSRP-PAMPURI-TRANSPORTE PACIENTES CONDUCTORES</t>
        </is>
      </c>
      <c r="C467" t="inlineStr">
        <is>
          <t>N08</t>
        </is>
      </c>
      <c r="D467" t="inlineStr">
        <is>
          <t>SERVICIO DE AMBULANCIAS</t>
        </is>
      </c>
      <c r="E467" t="inlineStr">
        <is>
          <t>N08|HSRP</t>
        </is>
      </c>
      <c r="F467" t="inlineStr">
        <is>
          <t>HSRP - Pampurí / La Esmeralda</t>
        </is>
      </c>
      <c r="G467" t="inlineStr">
        <is>
          <t>PRODUCTIVO (final)</t>
        </is>
      </c>
      <c r="H467" t="inlineStr">
        <is>
          <t>ACTIVO</t>
        </is>
      </c>
    </row>
    <row r="468">
      <c r="A468" t="n">
        <v>4072202</v>
      </c>
      <c r="B468" t="inlineStr">
        <is>
          <t>HSRP-MANTENIMIENTO VEHICULOS</t>
        </is>
      </c>
      <c r="C468" t="inlineStr">
        <is>
          <t>N08</t>
        </is>
      </c>
      <c r="D468" t="inlineStr">
        <is>
          <t>SERVICIO DE AMBULANCIAS</t>
        </is>
      </c>
      <c r="E468" t="inlineStr">
        <is>
          <t>N08|HSRP</t>
        </is>
      </c>
      <c r="F468" t="inlineStr">
        <is>
          <t>HSRP - Pampurí / La Esmeralda</t>
        </is>
      </c>
      <c r="G468" t="inlineStr">
        <is>
          <t>PRODUCTIVO (final)</t>
        </is>
      </c>
      <c r="H468" t="inlineStr">
        <is>
          <t>ACTIVO</t>
        </is>
      </c>
    </row>
    <row r="469">
      <c r="A469" t="n">
        <v>4072203</v>
      </c>
      <c r="B469" t="inlineStr">
        <is>
          <t>HSRP-PAMPURI-MANTENIMIENTO PLANTA FISICA</t>
        </is>
      </c>
      <c r="C469" t="inlineStr">
        <is>
          <t>P02</t>
        </is>
      </c>
      <c r="D469" t="inlineStr">
        <is>
          <t>MANTENIMIENTO HOSPITALARIO</t>
        </is>
      </c>
      <c r="E469" t="inlineStr">
        <is>
          <t>P02|HSRP</t>
        </is>
      </c>
      <c r="F469" t="inlineStr">
        <is>
          <t>HSRP - Pampurí / La Esmeralda</t>
        </is>
      </c>
      <c r="G469" t="inlineStr">
        <is>
          <t>APOYO LOGÍSTICO</t>
        </is>
      </c>
      <c r="H469" t="inlineStr">
        <is>
          <t>ACTIVO</t>
        </is>
      </c>
    </row>
    <row r="470">
      <c r="A470" t="n">
        <v>4072204</v>
      </c>
      <c r="B470" t="inlineStr">
        <is>
          <t>HSRP-PAMPURI-MANTENIMIENTO EQUIPOS BIOMEDICOS</t>
        </is>
      </c>
      <c r="C470" t="inlineStr">
        <is>
          <t>P02</t>
        </is>
      </c>
      <c r="D470" t="inlineStr">
        <is>
          <t>MANTENIMIENTO HOSPITALARIO</t>
        </is>
      </c>
      <c r="E470" t="inlineStr">
        <is>
          <t>P02|HSRP</t>
        </is>
      </c>
      <c r="F470" t="inlineStr">
        <is>
          <t>HSRP - Pampurí / La Esmeralda</t>
        </is>
      </c>
      <c r="G470" t="inlineStr">
        <is>
          <t>APOYO LOGÍSTICO</t>
        </is>
      </c>
      <c r="H470" t="inlineStr">
        <is>
          <t>ACTIVO</t>
        </is>
      </c>
    </row>
    <row r="471">
      <c r="A471" t="n">
        <v>4072205</v>
      </c>
      <c r="B471" t="inlineStr">
        <is>
          <t>HSRP-ESMERALDA-MANTENIMIENTO EQUIPOS NO BIOMEDICOS</t>
        </is>
      </c>
      <c r="C471" t="inlineStr">
        <is>
          <t>P02</t>
        </is>
      </c>
      <c r="D471" t="inlineStr">
        <is>
          <t>MANTENIMIENTO HOSPITALARIO</t>
        </is>
      </c>
      <c r="E471" t="inlineStr">
        <is>
          <t>P02|HSRP</t>
        </is>
      </c>
      <c r="F471" t="inlineStr">
        <is>
          <t>HSRP - Pampurí / La Esmeralda</t>
        </is>
      </c>
      <c r="G471" t="inlineStr">
        <is>
          <t>APOYO LOGÍSTICO</t>
        </is>
      </c>
      <c r="H471" t="inlineStr">
        <is>
          <t>ACTIVO</t>
        </is>
      </c>
    </row>
    <row r="472">
      <c r="A472" t="n">
        <v>4072206</v>
      </c>
      <c r="B472" t="inlineStr">
        <is>
          <t>HSRP-SARAVENA-LAVANDERIA</t>
        </is>
      </c>
      <c r="C472" t="inlineStr">
        <is>
          <t>P03</t>
        </is>
      </c>
      <c r="D472" t="inlineStr">
        <is>
          <t>LAVANDERIA, VESTUARIO Y COSTURERO</t>
        </is>
      </c>
      <c r="E472" t="inlineStr">
        <is>
          <t>P03|HSRP</t>
        </is>
      </c>
      <c r="F472" t="inlineStr">
        <is>
          <t>HSRP - Pampurí / La Esmeralda</t>
        </is>
      </c>
      <c r="G472" t="inlineStr">
        <is>
          <t>APOYO LOGÍSTICO</t>
        </is>
      </c>
      <c r="H472" t="inlineStr">
        <is>
          <t>ACTIVO</t>
        </is>
      </c>
    </row>
    <row r="473">
      <c r="A473" t="n">
        <v>4072207</v>
      </c>
      <c r="B473" t="inlineStr">
        <is>
          <t>HSRP-PAMPURI-ALIMENTACION A PACIENTES</t>
        </is>
      </c>
      <c r="C473" t="inlineStr">
        <is>
          <t>P01</t>
        </is>
      </c>
      <c r="D473" t="inlineStr">
        <is>
          <t>COCINA</t>
        </is>
      </c>
      <c r="E473" t="inlineStr">
        <is>
          <t>P01|HSRP</t>
        </is>
      </c>
      <c r="F473" t="inlineStr">
        <is>
          <t>HSRP - Pampurí / La Esmeralda</t>
        </is>
      </c>
      <c r="G473" t="inlineStr">
        <is>
          <t>APOYO LOGÍSTICO</t>
        </is>
      </c>
      <c r="H473" t="inlineStr">
        <is>
          <t>ACTIVO</t>
        </is>
      </c>
    </row>
    <row r="474">
      <c r="A474" t="n">
        <v>4072208</v>
      </c>
      <c r="B474" t="inlineStr">
        <is>
          <t>HSRP-PAMPURI-SERVICIOS PUBLICOS</t>
        </is>
      </c>
      <c r="C474" t="inlineStr">
        <is>
          <t>R02</t>
        </is>
      </c>
      <c r="D474" t="inlineStr">
        <is>
          <t>RECURSOS FÍSICOS</t>
        </is>
      </c>
      <c r="E474" t="inlineStr">
        <is>
          <t>R02|HSRP</t>
        </is>
      </c>
      <c r="F474" t="inlineStr">
        <is>
          <t>HSRP - Pampurí / La Esmeralda</t>
        </is>
      </c>
      <c r="G474" t="inlineStr">
        <is>
          <t>ADMINISTRATIVO</t>
        </is>
      </c>
      <c r="H474" t="inlineStr">
        <is>
          <t>ACTIVO</t>
        </is>
      </c>
    </row>
    <row r="475">
      <c r="A475" t="n">
        <v>4072209</v>
      </c>
      <c r="B475" t="inlineStr">
        <is>
          <t>HSRP-PAMPURI-VIGILANCIA Y ASEO</t>
        </is>
      </c>
      <c r="C475" t="inlineStr">
        <is>
          <t>R04</t>
        </is>
      </c>
      <c r="D475" t="inlineStr">
        <is>
          <t>ASEO Y LIMPIEZA</t>
        </is>
      </c>
      <c r="E475" t="inlineStr">
        <is>
          <t>R04|HSRP</t>
        </is>
      </c>
      <c r="F475" t="inlineStr">
        <is>
          <t>HSRP - Pampurí / La Esmeralda</t>
        </is>
      </c>
      <c r="G475" t="inlineStr">
        <is>
          <t>ADMINISTRATIVO</t>
        </is>
      </c>
      <c r="H475" t="inlineStr">
        <is>
          <t>ACTIVO</t>
        </is>
      </c>
    </row>
    <row r="476">
      <c r="A476" t="n">
        <v>4072212</v>
      </c>
      <c r="B476" t="inlineStr">
        <is>
          <t>HSRP-LA ESMERALDA-TRANSPORTE PACIENTES - COMBUSTIBLE</t>
        </is>
      </c>
      <c r="C476" t="inlineStr">
        <is>
          <t>N08</t>
        </is>
      </c>
      <c r="D476" t="inlineStr">
        <is>
          <t>SERVICIO DE AMBULANCIAS</t>
        </is>
      </c>
      <c r="E476" t="inlineStr">
        <is>
          <t>N08|HSRP</t>
        </is>
      </c>
      <c r="F476" t="inlineStr">
        <is>
          <t>HSRP - Pampurí / La Esmeralda</t>
        </is>
      </c>
      <c r="G476" t="inlineStr">
        <is>
          <t>PRODUCTIVO (final)</t>
        </is>
      </c>
      <c r="H476" t="inlineStr">
        <is>
          <t>ACTIVO</t>
        </is>
      </c>
    </row>
    <row r="477">
      <c r="A477" t="n">
        <v>4072214</v>
      </c>
      <c r="B477" t="inlineStr">
        <is>
          <t>HSRP-LA ESMERALDA-SEGURIDAD INDUSTRIAL</t>
        </is>
      </c>
      <c r="C477" t="inlineStr">
        <is>
          <t>R08</t>
        </is>
      </c>
      <c r="D477" t="inlineStr">
        <is>
          <t>SALUD OCUPACIONAL</t>
        </is>
      </c>
      <c r="E477" t="inlineStr">
        <is>
          <t>R08|HSRP</t>
        </is>
      </c>
      <c r="F477" t="inlineStr">
        <is>
          <t>HSRP - Pampurí / La Esmeralda</t>
        </is>
      </c>
      <c r="G477" t="inlineStr">
        <is>
          <t>ADMINISTRATIVO</t>
        </is>
      </c>
      <c r="H477" t="inlineStr">
        <is>
          <t>ACTIVO</t>
        </is>
      </c>
    </row>
    <row r="478">
      <c r="A478" t="n">
        <v>4072215</v>
      </c>
      <c r="B478" t="inlineStr">
        <is>
          <t>HSRP MENSAJERIA Y ARCHIVO</t>
        </is>
      </c>
      <c r="C478" t="inlineStr">
        <is>
          <t>R09</t>
        </is>
      </c>
      <c r="D478" t="inlineStr">
        <is>
          <t>GESTIÓN DOCUMENTAL Y ARCHIVÍSTICA</t>
        </is>
      </c>
      <c r="E478" t="inlineStr">
        <is>
          <t>R09|HSRP</t>
        </is>
      </c>
      <c r="F478" t="inlineStr">
        <is>
          <t>HSRP - Pampurí / La Esmeralda</t>
        </is>
      </c>
      <c r="G478" t="inlineStr">
        <is>
          <t>ADMINISTRATIVO</t>
        </is>
      </c>
      <c r="H478" t="inlineStr">
        <is>
          <t>ACTIVO</t>
        </is>
      </c>
    </row>
    <row r="479">
      <c r="A479" t="n">
        <v>4072220</v>
      </c>
      <c r="B479" t="inlineStr">
        <is>
          <t>HSRP-PAMPURI-MANTENIMIENTO PREVENTIVO Y CORRECTIVO</t>
        </is>
      </c>
      <c r="C479" t="inlineStr">
        <is>
          <t>P02</t>
        </is>
      </c>
      <c r="D479" t="inlineStr">
        <is>
          <t>MANTENIMIENTO HOSPITALARIO</t>
        </is>
      </c>
      <c r="E479" t="inlineStr">
        <is>
          <t>P02|HSRP</t>
        </is>
      </c>
      <c r="F479" t="inlineStr">
        <is>
          <t>HSRP - Pampurí / La Esmeralda</t>
        </is>
      </c>
      <c r="G479" t="inlineStr">
        <is>
          <t>APOYO LOGÍSTICO</t>
        </is>
      </c>
      <c r="H479" t="inlineStr">
        <is>
          <t>ACTIVO</t>
        </is>
      </c>
    </row>
    <row r="480">
      <c r="A480" t="n">
        <v>4072221</v>
      </c>
      <c r="B480" t="inlineStr">
        <is>
          <t>HSRP DOSIMETRIA</t>
        </is>
      </c>
      <c r="C480" t="inlineStr">
        <is>
          <t>L02</t>
        </is>
      </c>
      <c r="D480" t="inlineStr">
        <is>
          <t>IMAGENEOLOGÍA RADIOLÓGICA</t>
        </is>
      </c>
      <c r="E480" t="inlineStr">
        <is>
          <t>L02|HSRP</t>
        </is>
      </c>
      <c r="F480" t="inlineStr">
        <is>
          <t>HSRP - Pampurí / La Esmeralda</t>
        </is>
      </c>
      <c r="G480" t="inlineStr">
        <is>
          <t>APOYO ASISTENCIAL (intermedio)</t>
        </is>
      </c>
      <c r="H480" t="inlineStr">
        <is>
          <t>ACTIVO</t>
        </is>
      </c>
    </row>
    <row r="481">
      <c r="A481" t="n">
        <v>4082201</v>
      </c>
      <c r="B481" t="inlineStr">
        <is>
          <t>CSPA-TRANSPORTE PACIENTES CONDUCTORES</t>
        </is>
      </c>
      <c r="C481" t="inlineStr">
        <is>
          <t>N08</t>
        </is>
      </c>
      <c r="D481" t="inlineStr">
        <is>
          <t>SERVICIO DE AMBULANCIAS</t>
        </is>
      </c>
      <c r="E481" t="inlineStr">
        <is>
          <t>N08|CSPA</t>
        </is>
      </c>
      <c r="F481" t="inlineStr">
        <is>
          <t>CSPA - Panamá de Arauca</t>
        </is>
      </c>
      <c r="G481" t="inlineStr">
        <is>
          <t>PRODUCTIVO (final)</t>
        </is>
      </c>
      <c r="H481" t="inlineStr">
        <is>
          <t>ACTIVO</t>
        </is>
      </c>
    </row>
    <row r="482">
      <c r="A482" t="n">
        <v>4082202</v>
      </c>
      <c r="B482" t="inlineStr">
        <is>
          <t>CSPA-ARAUQUITA-MANTENIMIENTO VEHICULOS</t>
        </is>
      </c>
      <c r="C482" t="inlineStr">
        <is>
          <t>N08</t>
        </is>
      </c>
      <c r="D482" t="inlineStr">
        <is>
          <t>SERVICIO DE AMBULANCIAS</t>
        </is>
      </c>
      <c r="E482" t="inlineStr">
        <is>
          <t>N08|CSPA</t>
        </is>
      </c>
      <c r="F482" t="inlineStr">
        <is>
          <t>CSPA - Panamá de Arauca</t>
        </is>
      </c>
      <c r="G482" t="inlineStr">
        <is>
          <t>PRODUCTIVO (final)</t>
        </is>
      </c>
      <c r="H482" t="inlineStr">
        <is>
          <t>ACTIVO</t>
        </is>
      </c>
    </row>
    <row r="483">
      <c r="A483" t="n">
        <v>4082203</v>
      </c>
      <c r="B483" t="inlineStr">
        <is>
          <t>CSPA-ARAUQUITA-MANTENIMIENTO PLANTA FISICA</t>
        </is>
      </c>
      <c r="C483" t="inlineStr">
        <is>
          <t>P02</t>
        </is>
      </c>
      <c r="D483" t="inlineStr">
        <is>
          <t>MANTENIMIENTO HOSPITALARIO</t>
        </is>
      </c>
      <c r="E483" t="inlineStr">
        <is>
          <t>P02|CSPA</t>
        </is>
      </c>
      <c r="F483" t="inlineStr">
        <is>
          <t>CSPA - Panamá de Arauca</t>
        </is>
      </c>
      <c r="G483" t="inlineStr">
        <is>
          <t>APOYO LOGÍSTICO</t>
        </is>
      </c>
      <c r="H483" t="inlineStr">
        <is>
          <t>ACTIVO</t>
        </is>
      </c>
    </row>
    <row r="484">
      <c r="A484" t="n">
        <v>4082204</v>
      </c>
      <c r="B484" t="inlineStr">
        <is>
          <t>CSPA-ARAUQUITA-MANTENIMIENTO EQUIPOS BIOMEDICOS</t>
        </is>
      </c>
      <c r="C484" t="inlineStr">
        <is>
          <t>P02</t>
        </is>
      </c>
      <c r="D484" t="inlineStr">
        <is>
          <t>MANTENIMIENTO HOSPITALARIO</t>
        </is>
      </c>
      <c r="E484" t="inlineStr">
        <is>
          <t>P02|CSPA</t>
        </is>
      </c>
      <c r="F484" t="inlineStr">
        <is>
          <t>CSPA - Panamá de Arauca</t>
        </is>
      </c>
      <c r="G484" t="inlineStr">
        <is>
          <t>APOYO LOGÍSTICO</t>
        </is>
      </c>
      <c r="H484" t="inlineStr">
        <is>
          <t>ACTIVO</t>
        </is>
      </c>
    </row>
    <row r="485">
      <c r="A485" t="n">
        <v>4082205</v>
      </c>
      <c r="B485" t="inlineStr">
        <is>
          <t>CSPA-ARAUQUITA-MANTENIMIENTO EQUIPOS NO BIOMEDICOS</t>
        </is>
      </c>
      <c r="C485" t="inlineStr">
        <is>
          <t>P02</t>
        </is>
      </c>
      <c r="D485" t="inlineStr">
        <is>
          <t>MANTENIMIENTO HOSPITALARIO</t>
        </is>
      </c>
      <c r="E485" t="inlineStr">
        <is>
          <t>P02|CSPA</t>
        </is>
      </c>
      <c r="F485" t="inlineStr">
        <is>
          <t>CSPA - Panamá de Arauca</t>
        </is>
      </c>
      <c r="G485" t="inlineStr">
        <is>
          <t>APOYO LOGÍSTICO</t>
        </is>
      </c>
      <c r="H485" t="inlineStr">
        <is>
          <t>ACTIVO</t>
        </is>
      </c>
    </row>
    <row r="486">
      <c r="A486" t="n">
        <v>4082206</v>
      </c>
      <c r="B486" t="inlineStr">
        <is>
          <t>CSPA-ARAUQUITA-LAVANDERIA</t>
        </is>
      </c>
      <c r="C486" t="inlineStr">
        <is>
          <t>P03</t>
        </is>
      </c>
      <c r="D486" t="inlineStr">
        <is>
          <t>LAVANDERIA, VESTUARIO Y COSTURERO</t>
        </is>
      </c>
      <c r="E486" t="inlineStr">
        <is>
          <t>P03|CSPA</t>
        </is>
      </c>
      <c r="F486" t="inlineStr">
        <is>
          <t>CSPA - Panamá de Arauca</t>
        </is>
      </c>
      <c r="G486" t="inlineStr">
        <is>
          <t>APOYO LOGÍSTICO</t>
        </is>
      </c>
      <c r="H486" t="inlineStr">
        <is>
          <t>ACTIVO</t>
        </is>
      </c>
    </row>
    <row r="487">
      <c r="A487" t="n">
        <v>4082207</v>
      </c>
      <c r="B487" t="inlineStr">
        <is>
          <t>CSPA-ARAUQUITA-ALIMENTACION A PACIENTES</t>
        </is>
      </c>
      <c r="C487" t="inlineStr">
        <is>
          <t>P01</t>
        </is>
      </c>
      <c r="D487" t="inlineStr">
        <is>
          <t>COCINA</t>
        </is>
      </c>
      <c r="E487" t="inlineStr">
        <is>
          <t>P01|CSPA</t>
        </is>
      </c>
      <c r="F487" t="inlineStr">
        <is>
          <t>CSPA - Panamá de Arauca</t>
        </is>
      </c>
      <c r="G487" t="inlineStr">
        <is>
          <t>APOYO LOGÍSTICO</t>
        </is>
      </c>
      <c r="H487" t="inlineStr">
        <is>
          <t>ACTIVO</t>
        </is>
      </c>
    </row>
    <row r="488">
      <c r="A488" t="n">
        <v>4082208</v>
      </c>
      <c r="B488" t="inlineStr">
        <is>
          <t>CSPA-ARAUQUITA-SERVICIOS PUBLICOS</t>
        </is>
      </c>
      <c r="C488" t="inlineStr">
        <is>
          <t>R02</t>
        </is>
      </c>
      <c r="D488" t="inlineStr">
        <is>
          <t>RECURSOS FÍSICOS</t>
        </is>
      </c>
      <c r="E488" t="inlineStr">
        <is>
          <t>R02|CSPA</t>
        </is>
      </c>
      <c r="F488" t="inlineStr">
        <is>
          <t>CSPA - Panamá de Arauca</t>
        </is>
      </c>
      <c r="G488" t="inlineStr">
        <is>
          <t>ADMINISTRATIVO</t>
        </is>
      </c>
      <c r="H488" t="inlineStr">
        <is>
          <t>ACTIVO</t>
        </is>
      </c>
    </row>
    <row r="489">
      <c r="A489" t="n">
        <v>4082209</v>
      </c>
      <c r="B489" t="inlineStr">
        <is>
          <t>CSPA-ARAUQUITA-VIGILANCIA Y ASEO</t>
        </is>
      </c>
      <c r="C489" t="inlineStr">
        <is>
          <t>R04</t>
        </is>
      </c>
      <c r="D489" t="inlineStr">
        <is>
          <t>ASEO Y LIMPIEZA</t>
        </is>
      </c>
      <c r="E489" t="inlineStr">
        <is>
          <t>R04|CSPA</t>
        </is>
      </c>
      <c r="F489" t="inlineStr">
        <is>
          <t>CSPA - Panamá de Arauca</t>
        </is>
      </c>
      <c r="G489" t="inlineStr">
        <is>
          <t>ADMINISTRATIVO</t>
        </is>
      </c>
      <c r="H489" t="inlineStr">
        <is>
          <t>ACTIVO</t>
        </is>
      </c>
    </row>
    <row r="490">
      <c r="A490" t="n">
        <v>4082212</v>
      </c>
      <c r="B490" t="inlineStr">
        <is>
          <t>CSPA-PANAMA-TRANSPORTE PACIENTES - COMBUSTIBLE</t>
        </is>
      </c>
      <c r="C490" t="inlineStr">
        <is>
          <t>N08</t>
        </is>
      </c>
      <c r="D490" t="inlineStr">
        <is>
          <t>SERVICIO DE AMBULANCIAS</t>
        </is>
      </c>
      <c r="E490" t="inlineStr">
        <is>
          <t>N08|CSPA</t>
        </is>
      </c>
      <c r="F490" t="inlineStr">
        <is>
          <t>CSPA - Panamá de Arauca</t>
        </is>
      </c>
      <c r="G490" t="inlineStr">
        <is>
          <t>PRODUCTIVO (final)</t>
        </is>
      </c>
      <c r="H490" t="inlineStr">
        <is>
          <t>ACTIVO</t>
        </is>
      </c>
    </row>
    <row r="491">
      <c r="A491" t="n">
        <v>4082214</v>
      </c>
      <c r="B491" t="inlineStr">
        <is>
          <t>CSPA-ARAUQUITA-SEGURIDAD INDUSTRIAL</t>
        </is>
      </c>
      <c r="C491" t="inlineStr">
        <is>
          <t>R08</t>
        </is>
      </c>
      <c r="D491" t="inlineStr">
        <is>
          <t>SALUD OCUPACIONAL</t>
        </is>
      </c>
      <c r="E491" t="inlineStr">
        <is>
          <t>R08|CSPA</t>
        </is>
      </c>
      <c r="F491" t="inlineStr">
        <is>
          <t>CSPA - Panamá de Arauca</t>
        </is>
      </c>
      <c r="G491" t="inlineStr">
        <is>
          <t>ADMINISTRATIVO</t>
        </is>
      </c>
      <c r="H491" t="inlineStr">
        <is>
          <t>ACTIVO</t>
        </is>
      </c>
    </row>
    <row r="492">
      <c r="A492" t="n">
        <v>4082215</v>
      </c>
      <c r="B492" t="inlineStr">
        <is>
          <t>CSPA-PANAMA-MENSAJERIA Y ARCHIVO</t>
        </is>
      </c>
      <c r="C492" t="inlineStr">
        <is>
          <t>R09</t>
        </is>
      </c>
      <c r="D492" t="inlineStr">
        <is>
          <t>GESTIÓN DOCUMENTAL Y ARCHIVÍSTICA</t>
        </is>
      </c>
      <c r="E492" t="inlineStr">
        <is>
          <t>R09|CSPA</t>
        </is>
      </c>
      <c r="F492" t="inlineStr">
        <is>
          <t>CSPA - Panamá de Arauca</t>
        </is>
      </c>
      <c r="G492" t="inlineStr">
        <is>
          <t>ADMINISTRATIVO</t>
        </is>
      </c>
      <c r="H492" t="inlineStr">
        <is>
          <t>ACTIVO</t>
        </is>
      </c>
    </row>
    <row r="493">
      <c r="A493" t="n">
        <v>4082220</v>
      </c>
      <c r="B493" t="inlineStr">
        <is>
          <t>CSPA-PANAMA-MANTENIMIENTO PREVENTIVO Y CORRECTIVO</t>
        </is>
      </c>
      <c r="C493" t="inlineStr">
        <is>
          <t>P02</t>
        </is>
      </c>
      <c r="D493" t="inlineStr">
        <is>
          <t>MANTENIMIENTO HOSPITALARIO</t>
        </is>
      </c>
      <c r="E493" t="inlineStr">
        <is>
          <t>P02|CSPA</t>
        </is>
      </c>
      <c r="F493" t="inlineStr">
        <is>
          <t>CSPA - Panamá de Arauca</t>
        </is>
      </c>
      <c r="G493" t="inlineStr">
        <is>
          <t>APOYO LOGÍSTICO</t>
        </is>
      </c>
      <c r="H493" t="inlineStr">
        <is>
          <t>ACTIVO</t>
        </is>
      </c>
    </row>
    <row r="494">
      <c r="A494" t="n">
        <v>4092201</v>
      </c>
      <c r="B494" t="inlineStr">
        <is>
          <t>CSJSC-TAME- TRANSPORTE PACIENTES CONDUCTORES</t>
        </is>
      </c>
      <c r="C494" t="inlineStr">
        <is>
          <t>N08</t>
        </is>
      </c>
      <c r="D494" t="inlineStr">
        <is>
          <t>SERVICIO DE AMBULANCIAS</t>
        </is>
      </c>
      <c r="E494" t="inlineStr">
        <is>
          <t>N08|CSJSC</t>
        </is>
      </c>
      <c r="F494" t="inlineStr">
        <is>
          <t>CSJSC - Tame</t>
        </is>
      </c>
      <c r="G494" t="inlineStr">
        <is>
          <t>PRODUCTIVO (final)</t>
        </is>
      </c>
      <c r="H494" t="inlineStr">
        <is>
          <t>ACTIVO</t>
        </is>
      </c>
    </row>
    <row r="495">
      <c r="A495" t="n">
        <v>4092202</v>
      </c>
      <c r="B495" t="inlineStr">
        <is>
          <t>CSJSC-TAME- MANTENIMIENTO VEHICULOS</t>
        </is>
      </c>
      <c r="C495" t="inlineStr">
        <is>
          <t>N08</t>
        </is>
      </c>
      <c r="D495" t="inlineStr">
        <is>
          <t>SERVICIO DE AMBULANCIAS</t>
        </is>
      </c>
      <c r="E495" t="inlineStr">
        <is>
          <t>N08|CSJSC</t>
        </is>
      </c>
      <c r="F495" t="inlineStr">
        <is>
          <t>CSJSC - Tame</t>
        </is>
      </c>
      <c r="G495" t="inlineStr">
        <is>
          <t>PRODUCTIVO (final)</t>
        </is>
      </c>
      <c r="H495" t="inlineStr">
        <is>
          <t>ACTIVO</t>
        </is>
      </c>
    </row>
    <row r="496">
      <c r="A496" t="n">
        <v>4092203</v>
      </c>
      <c r="B496" t="inlineStr">
        <is>
          <t>CSJSC-TAME- MANTENIMIENTO PLANTA FISICA</t>
        </is>
      </c>
      <c r="C496" t="inlineStr">
        <is>
          <t>P02</t>
        </is>
      </c>
      <c r="D496" t="inlineStr">
        <is>
          <t>MANTENIMIENTO HOSPITALARIO</t>
        </is>
      </c>
      <c r="E496" t="inlineStr">
        <is>
          <t>P02|CSJSC</t>
        </is>
      </c>
      <c r="F496" t="inlineStr">
        <is>
          <t>CSJSC - Tame</t>
        </is>
      </c>
      <c r="G496" t="inlineStr">
        <is>
          <t>APOYO LOGÍSTICO</t>
        </is>
      </c>
      <c r="H496" t="inlineStr">
        <is>
          <t>ACTIVO</t>
        </is>
      </c>
    </row>
    <row r="497">
      <c r="A497" t="n">
        <v>4092204</v>
      </c>
      <c r="B497" t="inlineStr">
        <is>
          <t>CSJSC-TAME- MANTENIMIENTO EQUIPOS BIOMEDICOS</t>
        </is>
      </c>
      <c r="C497" t="inlineStr">
        <is>
          <t>P02</t>
        </is>
      </c>
      <c r="D497" t="inlineStr">
        <is>
          <t>MANTENIMIENTO HOSPITALARIO</t>
        </is>
      </c>
      <c r="E497" t="inlineStr">
        <is>
          <t>P02|CSJSC</t>
        </is>
      </c>
      <c r="F497" t="inlineStr">
        <is>
          <t>CSJSC - Tame</t>
        </is>
      </c>
      <c r="G497" t="inlineStr">
        <is>
          <t>APOYO LOGÍSTICO</t>
        </is>
      </c>
      <c r="H497" t="inlineStr">
        <is>
          <t>ACTIVO</t>
        </is>
      </c>
    </row>
    <row r="498">
      <c r="A498" t="n">
        <v>4092205</v>
      </c>
      <c r="B498" t="inlineStr">
        <is>
          <t>CSJSC-TAME- MANTENIMIENTO EQUIPOS NO BIOMEDICOS</t>
        </is>
      </c>
      <c r="C498" t="inlineStr">
        <is>
          <t>P02</t>
        </is>
      </c>
      <c r="D498" t="inlineStr">
        <is>
          <t>MANTENIMIENTO HOSPITALARIO</t>
        </is>
      </c>
      <c r="E498" t="inlineStr">
        <is>
          <t>P02|CSJSC</t>
        </is>
      </c>
      <c r="F498" t="inlineStr">
        <is>
          <t>CSJSC - Tame</t>
        </is>
      </c>
      <c r="G498" t="inlineStr">
        <is>
          <t>APOYO LOGÍSTICO</t>
        </is>
      </c>
      <c r="H498" t="inlineStr">
        <is>
          <t>ACTIVO</t>
        </is>
      </c>
    </row>
    <row r="499">
      <c r="A499" t="n">
        <v>4092206</v>
      </c>
      <c r="B499" t="inlineStr">
        <is>
          <t>CSJSC-TAME- LAVANDERIA</t>
        </is>
      </c>
      <c r="C499" t="inlineStr">
        <is>
          <t>P03</t>
        </is>
      </c>
      <c r="D499" t="inlineStr">
        <is>
          <t>LAVANDERIA, VESTUARIO Y COSTURERO</t>
        </is>
      </c>
      <c r="E499" t="inlineStr">
        <is>
          <t>P03|CSJSC</t>
        </is>
      </c>
      <c r="F499" t="inlineStr">
        <is>
          <t>CSJSC - Tame</t>
        </is>
      </c>
      <c r="G499" t="inlineStr">
        <is>
          <t>APOYO LOGÍSTICO</t>
        </is>
      </c>
      <c r="H499" t="inlineStr">
        <is>
          <t>ACTIVO</t>
        </is>
      </c>
    </row>
    <row r="500">
      <c r="A500" t="n">
        <v>4092207</v>
      </c>
      <c r="B500" t="inlineStr">
        <is>
          <t>CSJSC-TAME- ALIMENTACION A PACIENTES</t>
        </is>
      </c>
      <c r="C500" t="inlineStr">
        <is>
          <t>P01</t>
        </is>
      </c>
      <c r="D500" t="inlineStr">
        <is>
          <t>COCINA</t>
        </is>
      </c>
      <c r="E500" t="inlineStr">
        <is>
          <t>P01|CSJSC</t>
        </is>
      </c>
      <c r="F500" t="inlineStr">
        <is>
          <t>CSJSC - Tame</t>
        </is>
      </c>
      <c r="G500" t="inlineStr">
        <is>
          <t>APOYO LOGÍSTICO</t>
        </is>
      </c>
      <c r="H500" t="inlineStr">
        <is>
          <t>ACTIVO</t>
        </is>
      </c>
    </row>
    <row r="501">
      <c r="A501" t="n">
        <v>4092208</v>
      </c>
      <c r="B501" t="inlineStr">
        <is>
          <t>CSJSC-TAME-SERVICIOS PUBLICOS</t>
        </is>
      </c>
      <c r="C501" t="inlineStr">
        <is>
          <t>R02</t>
        </is>
      </c>
      <c r="D501" t="inlineStr">
        <is>
          <t>RECURSOS FÍSICOS</t>
        </is>
      </c>
      <c r="E501" t="inlineStr">
        <is>
          <t>R02|CSJSC</t>
        </is>
      </c>
      <c r="F501" t="inlineStr">
        <is>
          <t>CSJSC - Tame</t>
        </is>
      </c>
      <c r="G501" t="inlineStr">
        <is>
          <t>ADMINISTRATIVO</t>
        </is>
      </c>
      <c r="H501" t="inlineStr">
        <is>
          <t>ACTIVO</t>
        </is>
      </c>
    </row>
    <row r="502">
      <c r="A502" t="n">
        <v>4092209</v>
      </c>
      <c r="B502" t="inlineStr">
        <is>
          <t>CSJSC-TAME-VIGILANCIA Y ASEO</t>
        </is>
      </c>
      <c r="C502" t="inlineStr">
        <is>
          <t>R04</t>
        </is>
      </c>
      <c r="D502" t="inlineStr">
        <is>
          <t>ASEO Y LIMPIEZA</t>
        </is>
      </c>
      <c r="E502" t="inlineStr">
        <is>
          <t>R04|CSJSC</t>
        </is>
      </c>
      <c r="F502" t="inlineStr">
        <is>
          <t>CSJSC - Tame</t>
        </is>
      </c>
      <c r="G502" t="inlineStr">
        <is>
          <t>ADMINISTRATIVO</t>
        </is>
      </c>
      <c r="H502" t="inlineStr">
        <is>
          <t>ACTIVO</t>
        </is>
      </c>
    </row>
    <row r="503">
      <c r="A503" t="n">
        <v>4092212</v>
      </c>
      <c r="B503" t="inlineStr">
        <is>
          <t>CSJSC-PUERTO JORDAN-TRANSPORTE PACIENTES - COMBUSTIBLE</t>
        </is>
      </c>
      <c r="C503" t="inlineStr">
        <is>
          <t>N08</t>
        </is>
      </c>
      <c r="D503" t="inlineStr">
        <is>
          <t>SERVICIO DE AMBULANCIAS</t>
        </is>
      </c>
      <c r="E503" t="inlineStr">
        <is>
          <t>N08|CSJSC</t>
        </is>
      </c>
      <c r="F503" t="inlineStr">
        <is>
          <t>CSJSC - Tame</t>
        </is>
      </c>
      <c r="G503" t="inlineStr">
        <is>
          <t>PRODUCTIVO (final)</t>
        </is>
      </c>
      <c r="H503" t="inlineStr">
        <is>
          <t>ACTIVO</t>
        </is>
      </c>
    </row>
    <row r="504">
      <c r="A504" t="n">
        <v>4092213</v>
      </c>
      <c r="B504" t="inlineStr">
        <is>
          <t>AMPLIACION Y ADECUACION INFRAESTRUCTURA</t>
        </is>
      </c>
      <c r="C504" t="inlineStr">
        <is>
          <t>R02</t>
        </is>
      </c>
      <c r="D504" t="inlineStr">
        <is>
          <t>RECURSOS FÍSICOS</t>
        </is>
      </c>
      <c r="E504" t="inlineStr">
        <is>
          <t>R02|CSJSC</t>
        </is>
      </c>
      <c r="F504" t="inlineStr">
        <is>
          <t>CSJSC - Tame</t>
        </is>
      </c>
      <c r="G504" t="inlineStr">
        <is>
          <t>ADMINISTRATIVO</t>
        </is>
      </c>
      <c r="H504" t="inlineStr">
        <is>
          <t>EXCLUIR</t>
        </is>
      </c>
    </row>
    <row r="505">
      <c r="A505" t="n">
        <v>4092214</v>
      </c>
      <c r="B505" t="inlineStr">
        <is>
          <t>CSJSC-TAME-SEGURIDAD INDUSTRIAL</t>
        </is>
      </c>
      <c r="C505" t="inlineStr">
        <is>
          <t>R08</t>
        </is>
      </c>
      <c r="D505" t="inlineStr">
        <is>
          <t>SALUD OCUPACIONAL</t>
        </is>
      </c>
      <c r="E505" t="inlineStr">
        <is>
          <t>R08|CSJSC</t>
        </is>
      </c>
      <c r="F505" t="inlineStr">
        <is>
          <t>CSJSC - Tame</t>
        </is>
      </c>
      <c r="G505" t="inlineStr">
        <is>
          <t>ADMINISTRATIVO</t>
        </is>
      </c>
      <c r="H505" t="inlineStr">
        <is>
          <t>ACTIVO</t>
        </is>
      </c>
    </row>
    <row r="506">
      <c r="A506" t="n">
        <v>4092215</v>
      </c>
      <c r="B506" t="inlineStr">
        <is>
          <t>CSJSC-TAME-MENSAJERIA Y ARCHIVO</t>
        </is>
      </c>
      <c r="C506" t="inlineStr">
        <is>
          <t>R09</t>
        </is>
      </c>
      <c r="D506" t="inlineStr">
        <is>
          <t>GESTIÓN DOCUMENTAL Y ARCHIVÍSTICA</t>
        </is>
      </c>
      <c r="E506" t="inlineStr">
        <is>
          <t>R09|CSJSC</t>
        </is>
      </c>
      <c r="F506" t="inlineStr">
        <is>
          <t>CSJSC - Tame</t>
        </is>
      </c>
      <c r="G506" t="inlineStr">
        <is>
          <t>ADMINISTRATIVO</t>
        </is>
      </c>
      <c r="H506" t="inlineStr">
        <is>
          <t>ACTIVO</t>
        </is>
      </c>
    </row>
    <row r="507">
      <c r="A507" t="n">
        <v>4092220</v>
      </c>
      <c r="B507" t="inlineStr">
        <is>
          <t>CJDC MANTENIMIENTO PREVENTIVO Y CORRECTIVO P JORDAN</t>
        </is>
      </c>
      <c r="C507" t="inlineStr">
        <is>
          <t>P02</t>
        </is>
      </c>
      <c r="D507" t="inlineStr">
        <is>
          <t>MANTENIMIENTO HOSPITALARIO</t>
        </is>
      </c>
      <c r="E507" t="inlineStr">
        <is>
          <t>P02|Puerto</t>
        </is>
      </c>
      <c r="F507" t="inlineStr">
        <is>
          <t>Puerto Jordán</t>
        </is>
      </c>
      <c r="G507" t="inlineStr">
        <is>
          <t>APOYO LOGÍSTICO</t>
        </is>
      </c>
      <c r="H507" t="inlineStr">
        <is>
          <t>ACTIVO</t>
        </is>
      </c>
    </row>
    <row r="508">
      <c r="A508" t="n">
        <v>4093202</v>
      </c>
      <c r="B508" t="inlineStr">
        <is>
          <t>MANTENIMIENTO VEHICULOS FILIPINA</t>
        </is>
      </c>
      <c r="C508" t="inlineStr">
        <is>
          <t>R07</t>
        </is>
      </c>
      <c r="D508" t="inlineStr">
        <is>
          <t>OTROS VEHÍCULOS Y CONDUCTORES</t>
        </is>
      </c>
      <c r="E508" t="inlineStr">
        <is>
          <t>R07|HSAT</t>
        </is>
      </c>
      <c r="F508" t="inlineStr">
        <is>
          <t>HSAT - Filipinas</t>
        </is>
      </c>
      <c r="G508" t="inlineStr">
        <is>
          <t>ADMINISTRATIVO</t>
        </is>
      </c>
      <c r="H508" t="inlineStr">
        <is>
          <t>VERIFICAR</t>
        </is>
      </c>
    </row>
    <row r="509">
      <c r="A509" t="n">
        <v>4093212</v>
      </c>
      <c r="B509" t="inlineStr">
        <is>
          <t>COMBUSTIBLE FILIPINAS</t>
        </is>
      </c>
      <c r="C509" t="inlineStr">
        <is>
          <t>R07</t>
        </is>
      </c>
      <c r="D509" t="inlineStr">
        <is>
          <t>OTROS VEHÍCULOS Y CONDUCTORES</t>
        </is>
      </c>
      <c r="E509" t="inlineStr">
        <is>
          <t>R07|HSAT</t>
        </is>
      </c>
      <c r="F509" t="inlineStr">
        <is>
          <t>HSAT - Filipinas</t>
        </is>
      </c>
      <c r="G509" t="inlineStr">
        <is>
          <t>ADMINISTRATIVO</t>
        </is>
      </c>
      <c r="H509" t="inlineStr">
        <is>
          <t>VERIFICAR</t>
        </is>
      </c>
    </row>
    <row r="510">
      <c r="A510" t="n">
        <v>4102208</v>
      </c>
      <c r="B510" t="inlineStr">
        <is>
          <t>PSPG-TAME-SERVICIOS PUBLICOS</t>
        </is>
      </c>
      <c r="C510" t="inlineStr">
        <is>
          <t>R02</t>
        </is>
      </c>
      <c r="D510" t="inlineStr">
        <is>
          <t>RECURSOS FÍSICOS</t>
        </is>
      </c>
      <c r="E510" t="inlineStr">
        <is>
          <t>R02|PSPG</t>
        </is>
      </c>
      <c r="F510" t="inlineStr">
        <is>
          <t>PSPG - Tame</t>
        </is>
      </c>
      <c r="G510" t="inlineStr">
        <is>
          <t>ADMINISTRATIVO</t>
        </is>
      </c>
      <c r="H510" t="inlineStr">
        <is>
          <t>ACTIVO</t>
        </is>
      </c>
    </row>
    <row r="511">
      <c r="A511" t="n">
        <v>4142217</v>
      </c>
      <c r="B511" t="inlineStr">
        <is>
          <t>ESE01 - TAME - SISTEMA ELECTRICO</t>
        </is>
      </c>
      <c r="C511" t="inlineStr">
        <is>
          <t>R03</t>
        </is>
      </c>
      <c r="D511" t="inlineStr">
        <is>
          <t>MANTENIMIENTO</t>
        </is>
      </c>
      <c r="E511" t="inlineStr">
        <is>
          <t>R03|ESE01</t>
        </is>
      </c>
      <c r="F511" t="inlineStr">
        <is>
          <t>ESE01 - Sede Administrativa (Tame)</t>
        </is>
      </c>
      <c r="G511" t="inlineStr">
        <is>
          <t>ADMINISTRATIVO</t>
        </is>
      </c>
      <c r="H511" t="inlineStr">
        <is>
          <t>ACTIVO</t>
        </is>
      </c>
    </row>
    <row r="512">
      <c r="A512" t="n">
        <v>5012101</v>
      </c>
      <c r="B512" t="inlineStr">
        <is>
          <t>SEGUROS-SOAT VEHICULOS SEDE ADMINISTRATIVA</t>
        </is>
      </c>
      <c r="C512" t="inlineStr">
        <is>
          <t>R07</t>
        </is>
      </c>
      <c r="D512" t="inlineStr">
        <is>
          <t>OTROS VEHÍCULOS Y CONDUCTORES</t>
        </is>
      </c>
      <c r="E512" t="inlineStr">
        <is>
          <t>R07|ESE01</t>
        </is>
      </c>
      <c r="F512" t="inlineStr">
        <is>
          <t>ESE01 - Sede Administrativa (Tame)</t>
        </is>
      </c>
      <c r="G512" t="inlineStr">
        <is>
          <t>ADMINISTRATIVO</t>
        </is>
      </c>
      <c r="H512" t="inlineStr">
        <is>
          <t>ACTIVO</t>
        </is>
      </c>
    </row>
    <row r="513">
      <c r="A513" t="n">
        <v>5012220</v>
      </c>
      <c r="B513" t="inlineStr">
        <is>
          <t>ESE01-SEDE ADMINISTRATIVA-MANTENIMIENTO PREVENTIVO Y CORRECTIVO</t>
        </is>
      </c>
      <c r="C513" t="inlineStr">
        <is>
          <t>R03</t>
        </is>
      </c>
      <c r="D513" t="inlineStr">
        <is>
          <t>MANTENIMIENTO</t>
        </is>
      </c>
      <c r="E513" t="inlineStr">
        <is>
          <t>R03|ESE01</t>
        </is>
      </c>
      <c r="F513" t="inlineStr">
        <is>
          <t>ESE01 - Sede Administrativa (Tame)</t>
        </is>
      </c>
      <c r="G513" t="inlineStr">
        <is>
          <t>ADMINISTRATIVO</t>
        </is>
      </c>
      <c r="H513" t="inlineStr">
        <is>
          <t>ACTIVO</t>
        </is>
      </c>
    </row>
    <row r="514">
      <c r="A514" t="n">
        <v>5022101</v>
      </c>
      <c r="B514" t="inlineStr">
        <is>
          <t>SEGURO-SOAT VEHICULO ARAUQUITA</t>
        </is>
      </c>
      <c r="C514" t="inlineStr">
        <is>
          <t>N08</t>
        </is>
      </c>
      <c r="D514" t="inlineStr">
        <is>
          <t>SERVICIO DE AMBULANCIAS</t>
        </is>
      </c>
      <c r="E514" t="inlineStr">
        <is>
          <t>N08|HSLA</t>
        </is>
      </c>
      <c r="F514" t="inlineStr">
        <is>
          <t>HSLA - Arauquita</t>
        </is>
      </c>
      <c r="G514" t="inlineStr">
        <is>
          <t>PRODUCTIVO (final)</t>
        </is>
      </c>
      <c r="H514" t="inlineStr">
        <is>
          <t>ACTIVO</t>
        </is>
      </c>
    </row>
    <row r="515">
      <c r="A515" t="n">
        <v>5032101</v>
      </c>
      <c r="B515" t="inlineStr">
        <is>
          <t>SEGURO-SOAT VEHICULO FORTUL</t>
        </is>
      </c>
      <c r="C515" t="inlineStr">
        <is>
          <t>N08</t>
        </is>
      </c>
      <c r="D515" t="inlineStr">
        <is>
          <t>SERVICIO DE AMBULANCIAS</t>
        </is>
      </c>
      <c r="E515" t="inlineStr">
        <is>
          <t>N08|HSFF</t>
        </is>
      </c>
      <c r="F515" t="inlineStr">
        <is>
          <t>HSFF - Fortul</t>
        </is>
      </c>
      <c r="G515" t="inlineStr">
        <is>
          <t>PRODUCTIVO (final)</t>
        </is>
      </c>
      <c r="H515" t="inlineStr">
        <is>
          <t>ACTIVO</t>
        </is>
      </c>
    </row>
    <row r="516">
      <c r="A516" t="n">
        <v>5042101</v>
      </c>
      <c r="B516" t="inlineStr">
        <is>
          <t>SEGURO-SOAT VEHICULO TAME</t>
        </is>
      </c>
      <c r="C516" t="inlineStr">
        <is>
          <t>N08</t>
        </is>
      </c>
      <c r="D516" t="inlineStr">
        <is>
          <t>SERVICIO DE AMBULANCIAS</t>
        </is>
      </c>
      <c r="E516" t="inlineStr">
        <is>
          <t>N08|HSAT</t>
        </is>
      </c>
      <c r="F516" t="inlineStr">
        <is>
          <t>HSAT - Tame</t>
        </is>
      </c>
      <c r="G516" t="inlineStr">
        <is>
          <t>PRODUCTIVO (final)</t>
        </is>
      </c>
      <c r="H516" t="inlineStr">
        <is>
          <t>ACTIVO</t>
        </is>
      </c>
    </row>
    <row r="517">
      <c r="A517" t="n">
        <v>5052101</v>
      </c>
      <c r="B517" t="inlineStr">
        <is>
          <t>SEGURO-SOAT VEHICULO PUERTO RONDON</t>
        </is>
      </c>
      <c r="C517" t="inlineStr">
        <is>
          <t>N08</t>
        </is>
      </c>
      <c r="D517" t="inlineStr">
        <is>
          <t>SERVICIO DE AMBULANCIAS</t>
        </is>
      </c>
      <c r="E517" t="inlineStr">
        <is>
          <t>N08|HSJDP</t>
        </is>
      </c>
      <c r="F517" t="inlineStr">
        <is>
          <t>HSJDP - Puerto Rondón</t>
        </is>
      </c>
      <c r="G517" t="inlineStr">
        <is>
          <t>PRODUCTIVO (final)</t>
        </is>
      </c>
      <c r="H517" t="inlineStr">
        <is>
          <t>ACTIVO</t>
        </is>
      </c>
    </row>
    <row r="518">
      <c r="A518" t="n">
        <v>5062101</v>
      </c>
      <c r="B518" t="inlineStr">
        <is>
          <t>SEGURO-SOAT VEHICULO CRAVO NORTE</t>
        </is>
      </c>
      <c r="C518" t="inlineStr">
        <is>
          <t>N08</t>
        </is>
      </c>
      <c r="D518" t="inlineStr">
        <is>
          <t>SERVICIO DE AMBULANCIAS</t>
        </is>
      </c>
      <c r="E518" t="inlineStr">
        <is>
          <t>N08|HSJCN</t>
        </is>
      </c>
      <c r="F518" t="inlineStr">
        <is>
          <t>HSJCN - Cravo Norte</t>
        </is>
      </c>
      <c r="G518" t="inlineStr">
        <is>
          <t>PRODUCTIVO (final)</t>
        </is>
      </c>
      <c r="H518" t="inlineStr">
        <is>
          <t>ACTIVO</t>
        </is>
      </c>
    </row>
    <row r="519">
      <c r="A519" t="n">
        <v>5072101</v>
      </c>
      <c r="B519" t="inlineStr">
        <is>
          <t>SEGURO-SOAT VEHICULO PANAMA ARAUQUITA</t>
        </is>
      </c>
      <c r="C519" t="inlineStr">
        <is>
          <t>N08</t>
        </is>
      </c>
      <c r="D519" t="inlineStr">
        <is>
          <t>SERVICIO DE AMBULANCIAS</t>
        </is>
      </c>
      <c r="E519" t="inlineStr">
        <is>
          <t>N08|HSRP</t>
        </is>
      </c>
      <c r="F519" t="inlineStr">
        <is>
          <t>HSRP - Pampurí / La Esmeralda</t>
        </is>
      </c>
      <c r="G519" t="inlineStr">
        <is>
          <t>PRODUCTIVO (final)</t>
        </is>
      </c>
      <c r="H519" t="inlineStr">
        <is>
          <t>ACTIVO</t>
        </is>
      </c>
    </row>
    <row r="520">
      <c r="A520" t="n">
        <v>5082101</v>
      </c>
      <c r="B520" t="inlineStr">
        <is>
          <t>SEGURO-SOAT VEHICULO PAMPURI LA ESEMERALDA</t>
        </is>
      </c>
      <c r="C520" t="inlineStr">
        <is>
          <t>N08</t>
        </is>
      </c>
      <c r="D520" t="inlineStr">
        <is>
          <t>SERVICIO DE AMBULANCIAS</t>
        </is>
      </c>
      <c r="E520" t="inlineStr">
        <is>
          <t>N08|CSPA</t>
        </is>
      </c>
      <c r="F520" t="inlineStr">
        <is>
          <t>CSPA - Panamá de Arauca</t>
        </is>
      </c>
      <c r="G520" t="inlineStr">
        <is>
          <t>PRODUCTIVO (final)</t>
        </is>
      </c>
      <c r="H520" t="inlineStr">
        <is>
          <t>ACTIVO</t>
        </is>
      </c>
    </row>
    <row r="521">
      <c r="A521" t="n">
        <v>5092001</v>
      </c>
      <c r="B521" t="inlineStr">
        <is>
          <t>CSJSC - PLANTA ELECTRICA</t>
        </is>
      </c>
      <c r="C521" t="inlineStr">
        <is>
          <t>P02</t>
        </is>
      </c>
      <c r="D521" t="inlineStr">
        <is>
          <t>MANTENIMIENTO HOSPITALARIO</t>
        </is>
      </c>
      <c r="E521" t="inlineStr">
        <is>
          <t>P02|CSJSC</t>
        </is>
      </c>
      <c r="F521" t="inlineStr">
        <is>
          <t>CSJSC - Tame</t>
        </is>
      </c>
      <c r="G521" t="inlineStr">
        <is>
          <t>APOYO LOGÍSTICO</t>
        </is>
      </c>
      <c r="H521" t="inlineStr">
        <is>
          <t>ACTIVO</t>
        </is>
      </c>
    </row>
    <row r="522">
      <c r="A522" t="n">
        <v>6021001</v>
      </c>
      <c r="B522" t="inlineStr">
        <is>
          <t>HSLA-LA PESQUERA-MANTENIMIENTO PLANTA FISICA</t>
        </is>
      </c>
      <c r="C522" t="inlineStr">
        <is>
          <t>P02</t>
        </is>
      </c>
      <c r="D522" t="inlineStr">
        <is>
          <t>MANTENIMIENTO HOSPITALARIO</t>
        </is>
      </c>
      <c r="E522" t="inlineStr">
        <is>
          <t>P02|HSLA</t>
        </is>
      </c>
      <c r="F522" t="inlineStr">
        <is>
          <t>HSLA - La Pesquera</t>
        </is>
      </c>
      <c r="G522" t="inlineStr">
        <is>
          <t>APOYO LOGÍSTICO</t>
        </is>
      </c>
      <c r="H522" t="inlineStr">
        <is>
          <t>ACTIVO</t>
        </is>
      </c>
    </row>
    <row r="523">
      <c r="A523" t="n">
        <v>6021002</v>
      </c>
      <c r="B523" t="inlineStr">
        <is>
          <t>HSLA-EL OASIS-MANTENIMIENTO PLANTA FISICA</t>
        </is>
      </c>
      <c r="C523" t="inlineStr">
        <is>
          <t>P02</t>
        </is>
      </c>
      <c r="D523" t="inlineStr">
        <is>
          <t>MANTENIMIENTO HOSPITALARIO</t>
        </is>
      </c>
      <c r="E523" t="inlineStr">
        <is>
          <t>P02|HSLA</t>
        </is>
      </c>
      <c r="F523" t="inlineStr">
        <is>
          <t>HSLA - Arauquita</t>
        </is>
      </c>
      <c r="G523" t="inlineStr">
        <is>
          <t>APOYO LOGÍSTICO</t>
        </is>
      </c>
      <c r="H523" t="inlineStr">
        <is>
          <t>ACTIVO</t>
        </is>
      </c>
    </row>
    <row r="524">
      <c r="A524" t="n">
        <v>6021003</v>
      </c>
      <c r="B524" t="inlineStr">
        <is>
          <t>HSLA-LA PAZ-MANTENIMIENTO PLANTA FISICA</t>
        </is>
      </c>
      <c r="C524" t="inlineStr">
        <is>
          <t>P02</t>
        </is>
      </c>
      <c r="D524" t="inlineStr">
        <is>
          <t>MANTENIMIENTO HOSPITALARIO</t>
        </is>
      </c>
      <c r="E524" t="inlineStr">
        <is>
          <t>P02|HSLA</t>
        </is>
      </c>
      <c r="F524" t="inlineStr">
        <is>
          <t>HSLA - Arauquita</t>
        </is>
      </c>
      <c r="G524" t="inlineStr">
        <is>
          <t>APOYO LOGÍSTICO</t>
        </is>
      </c>
      <c r="H524" t="inlineStr">
        <is>
          <t>ACTIVO</t>
        </is>
      </c>
    </row>
    <row r="525">
      <c r="A525" t="n">
        <v>6021004</v>
      </c>
      <c r="B525" t="inlineStr">
        <is>
          <t>HSLA-EL PARAISO-MANTENIMIENTO PLANTA FISICA</t>
        </is>
      </c>
      <c r="C525" t="inlineStr">
        <is>
          <t>P02</t>
        </is>
      </c>
      <c r="D525" t="inlineStr">
        <is>
          <t>MANTENIMIENTO HOSPITALARIO</t>
        </is>
      </c>
      <c r="E525" t="inlineStr">
        <is>
          <t>P02|HSLA</t>
        </is>
      </c>
      <c r="F525" t="inlineStr">
        <is>
          <t>HSLA - Arauquita</t>
        </is>
      </c>
      <c r="G525" t="inlineStr">
        <is>
          <t>APOYO LOGÍSTICO</t>
        </is>
      </c>
      <c r="H525" t="inlineStr">
        <is>
          <t>ACTIVO</t>
        </is>
      </c>
    </row>
    <row r="526">
      <c r="A526" t="n">
        <v>6021005</v>
      </c>
      <c r="B526" t="inlineStr">
        <is>
          <t>HSLA-AGUACHICA-MANTENIMIENTO PLANTA FISICA</t>
        </is>
      </c>
      <c r="C526" t="inlineStr">
        <is>
          <t>P02</t>
        </is>
      </c>
      <c r="D526" t="inlineStr">
        <is>
          <t>MANTENIMIENTO HOSPITALARIO</t>
        </is>
      </c>
      <c r="E526" t="inlineStr">
        <is>
          <t>P02|HSLA</t>
        </is>
      </c>
      <c r="F526" t="inlineStr">
        <is>
          <t>HSLA - Arauquita</t>
        </is>
      </c>
      <c r="G526" t="inlineStr">
        <is>
          <t>APOYO LOGÍSTICO</t>
        </is>
      </c>
      <c r="H526" t="inlineStr">
        <is>
          <t>ACTIVO</t>
        </is>
      </c>
    </row>
    <row r="527">
      <c r="A527" t="n">
        <v>6021006</v>
      </c>
      <c r="B527" t="inlineStr">
        <is>
          <t>HSLA-LA REINERA-MANTENIMIENTO PLANTA FISICA</t>
        </is>
      </c>
      <c r="C527" t="inlineStr">
        <is>
          <t>P02</t>
        </is>
      </c>
      <c r="D527" t="inlineStr">
        <is>
          <t>MANTENIMIENTO HOSPITALARIO</t>
        </is>
      </c>
      <c r="E527" t="inlineStr">
        <is>
          <t>P02|HSLA</t>
        </is>
      </c>
      <c r="F527" t="inlineStr">
        <is>
          <t>HSLA - Arauquita</t>
        </is>
      </c>
      <c r="G527" t="inlineStr">
        <is>
          <t>APOYO LOGÍSTICO</t>
        </is>
      </c>
      <c r="H527" t="inlineStr">
        <is>
          <t>ACTIVO</t>
        </is>
      </c>
    </row>
    <row r="528">
      <c r="A528" t="n">
        <v>6031001</v>
      </c>
      <c r="B528" t="inlineStr">
        <is>
          <t>HSFF-LA 20-MANTENIMIENTO PLANTA FISICA</t>
        </is>
      </c>
      <c r="C528" t="inlineStr">
        <is>
          <t>P02</t>
        </is>
      </c>
      <c r="D528" t="inlineStr">
        <is>
          <t>MANTENIMIENTO HOSPITALARIO</t>
        </is>
      </c>
      <c r="E528" t="inlineStr">
        <is>
          <t>P02|HSFF</t>
        </is>
      </c>
      <c r="F528" t="inlineStr">
        <is>
          <t>HSFF - La 20</t>
        </is>
      </c>
      <c r="G528" t="inlineStr">
        <is>
          <t>APOYO LOGÍSTICO</t>
        </is>
      </c>
      <c r="H528" t="inlineStr">
        <is>
          <t>ACTIVO</t>
        </is>
      </c>
    </row>
    <row r="529">
      <c r="A529" t="n">
        <v>6031002</v>
      </c>
      <c r="B529" t="inlineStr">
        <is>
          <t>HSFF-PUERTO NIDIA-MANTENIMIENTO PLANTA FISICA</t>
        </is>
      </c>
      <c r="C529" t="inlineStr">
        <is>
          <t>P02</t>
        </is>
      </c>
      <c r="D529" t="inlineStr">
        <is>
          <t>MANTENIMIENTO HOSPITALARIO</t>
        </is>
      </c>
      <c r="E529" t="inlineStr">
        <is>
          <t>P02|HSFF</t>
        </is>
      </c>
      <c r="F529" t="inlineStr">
        <is>
          <t>HSFF - Fortul</t>
        </is>
      </c>
      <c r="G529" t="inlineStr">
        <is>
          <t>APOYO LOGÍSTICO</t>
        </is>
      </c>
      <c r="H529" t="inlineStr">
        <is>
          <t>ACTIVO</t>
        </is>
      </c>
    </row>
    <row r="530">
      <c r="A530" t="n">
        <v>6031003</v>
      </c>
      <c r="B530" t="inlineStr">
        <is>
          <t>HSFF-CARANAL-MANTENIMIENTO PLANTA FISICA</t>
        </is>
      </c>
      <c r="C530" t="inlineStr">
        <is>
          <t>P02</t>
        </is>
      </c>
      <c r="D530" t="inlineStr">
        <is>
          <t>MANTENIMIENTO HOSPITALARIO</t>
        </is>
      </c>
      <c r="E530" t="inlineStr">
        <is>
          <t>P02|HSFF</t>
        </is>
      </c>
      <c r="F530" t="inlineStr">
        <is>
          <t>HSFF - Fortul</t>
        </is>
      </c>
      <c r="G530" t="inlineStr">
        <is>
          <t>APOYO LOGÍSTICO</t>
        </is>
      </c>
      <c r="H530" t="inlineStr">
        <is>
          <t>ACTIVO</t>
        </is>
      </c>
    </row>
    <row r="531">
      <c r="A531" t="n">
        <v>6031004</v>
      </c>
      <c r="B531" t="inlineStr">
        <is>
          <t>HSFF-CARACOLES-MANTENIMIENTO PLANTA FISICA</t>
        </is>
      </c>
      <c r="C531" t="inlineStr">
        <is>
          <t>P02</t>
        </is>
      </c>
      <c r="D531" t="inlineStr">
        <is>
          <t>MANTENIMIENTO HOSPITALARIO</t>
        </is>
      </c>
      <c r="E531" t="inlineStr">
        <is>
          <t>P02|HSFF</t>
        </is>
      </c>
      <c r="F531" t="inlineStr">
        <is>
          <t>HSFF - Fortul</t>
        </is>
      </c>
      <c r="G531" t="inlineStr">
        <is>
          <t>APOYO LOGÍSTICO</t>
        </is>
      </c>
      <c r="H531" t="inlineStr">
        <is>
          <t>ACTIVO</t>
        </is>
      </c>
    </row>
    <row r="532">
      <c r="A532" t="n">
        <v>6031005</v>
      </c>
      <c r="B532" t="inlineStr">
        <is>
          <t>HSFF-CUSAY-MANTENIMIENTO PLANTA FISICA</t>
        </is>
      </c>
      <c r="C532" t="inlineStr">
        <is>
          <t>P02</t>
        </is>
      </c>
      <c r="D532" t="inlineStr">
        <is>
          <t>MANTENIMIENTO HOSPITALARIO</t>
        </is>
      </c>
      <c r="E532" t="inlineStr">
        <is>
          <t>P02|HSFF</t>
        </is>
      </c>
      <c r="F532" t="inlineStr">
        <is>
          <t>HSFF - Fortul</t>
        </is>
      </c>
      <c r="G532" t="inlineStr">
        <is>
          <t>APOYO LOGÍSTICO</t>
        </is>
      </c>
      <c r="H532" t="inlineStr">
        <is>
          <t>ACTIVO</t>
        </is>
      </c>
    </row>
    <row r="533">
      <c r="A533" t="n">
        <v>6031006</v>
      </c>
      <c r="B533" t="inlineStr">
        <is>
          <t>HSFF-EL SALEM-MANTENIMIENTO PLANTA FISICA</t>
        </is>
      </c>
      <c r="C533" t="inlineStr">
        <is>
          <t>P02</t>
        </is>
      </c>
      <c r="D533" t="inlineStr">
        <is>
          <t>MANTENIMIENTO HOSPITALARIO</t>
        </is>
      </c>
      <c r="E533" t="inlineStr">
        <is>
          <t>P02|HSFF</t>
        </is>
      </c>
      <c r="F533" t="inlineStr">
        <is>
          <t>HSFF - Fortul</t>
        </is>
      </c>
      <c r="G533" t="inlineStr">
        <is>
          <t>APOYO LOGÍSTICO</t>
        </is>
      </c>
      <c r="H533" t="inlineStr">
        <is>
          <t>ACTIVO</t>
        </is>
      </c>
    </row>
    <row r="534">
      <c r="A534" t="n">
        <v>6041001</v>
      </c>
      <c r="B534" t="inlineStr">
        <is>
          <t>HSAT-FILIPINAS-MANTENIMIENTO PLANTA FISICA</t>
        </is>
      </c>
      <c r="C534" t="inlineStr">
        <is>
          <t>P02</t>
        </is>
      </c>
      <c r="D534" t="inlineStr">
        <is>
          <t>MANTENIMIENTO HOSPITALARIO</t>
        </is>
      </c>
      <c r="E534" t="inlineStr">
        <is>
          <t>P02|HSAT</t>
        </is>
      </c>
      <c r="F534" t="inlineStr">
        <is>
          <t>HSAT - Filipinas</t>
        </is>
      </c>
      <c r="G534" t="inlineStr">
        <is>
          <t>APOYO LOGÍSTICO</t>
        </is>
      </c>
      <c r="H534" t="inlineStr">
        <is>
          <t>ACTIVO</t>
        </is>
      </c>
    </row>
    <row r="535">
      <c r="A535" t="n">
        <v>6041002</v>
      </c>
      <c r="B535" t="inlineStr">
        <is>
          <t>HSAT- ALTO CAUCA-MAMTENIMIENTO PLANTA FISICA</t>
        </is>
      </c>
      <c r="C535" t="inlineStr">
        <is>
          <t>P02</t>
        </is>
      </c>
      <c r="D535" t="inlineStr">
        <is>
          <t>MANTENIMIENTO HOSPITALARIO</t>
        </is>
      </c>
      <c r="E535" t="inlineStr">
        <is>
          <t>P02|HSAT</t>
        </is>
      </c>
      <c r="F535" t="inlineStr">
        <is>
          <t>HSAT - Tame</t>
        </is>
      </c>
      <c r="G535" t="inlineStr">
        <is>
          <t>APOYO LOGÍSTICO</t>
        </is>
      </c>
      <c r="H535" t="inlineStr">
        <is>
          <t>ACTIVO</t>
        </is>
      </c>
    </row>
    <row r="536">
      <c r="A536" t="n">
        <v>6041003</v>
      </c>
      <c r="B536" t="inlineStr">
        <is>
          <t>HSAT- MAPOY-MANTENIMIENTO PLANTA FISICA</t>
        </is>
      </c>
      <c r="C536" t="inlineStr">
        <is>
          <t>P02</t>
        </is>
      </c>
      <c r="D536" t="inlineStr">
        <is>
          <t>MANTENIMIENTO HOSPITALARIO</t>
        </is>
      </c>
      <c r="E536" t="inlineStr">
        <is>
          <t>P02|HSAT</t>
        </is>
      </c>
      <c r="F536" t="inlineStr">
        <is>
          <t>HSAT - Tame</t>
        </is>
      </c>
      <c r="G536" t="inlineStr">
        <is>
          <t>APOYO LOGÍSTICO</t>
        </is>
      </c>
      <c r="H536" t="inlineStr">
        <is>
          <t>ACTIVO</t>
        </is>
      </c>
    </row>
    <row r="537">
      <c r="A537" t="n">
        <v>6041004</v>
      </c>
      <c r="B537" t="inlineStr">
        <is>
          <t>HSAT-PUERTO GAITAN-MANTENIMIENTO PLANTA FISICA</t>
        </is>
      </c>
      <c r="C537" t="inlineStr">
        <is>
          <t>P02</t>
        </is>
      </c>
      <c r="D537" t="inlineStr">
        <is>
          <t>MANTENIMIENTO HOSPITALARIO</t>
        </is>
      </c>
      <c r="E537" t="inlineStr">
        <is>
          <t>P02|HSAT</t>
        </is>
      </c>
      <c r="F537" t="inlineStr">
        <is>
          <t>HSAT - Tame</t>
        </is>
      </c>
      <c r="G537" t="inlineStr">
        <is>
          <t>APOYO LOGÍSTICO</t>
        </is>
      </c>
      <c r="H537" t="inlineStr">
        <is>
          <t>ACTIVO</t>
        </is>
      </c>
    </row>
    <row r="538">
      <c r="A538" t="n">
        <v>6041005</v>
      </c>
      <c r="B538" t="inlineStr">
        <is>
          <t>HSAT-BETOYES-MANTENIMIENTO PLANTA FISICA</t>
        </is>
      </c>
      <c r="C538" t="inlineStr">
        <is>
          <t>P02</t>
        </is>
      </c>
      <c r="D538" t="inlineStr">
        <is>
          <t>MANTENIMIENTO HOSPITALARIO</t>
        </is>
      </c>
      <c r="E538" t="inlineStr">
        <is>
          <t>P02|HSAT</t>
        </is>
      </c>
      <c r="F538" t="inlineStr">
        <is>
          <t>HSAT - Tame</t>
        </is>
      </c>
      <c r="G538" t="inlineStr">
        <is>
          <t>APOYO LOGÍSTICO</t>
        </is>
      </c>
      <c r="H538" t="inlineStr">
        <is>
          <t>ACTIVO</t>
        </is>
      </c>
    </row>
    <row r="539">
      <c r="A539" t="n">
        <v>6041006</v>
      </c>
      <c r="B539" t="inlineStr">
        <is>
          <t>HSAT-CAÑO CAMAME-MANTENIMIENTO PLANTA FISICA</t>
        </is>
      </c>
      <c r="C539" t="inlineStr">
        <is>
          <t>P02</t>
        </is>
      </c>
      <c r="D539" t="inlineStr">
        <is>
          <t>MANTENIMIENTO HOSPITALARIO</t>
        </is>
      </c>
      <c r="E539" t="inlineStr">
        <is>
          <t>P02|HSAT</t>
        </is>
      </c>
      <c r="F539" t="inlineStr">
        <is>
          <t>HSAT - Tame</t>
        </is>
      </c>
      <c r="G539" t="inlineStr">
        <is>
          <t>APOYO LOGÍSTICO</t>
        </is>
      </c>
      <c r="H539" t="inlineStr">
        <is>
          <t>ACTIVO</t>
        </is>
      </c>
    </row>
    <row r="540">
      <c r="A540" t="n">
        <v>6041007</v>
      </c>
      <c r="B540" t="inlineStr">
        <is>
          <t>HSAT-PUERTO MIRANDA-MANTENIMIENTO PLANTA FISICA</t>
        </is>
      </c>
      <c r="C540" t="inlineStr">
        <is>
          <t>P02</t>
        </is>
      </c>
      <c r="D540" t="inlineStr">
        <is>
          <t>MANTENIMIENTO HOSPITALARIO</t>
        </is>
      </c>
      <c r="E540" t="inlineStr">
        <is>
          <t>P02|HSAT</t>
        </is>
      </c>
      <c r="F540" t="inlineStr">
        <is>
          <t>HSAT - Tame</t>
        </is>
      </c>
      <c r="G540" t="inlineStr">
        <is>
          <t>APOYO LOGÍSTICO</t>
        </is>
      </c>
      <c r="H540" t="inlineStr">
        <is>
          <t>ACTIVO</t>
        </is>
      </c>
    </row>
    <row r="541">
      <c r="A541" t="n">
        <v>6041008</v>
      </c>
      <c r="B541" t="inlineStr">
        <is>
          <t>HSAT-LA HORQUETA-MANTENIMIENTO PLANTA FISICA</t>
        </is>
      </c>
      <c r="C541" t="inlineStr">
        <is>
          <t>P02</t>
        </is>
      </c>
      <c r="D541" t="inlineStr">
        <is>
          <t>MANTENIMIENTO HOSPITALARIO</t>
        </is>
      </c>
      <c r="E541" t="inlineStr">
        <is>
          <t>P02|HSAT</t>
        </is>
      </c>
      <c r="F541" t="inlineStr">
        <is>
          <t>HSAT - Tame</t>
        </is>
      </c>
      <c r="G541" t="inlineStr">
        <is>
          <t>APOYO LOGÍSTICO</t>
        </is>
      </c>
      <c r="H541" t="inlineStr">
        <is>
          <t>ACTIVO</t>
        </is>
      </c>
    </row>
    <row r="542">
      <c r="A542" t="n">
        <v>6041009</v>
      </c>
      <c r="B542" t="inlineStr">
        <is>
          <t>HSAT-MALVINAS-MANTENIMIENTO PLANTA FISICA</t>
        </is>
      </c>
      <c r="C542" t="inlineStr">
        <is>
          <t>P02</t>
        </is>
      </c>
      <c r="D542" t="inlineStr">
        <is>
          <t>MANTENIMIENTO HOSPITALARIO</t>
        </is>
      </c>
      <c r="E542" t="inlineStr">
        <is>
          <t>P02|HSAT</t>
        </is>
      </c>
      <c r="F542" t="inlineStr">
        <is>
          <t>HSAT - Tame</t>
        </is>
      </c>
      <c r="G542" t="inlineStr">
        <is>
          <t>APOYO LOGÍSTICO</t>
        </is>
      </c>
      <c r="H542" t="inlineStr">
        <is>
          <t>ACTIVO</t>
        </is>
      </c>
    </row>
    <row r="543">
      <c r="A543" t="n">
        <v>7010101</v>
      </c>
      <c r="B543" t="inlineStr">
        <is>
          <t>ESE01-TAME- TRANSPORTE Y VEHICULOS</t>
        </is>
      </c>
      <c r="C543" t="inlineStr">
        <is>
          <t>R07</t>
        </is>
      </c>
      <c r="D543" t="inlineStr">
        <is>
          <t>OTROS VEHÍCULOS Y CONDUCTORES</t>
        </is>
      </c>
      <c r="E543" t="inlineStr">
        <is>
          <t>R07|ESE01</t>
        </is>
      </c>
      <c r="F543" t="inlineStr">
        <is>
          <t>ESE01 - Sede Administrativa (Tame)</t>
        </is>
      </c>
      <c r="G543" t="inlineStr">
        <is>
          <t>ADMINISTRATIVO</t>
        </is>
      </c>
      <c r="H543" t="inlineStr">
        <is>
          <t>ACTIVO</t>
        </is>
      </c>
    </row>
    <row r="544">
      <c r="A544" t="n">
        <v>7020101</v>
      </c>
      <c r="B544" t="inlineStr">
        <is>
          <t>HSLA-ARAUQUITA-TRANSPORTE Y VEHICULOS</t>
        </is>
      </c>
      <c r="C544" t="inlineStr">
        <is>
          <t>R07</t>
        </is>
      </c>
      <c r="D544" t="inlineStr">
        <is>
          <t>OTROS VEHÍCULOS Y CONDUCTORES</t>
        </is>
      </c>
      <c r="E544" t="inlineStr">
        <is>
          <t>R07|HSLA</t>
        </is>
      </c>
      <c r="F544" t="inlineStr">
        <is>
          <t>HSLA - Arauquita</t>
        </is>
      </c>
      <c r="G544" t="inlineStr">
        <is>
          <t>ADMINISTRATIVO</t>
        </is>
      </c>
      <c r="H544" t="inlineStr">
        <is>
          <t>ACTIVO</t>
        </is>
      </c>
    </row>
    <row r="545">
      <c r="A545" t="n">
        <v>7030101</v>
      </c>
      <c r="B545" t="inlineStr">
        <is>
          <t>HSFF-FORTUL TRANSPORTE VEHICULOS</t>
        </is>
      </c>
      <c r="C545" t="inlineStr">
        <is>
          <t>R07</t>
        </is>
      </c>
      <c r="D545" t="inlineStr">
        <is>
          <t>OTROS VEHÍCULOS Y CONDUCTORES</t>
        </is>
      </c>
      <c r="E545" t="inlineStr">
        <is>
          <t>R07|HSFF</t>
        </is>
      </c>
      <c r="F545" t="inlineStr">
        <is>
          <t>HSFF - Fortul</t>
        </is>
      </c>
      <c r="G545" t="inlineStr">
        <is>
          <t>ADMINISTRATIVO</t>
        </is>
      </c>
      <c r="H545" t="inlineStr">
        <is>
          <t>ACTIVO</t>
        </is>
      </c>
    </row>
    <row r="546">
      <c r="A546" t="n">
        <v>7040101</v>
      </c>
      <c r="B546" t="inlineStr">
        <is>
          <t>HSAT-TAME TRANSPORTE VEHICULOS</t>
        </is>
      </c>
      <c r="C546" t="inlineStr">
        <is>
          <t>R07</t>
        </is>
      </c>
      <c r="D546" t="inlineStr">
        <is>
          <t>OTROS VEHÍCULOS Y CONDUCTORES</t>
        </is>
      </c>
      <c r="E546" t="inlineStr">
        <is>
          <t>R07|HSAT</t>
        </is>
      </c>
      <c r="F546" t="inlineStr">
        <is>
          <t>HSAT - Tame</t>
        </is>
      </c>
      <c r="G546" t="inlineStr">
        <is>
          <t>ADMINISTRATIVO</t>
        </is>
      </c>
      <c r="H546" t="inlineStr">
        <is>
          <t>ACTIVO</t>
        </is>
      </c>
    </row>
    <row r="547">
      <c r="A547" t="n">
        <v>7050101</v>
      </c>
      <c r="B547" t="inlineStr">
        <is>
          <t>HSJP-RONDON TRANSPORTE DE VEHICULOS</t>
        </is>
      </c>
      <c r="C547" t="inlineStr">
        <is>
          <t>R07</t>
        </is>
      </c>
      <c r="D547" t="inlineStr">
        <is>
          <t>OTROS VEHÍCULOS Y CONDUCTORES</t>
        </is>
      </c>
      <c r="E547" t="inlineStr">
        <is>
          <t>R07|HSJDP</t>
        </is>
      </c>
      <c r="F547" t="inlineStr">
        <is>
          <t>HSJDP - Puerto Rondón</t>
        </is>
      </c>
      <c r="G547" t="inlineStr">
        <is>
          <t>ADMINISTRATIVO</t>
        </is>
      </c>
      <c r="H547" t="inlineStr">
        <is>
          <t>ACTIVO</t>
        </is>
      </c>
    </row>
    <row r="548">
      <c r="A548" t="n">
        <v>7060101</v>
      </c>
      <c r="B548" t="inlineStr">
        <is>
          <t>HSJC-CRAVO NORTE-TRANSPORTE Y VEHICULOS</t>
        </is>
      </c>
      <c r="C548" t="inlineStr">
        <is>
          <t>R07</t>
        </is>
      </c>
      <c r="D548" t="inlineStr">
        <is>
          <t>OTROS VEHÍCULOS Y CONDUCTORES</t>
        </is>
      </c>
      <c r="E548" t="inlineStr">
        <is>
          <t>R07|HSJCN</t>
        </is>
      </c>
      <c r="F548" t="inlineStr">
        <is>
          <t>HSJCN - Cravo Norte</t>
        </is>
      </c>
      <c r="G548" t="inlineStr">
        <is>
          <t>ADMINISTRATIVO</t>
        </is>
      </c>
      <c r="H548" t="inlineStr">
        <is>
          <t>ACTIVO</t>
        </is>
      </c>
    </row>
    <row r="549">
      <c r="A549" t="n">
        <v>7080101</v>
      </c>
      <c r="B549" t="inlineStr">
        <is>
          <t>HSRP-PAMPURI-TRANSPORTE Y VEHICULOS</t>
        </is>
      </c>
      <c r="C549" t="inlineStr">
        <is>
          <t>R07</t>
        </is>
      </c>
      <c r="D549" t="inlineStr">
        <is>
          <t>OTROS VEHÍCULOS Y CONDUCTORES</t>
        </is>
      </c>
      <c r="E549" t="inlineStr">
        <is>
          <t>R07|CSPA</t>
        </is>
      </c>
      <c r="F549" t="inlineStr">
        <is>
          <t>CSPA - Panamá de Arauca</t>
        </is>
      </c>
      <c r="G549" t="inlineStr">
        <is>
          <t>ADMINISTRATIVO</t>
        </is>
      </c>
      <c r="H549" t="inlineStr">
        <is>
          <t>ACTIVO</t>
        </is>
      </c>
    </row>
    <row r="550">
      <c r="A550" t="n">
        <v>7090101</v>
      </c>
      <c r="B550" t="inlineStr">
        <is>
          <t>ESE01-CONSULTORIA-PROFESIONAL</t>
        </is>
      </c>
      <c r="C550" t="inlineStr">
        <is>
          <t>R01</t>
        </is>
      </c>
      <c r="D550" t="inlineStr">
        <is>
          <t>COORDINACIÓN ADMINISTRATIVA</t>
        </is>
      </c>
      <c r="E550" t="inlineStr">
        <is>
          <t>R01|ESE01</t>
        </is>
      </c>
      <c r="F550" t="inlineStr">
        <is>
          <t>ESE01 - Sede Administrativa (Tame)</t>
        </is>
      </c>
      <c r="G550" t="inlineStr">
        <is>
          <t>ADMINISTRATIVO</t>
        </is>
      </c>
      <c r="H550" t="inlineStr">
        <is>
          <t>VERIFICAR</t>
        </is>
      </c>
    </row>
  </sheetData>
  <autoFilter ref="A1:H5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22" customWidth="1" min="3" max="3"/>
  </cols>
  <sheetData>
    <row r="1">
      <c r="A1" s="10" t="inlineStr">
        <is>
          <t>RESUMEN DE VALIDACIÓN ANTES DE CARGAR</t>
        </is>
      </c>
    </row>
    <row r="3">
      <c r="A3" s="9" t="inlineStr">
        <is>
          <t>CONCEPTO</t>
        </is>
      </c>
      <c r="B3" s="9" t="inlineStr">
        <is>
          <t>FILAS</t>
        </is>
      </c>
      <c r="C3" s="9" t="inlineStr">
        <is>
          <t>VALOR</t>
        </is>
      </c>
    </row>
    <row r="4">
      <c r="A4" t="inlineStr">
        <is>
          <t>Filas diligenciadas</t>
        </is>
      </c>
      <c r="B4">
        <f>COUNTIF(CARGA!K2:K3001,"?*")</f>
        <v/>
      </c>
      <c r="C4" s="11">
        <f>SUM(CARGA!E2:E3001)</f>
        <v/>
      </c>
    </row>
    <row r="5">
      <c r="A5" t="inlineStr">
        <is>
          <t>Filas listas para cargar (OK)</t>
        </is>
      </c>
      <c r="B5">
        <f>COUNTIF(CARGA!K2:K3001,"OK")</f>
        <v/>
      </c>
      <c r="C5" s="11">
        <f>SUMIFS(CARGA!E2:E3001,CARGA!K2:K3001,"OK")</f>
        <v/>
      </c>
    </row>
    <row r="6">
      <c r="A6" t="inlineStr">
        <is>
          <t>Filas con ERROR (corregir)</t>
        </is>
      </c>
      <c r="B6">
        <f>COUNTIF(CARGA!K2:K3001,"ERROR*")</f>
        <v/>
      </c>
      <c r="C6" s="11">
        <f>SUMIFS(CARGA!E2:E3001,CARGA!K2:K3001,"ERROR*")</f>
        <v/>
      </c>
    </row>
    <row r="7">
      <c r="A7" t="inlineStr">
        <is>
          <t>Filas que no se cargarán por estado del CECO</t>
        </is>
      </c>
      <c r="B7">
        <f>COUNTIF(CARGA!K2:K3001,"NO SE CARGA*")</f>
        <v/>
      </c>
      <c r="C7" s="11">
        <f>SUMIFS(CARGA!E2:E3001,CARGA!K2:K3001,"NO SE CARGA*")</f>
        <v/>
      </c>
    </row>
    <row r="8">
      <c r="A8" t="inlineStr">
        <is>
          <t>Filas con valor cero</t>
        </is>
      </c>
      <c r="B8">
        <f>COUNTIF(CARGA!K2:K3001,"AVISO*")</f>
        <v/>
      </c>
    </row>
    <row r="10">
      <c r="A10" s="9" t="inlineStr">
        <is>
          <t>ESTADO DEL CECO</t>
        </is>
      </c>
      <c r="B10" s="9" t="inlineStr">
        <is>
          <t>FILAS</t>
        </is>
      </c>
      <c r="C10" s="9" t="inlineStr">
        <is>
          <t>VALOR</t>
        </is>
      </c>
    </row>
    <row r="11">
      <c r="A11" t="inlineStr">
        <is>
          <t>ACTIVO</t>
        </is>
      </c>
      <c r="B11">
        <f>COUNTIF(CARGA!J2:J3001,A11)</f>
        <v/>
      </c>
      <c r="C11" s="11">
        <f>SUMIFS(CARGA!E2:E3001,CARGA!J2:J3001,A11)</f>
        <v/>
      </c>
    </row>
    <row r="12">
      <c r="A12" t="inlineStr">
        <is>
          <t>VERIFICAR</t>
        </is>
      </c>
      <c r="B12">
        <f>COUNTIF(CARGA!J2:J3001,A12)</f>
        <v/>
      </c>
      <c r="C12" s="11">
        <f>SUMIFS(CARGA!E2:E3001,CARGA!J2:J3001,A12)</f>
        <v/>
      </c>
    </row>
    <row r="13">
      <c r="A13" t="inlineStr">
        <is>
          <t>NO APLICA</t>
        </is>
      </c>
      <c r="B13">
        <f>COUNTIF(CARGA!J2:J3001,A13)</f>
        <v/>
      </c>
      <c r="C13" s="11">
        <f>SUMIFS(CARGA!E2:E3001,CARGA!J2:J3001,A13)</f>
        <v/>
      </c>
    </row>
    <row r="14">
      <c r="A14" t="inlineStr">
        <is>
          <t>EXCLUIR</t>
        </is>
      </c>
      <c r="B14">
        <f>COUNTIF(CARGA!J2:J3001,A14)</f>
        <v/>
      </c>
      <c r="C14" s="11">
        <f>SUMIFS(CARGA!E2:E3001,CARGA!J2:J3001,A14)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2026-10-22T23:36:39Z</dcterms:created>
  <dcterms:modified xmlns:dcterms="http://purl.org/dc/terms/" xmlns:xsi="http://www.w3.org/2001/XMLSchema-instance" xsi:type="dcterms:W3CDTF">2026-10-22T23:36:40Z</dcterms:modified>
</cp:coreProperties>
</file>